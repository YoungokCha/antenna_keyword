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DAA9440-877F-1B43-AD34-30F070AF5DDA}" xr6:coauthVersionLast="47" xr6:coauthVersionMax="47" xr10:uidLastSave="{F061D435-9FD3-F743-A604-9EB86BC861F3}"/>
  <bookViews>
    <workbookView xWindow="17860" yWindow="1540" windowWidth="24980" windowHeight="24860" xr2:uid="{C20A6D67-9837-5449-AB33-A1E008051A62}"/>
  </bookViews>
  <sheets>
    <sheet name="200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2" i="1"/>
  <c r="S2" i="1"/>
  <c r="U2" i="1"/>
  <c r="AM2" i="1" s="1"/>
  <c r="AN2" i="1" s="1"/>
  <c r="S3" i="1"/>
  <c r="U3" i="1"/>
  <c r="AM3" i="1" s="1"/>
  <c r="AN3" i="1" s="1"/>
  <c r="S4" i="1"/>
  <c r="U4" i="1"/>
  <c r="AM4" i="1" s="1"/>
  <c r="AN4" i="1" s="1"/>
  <c r="S5" i="1"/>
  <c r="U5" i="1"/>
  <c r="AM5" i="1" s="1"/>
  <c r="AN5" i="1" s="1"/>
  <c r="S6" i="1"/>
  <c r="U6" i="1"/>
  <c r="AM6" i="1" s="1"/>
  <c r="S7" i="1"/>
  <c r="U7" i="1"/>
  <c r="AM7" i="1" s="1"/>
  <c r="AN7" i="1" s="1"/>
  <c r="S8" i="1"/>
  <c r="U8" i="1"/>
  <c r="AM8" i="1" s="1"/>
  <c r="S9" i="1"/>
  <c r="U9" i="1"/>
  <c r="AM9" i="1" s="1"/>
  <c r="AN9" i="1" s="1"/>
  <c r="S10" i="1"/>
  <c r="U10" i="1"/>
  <c r="AM10" i="1" s="1"/>
  <c r="AN10" i="1" s="1"/>
  <c r="S11" i="1"/>
  <c r="U11" i="1"/>
  <c r="AM11" i="1" s="1"/>
  <c r="AN11" i="1" s="1"/>
  <c r="S12" i="1"/>
  <c r="U12" i="1"/>
  <c r="AM12" i="1" s="1"/>
  <c r="S13" i="1"/>
  <c r="U13" i="1"/>
  <c r="AM13" i="1" s="1"/>
  <c r="AN13" i="1" s="1"/>
  <c r="S14" i="1"/>
  <c r="U14" i="1"/>
  <c r="AM14" i="1" s="1"/>
  <c r="AN14" i="1" s="1"/>
  <c r="S15" i="1"/>
  <c r="U15" i="1"/>
  <c r="AM15" i="1" s="1"/>
  <c r="AN15" i="1" s="1"/>
  <c r="S16" i="1"/>
  <c r="U16" i="1"/>
  <c r="AM16" i="1"/>
  <c r="S17" i="1"/>
  <c r="U17" i="1"/>
  <c r="AM17" i="1" s="1"/>
  <c r="AN17" i="1" s="1"/>
  <c r="S18" i="1"/>
  <c r="U18" i="1"/>
  <c r="AM18" i="1" s="1"/>
  <c r="AN18" i="1" s="1"/>
  <c r="S19" i="1"/>
  <c r="U19" i="1"/>
  <c r="AM19" i="1" s="1"/>
  <c r="AN19" i="1" s="1"/>
  <c r="S20" i="1"/>
  <c r="U20" i="1"/>
  <c r="AM20" i="1" s="1"/>
  <c r="AN20" i="1" s="1"/>
  <c r="S21" i="1"/>
  <c r="U21" i="1"/>
  <c r="AM21" i="1" s="1"/>
  <c r="S22" i="1"/>
  <c r="U22" i="1"/>
  <c r="AM22" i="1" s="1"/>
  <c r="AN22" i="1" s="1"/>
  <c r="S23" i="1"/>
  <c r="U23" i="1"/>
  <c r="AM23" i="1" s="1"/>
  <c r="AN23" i="1" s="1"/>
  <c r="S24" i="1"/>
  <c r="U24" i="1"/>
  <c r="AM24" i="1" s="1"/>
  <c r="AN24" i="1" s="1"/>
  <c r="S25" i="1"/>
  <c r="U25" i="1"/>
  <c r="AM25" i="1" s="1"/>
  <c r="AN25" i="1" s="1"/>
  <c r="S26" i="1"/>
  <c r="U26" i="1"/>
  <c r="AM26" i="1"/>
  <c r="AN26" i="1" s="1"/>
  <c r="S27" i="1"/>
  <c r="U27" i="1"/>
  <c r="AM27" i="1" s="1"/>
  <c r="AN27" i="1" s="1"/>
  <c r="S28" i="1"/>
  <c r="U28" i="1"/>
  <c r="AM28" i="1" s="1"/>
  <c r="AN28" i="1" s="1"/>
  <c r="AW28" i="1" s="1"/>
  <c r="S29" i="1"/>
  <c r="U29" i="1"/>
  <c r="AM29" i="1" s="1"/>
  <c r="AN29" i="1" s="1"/>
  <c r="S30" i="1"/>
  <c r="U30" i="1"/>
  <c r="AM30" i="1"/>
  <c r="AN30" i="1" s="1"/>
  <c r="S31" i="1"/>
  <c r="U31" i="1"/>
  <c r="AM31" i="1" s="1"/>
  <c r="S32" i="1"/>
  <c r="U32" i="1"/>
  <c r="AM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c r="AN38" i="1" s="1"/>
  <c r="S39" i="1"/>
  <c r="U39" i="1"/>
  <c r="AM39" i="1" s="1"/>
  <c r="AN39" i="1" s="1"/>
  <c r="S40" i="1"/>
  <c r="U40" i="1"/>
  <c r="AM40" i="1"/>
  <c r="AN40" i="1" s="1"/>
  <c r="S41" i="1"/>
  <c r="U41" i="1"/>
  <c r="AM41" i="1" s="1"/>
  <c r="AN41" i="1" s="1"/>
  <c r="S42" i="1"/>
  <c r="U42" i="1"/>
  <c r="AM42" i="1"/>
  <c r="AN42" i="1" s="1"/>
  <c r="S43" i="1"/>
  <c r="U43" i="1"/>
  <c r="AM43" i="1" s="1"/>
  <c r="AN43" i="1" s="1"/>
  <c r="S44" i="1"/>
  <c r="U44" i="1"/>
  <c r="AM44" i="1" s="1"/>
  <c r="AN44" i="1" s="1"/>
  <c r="S45" i="1"/>
  <c r="U45" i="1"/>
  <c r="AM45" i="1" s="1"/>
  <c r="AN45" i="1" s="1"/>
  <c r="S46" i="1"/>
  <c r="U46" i="1"/>
  <c r="AM46" i="1"/>
  <c r="AN46" i="1" s="1"/>
  <c r="S47" i="1"/>
  <c r="U47" i="1"/>
  <c r="AM47" i="1" s="1"/>
  <c r="S48" i="1"/>
  <c r="U48" i="1"/>
  <c r="AM48" i="1"/>
  <c r="AN48" i="1" s="1"/>
  <c r="S49" i="1"/>
  <c r="U49" i="1"/>
  <c r="AM49" i="1" s="1"/>
  <c r="AN49" i="1" s="1"/>
  <c r="S50" i="1"/>
  <c r="U50" i="1"/>
  <c r="AM50" i="1" s="1"/>
  <c r="AN50" i="1" s="1"/>
  <c r="S51" i="1"/>
  <c r="U51" i="1"/>
  <c r="AM51" i="1" s="1"/>
  <c r="AN51" i="1" s="1"/>
  <c r="AV51" i="1" s="1"/>
  <c r="S52" i="1"/>
  <c r="U52" i="1"/>
  <c r="AM52" i="1"/>
  <c r="AN52" i="1" s="1"/>
  <c r="AV52" i="1" s="1"/>
  <c r="S53" i="1"/>
  <c r="U53" i="1"/>
  <c r="AM53" i="1" s="1"/>
  <c r="AN53" i="1" s="1"/>
  <c r="S54" i="1"/>
  <c r="U54" i="1"/>
  <c r="AM54" i="1" s="1"/>
  <c r="AN54" i="1" s="1"/>
  <c r="S55" i="1"/>
  <c r="U55" i="1"/>
  <c r="AM55" i="1" s="1"/>
  <c r="AN55" i="1" s="1"/>
  <c r="S56" i="1"/>
  <c r="U56" i="1"/>
  <c r="AM56" i="1" s="1"/>
  <c r="AN56" i="1" s="1"/>
  <c r="S57" i="1"/>
  <c r="U57" i="1"/>
  <c r="AM57" i="1" s="1"/>
  <c r="AN57" i="1" s="1"/>
  <c r="S58" i="1"/>
  <c r="U58" i="1"/>
  <c r="AM58" i="1" s="1"/>
  <c r="AN58" i="1" s="1"/>
  <c r="S59" i="1"/>
  <c r="U59" i="1"/>
  <c r="AM59" i="1" s="1"/>
  <c r="AN59" i="1" s="1"/>
  <c r="S60" i="1"/>
  <c r="U60" i="1"/>
  <c r="AM60" i="1" s="1"/>
  <c r="AN60" i="1" s="1"/>
  <c r="S61" i="1"/>
  <c r="U61" i="1"/>
  <c r="AM61" i="1"/>
  <c r="AN61" i="1" s="1"/>
  <c r="S62" i="1"/>
  <c r="U62" i="1"/>
  <c r="AM62" i="1"/>
  <c r="S63" i="1"/>
  <c r="U63" i="1"/>
  <c r="AM63" i="1" s="1"/>
  <c r="AN63" i="1" s="1"/>
  <c r="S64" i="1"/>
  <c r="U64" i="1"/>
  <c r="AM64" i="1" s="1"/>
  <c r="AN64" i="1" s="1"/>
  <c r="S65" i="1"/>
  <c r="U65" i="1"/>
  <c r="AM65" i="1" s="1"/>
  <c r="AN65" i="1" s="1"/>
  <c r="S66" i="1"/>
  <c r="U66" i="1"/>
  <c r="AM66" i="1" s="1"/>
  <c r="AN66" i="1" s="1"/>
  <c r="S67" i="1"/>
  <c r="U67" i="1"/>
  <c r="AM67" i="1" s="1"/>
  <c r="AN67" i="1" s="1"/>
  <c r="S68" i="1"/>
  <c r="U68" i="1"/>
  <c r="AM68" i="1" s="1"/>
  <c r="AN68" i="1" s="1"/>
  <c r="S69" i="1"/>
  <c r="U69" i="1"/>
  <c r="AM69" i="1" s="1"/>
  <c r="AN69" i="1" s="1"/>
  <c r="S70" i="1"/>
  <c r="U70" i="1"/>
  <c r="AM70" i="1" s="1"/>
  <c r="AN70" i="1" s="1"/>
  <c r="S71" i="1"/>
  <c r="U71" i="1"/>
  <c r="AM71" i="1" s="1"/>
  <c r="AN71" i="1" s="1"/>
  <c r="S72" i="1"/>
  <c r="U72" i="1"/>
  <c r="AM72" i="1" s="1"/>
  <c r="S73" i="1"/>
  <c r="U73" i="1"/>
  <c r="AM73" i="1" s="1"/>
  <c r="AN73" i="1" s="1"/>
  <c r="S74" i="1"/>
  <c r="U74" i="1"/>
  <c r="AM74" i="1" s="1"/>
  <c r="AN74" i="1" s="1"/>
  <c r="S75" i="1"/>
  <c r="U75" i="1"/>
  <c r="AM75" i="1" s="1"/>
  <c r="AN75" i="1" s="1"/>
  <c r="S76" i="1"/>
  <c r="U76" i="1"/>
  <c r="AM76" i="1" s="1"/>
  <c r="AN76" i="1" s="1"/>
  <c r="S77" i="1"/>
  <c r="U77" i="1"/>
  <c r="AM77" i="1" s="1"/>
  <c r="AN77" i="1" s="1"/>
  <c r="S78" i="1"/>
  <c r="U78" i="1"/>
  <c r="AM78" i="1" s="1"/>
  <c r="AN78" i="1" s="1"/>
  <c r="S79" i="1"/>
  <c r="U79" i="1"/>
  <c r="AM79" i="1" s="1"/>
  <c r="AN79" i="1" s="1"/>
  <c r="S80" i="1"/>
  <c r="U80" i="1"/>
  <c r="AM80" i="1" s="1"/>
  <c r="AN80" i="1" s="1"/>
  <c r="S81" i="1"/>
  <c r="U81" i="1"/>
  <c r="AM81" i="1" s="1"/>
  <c r="AN81" i="1" s="1"/>
  <c r="S82" i="1"/>
  <c r="U82" i="1"/>
  <c r="AM82" i="1" s="1"/>
  <c r="S83" i="1"/>
  <c r="U83" i="1"/>
  <c r="AM83" i="1" s="1"/>
  <c r="AN83" i="1" s="1"/>
  <c r="S84" i="1"/>
  <c r="U84" i="1"/>
  <c r="AM84" i="1" s="1"/>
  <c r="AN84" i="1" s="1"/>
  <c r="S85" i="1"/>
  <c r="U85" i="1"/>
  <c r="AM85" i="1" s="1"/>
  <c r="AN85" i="1" s="1"/>
  <c r="S86" i="1"/>
  <c r="U86" i="1"/>
  <c r="AM86" i="1" s="1"/>
  <c r="AN86" i="1" s="1"/>
  <c r="S87" i="1"/>
  <c r="U87" i="1"/>
  <c r="AM87" i="1" s="1"/>
  <c r="S88" i="1"/>
  <c r="U88" i="1"/>
  <c r="AM88" i="1"/>
  <c r="AN88" i="1" s="1"/>
  <c r="S89" i="1"/>
  <c r="U89" i="1"/>
  <c r="AM89" i="1" s="1"/>
  <c r="AN89" i="1" s="1"/>
  <c r="S90" i="1"/>
  <c r="U90" i="1"/>
  <c r="AM90" i="1" s="1"/>
  <c r="AN90" i="1" s="1"/>
  <c r="S91" i="1"/>
  <c r="U91" i="1"/>
  <c r="AM91" i="1" s="1"/>
  <c r="AN91" i="1" s="1"/>
  <c r="AV91" i="1" s="1"/>
  <c r="S92" i="1"/>
  <c r="U92" i="1"/>
  <c r="AM92" i="1" s="1"/>
  <c r="AN92" i="1" s="1"/>
  <c r="AW92" i="1" s="1"/>
  <c r="S93" i="1"/>
  <c r="U93" i="1"/>
  <c r="AM93" i="1" s="1"/>
  <c r="AN93" i="1" s="1"/>
  <c r="S94" i="1"/>
  <c r="U94" i="1"/>
  <c r="AM94" i="1" s="1"/>
  <c r="AN94" i="1" s="1"/>
  <c r="S95" i="1"/>
  <c r="U95" i="1"/>
  <c r="AM95" i="1" s="1"/>
  <c r="AN95" i="1" s="1"/>
  <c r="S96" i="1"/>
  <c r="U96" i="1"/>
  <c r="AM96" i="1"/>
  <c r="AN96" i="1" s="1"/>
  <c r="S97" i="1"/>
  <c r="U97" i="1"/>
  <c r="AM97" i="1"/>
  <c r="AN97" i="1" s="1"/>
  <c r="S98" i="1"/>
  <c r="U98" i="1"/>
  <c r="AM98" i="1" s="1"/>
  <c r="AN98" i="1" s="1"/>
  <c r="S99" i="1"/>
  <c r="U99" i="1"/>
  <c r="AM99" i="1" s="1"/>
  <c r="AN99" i="1" s="1"/>
  <c r="S100" i="1"/>
  <c r="U100" i="1"/>
  <c r="AM100" i="1" s="1"/>
  <c r="AN100" i="1" s="1"/>
  <c r="S101" i="1"/>
  <c r="U101" i="1"/>
  <c r="AM101" i="1"/>
  <c r="S102" i="1"/>
  <c r="U102" i="1"/>
  <c r="AM102" i="1" s="1"/>
  <c r="AN102" i="1" s="1"/>
  <c r="S103" i="1"/>
  <c r="U103" i="1"/>
  <c r="AM103" i="1" s="1"/>
  <c r="AN103" i="1" s="1"/>
  <c r="S104" i="1"/>
  <c r="U104" i="1"/>
  <c r="AM104" i="1" s="1"/>
  <c r="AN104" i="1" s="1"/>
  <c r="S105" i="1"/>
  <c r="U105" i="1"/>
  <c r="AM105" i="1" s="1"/>
  <c r="AN105" i="1" s="1"/>
  <c r="S106" i="1"/>
  <c r="U106" i="1"/>
  <c r="AM106" i="1" s="1"/>
  <c r="AN106" i="1" s="1"/>
  <c r="S107" i="1"/>
  <c r="U107" i="1"/>
  <c r="AM107" i="1" s="1"/>
  <c r="AN107" i="1" s="1"/>
  <c r="AW107" i="1" s="1"/>
  <c r="S108" i="1"/>
  <c r="U108" i="1"/>
  <c r="AM108" i="1" s="1"/>
  <c r="AN108" i="1" s="1"/>
  <c r="AU108" i="1" s="1"/>
  <c r="S109" i="1"/>
  <c r="U109" i="1"/>
  <c r="AM109" i="1" s="1"/>
  <c r="AN109" i="1" s="1"/>
  <c r="S110" i="1"/>
  <c r="U110" i="1"/>
  <c r="AM110" i="1" s="1"/>
  <c r="AN110" i="1" s="1"/>
  <c r="S111" i="1"/>
  <c r="U111" i="1"/>
  <c r="AM111" i="1" s="1"/>
  <c r="AN111" i="1" s="1"/>
  <c r="S112" i="1"/>
  <c r="U112" i="1"/>
  <c r="AM112" i="1"/>
  <c r="AN112" i="1" s="1"/>
  <c r="S113" i="1"/>
  <c r="U113" i="1"/>
  <c r="AM113" i="1" s="1"/>
  <c r="AN113" i="1" s="1"/>
  <c r="S114" i="1"/>
  <c r="U114" i="1"/>
  <c r="AM114" i="1" s="1"/>
  <c r="AN114" i="1" s="1"/>
  <c r="S115" i="1"/>
  <c r="U115" i="1"/>
  <c r="AM115" i="1"/>
  <c r="AN115" i="1" s="1"/>
  <c r="AU115" i="1" s="1"/>
  <c r="S116" i="1"/>
  <c r="U116" i="1"/>
  <c r="AM116" i="1" s="1"/>
  <c r="AN116" i="1" s="1"/>
  <c r="S117" i="1"/>
  <c r="U117" i="1"/>
  <c r="AM117" i="1" s="1"/>
  <c r="AN117" i="1" s="1"/>
  <c r="AW117" i="1" s="1"/>
  <c r="S118" i="1"/>
  <c r="U118" i="1"/>
  <c r="AM118" i="1" s="1"/>
  <c r="AN118" i="1" s="1"/>
  <c r="S119" i="1"/>
  <c r="U119" i="1"/>
  <c r="AM119" i="1" s="1"/>
  <c r="AN119" i="1" s="1"/>
  <c r="S120" i="1"/>
  <c r="U120" i="1"/>
  <c r="AM120" i="1" s="1"/>
  <c r="AN120" i="1" s="1"/>
  <c r="S121" i="1"/>
  <c r="U121" i="1"/>
  <c r="AM121" i="1" s="1"/>
  <c r="AN121" i="1" s="1"/>
  <c r="S122" i="1"/>
  <c r="U122" i="1"/>
  <c r="AM122" i="1" s="1"/>
  <c r="AN122" i="1" s="1"/>
  <c r="S123" i="1"/>
  <c r="U123" i="1"/>
  <c r="AM123" i="1" s="1"/>
  <c r="AN123" i="1" s="1"/>
  <c r="S124" i="1"/>
  <c r="U124" i="1"/>
  <c r="AM124" i="1" s="1"/>
  <c r="AN124" i="1" s="1"/>
  <c r="S125" i="1"/>
  <c r="U125" i="1"/>
  <c r="AM125" i="1" s="1"/>
  <c r="AN125" i="1" s="1"/>
  <c r="S126" i="1"/>
  <c r="U126" i="1"/>
  <c r="AM126" i="1"/>
  <c r="AN126" i="1" s="1"/>
  <c r="S127" i="1"/>
  <c r="U127" i="1"/>
  <c r="AM127" i="1" s="1"/>
  <c r="AN127" i="1" s="1"/>
  <c r="S128" i="1"/>
  <c r="U128" i="1"/>
  <c r="AM128" i="1" s="1"/>
  <c r="AN128" i="1" s="1"/>
  <c r="S129" i="1"/>
  <c r="U129" i="1"/>
  <c r="AM129" i="1" s="1"/>
  <c r="AN129" i="1" s="1"/>
  <c r="S130" i="1"/>
  <c r="U130" i="1"/>
  <c r="AM130" i="1" s="1"/>
  <c r="AN130" i="1" s="1"/>
  <c r="S131" i="1"/>
  <c r="U131" i="1"/>
  <c r="AM131" i="1" s="1"/>
  <c r="S132" i="1"/>
  <c r="U132" i="1"/>
  <c r="AM132" i="1" s="1"/>
  <c r="AN132" i="1" s="1"/>
  <c r="S133" i="1"/>
  <c r="U133" i="1"/>
  <c r="AM133" i="1" s="1"/>
  <c r="AN133" i="1" s="1"/>
  <c r="S134" i="1"/>
  <c r="U134" i="1"/>
  <c r="AM134" i="1" s="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AN142" i="1" s="1"/>
  <c r="S143" i="1"/>
  <c r="U143" i="1"/>
  <c r="AM143" i="1"/>
  <c r="AN143" i="1" s="1"/>
  <c r="S144" i="1"/>
  <c r="U144" i="1"/>
  <c r="AM144" i="1" s="1"/>
  <c r="AN144" i="1" s="1"/>
  <c r="S145" i="1"/>
  <c r="U145" i="1"/>
  <c r="AM145" i="1" s="1"/>
  <c r="S146" i="1"/>
  <c r="U146" i="1"/>
  <c r="AM146" i="1"/>
  <c r="AN146" i="1" s="1"/>
  <c r="S147" i="1"/>
  <c r="U147" i="1"/>
  <c r="AM147" i="1" s="1"/>
  <c r="S148" i="1"/>
  <c r="U148" i="1"/>
  <c r="AM148" i="1" s="1"/>
  <c r="AN148" i="1" s="1"/>
  <c r="S149" i="1"/>
  <c r="U149" i="1"/>
  <c r="AM149" i="1" s="1"/>
  <c r="AN149" i="1" s="1"/>
  <c r="S150" i="1"/>
  <c r="U150" i="1"/>
  <c r="AM150" i="1"/>
  <c r="AN150" i="1" s="1"/>
  <c r="S151" i="1"/>
  <c r="U151" i="1"/>
  <c r="AM151" i="1" s="1"/>
  <c r="AN151" i="1" s="1"/>
  <c r="S152" i="1"/>
  <c r="U152" i="1"/>
  <c r="AM152" i="1" s="1"/>
  <c r="AN152" i="1" s="1"/>
  <c r="S153" i="1"/>
  <c r="U153" i="1"/>
  <c r="AM153" i="1" s="1"/>
  <c r="AN153" i="1" s="1"/>
  <c r="S154" i="1"/>
  <c r="U154" i="1"/>
  <c r="AM154" i="1" s="1"/>
  <c r="AN154" i="1" s="1"/>
  <c r="S155" i="1"/>
  <c r="U155" i="1"/>
  <c r="AM155" i="1"/>
  <c r="AN155" i="1" s="1"/>
  <c r="S156" i="1"/>
  <c r="U156" i="1"/>
  <c r="AM156" i="1" s="1"/>
  <c r="AN156" i="1" s="1"/>
  <c r="S157" i="1"/>
  <c r="U157" i="1"/>
  <c r="AM157" i="1" s="1"/>
  <c r="AN157" i="1" s="1"/>
  <c r="S158" i="1"/>
  <c r="U158" i="1"/>
  <c r="AM158" i="1" s="1"/>
  <c r="AN158" i="1" s="1"/>
  <c r="S159" i="1"/>
  <c r="U159" i="1"/>
  <c r="AM159" i="1" s="1"/>
  <c r="AN159" i="1" s="1"/>
  <c r="S160" i="1"/>
  <c r="U160" i="1"/>
  <c r="AM160" i="1"/>
  <c r="AN160" i="1" s="1"/>
  <c r="S161" i="1"/>
  <c r="U161" i="1"/>
  <c r="AM161" i="1"/>
  <c r="AN161" i="1" s="1"/>
  <c r="S162" i="1"/>
  <c r="U162" i="1"/>
  <c r="AM162" i="1" s="1"/>
  <c r="AN162" i="1" s="1"/>
  <c r="S163" i="1"/>
  <c r="U163" i="1"/>
  <c r="AM163" i="1" s="1"/>
  <c r="AN163" i="1" s="1"/>
  <c r="S164" i="1"/>
  <c r="U164" i="1"/>
  <c r="AM164" i="1" s="1"/>
  <c r="AN164" i="1" s="1"/>
  <c r="S165" i="1"/>
  <c r="U165" i="1"/>
  <c r="AM165" i="1" s="1"/>
  <c r="S166" i="1"/>
  <c r="U166" i="1"/>
  <c r="AM166" i="1" s="1"/>
  <c r="AN166" i="1" s="1"/>
  <c r="S167" i="1"/>
  <c r="U167" i="1"/>
  <c r="AM167" i="1"/>
  <c r="S168" i="1"/>
  <c r="U168" i="1"/>
  <c r="AM168" i="1" s="1"/>
  <c r="AN168" i="1" s="1"/>
  <c r="S169" i="1"/>
  <c r="U169" i="1"/>
  <c r="AM169" i="1" s="1"/>
  <c r="AN169" i="1" s="1"/>
  <c r="S170" i="1"/>
  <c r="U170" i="1"/>
  <c r="AM170" i="1" s="1"/>
  <c r="AN170" i="1" s="1"/>
  <c r="S171" i="1"/>
  <c r="U171" i="1"/>
  <c r="AM171" i="1" s="1"/>
  <c r="AN171" i="1" s="1"/>
  <c r="S172" i="1"/>
  <c r="U172" i="1"/>
  <c r="AM172" i="1"/>
  <c r="AN172" i="1" s="1"/>
  <c r="S173" i="1"/>
  <c r="U173" i="1"/>
  <c r="AM173" i="1" s="1"/>
  <c r="AN173" i="1" s="1"/>
  <c r="S174" i="1"/>
  <c r="U174" i="1"/>
  <c r="AM174" i="1" s="1"/>
  <c r="AN174" i="1" s="1"/>
  <c r="S175" i="1"/>
  <c r="U175" i="1"/>
  <c r="AM175" i="1" s="1"/>
  <c r="S176" i="1"/>
  <c r="U176" i="1"/>
  <c r="AM176" i="1" s="1"/>
  <c r="AN176" i="1" s="1"/>
  <c r="AV176" i="1" s="1"/>
  <c r="S177" i="1"/>
  <c r="U177" i="1"/>
  <c r="AM177" i="1" s="1"/>
  <c r="AN177" i="1" s="1"/>
  <c r="S178" i="1"/>
  <c r="U178" i="1"/>
  <c r="AM178" i="1"/>
  <c r="AN178" i="1" s="1"/>
  <c r="S179" i="1"/>
  <c r="U179" i="1"/>
  <c r="AM179" i="1" s="1"/>
  <c r="AN179" i="1" s="1"/>
  <c r="S180" i="1"/>
  <c r="U180" i="1"/>
  <c r="AM180" i="1" s="1"/>
  <c r="S181" i="1"/>
  <c r="U181" i="1"/>
  <c r="AM181" i="1" s="1"/>
  <c r="S182" i="1"/>
  <c r="U182" i="1"/>
  <c r="AM182" i="1" s="1"/>
  <c r="S183" i="1"/>
  <c r="U183" i="1"/>
  <c r="AM183" i="1" s="1"/>
  <c r="AN183" i="1" s="1"/>
  <c r="S184" i="1"/>
  <c r="U184" i="1"/>
  <c r="AM184" i="1" s="1"/>
  <c r="AN184" i="1" s="1"/>
  <c r="S185" i="1"/>
  <c r="U185" i="1"/>
  <c r="AM185" i="1" s="1"/>
  <c r="AN185" i="1" s="1"/>
  <c r="S186" i="1"/>
  <c r="U186" i="1"/>
  <c r="AM186" i="1" s="1"/>
  <c r="AN186" i="1" s="1"/>
  <c r="S187" i="1"/>
  <c r="U187" i="1"/>
  <c r="AM187" i="1" s="1"/>
  <c r="AN187" i="1" s="1"/>
  <c r="S188" i="1"/>
  <c r="U188" i="1"/>
  <c r="AM188" i="1" s="1"/>
  <c r="AN188" i="1" s="1"/>
  <c r="S189" i="1"/>
  <c r="U189" i="1"/>
  <c r="AM189" i="1" s="1"/>
  <c r="AN189" i="1" s="1"/>
  <c r="S190" i="1"/>
  <c r="U190" i="1"/>
  <c r="AM190" i="1" s="1"/>
  <c r="AN190" i="1" s="1"/>
  <c r="S191" i="1"/>
  <c r="U191" i="1"/>
  <c r="AM191" i="1" s="1"/>
  <c r="AN191" i="1" s="1"/>
  <c r="S192" i="1"/>
  <c r="U192" i="1"/>
  <c r="AM192" i="1" s="1"/>
  <c r="AN192" i="1" s="1"/>
  <c r="S193" i="1"/>
  <c r="U193" i="1"/>
  <c r="AM193" i="1" s="1"/>
  <c r="AN193" i="1" s="1"/>
  <c r="S194" i="1"/>
  <c r="U194" i="1"/>
  <c r="AM194" i="1"/>
  <c r="AN194" i="1" s="1"/>
  <c r="S195" i="1"/>
  <c r="U195" i="1"/>
  <c r="AM195" i="1" s="1"/>
  <c r="AN195" i="1" s="1"/>
  <c r="S196" i="1"/>
  <c r="U196" i="1"/>
  <c r="AM196" i="1" s="1"/>
  <c r="AN196" i="1" s="1"/>
  <c r="S197" i="1"/>
  <c r="U197" i="1"/>
  <c r="AM197" i="1" s="1"/>
  <c r="AN197" i="1" s="1"/>
  <c r="S198" i="1"/>
  <c r="U198" i="1"/>
  <c r="AM198" i="1"/>
  <c r="AN198" i="1" s="1"/>
  <c r="S199" i="1"/>
  <c r="U199" i="1"/>
  <c r="AM199" i="1" s="1"/>
  <c r="AN199" i="1" s="1"/>
  <c r="S200" i="1"/>
  <c r="U200" i="1"/>
  <c r="AM200" i="1" s="1"/>
  <c r="AN200" i="1" s="1"/>
  <c r="AV200" i="1" s="1"/>
  <c r="S201" i="1"/>
  <c r="U201" i="1"/>
  <c r="AM201" i="1" s="1"/>
  <c r="AN201" i="1" s="1"/>
  <c r="S202" i="1"/>
  <c r="U202" i="1"/>
  <c r="AM202" i="1" s="1"/>
  <c r="AN202" i="1" s="1"/>
  <c r="S203" i="1"/>
  <c r="U203" i="1"/>
  <c r="AM203" i="1" s="1"/>
  <c r="AN203" i="1" s="1"/>
  <c r="S204" i="1"/>
  <c r="U204" i="1"/>
  <c r="AM204" i="1" s="1"/>
  <c r="AN204" i="1" s="1"/>
  <c r="S205" i="1"/>
  <c r="U205" i="1"/>
  <c r="AM205" i="1" s="1"/>
  <c r="S206" i="1"/>
  <c r="U206" i="1"/>
  <c r="AM206" i="1"/>
  <c r="AN206" i="1" s="1"/>
  <c r="S207" i="1"/>
  <c r="U207" i="1"/>
  <c r="AM207" i="1" s="1"/>
  <c r="AN207" i="1" s="1"/>
  <c r="S208" i="1"/>
  <c r="U208" i="1"/>
  <c r="AM208" i="1" s="1"/>
  <c r="AN208" i="1" s="1"/>
  <c r="S209" i="1"/>
  <c r="U209" i="1"/>
  <c r="AM209" i="1" s="1"/>
  <c r="AN209" i="1" s="1"/>
  <c r="S210" i="1"/>
  <c r="U210" i="1"/>
  <c r="AM210" i="1"/>
  <c r="S211" i="1"/>
  <c r="U211" i="1"/>
  <c r="AM211" i="1" s="1"/>
  <c r="AN211" i="1" s="1"/>
  <c r="S212" i="1"/>
  <c r="U212" i="1"/>
  <c r="AM212" i="1" s="1"/>
  <c r="AN212" i="1" s="1"/>
  <c r="S213" i="1"/>
  <c r="U213" i="1"/>
  <c r="AM213" i="1" s="1"/>
  <c r="AN213" i="1" s="1"/>
  <c r="S214" i="1"/>
  <c r="U214" i="1"/>
  <c r="AM214" i="1" s="1"/>
  <c r="AN214" i="1" s="1"/>
  <c r="S215" i="1"/>
  <c r="U215" i="1"/>
  <c r="AM215" i="1" s="1"/>
  <c r="AN215" i="1" s="1"/>
  <c r="S216" i="1"/>
  <c r="U216" i="1"/>
  <c r="AM216" i="1" s="1"/>
  <c r="AN216" i="1" s="1"/>
  <c r="S217" i="1"/>
  <c r="U217" i="1"/>
  <c r="AM217" i="1" s="1"/>
  <c r="AN217" i="1" s="1"/>
  <c r="S218" i="1"/>
  <c r="U218" i="1"/>
  <c r="AM218" i="1" s="1"/>
  <c r="S219" i="1"/>
  <c r="U219" i="1"/>
  <c r="AM219" i="1"/>
  <c r="AN219" i="1" s="1"/>
  <c r="S220" i="1"/>
  <c r="U220" i="1"/>
  <c r="AM220" i="1" s="1"/>
  <c r="S221" i="1"/>
  <c r="U221" i="1"/>
  <c r="AM221" i="1" s="1"/>
  <c r="S222" i="1"/>
  <c r="U222" i="1"/>
  <c r="AM222" i="1" s="1"/>
  <c r="AN222" i="1" s="1"/>
  <c r="S223" i="1"/>
  <c r="U223" i="1"/>
  <c r="AM223" i="1" s="1"/>
  <c r="AN223" i="1" s="1"/>
  <c r="S224" i="1"/>
  <c r="U224" i="1"/>
  <c r="AM224" i="1" s="1"/>
  <c r="AN224" i="1" s="1"/>
  <c r="S225" i="1"/>
  <c r="U225" i="1"/>
  <c r="AM225" i="1" s="1"/>
  <c r="S226" i="1"/>
  <c r="U226" i="1"/>
  <c r="AM226" i="1" s="1"/>
  <c r="S227" i="1"/>
  <c r="U227" i="1"/>
  <c r="AM227" i="1" s="1"/>
  <c r="AN227" i="1" s="1"/>
  <c r="S228" i="1"/>
  <c r="U228" i="1"/>
  <c r="AM228" i="1" s="1"/>
  <c r="AN228" i="1" s="1"/>
  <c r="S229" i="1"/>
  <c r="U229" i="1"/>
  <c r="AM229" i="1" s="1"/>
  <c r="AN229" i="1" s="1"/>
  <c r="S230" i="1"/>
  <c r="U230" i="1"/>
  <c r="AM230" i="1" s="1"/>
  <c r="S231" i="1"/>
  <c r="U231" i="1"/>
  <c r="AM231" i="1" s="1"/>
  <c r="AN231" i="1" s="1"/>
  <c r="S232" i="1"/>
  <c r="U232" i="1"/>
  <c r="AM232" i="1" s="1"/>
  <c r="AN232" i="1" s="1"/>
  <c r="S233" i="1"/>
  <c r="U233" i="1"/>
  <c r="AM233" i="1"/>
  <c r="AN233" i="1" s="1"/>
  <c r="S234" i="1"/>
  <c r="U234" i="1"/>
  <c r="AM234" i="1" s="1"/>
  <c r="AN234" i="1" s="1"/>
  <c r="S235" i="1"/>
  <c r="U235" i="1"/>
  <c r="AM235" i="1" s="1"/>
  <c r="AN235" i="1" s="1"/>
  <c r="AV235" i="1" s="1"/>
  <c r="S236" i="1"/>
  <c r="U236" i="1"/>
  <c r="AM236" i="1" s="1"/>
  <c r="AN236" i="1" s="1"/>
  <c r="S237" i="1"/>
  <c r="U237" i="1"/>
  <c r="AM237" i="1" s="1"/>
  <c r="AN237" i="1" s="1"/>
  <c r="S238" i="1"/>
  <c r="U238" i="1"/>
  <c r="AM238" i="1" s="1"/>
  <c r="AN238" i="1" s="1"/>
  <c r="S239" i="1"/>
  <c r="U239" i="1"/>
  <c r="AM239" i="1" s="1"/>
  <c r="AN239" i="1" s="1"/>
  <c r="S240" i="1"/>
  <c r="U240" i="1"/>
  <c r="AM240" i="1" s="1"/>
  <c r="AN240" i="1" s="1"/>
  <c r="S241" i="1"/>
  <c r="U241" i="1"/>
  <c r="AM241" i="1" s="1"/>
  <c r="AN241" i="1" s="1"/>
  <c r="S242" i="1"/>
  <c r="U242" i="1"/>
  <c r="AM242" i="1" s="1"/>
  <c r="AN242" i="1" s="1"/>
  <c r="S243" i="1"/>
  <c r="U243" i="1"/>
  <c r="AM243" i="1" s="1"/>
  <c r="AN243" i="1" s="1"/>
  <c r="S244" i="1"/>
  <c r="U244" i="1"/>
  <c r="AM244" i="1" s="1"/>
  <c r="S245" i="1"/>
  <c r="U245" i="1"/>
  <c r="AM245" i="1" s="1"/>
  <c r="AN245" i="1" s="1"/>
  <c r="S246" i="1"/>
  <c r="U246" i="1"/>
  <c r="AM246" i="1" s="1"/>
  <c r="S247" i="1"/>
  <c r="U247" i="1"/>
  <c r="AM247" i="1" s="1"/>
  <c r="AN247" i="1" s="1"/>
  <c r="S248" i="1"/>
  <c r="U248" i="1"/>
  <c r="AM248" i="1" s="1"/>
  <c r="AN248" i="1" s="1"/>
  <c r="S249" i="1"/>
  <c r="U249" i="1"/>
  <c r="AM249" i="1" s="1"/>
  <c r="AN249" i="1" s="1"/>
  <c r="S250" i="1"/>
  <c r="U250" i="1"/>
  <c r="AM250" i="1" s="1"/>
  <c r="AN250" i="1" s="1"/>
  <c r="S251" i="1"/>
  <c r="U251" i="1"/>
  <c r="AM251" i="1"/>
  <c r="AN251" i="1" s="1"/>
  <c r="S252" i="1"/>
  <c r="U252" i="1"/>
  <c r="AM252" i="1" s="1"/>
  <c r="AN252" i="1" s="1"/>
  <c r="AW252" i="1" s="1"/>
  <c r="S253" i="1"/>
  <c r="U253" i="1"/>
  <c r="AM253" i="1" s="1"/>
  <c r="AN253" i="1" s="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AN259" i="1" s="1"/>
  <c r="S260" i="1"/>
  <c r="U260" i="1"/>
  <c r="AM260" i="1" s="1"/>
  <c r="S261" i="1"/>
  <c r="U261" i="1"/>
  <c r="AM261" i="1" s="1"/>
  <c r="S262" i="1"/>
  <c r="U262" i="1"/>
  <c r="AM262" i="1" s="1"/>
  <c r="AN262" i="1" s="1"/>
  <c r="S263" i="1"/>
  <c r="U263" i="1"/>
  <c r="AM263" i="1" s="1"/>
  <c r="AN263" i="1" s="1"/>
  <c r="S264" i="1"/>
  <c r="U264" i="1"/>
  <c r="AM264" i="1" s="1"/>
  <c r="AN264" i="1" s="1"/>
  <c r="S265" i="1"/>
  <c r="U265" i="1"/>
  <c r="AM265" i="1" s="1"/>
  <c r="AN265" i="1" s="1"/>
  <c r="S266" i="1"/>
  <c r="U266" i="1"/>
  <c r="AM266" i="1" s="1"/>
  <c r="S267" i="1"/>
  <c r="U267" i="1"/>
  <c r="AM267" i="1" s="1"/>
  <c r="AN267" i="1" s="1"/>
  <c r="S268" i="1"/>
  <c r="U268" i="1"/>
  <c r="AM268" i="1" s="1"/>
  <c r="AN268" i="1" s="1"/>
  <c r="S269" i="1"/>
  <c r="U269" i="1"/>
  <c r="AM269" i="1" s="1"/>
  <c r="AN269" i="1" s="1"/>
  <c r="S270" i="1"/>
  <c r="U270" i="1"/>
  <c r="AM270" i="1" s="1"/>
  <c r="AN270" i="1" s="1"/>
  <c r="S271" i="1"/>
  <c r="U271" i="1"/>
  <c r="AM271" i="1" s="1"/>
  <c r="AN271" i="1" s="1"/>
  <c r="S272" i="1"/>
  <c r="U272" i="1"/>
  <c r="AM272" i="1" s="1"/>
  <c r="AN272" i="1" s="1"/>
  <c r="S273" i="1"/>
  <c r="U273" i="1"/>
  <c r="AM273" i="1" s="1"/>
  <c r="AN273" i="1" s="1"/>
  <c r="S274" i="1"/>
  <c r="U274" i="1"/>
  <c r="AM274" i="1" s="1"/>
  <c r="AN274" i="1" s="1"/>
  <c r="S275" i="1"/>
  <c r="U275" i="1"/>
  <c r="AM275" i="1"/>
  <c r="AN275" i="1" s="1"/>
  <c r="S276" i="1"/>
  <c r="U276" i="1"/>
  <c r="AM276" i="1"/>
  <c r="AN276" i="1" s="1"/>
  <c r="S277" i="1"/>
  <c r="U277" i="1"/>
  <c r="AM277" i="1" s="1"/>
  <c r="AN277" i="1" s="1"/>
  <c r="S278" i="1"/>
  <c r="U278" i="1"/>
  <c r="AM278" i="1" s="1"/>
  <c r="AN278" i="1" s="1"/>
  <c r="S279" i="1"/>
  <c r="U279" i="1"/>
  <c r="AM279" i="1" s="1"/>
  <c r="S280" i="1"/>
  <c r="U280" i="1"/>
  <c r="AM280" i="1" s="1"/>
  <c r="S281" i="1"/>
  <c r="U281" i="1"/>
  <c r="AM281" i="1"/>
  <c r="AN281" i="1" s="1"/>
  <c r="S282" i="1"/>
  <c r="U282" i="1"/>
  <c r="AM282" i="1" s="1"/>
  <c r="AN282" i="1" s="1"/>
  <c r="AW282" i="1" s="1"/>
  <c r="S283" i="1"/>
  <c r="U283" i="1"/>
  <c r="AM283" i="1" s="1"/>
  <c r="S284" i="1"/>
  <c r="U284" i="1"/>
  <c r="AM284" i="1" s="1"/>
  <c r="AN284" i="1" s="1"/>
  <c r="S285" i="1"/>
  <c r="U285" i="1"/>
  <c r="AM285" i="1" s="1"/>
  <c r="AN285" i="1" s="1"/>
  <c r="AV285" i="1" s="1"/>
  <c r="S286" i="1"/>
  <c r="U286" i="1"/>
  <c r="AM286" i="1" s="1"/>
  <c r="AN286" i="1" s="1"/>
  <c r="S287" i="1"/>
  <c r="U287" i="1"/>
  <c r="AM287" i="1" s="1"/>
  <c r="AN287" i="1" s="1"/>
  <c r="AV287" i="1" s="1"/>
  <c r="S288" i="1"/>
  <c r="U288" i="1"/>
  <c r="AM288" i="1" s="1"/>
  <c r="AN288" i="1" s="1"/>
  <c r="S289" i="1"/>
  <c r="U289" i="1"/>
  <c r="AM289" i="1" s="1"/>
  <c r="AN289" i="1" s="1"/>
  <c r="S290" i="1"/>
  <c r="U290" i="1"/>
  <c r="AM290" i="1" s="1"/>
  <c r="AN290" i="1" s="1"/>
  <c r="S291" i="1"/>
  <c r="U291" i="1"/>
  <c r="AM291" i="1"/>
  <c r="AN291" i="1" s="1"/>
  <c r="S292" i="1"/>
  <c r="U292" i="1"/>
  <c r="AM292" i="1" s="1"/>
  <c r="AN292" i="1" s="1"/>
  <c r="S293" i="1"/>
  <c r="U293" i="1"/>
  <c r="AM293" i="1" s="1"/>
  <c r="AN293" i="1" s="1"/>
  <c r="S294" i="1"/>
  <c r="U294" i="1"/>
  <c r="AM294" i="1" s="1"/>
  <c r="AN294" i="1" s="1"/>
  <c r="S295" i="1"/>
  <c r="U295" i="1"/>
  <c r="AM295" i="1" s="1"/>
  <c r="AN295" i="1" s="1"/>
  <c r="S296" i="1"/>
  <c r="U296" i="1"/>
  <c r="AM296" i="1" s="1"/>
  <c r="AN296" i="1" s="1"/>
  <c r="S297" i="1"/>
  <c r="U297" i="1"/>
  <c r="AM297" i="1" s="1"/>
  <c r="AN297" i="1" s="1"/>
  <c r="S298" i="1"/>
  <c r="U298" i="1"/>
  <c r="AM298" i="1" s="1"/>
  <c r="AN298" i="1" s="1"/>
  <c r="S299" i="1"/>
  <c r="U299" i="1"/>
  <c r="AM299" i="1" s="1"/>
  <c r="AN299" i="1" s="1"/>
  <c r="S300" i="1"/>
  <c r="U300" i="1"/>
  <c r="AM300" i="1" s="1"/>
  <c r="AN300" i="1" s="1"/>
  <c r="S301" i="1"/>
  <c r="U301" i="1"/>
  <c r="AM301" i="1"/>
  <c r="S302" i="1"/>
  <c r="U302" i="1"/>
  <c r="AM302" i="1" s="1"/>
  <c r="AN302" i="1" s="1"/>
  <c r="S303" i="1"/>
  <c r="U303" i="1"/>
  <c r="AM303" i="1" s="1"/>
  <c r="AN303" i="1" s="1"/>
  <c r="S304" i="1"/>
  <c r="U304" i="1"/>
  <c r="AM304" i="1" s="1"/>
  <c r="S305" i="1"/>
  <c r="U305" i="1"/>
  <c r="AM305" i="1" s="1"/>
  <c r="AN305" i="1" s="1"/>
  <c r="S306" i="1"/>
  <c r="U306" i="1"/>
  <c r="AM306" i="1" s="1"/>
  <c r="S307" i="1"/>
  <c r="U307" i="1"/>
  <c r="AM307" i="1" s="1"/>
  <c r="AN307" i="1" s="1"/>
  <c r="S308" i="1"/>
  <c r="U308" i="1"/>
  <c r="AM308" i="1" s="1"/>
  <c r="AN308" i="1" s="1"/>
  <c r="S309" i="1"/>
  <c r="U309" i="1"/>
  <c r="AM309" i="1" s="1"/>
  <c r="AN309" i="1" s="1"/>
  <c r="S310" i="1"/>
  <c r="U310" i="1"/>
  <c r="AM310" i="1" s="1"/>
  <c r="AN310" i="1" s="1"/>
  <c r="S311" i="1"/>
  <c r="U311" i="1"/>
  <c r="AM311" i="1" s="1"/>
  <c r="S312" i="1"/>
  <c r="U312" i="1"/>
  <c r="AM312" i="1" s="1"/>
  <c r="AN312" i="1" s="1"/>
  <c r="S313" i="1"/>
  <c r="U313" i="1"/>
  <c r="AM313" i="1" s="1"/>
  <c r="AN313" i="1" s="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AU322" i="1" s="1"/>
  <c r="S323" i="1"/>
  <c r="U323" i="1"/>
  <c r="AM323" i="1" s="1"/>
  <c r="AN323" i="1" s="1"/>
  <c r="AW323" i="1" s="1"/>
  <c r="S324" i="1"/>
  <c r="U324" i="1"/>
  <c r="AM324" i="1" s="1"/>
  <c r="AN324" i="1" s="1"/>
  <c r="S325" i="1"/>
  <c r="U325" i="1"/>
  <c r="AM325" i="1" s="1"/>
  <c r="AN325" i="1" s="1"/>
  <c r="S326" i="1"/>
  <c r="U326" i="1"/>
  <c r="AM326" i="1" s="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AW331" i="1" s="1"/>
  <c r="S332" i="1"/>
  <c r="U332" i="1"/>
  <c r="AM332" i="1" s="1"/>
  <c r="AN332" i="1" s="1"/>
  <c r="S333" i="1"/>
  <c r="U333" i="1"/>
  <c r="AM333" i="1" s="1"/>
  <c r="AN333" i="1" s="1"/>
  <c r="S334" i="1"/>
  <c r="U334" i="1"/>
  <c r="AM334" i="1" s="1"/>
  <c r="AN334" i="1" s="1"/>
  <c r="S335" i="1"/>
  <c r="U335" i="1"/>
  <c r="AM335" i="1" s="1"/>
  <c r="AN335" i="1" s="1"/>
  <c r="S336" i="1"/>
  <c r="U336" i="1"/>
  <c r="AM336" i="1" s="1"/>
  <c r="AN336" i="1" s="1"/>
  <c r="S337" i="1"/>
  <c r="U337" i="1"/>
  <c r="AM337" i="1"/>
  <c r="AN337" i="1" s="1"/>
  <c r="S338" i="1"/>
  <c r="U338" i="1"/>
  <c r="AM338" i="1" s="1"/>
  <c r="AN338" i="1" s="1"/>
  <c r="S339" i="1"/>
  <c r="U339" i="1"/>
  <c r="AM339" i="1"/>
  <c r="AN339" i="1" s="1"/>
  <c r="S340" i="1"/>
  <c r="U340" i="1"/>
  <c r="AM340" i="1" s="1"/>
  <c r="AN340" i="1" s="1"/>
  <c r="S341" i="1"/>
  <c r="U341" i="1"/>
  <c r="AM341" i="1"/>
  <c r="S342" i="1"/>
  <c r="U342" i="1"/>
  <c r="AM342" i="1" s="1"/>
  <c r="AN342" i="1" s="1"/>
  <c r="S343" i="1"/>
  <c r="U343" i="1"/>
  <c r="AM343" i="1" s="1"/>
  <c r="AN343" i="1" s="1"/>
  <c r="S344" i="1"/>
  <c r="U344" i="1"/>
  <c r="AM344" i="1" s="1"/>
  <c r="AN344" i="1" s="1"/>
  <c r="S345" i="1"/>
  <c r="U345" i="1"/>
  <c r="AM345" i="1" s="1"/>
  <c r="AN345" i="1" s="1"/>
  <c r="S346" i="1"/>
  <c r="U346" i="1"/>
  <c r="AM346" i="1" s="1"/>
  <c r="AN346" i="1" s="1"/>
  <c r="AV346" i="1" s="1"/>
  <c r="S347" i="1"/>
  <c r="U347" i="1"/>
  <c r="AM347" i="1" s="1"/>
  <c r="S348" i="1"/>
  <c r="U348" i="1"/>
  <c r="AM348" i="1" s="1"/>
  <c r="AN348" i="1" s="1"/>
  <c r="S349" i="1"/>
  <c r="U349" i="1"/>
  <c r="AM349" i="1" s="1"/>
  <c r="AN349" i="1" s="1"/>
  <c r="S350" i="1"/>
  <c r="U350" i="1"/>
  <c r="AM350" i="1"/>
  <c r="AN350" i="1" s="1"/>
  <c r="S351" i="1"/>
  <c r="U351" i="1"/>
  <c r="AM351" i="1" s="1"/>
  <c r="AN351" i="1" s="1"/>
  <c r="S352" i="1"/>
  <c r="U352" i="1"/>
  <c r="AM352" i="1"/>
  <c r="AN352" i="1" s="1"/>
  <c r="AU352" i="1" s="1"/>
  <c r="S353" i="1"/>
  <c r="U353" i="1"/>
  <c r="AM353" i="1" s="1"/>
  <c r="AN353" i="1" s="1"/>
  <c r="AW353" i="1" s="1"/>
  <c r="S354" i="1"/>
  <c r="U354" i="1"/>
  <c r="AM354" i="1" s="1"/>
  <c r="AN354" i="1" s="1"/>
  <c r="S355" i="1"/>
  <c r="U355" i="1"/>
  <c r="AM355" i="1"/>
  <c r="AN355" i="1" s="1"/>
  <c r="S356" i="1"/>
  <c r="U356" i="1"/>
  <c r="AM356" i="1" s="1"/>
  <c r="AN356" i="1" s="1"/>
  <c r="S357" i="1"/>
  <c r="U357" i="1"/>
  <c r="AM357" i="1" s="1"/>
  <c r="AN357" i="1" s="1"/>
  <c r="S358" i="1"/>
  <c r="U358" i="1"/>
  <c r="AM358" i="1" s="1"/>
  <c r="AN358" i="1" s="1"/>
  <c r="S359" i="1"/>
  <c r="U359" i="1"/>
  <c r="AM359" i="1" s="1"/>
  <c r="S360" i="1"/>
  <c r="U360" i="1"/>
  <c r="AM360" i="1" s="1"/>
  <c r="AN360" i="1" s="1"/>
  <c r="S361" i="1"/>
  <c r="U361" i="1"/>
  <c r="AM361" i="1"/>
  <c r="AN361" i="1" s="1"/>
  <c r="S362" i="1"/>
  <c r="U362" i="1"/>
  <c r="AM362" i="1" s="1"/>
  <c r="AN362" i="1" s="1"/>
  <c r="S363" i="1"/>
  <c r="U363" i="1"/>
  <c r="AM363" i="1" s="1"/>
  <c r="AN363" i="1" s="1"/>
  <c r="AW363" i="1" s="1"/>
  <c r="S364" i="1"/>
  <c r="U364" i="1"/>
  <c r="AM364" i="1" s="1"/>
  <c r="AN364" i="1" s="1"/>
  <c r="S365" i="1"/>
  <c r="U365" i="1"/>
  <c r="AM365" i="1" s="1"/>
  <c r="AN365" i="1" s="1"/>
  <c r="S366" i="1"/>
  <c r="U366" i="1"/>
  <c r="AM366" i="1" s="1"/>
  <c r="AN366" i="1" s="1"/>
  <c r="S367" i="1"/>
  <c r="U367" i="1"/>
  <c r="AM367" i="1" s="1"/>
  <c r="AN367" i="1" s="1"/>
  <c r="S368" i="1"/>
  <c r="U368" i="1"/>
  <c r="AM368" i="1" s="1"/>
  <c r="AN368" i="1" s="1"/>
  <c r="S369" i="1"/>
  <c r="U369" i="1"/>
  <c r="AM369" i="1"/>
  <c r="AN369" i="1" s="1"/>
  <c r="S370" i="1"/>
  <c r="U370" i="1"/>
  <c r="AM370" i="1" s="1"/>
  <c r="AN370" i="1" s="1"/>
  <c r="S371" i="1"/>
  <c r="U371" i="1"/>
  <c r="AM371" i="1" s="1"/>
  <c r="AN371" i="1" s="1"/>
  <c r="S372" i="1"/>
  <c r="U372" i="1"/>
  <c r="AM372" i="1" s="1"/>
  <c r="AN372" i="1" s="1"/>
  <c r="S373" i="1"/>
  <c r="U373" i="1"/>
  <c r="AM373" i="1" s="1"/>
  <c r="AN373" i="1" s="1"/>
  <c r="AW373" i="1" s="1"/>
  <c r="S374" i="1"/>
  <c r="U374" i="1"/>
  <c r="AM374" i="1" s="1"/>
  <c r="AN374" i="1" s="1"/>
  <c r="S375" i="1"/>
  <c r="U375" i="1"/>
  <c r="AM375" i="1" s="1"/>
  <c r="AN375" i="1" s="1"/>
  <c r="S376" i="1"/>
  <c r="U376" i="1"/>
  <c r="AM376" i="1" s="1"/>
  <c r="AN376" i="1" s="1"/>
  <c r="S377" i="1"/>
  <c r="U377" i="1"/>
  <c r="AM377" i="1" s="1"/>
  <c r="AN377" i="1" s="1"/>
  <c r="S378" i="1"/>
  <c r="U378" i="1"/>
  <c r="AM378" i="1" s="1"/>
  <c r="AN378" i="1" s="1"/>
  <c r="S379" i="1"/>
  <c r="U379" i="1"/>
  <c r="AM379" i="1"/>
  <c r="AN379" i="1" s="1"/>
  <c r="S380" i="1"/>
  <c r="U380" i="1"/>
  <c r="AM380" i="1" s="1"/>
  <c r="S381" i="1"/>
  <c r="U381" i="1"/>
  <c r="AM381" i="1" s="1"/>
  <c r="AN381" i="1" s="1"/>
  <c r="S382" i="1"/>
  <c r="U382" i="1"/>
  <c r="AM382" i="1" s="1"/>
  <c r="AN382" i="1" s="1"/>
  <c r="AU382" i="1" s="1"/>
  <c r="S383" i="1"/>
  <c r="U383" i="1"/>
  <c r="AM383" i="1" s="1"/>
  <c r="AN383" i="1" s="1"/>
  <c r="AW383" i="1" s="1"/>
  <c r="S384" i="1"/>
  <c r="U384" i="1"/>
  <c r="AM384" i="1" s="1"/>
  <c r="AN384" i="1" s="1"/>
  <c r="S385" i="1"/>
  <c r="U385" i="1"/>
  <c r="AM385" i="1" s="1"/>
  <c r="AN385" i="1" s="1"/>
  <c r="S386" i="1"/>
  <c r="U386" i="1"/>
  <c r="AM386" i="1" s="1"/>
  <c r="AN386" i="1" s="1"/>
  <c r="S387" i="1"/>
  <c r="U387" i="1"/>
  <c r="AM387" i="1" s="1"/>
  <c r="AN387" i="1" s="1"/>
  <c r="S388" i="1"/>
  <c r="U388" i="1"/>
  <c r="AM388" i="1" s="1"/>
  <c r="AN388" i="1" s="1"/>
  <c r="S389" i="1"/>
  <c r="U389" i="1"/>
  <c r="AM389" i="1" s="1"/>
  <c r="AN389" i="1" s="1"/>
  <c r="S390" i="1"/>
  <c r="U390" i="1"/>
  <c r="AM390" i="1" s="1"/>
  <c r="AN390" i="1" s="1"/>
  <c r="S391" i="1"/>
  <c r="U391" i="1"/>
  <c r="AM391" i="1" s="1"/>
  <c r="AN391" i="1" s="1"/>
  <c r="S392" i="1"/>
  <c r="U392" i="1"/>
  <c r="AM392" i="1" s="1"/>
  <c r="S393" i="1"/>
  <c r="U393" i="1"/>
  <c r="AM393" i="1" s="1"/>
  <c r="AN393" i="1" s="1"/>
  <c r="AW393" i="1" s="1"/>
  <c r="S394" i="1"/>
  <c r="U394" i="1"/>
  <c r="AM394" i="1" s="1"/>
  <c r="AN394" i="1" s="1"/>
  <c r="S395" i="1"/>
  <c r="U395" i="1"/>
  <c r="AM395" i="1" s="1"/>
  <c r="AN395" i="1" s="1"/>
  <c r="S396" i="1"/>
  <c r="U396" i="1"/>
  <c r="AM396" i="1" s="1"/>
  <c r="AN396" i="1" s="1"/>
  <c r="S397" i="1"/>
  <c r="U397" i="1"/>
  <c r="AM397" i="1" s="1"/>
  <c r="AN397" i="1" s="1"/>
  <c r="S398" i="1"/>
  <c r="U398" i="1"/>
  <c r="AM398" i="1" s="1"/>
  <c r="AN398" i="1" s="1"/>
  <c r="AW398" i="1" s="1"/>
  <c r="S399" i="1"/>
  <c r="U399" i="1"/>
  <c r="AM399" i="1"/>
  <c r="AN399" i="1" s="1"/>
  <c r="AV399" i="1" s="1"/>
  <c r="S400" i="1"/>
  <c r="U400" i="1"/>
  <c r="AM400" i="1" s="1"/>
  <c r="AN400" i="1" s="1"/>
  <c r="S401" i="1"/>
  <c r="U401" i="1"/>
  <c r="AM401" i="1" s="1"/>
  <c r="AN401" i="1" s="1"/>
  <c r="S402" i="1"/>
  <c r="U402" i="1"/>
  <c r="AM402" i="1" s="1"/>
  <c r="AN402" i="1" s="1"/>
  <c r="AU402" i="1" s="1"/>
  <c r="S403" i="1"/>
  <c r="U403" i="1"/>
  <c r="AM403" i="1" s="1"/>
  <c r="AN403" i="1" s="1"/>
  <c r="S404" i="1"/>
  <c r="U404" i="1"/>
  <c r="AM404" i="1" s="1"/>
  <c r="AN404" i="1" s="1"/>
  <c r="S405" i="1"/>
  <c r="U405" i="1"/>
  <c r="AM405" i="1" s="1"/>
  <c r="AN405" i="1" s="1"/>
  <c r="S406" i="1"/>
  <c r="U406" i="1"/>
  <c r="AM406" i="1" s="1"/>
  <c r="AN406" i="1" s="1"/>
  <c r="S407" i="1"/>
  <c r="U407" i="1"/>
  <c r="AM407" i="1" s="1"/>
  <c r="AN407" i="1" s="1"/>
  <c r="S408" i="1"/>
  <c r="U408" i="1"/>
  <c r="AM408" i="1" s="1"/>
  <c r="AN408" i="1" s="1"/>
  <c r="AW408" i="1" s="1"/>
  <c r="S409" i="1"/>
  <c r="U409" i="1"/>
  <c r="AM409" i="1" s="1"/>
  <c r="AN409" i="1" s="1"/>
  <c r="S410" i="1"/>
  <c r="U410" i="1"/>
  <c r="AM410" i="1" s="1"/>
  <c r="AN410" i="1" s="1"/>
  <c r="S411" i="1"/>
  <c r="U411" i="1"/>
  <c r="AM411" i="1" s="1"/>
  <c r="AN411" i="1" s="1"/>
  <c r="S412" i="1"/>
  <c r="U412" i="1"/>
  <c r="AM412" i="1" s="1"/>
  <c r="AN412" i="1" s="1"/>
  <c r="S413" i="1"/>
  <c r="U413" i="1"/>
  <c r="AM413" i="1" s="1"/>
  <c r="AN413" i="1" s="1"/>
  <c r="S414" i="1"/>
  <c r="U414" i="1"/>
  <c r="AM414" i="1" s="1"/>
  <c r="AN414" i="1" s="1"/>
  <c r="S415" i="1"/>
  <c r="U415" i="1"/>
  <c r="AM415" i="1" s="1"/>
  <c r="AN415" i="1" s="1"/>
  <c r="S416" i="1"/>
  <c r="U416" i="1"/>
  <c r="AM416" i="1" s="1"/>
  <c r="AN416" i="1" s="1"/>
  <c r="S417" i="1"/>
  <c r="U417" i="1"/>
  <c r="AM417" i="1" s="1"/>
  <c r="AN417" i="1" s="1"/>
  <c r="S418" i="1"/>
  <c r="U418" i="1"/>
  <c r="AM418" i="1" s="1"/>
  <c r="AN418" i="1" s="1"/>
  <c r="AW418" i="1" s="1"/>
  <c r="S419" i="1"/>
  <c r="U419" i="1"/>
  <c r="AM419" i="1" s="1"/>
  <c r="AN419" i="1" s="1"/>
  <c r="AU419" i="1" s="1"/>
  <c r="S420" i="1"/>
  <c r="U420" i="1"/>
  <c r="AM420" i="1" s="1"/>
  <c r="S421" i="1"/>
  <c r="U421" i="1"/>
  <c r="AM421" i="1" s="1"/>
  <c r="AN421" i="1" s="1"/>
  <c r="S422" i="1"/>
  <c r="U422" i="1"/>
  <c r="AM422" i="1" s="1"/>
  <c r="AN422" i="1" s="1"/>
  <c r="S423" i="1"/>
  <c r="U423" i="1"/>
  <c r="AM423" i="1" s="1"/>
  <c r="AN423" i="1" s="1"/>
  <c r="S424" i="1"/>
  <c r="U424" i="1"/>
  <c r="AM424" i="1"/>
  <c r="AN424" i="1" s="1"/>
  <c r="S425" i="1"/>
  <c r="U425" i="1"/>
  <c r="AM425" i="1" s="1"/>
  <c r="AN425" i="1" s="1"/>
  <c r="S426" i="1"/>
  <c r="U426" i="1"/>
  <c r="AM426" i="1" s="1"/>
  <c r="AN426" i="1" s="1"/>
  <c r="S427" i="1"/>
  <c r="U427" i="1"/>
  <c r="AM427" i="1" s="1"/>
  <c r="AN427" i="1" s="1"/>
  <c r="S428" i="1"/>
  <c r="U428" i="1"/>
  <c r="AM428" i="1" s="1"/>
  <c r="AN428" i="1" s="1"/>
  <c r="S429" i="1"/>
  <c r="U429" i="1"/>
  <c r="AM429" i="1"/>
  <c r="AN429" i="1" s="1"/>
  <c r="S430" i="1"/>
  <c r="U430" i="1"/>
  <c r="AM430" i="1" s="1"/>
  <c r="AN430" i="1" s="1"/>
  <c r="AU430" i="1" s="1"/>
  <c r="S431" i="1"/>
  <c r="U431" i="1"/>
  <c r="AM431" i="1" s="1"/>
  <c r="AN431" i="1" s="1"/>
  <c r="S432" i="1"/>
  <c r="U432" i="1"/>
  <c r="AM432" i="1" s="1"/>
  <c r="AN432" i="1" s="1"/>
  <c r="S433" i="1"/>
  <c r="U433" i="1"/>
  <c r="AM433" i="1" s="1"/>
  <c r="AN433" i="1" s="1"/>
  <c r="S434" i="1"/>
  <c r="U434" i="1"/>
  <c r="AM434" i="1" s="1"/>
  <c r="AN434" i="1" s="1"/>
  <c r="S435" i="1"/>
  <c r="U435" i="1"/>
  <c r="AM435" i="1" s="1"/>
  <c r="AN435" i="1" s="1"/>
  <c r="AV435" i="1" s="1"/>
  <c r="S436" i="1"/>
  <c r="U436" i="1"/>
  <c r="AM436" i="1" s="1"/>
  <c r="AN436" i="1" s="1"/>
  <c r="S437" i="1"/>
  <c r="U437" i="1"/>
  <c r="AM437" i="1" s="1"/>
  <c r="AN437" i="1" s="1"/>
  <c r="S438" i="1"/>
  <c r="U438" i="1"/>
  <c r="AM438" i="1" s="1"/>
  <c r="AN438" i="1" s="1"/>
  <c r="AW438" i="1" s="1"/>
  <c r="S439" i="1"/>
  <c r="U439" i="1"/>
  <c r="AM439" i="1" s="1"/>
  <c r="AN439" i="1" s="1"/>
  <c r="S440" i="1"/>
  <c r="U440" i="1"/>
  <c r="AM440" i="1" s="1"/>
  <c r="S441" i="1"/>
  <c r="U441" i="1"/>
  <c r="AM441" i="1"/>
  <c r="AN441" i="1" s="1"/>
  <c r="S442" i="1"/>
  <c r="U442" i="1"/>
  <c r="AM442" i="1" s="1"/>
  <c r="AN442" i="1" s="1"/>
  <c r="S443" i="1"/>
  <c r="U443" i="1"/>
  <c r="AM443" i="1" s="1"/>
  <c r="AN443" i="1" s="1"/>
  <c r="S444" i="1"/>
  <c r="U444" i="1"/>
  <c r="AM444" i="1" s="1"/>
  <c r="AN444" i="1" s="1"/>
  <c r="S445" i="1"/>
  <c r="U445" i="1"/>
  <c r="AM445" i="1" s="1"/>
  <c r="AN445" i="1" s="1"/>
  <c r="S446" i="1"/>
  <c r="U446" i="1"/>
  <c r="AM446" i="1" s="1"/>
  <c r="AN446" i="1" s="1"/>
  <c r="S447" i="1"/>
  <c r="U447" i="1"/>
  <c r="AM447" i="1" s="1"/>
  <c r="AN447" i="1" s="1"/>
  <c r="S448" i="1"/>
  <c r="U448" i="1"/>
  <c r="AM448" i="1" s="1"/>
  <c r="AN448" i="1" s="1"/>
  <c r="S449" i="1"/>
  <c r="U449" i="1"/>
  <c r="AM449" i="1" s="1"/>
  <c r="AN449" i="1" s="1"/>
  <c r="S450" i="1"/>
  <c r="U450" i="1"/>
  <c r="AM450" i="1" s="1"/>
  <c r="AN450" i="1" s="1"/>
  <c r="S451" i="1"/>
  <c r="U451" i="1"/>
  <c r="AM451" i="1" s="1"/>
  <c r="AN451" i="1" s="1"/>
  <c r="S452" i="1"/>
  <c r="U452" i="1"/>
  <c r="AM452" i="1" s="1"/>
  <c r="AN452" i="1" s="1"/>
  <c r="S453" i="1"/>
  <c r="U453" i="1"/>
  <c r="AM453" i="1" s="1"/>
  <c r="AN453" i="1" s="1"/>
  <c r="S454" i="1"/>
  <c r="U454" i="1"/>
  <c r="AM454" i="1" s="1"/>
  <c r="AN454" i="1" s="1"/>
  <c r="S455" i="1"/>
  <c r="U455" i="1"/>
  <c r="AM455" i="1" s="1"/>
  <c r="AN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S463" i="1"/>
  <c r="U463" i="1"/>
  <c r="AM463" i="1" s="1"/>
  <c r="AN463" i="1" s="1"/>
  <c r="S464" i="1"/>
  <c r="U464" i="1"/>
  <c r="AM464" i="1" s="1"/>
  <c r="AN464" i="1" s="1"/>
  <c r="S465" i="1"/>
  <c r="U465" i="1"/>
  <c r="AM465" i="1" s="1"/>
  <c r="AN465" i="1" s="1"/>
  <c r="S466" i="1"/>
  <c r="U466" i="1"/>
  <c r="AM466" i="1"/>
  <c r="AN466" i="1" s="1"/>
  <c r="S467" i="1"/>
  <c r="U467" i="1"/>
  <c r="AM467" i="1" s="1"/>
  <c r="AN467" i="1" s="1"/>
  <c r="S468" i="1"/>
  <c r="U468" i="1"/>
  <c r="AM468" i="1" s="1"/>
  <c r="AN468" i="1" s="1"/>
  <c r="AU468" i="1" s="1"/>
  <c r="S469" i="1"/>
  <c r="U469" i="1"/>
  <c r="AM469" i="1" s="1"/>
  <c r="AN469" i="1" s="1"/>
  <c r="S470" i="1"/>
  <c r="U470" i="1"/>
  <c r="AM470" i="1" s="1"/>
  <c r="AN470" i="1" s="1"/>
  <c r="S471" i="1"/>
  <c r="U471" i="1"/>
  <c r="AM471" i="1" s="1"/>
  <c r="AN471" i="1" s="1"/>
  <c r="S472" i="1"/>
  <c r="U472" i="1"/>
  <c r="AM472" i="1" s="1"/>
  <c r="AN472" i="1" s="1"/>
  <c r="AV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AU479" i="1" s="1"/>
  <c r="S480" i="1"/>
  <c r="U480" i="1"/>
  <c r="AM480" i="1" s="1"/>
  <c r="AN480" i="1" s="1"/>
  <c r="S481" i="1"/>
  <c r="U481" i="1"/>
  <c r="AM481" i="1" s="1"/>
  <c r="AN481" i="1" s="1"/>
  <c r="S482" i="1"/>
  <c r="U482" i="1"/>
  <c r="AM482" i="1" s="1"/>
  <c r="AN482" i="1" s="1"/>
  <c r="S483" i="1"/>
  <c r="U483" i="1"/>
  <c r="AM483" i="1" s="1"/>
  <c r="AN483" i="1" s="1"/>
  <c r="S484" i="1"/>
  <c r="U484" i="1"/>
  <c r="AM484" i="1" s="1"/>
  <c r="AN484" i="1" s="1"/>
  <c r="S485" i="1"/>
  <c r="U485" i="1"/>
  <c r="AM485" i="1" s="1"/>
  <c r="AN485" i="1" s="1"/>
  <c r="S486" i="1"/>
  <c r="U486" i="1"/>
  <c r="AM486" i="1" s="1"/>
  <c r="AN486" i="1" s="1"/>
  <c r="AW486" i="1" s="1"/>
  <c r="S487" i="1"/>
  <c r="U487" i="1"/>
  <c r="AM487" i="1" s="1"/>
  <c r="AN487" i="1" s="1"/>
  <c r="S488" i="1"/>
  <c r="U488" i="1"/>
  <c r="AM488" i="1" s="1"/>
  <c r="AN488" i="1" s="1"/>
  <c r="S489" i="1"/>
  <c r="U489" i="1"/>
  <c r="AM489" i="1" s="1"/>
  <c r="AN489" i="1" s="1"/>
  <c r="S490" i="1"/>
  <c r="U490" i="1"/>
  <c r="AM490" i="1" s="1"/>
  <c r="AN490" i="1" s="1"/>
  <c r="S491" i="1"/>
  <c r="U491" i="1"/>
  <c r="AM491" i="1" s="1"/>
  <c r="AN491" i="1" s="1"/>
  <c r="S492" i="1"/>
  <c r="U492" i="1"/>
  <c r="AM492" i="1"/>
  <c r="AN492" i="1" s="1"/>
  <c r="S493" i="1"/>
  <c r="U493" i="1"/>
  <c r="AM493" i="1" s="1"/>
  <c r="AN493" i="1" s="1"/>
  <c r="S494" i="1"/>
  <c r="U494" i="1"/>
  <c r="AM494" i="1" s="1"/>
  <c r="AN494" i="1" s="1"/>
  <c r="S495" i="1"/>
  <c r="U495" i="1"/>
  <c r="AM495" i="1" s="1"/>
  <c r="AN495" i="1" s="1"/>
  <c r="AU495" i="1" s="1"/>
  <c r="S496" i="1"/>
  <c r="U496" i="1"/>
  <c r="AM496" i="1" s="1"/>
  <c r="AN496" i="1" s="1"/>
  <c r="S497" i="1"/>
  <c r="U497" i="1"/>
  <c r="AM497" i="1" s="1"/>
  <c r="AN497" i="1" s="1"/>
  <c r="S498" i="1"/>
  <c r="U498" i="1"/>
  <c r="AM498" i="1" s="1"/>
  <c r="AN498" i="1" s="1"/>
  <c r="S499" i="1"/>
  <c r="U499" i="1"/>
  <c r="AM499" i="1" s="1"/>
  <c r="AN499" i="1" s="1"/>
  <c r="S500" i="1"/>
  <c r="U500" i="1"/>
  <c r="AM500" i="1" s="1"/>
  <c r="AN500" i="1" s="1"/>
  <c r="S501" i="1"/>
  <c r="U501" i="1"/>
  <c r="AM501" i="1" s="1"/>
  <c r="AN501" i="1" s="1"/>
  <c r="S502" i="1"/>
  <c r="U502" i="1"/>
  <c r="AM502" i="1" s="1"/>
  <c r="S503" i="1"/>
  <c r="U503" i="1"/>
  <c r="AM503" i="1" s="1"/>
  <c r="AN503" i="1" s="1"/>
  <c r="S504" i="1"/>
  <c r="U504" i="1"/>
  <c r="AM504" i="1" s="1"/>
  <c r="AN504" i="1" s="1"/>
  <c r="S505" i="1"/>
  <c r="U505" i="1"/>
  <c r="AM505" i="1" s="1"/>
  <c r="AN505" i="1" s="1"/>
  <c r="AU505" i="1" s="1"/>
  <c r="S506" i="1"/>
  <c r="U506" i="1"/>
  <c r="AM506" i="1" s="1"/>
  <c r="AN506" i="1" s="1"/>
  <c r="S507" i="1"/>
  <c r="U507" i="1"/>
  <c r="AM507" i="1" s="1"/>
  <c r="S508" i="1"/>
  <c r="U508" i="1"/>
  <c r="AM508" i="1" s="1"/>
  <c r="AN508" i="1" s="1"/>
  <c r="S509" i="1"/>
  <c r="U509" i="1"/>
  <c r="AM509" i="1" s="1"/>
  <c r="AN509" i="1" s="1"/>
  <c r="S510" i="1"/>
  <c r="U510" i="1"/>
  <c r="AM510" i="1" s="1"/>
  <c r="AN510" i="1" s="1"/>
  <c r="S511" i="1"/>
  <c r="U511" i="1"/>
  <c r="AM511" i="1" s="1"/>
  <c r="AN511" i="1" s="1"/>
  <c r="S512" i="1"/>
  <c r="U512" i="1"/>
  <c r="AM512" i="1" s="1"/>
  <c r="AN512" i="1" s="1"/>
  <c r="S513" i="1"/>
  <c r="U513" i="1"/>
  <c r="AM513" i="1" s="1"/>
  <c r="AN513" i="1" s="1"/>
  <c r="S514" i="1"/>
  <c r="U514" i="1"/>
  <c r="AM514" i="1" s="1"/>
  <c r="AN514" i="1" s="1"/>
  <c r="S515" i="1"/>
  <c r="U515" i="1"/>
  <c r="AM515" i="1" s="1"/>
  <c r="AN515" i="1" s="1"/>
  <c r="S516" i="1"/>
  <c r="U516" i="1"/>
  <c r="AM516" i="1" s="1"/>
  <c r="AN516" i="1" s="1"/>
  <c r="AU516" i="1" s="1"/>
  <c r="S517" i="1"/>
  <c r="U517" i="1"/>
  <c r="AM517" i="1"/>
  <c r="AN517" i="1" s="1"/>
  <c r="S518" i="1"/>
  <c r="U518" i="1"/>
  <c r="AM518" i="1" s="1"/>
  <c r="AN518" i="1" s="1"/>
  <c r="S519" i="1"/>
  <c r="U519" i="1"/>
  <c r="AM519" i="1" s="1"/>
  <c r="AN519" i="1" s="1"/>
  <c r="S520" i="1"/>
  <c r="U520" i="1"/>
  <c r="AM520" i="1" s="1"/>
  <c r="AN520" i="1" s="1"/>
  <c r="S521" i="1"/>
  <c r="U521" i="1"/>
  <c r="AM521" i="1" s="1"/>
  <c r="AN521" i="1" s="1"/>
  <c r="S522" i="1"/>
  <c r="U522" i="1"/>
  <c r="AM522" i="1" s="1"/>
  <c r="S523" i="1"/>
  <c r="U523" i="1"/>
  <c r="AM523" i="1" s="1"/>
  <c r="AN523" i="1" s="1"/>
  <c r="S524" i="1"/>
  <c r="U524" i="1"/>
  <c r="AM524" i="1" s="1"/>
  <c r="AN524" i="1" s="1"/>
  <c r="S525" i="1"/>
  <c r="U525" i="1"/>
  <c r="AM525" i="1" s="1"/>
  <c r="AN525" i="1" s="1"/>
  <c r="S526" i="1"/>
  <c r="U526" i="1"/>
  <c r="AM526" i="1" s="1"/>
  <c r="AN526" i="1" s="1"/>
  <c r="S527" i="1"/>
  <c r="U527" i="1"/>
  <c r="AM527" i="1" s="1"/>
  <c r="AN527" i="1" s="1"/>
  <c r="S528" i="1"/>
  <c r="U528" i="1"/>
  <c r="AM528" i="1" s="1"/>
  <c r="S529" i="1"/>
  <c r="U529" i="1"/>
  <c r="AM529" i="1" s="1"/>
  <c r="AN529" i="1" s="1"/>
  <c r="S530" i="1"/>
  <c r="U530" i="1"/>
  <c r="AM530" i="1" s="1"/>
  <c r="AN530" i="1" s="1"/>
  <c r="S531" i="1"/>
  <c r="U531" i="1"/>
  <c r="AM531" i="1" s="1"/>
  <c r="AN531" i="1" s="1"/>
  <c r="S532" i="1"/>
  <c r="U532" i="1"/>
  <c r="AM532" i="1" s="1"/>
  <c r="S533" i="1"/>
  <c r="U533" i="1"/>
  <c r="AM533" i="1" s="1"/>
  <c r="AN533" i="1" s="1"/>
  <c r="S534" i="1"/>
  <c r="U534" i="1"/>
  <c r="AM534" i="1" s="1"/>
  <c r="AN534" i="1" s="1"/>
  <c r="AV534" i="1" s="1"/>
  <c r="S535" i="1"/>
  <c r="U535" i="1"/>
  <c r="AM535" i="1" s="1"/>
  <c r="AN535" i="1" s="1"/>
  <c r="S536" i="1"/>
  <c r="U536" i="1"/>
  <c r="AM536" i="1" s="1"/>
  <c r="AN536" i="1" s="1"/>
  <c r="S537" i="1"/>
  <c r="U537" i="1"/>
  <c r="AM537" i="1" s="1"/>
  <c r="AN537" i="1" s="1"/>
  <c r="S538" i="1"/>
  <c r="U538" i="1"/>
  <c r="AM538" i="1"/>
  <c r="AN538" i="1" s="1"/>
  <c r="S539" i="1"/>
  <c r="U539" i="1"/>
  <c r="AM539" i="1" s="1"/>
  <c r="S540" i="1"/>
  <c r="U540" i="1"/>
  <c r="AM540" i="1" s="1"/>
  <c r="AN540" i="1" s="1"/>
  <c r="S541" i="1"/>
  <c r="U541" i="1"/>
  <c r="AM541" i="1" s="1"/>
  <c r="AN541" i="1" s="1"/>
  <c r="S542" i="1"/>
  <c r="U542" i="1"/>
  <c r="AM542" i="1" s="1"/>
  <c r="AN542" i="1" s="1"/>
  <c r="S543" i="1"/>
  <c r="U543" i="1"/>
  <c r="AM543" i="1" s="1"/>
  <c r="AN543" i="1" s="1"/>
  <c r="S544" i="1"/>
  <c r="U544" i="1"/>
  <c r="AM544" i="1" s="1"/>
  <c r="AN544" i="1" s="1"/>
  <c r="S545" i="1"/>
  <c r="U545" i="1"/>
  <c r="AM545" i="1" s="1"/>
  <c r="S546" i="1"/>
  <c r="U546" i="1"/>
  <c r="AM546" i="1" s="1"/>
  <c r="AN546" i="1" s="1"/>
  <c r="S547" i="1"/>
  <c r="U547" i="1"/>
  <c r="AM547" i="1" s="1"/>
  <c r="S548" i="1"/>
  <c r="U548" i="1"/>
  <c r="AM548" i="1" s="1"/>
  <c r="AN548" i="1" s="1"/>
  <c r="S549" i="1"/>
  <c r="U549" i="1"/>
  <c r="AM549" i="1" s="1"/>
  <c r="AN549" i="1" s="1"/>
  <c r="S550" i="1"/>
  <c r="U550" i="1"/>
  <c r="AM550" i="1" s="1"/>
  <c r="AN550" i="1" s="1"/>
  <c r="S551" i="1"/>
  <c r="U551" i="1"/>
  <c r="AM551" i="1" s="1"/>
  <c r="S552" i="1"/>
  <c r="U552" i="1"/>
  <c r="AM552" i="1" s="1"/>
  <c r="AN552" i="1" s="1"/>
  <c r="S553" i="1"/>
  <c r="U553" i="1"/>
  <c r="AM553" i="1" s="1"/>
  <c r="AN553" i="1" s="1"/>
  <c r="AU553" i="1" s="1"/>
  <c r="S554" i="1"/>
  <c r="U554" i="1"/>
  <c r="AM554" i="1" s="1"/>
  <c r="AN554" i="1" s="1"/>
  <c r="S555" i="1"/>
  <c r="U555" i="1"/>
  <c r="AM555" i="1" s="1"/>
  <c r="AN555" i="1" s="1"/>
  <c r="AW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AN561" i="1" s="1"/>
  <c r="S562" i="1"/>
  <c r="U562" i="1"/>
  <c r="AM562" i="1" s="1"/>
  <c r="S563" i="1"/>
  <c r="U563" i="1"/>
  <c r="AM563" i="1" s="1"/>
  <c r="AN563" i="1" s="1"/>
  <c r="S564" i="1"/>
  <c r="U564" i="1"/>
  <c r="AM564" i="1" s="1"/>
  <c r="AN564" i="1" s="1"/>
  <c r="AU564" i="1" s="1"/>
  <c r="S565" i="1"/>
  <c r="U565" i="1"/>
  <c r="AM565" i="1" s="1"/>
  <c r="AN565" i="1" s="1"/>
  <c r="S566" i="1"/>
  <c r="U566" i="1"/>
  <c r="AM566" i="1" s="1"/>
  <c r="AN566" i="1" s="1"/>
  <c r="AV566" i="1" s="1"/>
  <c r="S567" i="1"/>
  <c r="U567" i="1"/>
  <c r="AM567" i="1" s="1"/>
  <c r="AN567" i="1" s="1"/>
  <c r="S568" i="1"/>
  <c r="U568" i="1"/>
  <c r="AM568" i="1" s="1"/>
  <c r="AN568" i="1" s="1"/>
  <c r="S569" i="1"/>
  <c r="U569" i="1"/>
  <c r="AM569" i="1" s="1"/>
  <c r="AN569" i="1" s="1"/>
  <c r="S570" i="1"/>
  <c r="U570" i="1"/>
  <c r="AM570" i="1" s="1"/>
  <c r="AN570" i="1" s="1"/>
  <c r="S571" i="1"/>
  <c r="U571" i="1"/>
  <c r="AM571" i="1" s="1"/>
  <c r="AN571" i="1" s="1"/>
  <c r="S572" i="1"/>
  <c r="U572" i="1"/>
  <c r="AM572" i="1" s="1"/>
  <c r="AN572" i="1" s="1"/>
  <c r="S573" i="1"/>
  <c r="U573" i="1"/>
  <c r="AM573" i="1" s="1"/>
  <c r="AN573" i="1" s="1"/>
  <c r="S574" i="1"/>
  <c r="U574" i="1"/>
  <c r="AM574" i="1" s="1"/>
  <c r="AN574" i="1" s="1"/>
  <c r="S575" i="1"/>
  <c r="U575" i="1"/>
  <c r="AM575" i="1" s="1"/>
  <c r="AN575" i="1" s="1"/>
  <c r="S576" i="1"/>
  <c r="U576" i="1"/>
  <c r="AM576" i="1" s="1"/>
  <c r="AN576" i="1" s="1"/>
  <c r="S577" i="1"/>
  <c r="U577" i="1"/>
  <c r="AM577" i="1" s="1"/>
  <c r="AN577" i="1" s="1"/>
  <c r="S578" i="1"/>
  <c r="U578" i="1"/>
  <c r="AM578" i="1"/>
  <c r="S579" i="1"/>
  <c r="U579" i="1"/>
  <c r="AM579" i="1" s="1"/>
  <c r="AN579" i="1" s="1"/>
  <c r="S580" i="1"/>
  <c r="U580" i="1"/>
  <c r="AM580" i="1" s="1"/>
  <c r="AN580" i="1" s="1"/>
  <c r="S581" i="1"/>
  <c r="U581" i="1"/>
  <c r="AM581" i="1" s="1"/>
  <c r="AN581" i="1" s="1"/>
  <c r="S582" i="1"/>
  <c r="U582" i="1"/>
  <c r="AM582" i="1" s="1"/>
  <c r="AN582" i="1" s="1"/>
  <c r="S583" i="1"/>
  <c r="U583" i="1"/>
  <c r="AM583" i="1" s="1"/>
  <c r="AN583" i="1" s="1"/>
  <c r="S584" i="1"/>
  <c r="U584" i="1"/>
  <c r="AM584" i="1" s="1"/>
  <c r="AN584" i="1" s="1"/>
  <c r="S585" i="1"/>
  <c r="U585" i="1"/>
  <c r="AM585" i="1" s="1"/>
  <c r="S586" i="1"/>
  <c r="U586" i="1"/>
  <c r="AM586" i="1" s="1"/>
  <c r="AN586" i="1" s="1"/>
  <c r="AV586" i="1" s="1"/>
  <c r="S587" i="1"/>
  <c r="U587" i="1"/>
  <c r="AM587" i="1" s="1"/>
  <c r="AN587" i="1" s="1"/>
  <c r="S588" i="1"/>
  <c r="U588" i="1"/>
  <c r="AM588" i="1" s="1"/>
  <c r="AN588" i="1" s="1"/>
  <c r="S589" i="1"/>
  <c r="U589" i="1"/>
  <c r="AM589" i="1" s="1"/>
  <c r="AN589" i="1" s="1"/>
  <c r="S590" i="1"/>
  <c r="U590" i="1"/>
  <c r="AM590" i="1" s="1"/>
  <c r="AN590" i="1" s="1"/>
  <c r="S591" i="1"/>
  <c r="U591" i="1"/>
  <c r="AM591" i="1" s="1"/>
  <c r="AN591" i="1" s="1"/>
  <c r="S592" i="1"/>
  <c r="U592" i="1"/>
  <c r="AM592" i="1" s="1"/>
  <c r="AN592" i="1" s="1"/>
  <c r="S593" i="1"/>
  <c r="U593" i="1"/>
  <c r="AM593" i="1" s="1"/>
  <c r="AN593" i="1" s="1"/>
  <c r="S594" i="1"/>
  <c r="U594" i="1"/>
  <c r="AM594" i="1" s="1"/>
  <c r="AN594" i="1" s="1"/>
  <c r="S595" i="1"/>
  <c r="U595" i="1"/>
  <c r="AM595" i="1" s="1"/>
  <c r="AN595" i="1" s="1"/>
  <c r="S596" i="1"/>
  <c r="U596" i="1"/>
  <c r="AM596" i="1" s="1"/>
  <c r="AN596" i="1" s="1"/>
  <c r="S597" i="1"/>
  <c r="U597" i="1"/>
  <c r="AM597" i="1" s="1"/>
  <c r="AN597" i="1" s="1"/>
  <c r="S598" i="1"/>
  <c r="U598" i="1"/>
  <c r="AM598" i="1" s="1"/>
  <c r="AN598" i="1" s="1"/>
  <c r="S599" i="1"/>
  <c r="U599" i="1"/>
  <c r="AM599" i="1" s="1"/>
  <c r="AN599" i="1" s="1"/>
  <c r="S600" i="1"/>
  <c r="U600" i="1"/>
  <c r="AM600" i="1" s="1"/>
  <c r="S601" i="1"/>
  <c r="U601" i="1"/>
  <c r="AM601" i="1" s="1"/>
  <c r="AN601" i="1" s="1"/>
  <c r="S602" i="1"/>
  <c r="U602" i="1"/>
  <c r="AM602" i="1" s="1"/>
  <c r="AN602" i="1" s="1"/>
  <c r="AU602" i="1" s="1"/>
  <c r="S603" i="1"/>
  <c r="U603" i="1"/>
  <c r="AM603" i="1" s="1"/>
  <c r="AN603" i="1" s="1"/>
  <c r="S604" i="1"/>
  <c r="U604" i="1"/>
  <c r="AM604" i="1" s="1"/>
  <c r="AN604" i="1" s="1"/>
  <c r="S605" i="1"/>
  <c r="U605" i="1"/>
  <c r="AM605" i="1" s="1"/>
  <c r="S606" i="1"/>
  <c r="U606" i="1"/>
  <c r="AM606" i="1"/>
  <c r="AN606" i="1" s="1"/>
  <c r="S607" i="1"/>
  <c r="U607" i="1"/>
  <c r="AM607" i="1" s="1"/>
  <c r="AN607" i="1" s="1"/>
  <c r="S608" i="1"/>
  <c r="U608" i="1"/>
  <c r="AM608" i="1" s="1"/>
  <c r="AN608" i="1" s="1"/>
  <c r="S609" i="1"/>
  <c r="U609" i="1"/>
  <c r="AM609" i="1" s="1"/>
  <c r="AN609" i="1" s="1"/>
  <c r="S610" i="1"/>
  <c r="U610" i="1"/>
  <c r="AM610" i="1" s="1"/>
  <c r="AN610" i="1" s="1"/>
  <c r="S611" i="1"/>
  <c r="U611" i="1"/>
  <c r="AM611" i="1" s="1"/>
  <c r="AN611" i="1" s="1"/>
  <c r="S612" i="1"/>
  <c r="U612" i="1"/>
  <c r="AM612" i="1" s="1"/>
  <c r="AN612" i="1" s="1"/>
  <c r="S613" i="1"/>
  <c r="U613" i="1"/>
  <c r="AM613" i="1" s="1"/>
  <c r="AN613" i="1" s="1"/>
  <c r="S614" i="1"/>
  <c r="U614" i="1"/>
  <c r="AM614" i="1" s="1"/>
  <c r="AN614" i="1" s="1"/>
  <c r="S615" i="1"/>
  <c r="U615" i="1"/>
  <c r="AM615" i="1" s="1"/>
  <c r="AN615" i="1" s="1"/>
  <c r="S616" i="1"/>
  <c r="U616" i="1"/>
  <c r="AM616" i="1" s="1"/>
  <c r="AN616" i="1" s="1"/>
  <c r="S617" i="1"/>
  <c r="U617" i="1"/>
  <c r="AM617" i="1" s="1"/>
  <c r="AN617" i="1" s="1"/>
  <c r="S618" i="1"/>
  <c r="U618" i="1"/>
  <c r="AM618" i="1" s="1"/>
  <c r="AN618" i="1" s="1"/>
  <c r="S619" i="1"/>
  <c r="U619" i="1"/>
  <c r="AM619" i="1" s="1"/>
  <c r="AN619" i="1" s="1"/>
  <c r="S620" i="1"/>
  <c r="U620" i="1"/>
  <c r="AM620" i="1" s="1"/>
  <c r="AN620" i="1" s="1"/>
  <c r="AW620" i="1" s="1"/>
  <c r="S621" i="1"/>
  <c r="U621" i="1"/>
  <c r="AM621" i="1" s="1"/>
  <c r="AN621" i="1" s="1"/>
  <c r="S622" i="1"/>
  <c r="U622" i="1"/>
  <c r="AM622" i="1" s="1"/>
  <c r="AN622" i="1" s="1"/>
  <c r="S623" i="1"/>
  <c r="U623" i="1"/>
  <c r="AM623" i="1" s="1"/>
  <c r="AN623" i="1" s="1"/>
  <c r="S624" i="1"/>
  <c r="U624" i="1"/>
  <c r="AM624" i="1" s="1"/>
  <c r="AN624" i="1" s="1"/>
  <c r="S625" i="1"/>
  <c r="U625" i="1"/>
  <c r="AM625" i="1" s="1"/>
  <c r="AN625" i="1" s="1"/>
  <c r="S626" i="1"/>
  <c r="U626" i="1"/>
  <c r="AM626" i="1" s="1"/>
  <c r="AN626" i="1" s="1"/>
  <c r="S627" i="1"/>
  <c r="U627" i="1"/>
  <c r="AM627" i="1" s="1"/>
  <c r="AN627" i="1" s="1"/>
  <c r="S628" i="1"/>
  <c r="U628" i="1"/>
  <c r="AM628" i="1" s="1"/>
  <c r="AN628" i="1" s="1"/>
  <c r="S629" i="1"/>
  <c r="U629" i="1"/>
  <c r="AM629" i="1" s="1"/>
  <c r="AN629" i="1" s="1"/>
  <c r="S630" i="1"/>
  <c r="U630" i="1"/>
  <c r="AM630" i="1" s="1"/>
  <c r="AN630" i="1" s="1"/>
  <c r="S631" i="1"/>
  <c r="U631" i="1"/>
  <c r="AM631" i="1" s="1"/>
  <c r="AN631" i="1" s="1"/>
  <c r="S632" i="1"/>
  <c r="U632" i="1"/>
  <c r="AM632" i="1" s="1"/>
  <c r="AN632" i="1" s="1"/>
  <c r="S633" i="1"/>
  <c r="U633" i="1"/>
  <c r="AM633" i="1" s="1"/>
  <c r="AN633" i="1" s="1"/>
  <c r="S634" i="1"/>
  <c r="U634" i="1"/>
  <c r="AM634" i="1"/>
  <c r="AN634" i="1" s="1"/>
  <c r="S635" i="1"/>
  <c r="U635" i="1"/>
  <c r="AM635" i="1" s="1"/>
  <c r="AN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AN643" i="1" s="1"/>
  <c r="S644" i="1"/>
  <c r="U644" i="1"/>
  <c r="AM644" i="1" s="1"/>
  <c r="AN644" i="1" s="1"/>
  <c r="S645" i="1"/>
  <c r="U645" i="1"/>
  <c r="AM645" i="1" s="1"/>
  <c r="S646" i="1"/>
  <c r="U646" i="1"/>
  <c r="AM646" i="1"/>
  <c r="AN646" i="1" s="1"/>
  <c r="S647" i="1"/>
  <c r="U647" i="1"/>
  <c r="AM647" i="1" s="1"/>
  <c r="AN647" i="1" s="1"/>
  <c r="S648" i="1"/>
  <c r="U648" i="1"/>
  <c r="AM648" i="1"/>
  <c r="AN648" i="1" s="1"/>
  <c r="S649" i="1"/>
  <c r="U649" i="1"/>
  <c r="AM649" i="1" s="1"/>
  <c r="AN649" i="1" s="1"/>
  <c r="S650" i="1"/>
  <c r="U650" i="1"/>
  <c r="AM650" i="1" s="1"/>
  <c r="AN650" i="1" s="1"/>
  <c r="S651" i="1"/>
  <c r="U651" i="1"/>
  <c r="AM651" i="1" s="1"/>
  <c r="AN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s="1"/>
  <c r="AN660" i="1" s="1"/>
  <c r="S661" i="1"/>
  <c r="U661" i="1"/>
  <c r="AM661" i="1" s="1"/>
  <c r="AN661" i="1" s="1"/>
  <c r="S662" i="1"/>
  <c r="U662" i="1"/>
  <c r="AM662" i="1" s="1"/>
  <c r="S663" i="1"/>
  <c r="U663" i="1"/>
  <c r="AM663" i="1" s="1"/>
  <c r="AN663" i="1" s="1"/>
  <c r="S664" i="1"/>
  <c r="U664" i="1"/>
  <c r="AM664" i="1" s="1"/>
  <c r="AN664" i="1" s="1"/>
  <c r="S665" i="1"/>
  <c r="U665" i="1"/>
  <c r="AM665" i="1" s="1"/>
  <c r="S666" i="1"/>
  <c r="U666" i="1"/>
  <c r="AM666" i="1" s="1"/>
  <c r="AN666" i="1" s="1"/>
  <c r="S667" i="1"/>
  <c r="U667" i="1"/>
  <c r="AM667" i="1" s="1"/>
  <c r="S668" i="1"/>
  <c r="U668" i="1"/>
  <c r="AM668" i="1" s="1"/>
  <c r="AN668" i="1" s="1"/>
  <c r="S669" i="1"/>
  <c r="U669" i="1"/>
  <c r="AM669" i="1" s="1"/>
  <c r="AN669" i="1" s="1"/>
  <c r="S670" i="1"/>
  <c r="U670" i="1"/>
  <c r="AM670" i="1" s="1"/>
  <c r="AN670" i="1" s="1"/>
  <c r="S671" i="1"/>
  <c r="U671" i="1"/>
  <c r="AM671" i="1" s="1"/>
  <c r="AN671" i="1" s="1"/>
  <c r="S672" i="1"/>
  <c r="U672" i="1"/>
  <c r="AM672" i="1" s="1"/>
  <c r="AN672" i="1" s="1"/>
  <c r="AV672" i="1" s="1"/>
  <c r="S673" i="1"/>
  <c r="U673" i="1"/>
  <c r="AM673" i="1" s="1"/>
  <c r="AN673" i="1" s="1"/>
  <c r="S674" i="1"/>
  <c r="U674" i="1"/>
  <c r="AM674" i="1" s="1"/>
  <c r="AN674" i="1" s="1"/>
  <c r="S675" i="1"/>
  <c r="U675" i="1"/>
  <c r="AM675" i="1" s="1"/>
  <c r="AN675" i="1" s="1"/>
  <c r="S676" i="1"/>
  <c r="U676" i="1"/>
  <c r="AM676" i="1" s="1"/>
  <c r="AN676" i="1" s="1"/>
  <c r="S677" i="1"/>
  <c r="U677" i="1"/>
  <c r="AM677" i="1" s="1"/>
  <c r="S678" i="1"/>
  <c r="U678" i="1"/>
  <c r="AM678" i="1" s="1"/>
  <c r="AN678" i="1" s="1"/>
  <c r="S679" i="1"/>
  <c r="U679" i="1"/>
  <c r="AM679" i="1" s="1"/>
  <c r="AN679" i="1" s="1"/>
  <c r="S680" i="1"/>
  <c r="U680" i="1"/>
  <c r="AM680" i="1" s="1"/>
  <c r="S681" i="1"/>
  <c r="U681" i="1"/>
  <c r="AM681" i="1" s="1"/>
  <c r="S682" i="1"/>
  <c r="U682" i="1"/>
  <c r="AM682" i="1" s="1"/>
  <c r="S683" i="1"/>
  <c r="U683" i="1"/>
  <c r="AM683" i="1" s="1"/>
  <c r="AN683" i="1" s="1"/>
  <c r="S684" i="1"/>
  <c r="U684" i="1"/>
  <c r="AM684" i="1" s="1"/>
  <c r="AN684" i="1" s="1"/>
  <c r="S685" i="1"/>
  <c r="U685" i="1"/>
  <c r="AM685" i="1" s="1"/>
  <c r="AN685" i="1" s="1"/>
  <c r="S686" i="1"/>
  <c r="U686" i="1"/>
  <c r="AM686" i="1" s="1"/>
  <c r="S687" i="1"/>
  <c r="U687" i="1"/>
  <c r="AM687" i="1" s="1"/>
  <c r="AN687" i="1" s="1"/>
  <c r="S688" i="1"/>
  <c r="U688" i="1"/>
  <c r="AM688" i="1" s="1"/>
  <c r="AN688" i="1" s="1"/>
  <c r="S689" i="1"/>
  <c r="U689" i="1"/>
  <c r="AM689" i="1" s="1"/>
  <c r="AN689" i="1" s="1"/>
  <c r="S690" i="1"/>
  <c r="U690" i="1"/>
  <c r="AM690" i="1" s="1"/>
  <c r="AN690" i="1" s="1"/>
  <c r="S691" i="1"/>
  <c r="U691" i="1"/>
  <c r="AM691" i="1" s="1"/>
  <c r="AN691" i="1" s="1"/>
  <c r="S692" i="1"/>
  <c r="U692" i="1"/>
  <c r="AM692" i="1" s="1"/>
  <c r="AN692" i="1" s="1"/>
  <c r="AU692" i="1" s="1"/>
  <c r="S693" i="1"/>
  <c r="U693" i="1"/>
  <c r="AM693" i="1" s="1"/>
  <c r="AN693" i="1" s="1"/>
  <c r="S694" i="1"/>
  <c r="U694" i="1"/>
  <c r="AM694" i="1" s="1"/>
  <c r="AN694" i="1" s="1"/>
  <c r="S695" i="1"/>
  <c r="U695" i="1"/>
  <c r="AM695" i="1" s="1"/>
  <c r="AN695" i="1" s="1"/>
  <c r="S696" i="1"/>
  <c r="U696" i="1"/>
  <c r="AM696" i="1" s="1"/>
  <c r="AN696" i="1" s="1"/>
  <c r="S697" i="1"/>
  <c r="U697" i="1"/>
  <c r="AM697" i="1" s="1"/>
  <c r="AN697" i="1" s="1"/>
  <c r="S698" i="1"/>
  <c r="U698" i="1"/>
  <c r="AM698" i="1" s="1"/>
  <c r="AN698" i="1" s="1"/>
  <c r="S699" i="1"/>
  <c r="U699" i="1"/>
  <c r="AM699" i="1" s="1"/>
  <c r="AN699" i="1" s="1"/>
  <c r="S700" i="1"/>
  <c r="U700" i="1"/>
  <c r="AM700" i="1" s="1"/>
  <c r="S701" i="1"/>
  <c r="U701" i="1"/>
  <c r="AM701" i="1" s="1"/>
  <c r="AN701" i="1" s="1"/>
  <c r="S702" i="1"/>
  <c r="U702" i="1"/>
  <c r="AM702" i="1" s="1"/>
  <c r="AN702" i="1" s="1"/>
  <c r="S703" i="1"/>
  <c r="U703" i="1"/>
  <c r="AM703" i="1" s="1"/>
  <c r="AN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s="1"/>
  <c r="S712" i="1"/>
  <c r="U712" i="1"/>
  <c r="AM712" i="1" s="1"/>
  <c r="AN712" i="1" s="1"/>
  <c r="S713" i="1"/>
  <c r="U713" i="1"/>
  <c r="AM713" i="1" s="1"/>
  <c r="AN713" i="1" s="1"/>
  <c r="S714" i="1"/>
  <c r="U714" i="1"/>
  <c r="AM714" i="1" s="1"/>
  <c r="AN714" i="1" s="1"/>
  <c r="S715" i="1"/>
  <c r="U715" i="1"/>
  <c r="AM715" i="1" s="1"/>
  <c r="AN715" i="1" s="1"/>
  <c r="S716" i="1"/>
  <c r="U716" i="1"/>
  <c r="AM716" i="1" s="1"/>
  <c r="AN716" i="1" s="1"/>
  <c r="S717" i="1"/>
  <c r="U717" i="1"/>
  <c r="AM717" i="1" s="1"/>
  <c r="AN717" i="1" s="1"/>
  <c r="S718" i="1"/>
  <c r="U718" i="1"/>
  <c r="AM718" i="1" s="1"/>
  <c r="AN718" i="1" s="1"/>
  <c r="S719" i="1"/>
  <c r="U719" i="1"/>
  <c r="AM719" i="1" s="1"/>
  <c r="AN719" i="1" s="1"/>
  <c r="S720" i="1"/>
  <c r="U720" i="1"/>
  <c r="AM720" i="1" s="1"/>
  <c r="S721" i="1"/>
  <c r="U721" i="1"/>
  <c r="AM721" i="1" s="1"/>
  <c r="AN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S732" i="1"/>
  <c r="U732" i="1"/>
  <c r="AM732" i="1" s="1"/>
  <c r="AN732" i="1" s="1"/>
  <c r="S733" i="1"/>
  <c r="U733" i="1"/>
  <c r="AM733" i="1"/>
  <c r="AN733" i="1" s="1"/>
  <c r="S734" i="1"/>
  <c r="U734" i="1"/>
  <c r="AM734" i="1" s="1"/>
  <c r="AN734" i="1" s="1"/>
  <c r="S735" i="1"/>
  <c r="U735" i="1"/>
  <c r="AM735" i="1" s="1"/>
  <c r="AN735" i="1" s="1"/>
  <c r="S736" i="1"/>
  <c r="U736" i="1"/>
  <c r="AM736" i="1" s="1"/>
  <c r="AN736" i="1" s="1"/>
  <c r="S737" i="1"/>
  <c r="U737" i="1"/>
  <c r="AM737" i="1" s="1"/>
  <c r="AN737" i="1" s="1"/>
  <c r="S738" i="1"/>
  <c r="U738" i="1"/>
  <c r="AM738" i="1"/>
  <c r="AN738" i="1" s="1"/>
  <c r="S739" i="1"/>
  <c r="U739" i="1"/>
  <c r="AM739" i="1" s="1"/>
  <c r="AN739" i="1" s="1"/>
  <c r="S740" i="1"/>
  <c r="U740" i="1"/>
  <c r="AM740" i="1" s="1"/>
  <c r="AN740" i="1" s="1"/>
  <c r="S741" i="1"/>
  <c r="U741" i="1"/>
  <c r="AM741" i="1" s="1"/>
  <c r="S742" i="1"/>
  <c r="U742" i="1"/>
  <c r="AM742" i="1" s="1"/>
  <c r="AN742" i="1" s="1"/>
  <c r="S743" i="1"/>
  <c r="U743" i="1"/>
  <c r="AM743" i="1" s="1"/>
  <c r="AN743" i="1" s="1"/>
  <c r="S744" i="1"/>
  <c r="U744" i="1"/>
  <c r="AM744" i="1" s="1"/>
  <c r="AN744" i="1" s="1"/>
  <c r="S745" i="1"/>
  <c r="U745" i="1"/>
  <c r="AM745" i="1" s="1"/>
  <c r="AN745" i="1" s="1"/>
  <c r="S746" i="1"/>
  <c r="U746" i="1"/>
  <c r="AM746" i="1" s="1"/>
  <c r="AN746" i="1" s="1"/>
  <c r="S747" i="1"/>
  <c r="U747" i="1"/>
  <c r="AM747" i="1" s="1"/>
  <c r="AN747" i="1" s="1"/>
  <c r="S748" i="1"/>
  <c r="U748" i="1"/>
  <c r="AM748" i="1"/>
  <c r="AN748" i="1" s="1"/>
  <c r="S749" i="1"/>
  <c r="U749" i="1"/>
  <c r="AM749" i="1" s="1"/>
  <c r="AN749" i="1" s="1"/>
  <c r="S750" i="1"/>
  <c r="U750" i="1"/>
  <c r="AM750" i="1" s="1"/>
  <c r="AN750" i="1" s="1"/>
  <c r="S751" i="1"/>
  <c r="U751" i="1"/>
  <c r="AM751" i="1" s="1"/>
  <c r="AN751" i="1" s="1"/>
  <c r="S752" i="1"/>
  <c r="U752" i="1"/>
  <c r="AM752" i="1" s="1"/>
  <c r="AN752" i="1" s="1"/>
  <c r="S753" i="1"/>
  <c r="U753" i="1"/>
  <c r="AM753" i="1" s="1"/>
  <c r="AN753" i="1" s="1"/>
  <c r="S754" i="1"/>
  <c r="U754" i="1"/>
  <c r="AM754" i="1" s="1"/>
  <c r="AN754" i="1" s="1"/>
  <c r="S755" i="1"/>
  <c r="U755" i="1"/>
  <c r="AM755" i="1" s="1"/>
  <c r="AN755" i="1" s="1"/>
  <c r="S756" i="1"/>
  <c r="U756" i="1"/>
  <c r="AM756" i="1" s="1"/>
  <c r="AN756" i="1" s="1"/>
  <c r="S757" i="1"/>
  <c r="U757" i="1"/>
  <c r="AM757" i="1" s="1"/>
  <c r="AN757" i="1" s="1"/>
  <c r="S758" i="1"/>
  <c r="U758" i="1"/>
  <c r="AM758" i="1" s="1"/>
  <c r="AN758" i="1" s="1"/>
  <c r="S759" i="1"/>
  <c r="U759" i="1"/>
  <c r="AM759" i="1" s="1"/>
  <c r="AN759" i="1" s="1"/>
  <c r="S760" i="1"/>
  <c r="U760" i="1"/>
  <c r="AM760" i="1" s="1"/>
  <c r="AN760" i="1" s="1"/>
  <c r="S761" i="1"/>
  <c r="U761" i="1"/>
  <c r="AM761" i="1" s="1"/>
  <c r="AN761" i="1" s="1"/>
  <c r="S762" i="1"/>
  <c r="U762" i="1"/>
  <c r="AM762" i="1" s="1"/>
  <c r="AN762" i="1" s="1"/>
  <c r="S763" i="1"/>
  <c r="U763" i="1"/>
  <c r="AM763" i="1" s="1"/>
  <c r="AN763" i="1" s="1"/>
  <c r="S764" i="1"/>
  <c r="U764" i="1"/>
  <c r="AM764" i="1" s="1"/>
  <c r="AN764" i="1" s="1"/>
  <c r="S765" i="1"/>
  <c r="U765" i="1"/>
  <c r="AM765" i="1" s="1"/>
  <c r="AN765" i="1" s="1"/>
  <c r="S766" i="1"/>
  <c r="U766" i="1"/>
  <c r="AM766" i="1" s="1"/>
  <c r="AN766" i="1" s="1"/>
  <c r="S767" i="1"/>
  <c r="U767" i="1"/>
  <c r="AM767" i="1"/>
  <c r="AN767" i="1" s="1"/>
  <c r="S768" i="1"/>
  <c r="U768" i="1"/>
  <c r="AM768" i="1" s="1"/>
  <c r="AN768" i="1" s="1"/>
  <c r="S769" i="1"/>
  <c r="U769" i="1"/>
  <c r="AM769" i="1" s="1"/>
  <c r="AN769" i="1" s="1"/>
  <c r="S770" i="1"/>
  <c r="U770" i="1"/>
  <c r="AM770" i="1" s="1"/>
  <c r="AN770" i="1" s="1"/>
  <c r="S771" i="1"/>
  <c r="U771" i="1"/>
  <c r="AM771" i="1" s="1"/>
  <c r="AN771" i="1" s="1"/>
  <c r="S772" i="1"/>
  <c r="U772" i="1"/>
  <c r="AM772" i="1" s="1"/>
  <c r="AN772" i="1" s="1"/>
  <c r="S773" i="1"/>
  <c r="U773" i="1"/>
  <c r="AM773" i="1" s="1"/>
  <c r="AN773" i="1" s="1"/>
  <c r="S774" i="1"/>
  <c r="U774" i="1"/>
  <c r="AM774" i="1" s="1"/>
  <c r="AN774" i="1" s="1"/>
  <c r="S775" i="1"/>
  <c r="U775" i="1"/>
  <c r="AM775" i="1" s="1"/>
  <c r="AN775" i="1" s="1"/>
  <c r="S776" i="1"/>
  <c r="U776" i="1"/>
  <c r="AM776" i="1" s="1"/>
  <c r="AN776" i="1" s="1"/>
  <c r="S777" i="1"/>
  <c r="U777" i="1"/>
  <c r="AM777" i="1" s="1"/>
  <c r="AN777" i="1" s="1"/>
  <c r="S778" i="1"/>
  <c r="U778" i="1"/>
  <c r="AM778" i="1" s="1"/>
  <c r="AN778" i="1" s="1"/>
  <c r="S779" i="1"/>
  <c r="U779" i="1"/>
  <c r="AM779" i="1" s="1"/>
  <c r="AN779" i="1" s="1"/>
  <c r="S780" i="1"/>
  <c r="U780" i="1"/>
  <c r="AM780" i="1" s="1"/>
  <c r="AN780" i="1" s="1"/>
  <c r="S781" i="1"/>
  <c r="U781" i="1"/>
  <c r="AM781" i="1" s="1"/>
  <c r="AN781" i="1" s="1"/>
  <c r="S782" i="1"/>
  <c r="U782" i="1"/>
  <c r="AM782" i="1" s="1"/>
  <c r="AN782" i="1" s="1"/>
  <c r="S783" i="1"/>
  <c r="U783" i="1"/>
  <c r="AM783" i="1" s="1"/>
  <c r="AN783" i="1" s="1"/>
  <c r="S784" i="1"/>
  <c r="U784" i="1"/>
  <c r="AM784" i="1" s="1"/>
  <c r="AN784" i="1" s="1"/>
  <c r="S785" i="1"/>
  <c r="U785" i="1"/>
  <c r="AM785" i="1" s="1"/>
  <c r="AN785" i="1" s="1"/>
  <c r="S786" i="1"/>
  <c r="U786" i="1"/>
  <c r="AM786" i="1" s="1"/>
  <c r="AN786" i="1" s="1"/>
  <c r="S787" i="1"/>
  <c r="U787" i="1"/>
  <c r="AM787" i="1"/>
  <c r="AN787" i="1" s="1"/>
  <c r="S788" i="1"/>
  <c r="U788" i="1"/>
  <c r="AM788" i="1" s="1"/>
  <c r="AN788" i="1" s="1"/>
  <c r="S789" i="1"/>
  <c r="U789" i="1"/>
  <c r="AM789" i="1" s="1"/>
  <c r="AN789" i="1" s="1"/>
  <c r="S790" i="1"/>
  <c r="U790" i="1"/>
  <c r="AM790" i="1" s="1"/>
  <c r="AN790" i="1" s="1"/>
  <c r="S791" i="1"/>
  <c r="U791" i="1"/>
  <c r="AM791" i="1" s="1"/>
  <c r="AN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s="1"/>
  <c r="AN797" i="1" s="1"/>
  <c r="S798" i="1"/>
  <c r="U798" i="1"/>
  <c r="AM798" i="1" s="1"/>
  <c r="AN798" i="1" s="1"/>
  <c r="AU798" i="1" s="1"/>
  <c r="S799" i="1"/>
  <c r="U799" i="1"/>
  <c r="AM799" i="1" s="1"/>
  <c r="AN799" i="1" s="1"/>
  <c r="S800" i="1"/>
  <c r="U800" i="1"/>
  <c r="AM800" i="1" s="1"/>
  <c r="AN800" i="1" s="1"/>
  <c r="S801" i="1"/>
  <c r="U801" i="1"/>
  <c r="AM801" i="1" s="1"/>
  <c r="AN801" i="1" s="1"/>
  <c r="S802" i="1"/>
  <c r="U802" i="1"/>
  <c r="AM802" i="1" s="1"/>
  <c r="AN802" i="1" s="1"/>
  <c r="S803" i="1"/>
  <c r="U803" i="1"/>
  <c r="AM803" i="1" s="1"/>
  <c r="AN803" i="1" s="1"/>
  <c r="S804" i="1"/>
  <c r="U804" i="1"/>
  <c r="AM804" i="1" s="1"/>
  <c r="AN804" i="1" s="1"/>
  <c r="S805" i="1"/>
  <c r="U805" i="1"/>
  <c r="AM805" i="1" s="1"/>
  <c r="AN805" i="1" s="1"/>
  <c r="S806" i="1"/>
  <c r="U806" i="1"/>
  <c r="AM806" i="1" s="1"/>
  <c r="S807" i="1"/>
  <c r="U807" i="1"/>
  <c r="AM807" i="1" s="1"/>
  <c r="S808" i="1"/>
  <c r="U808" i="1"/>
  <c r="AM808" i="1" s="1"/>
  <c r="AN808" i="1" s="1"/>
  <c r="S809" i="1"/>
  <c r="U809" i="1"/>
  <c r="AM809" i="1" s="1"/>
  <c r="AN809" i="1" s="1"/>
  <c r="S810" i="1"/>
  <c r="U810" i="1"/>
  <c r="AM810" i="1" s="1"/>
  <c r="AN810" i="1" s="1"/>
  <c r="S811" i="1"/>
  <c r="U811" i="1"/>
  <c r="AM811" i="1" s="1"/>
  <c r="AN811" i="1" s="1"/>
  <c r="S812" i="1"/>
  <c r="U812" i="1"/>
  <c r="AM812" i="1" s="1"/>
  <c r="AN812" i="1" s="1"/>
  <c r="AW812" i="1" s="1"/>
  <c r="AN218" i="1" l="1"/>
  <c r="AV218" i="1" s="1"/>
  <c r="AN32" i="1"/>
  <c r="AW32" i="1" s="1"/>
  <c r="AV515" i="1"/>
  <c r="AU515" i="1"/>
  <c r="AN12" i="1"/>
  <c r="AW12" i="1" s="1"/>
  <c r="AV485" i="1"/>
  <c r="AU485" i="1"/>
  <c r="AU504" i="1"/>
  <c r="AW504" i="1"/>
  <c r="AN311" i="1"/>
  <c r="AW311" i="1" s="1"/>
  <c r="AN522" i="1"/>
  <c r="AW522" i="1" s="1"/>
  <c r="AN205" i="1"/>
  <c r="AW205" i="1" s="1"/>
  <c r="AV463" i="1"/>
  <c r="AW463" i="1"/>
  <c r="AW8" i="1"/>
  <c r="AN8" i="1"/>
  <c r="AN72" i="1"/>
  <c r="AV72" i="1" s="1"/>
  <c r="AV221" i="1"/>
  <c r="AN221" i="1"/>
  <c r="AN230" i="1"/>
  <c r="AV230" i="1" s="1"/>
  <c r="AN528" i="1"/>
  <c r="AU528" i="1" s="1"/>
  <c r="AN182" i="1"/>
  <c r="AU182" i="1" s="1"/>
  <c r="AN266" i="1"/>
  <c r="AV266" i="1" s="1"/>
  <c r="AN645" i="1"/>
  <c r="AW645" i="1" s="1"/>
  <c r="AW686" i="1"/>
  <c r="AU578" i="1"/>
  <c r="AW507" i="1"/>
  <c r="AV246" i="1"/>
  <c r="AN578" i="1"/>
  <c r="AV359" i="1"/>
  <c r="AN677" i="1"/>
  <c r="AW677" i="1" s="1"/>
  <c r="AW667" i="1"/>
  <c r="AU532" i="1"/>
  <c r="AV175" i="1"/>
  <c r="AV82" i="1"/>
  <c r="AN16" i="1"/>
  <c r="AV16" i="1" s="1"/>
  <c r="AV806" i="1"/>
  <c r="AW605" i="1"/>
  <c r="AV280" i="1"/>
  <c r="AV47" i="1"/>
  <c r="AN175" i="1"/>
  <c r="AW515" i="1"/>
  <c r="AV6" i="1"/>
  <c r="AV392" i="1"/>
  <c r="AW296" i="1"/>
  <c r="AV279" i="1"/>
  <c r="AW157" i="1"/>
  <c r="AU557" i="1"/>
  <c r="AV539" i="1"/>
  <c r="AW314" i="1"/>
  <c r="AV225" i="1"/>
  <c r="AN532" i="1"/>
  <c r="AN392" i="1"/>
  <c r="AU575" i="1"/>
  <c r="AV252" i="1"/>
  <c r="AV156" i="1"/>
  <c r="AN731" i="1"/>
  <c r="AV731" i="1" s="1"/>
  <c r="AN711" i="1"/>
  <c r="AV711" i="1" s="1"/>
  <c r="AN551" i="1"/>
  <c r="AV551" i="1" s="1"/>
  <c r="AN131" i="1"/>
  <c r="AU131" i="1" s="1"/>
  <c r="AN31" i="1"/>
  <c r="AV31" i="1" s="1"/>
  <c r="AV720" i="1"/>
  <c r="AW655" i="1"/>
  <c r="AV556" i="1"/>
  <c r="AW304" i="1"/>
  <c r="AV261" i="1"/>
  <c r="AV233" i="1"/>
  <c r="AV181" i="1"/>
  <c r="AW112" i="1"/>
  <c r="AW37" i="1"/>
  <c r="AN210" i="1"/>
  <c r="AV210" i="1" s="1"/>
  <c r="AV350" i="1"/>
  <c r="AW710" i="1"/>
  <c r="AW477" i="1"/>
  <c r="AV277" i="1"/>
  <c r="AV198" i="1"/>
  <c r="AV155" i="1"/>
  <c r="AV21" i="1"/>
  <c r="AV390" i="1"/>
  <c r="AV312" i="1"/>
  <c r="AV215" i="1"/>
  <c r="AV180" i="1"/>
  <c r="AV36" i="1"/>
  <c r="AW700" i="1"/>
  <c r="AW682" i="1"/>
  <c r="AU537" i="1"/>
  <c r="AW432" i="1"/>
  <c r="AV171" i="1"/>
  <c r="AW137" i="1"/>
  <c r="AN807" i="1"/>
  <c r="AW807" i="1" s="1"/>
  <c r="AN667" i="1"/>
  <c r="AN547" i="1"/>
  <c r="AU547" i="1" s="1"/>
  <c r="AN507" i="1"/>
  <c r="AN347" i="1"/>
  <c r="AV347" i="1" s="1"/>
  <c r="AN167" i="1"/>
  <c r="AW167" i="1" s="1"/>
  <c r="AN147" i="1"/>
  <c r="AU147" i="1" s="1"/>
  <c r="AN87" i="1"/>
  <c r="AV87" i="1" s="1"/>
  <c r="AN47" i="1"/>
  <c r="AW47" i="1" s="1"/>
  <c r="AW756" i="1"/>
  <c r="AW737" i="1"/>
  <c r="AW662" i="1"/>
  <c r="AU380" i="1"/>
  <c r="AV250" i="1"/>
  <c r="AW127" i="1"/>
  <c r="AN806" i="1"/>
  <c r="AN686" i="1"/>
  <c r="AN306" i="1"/>
  <c r="AW306" i="1" s="1"/>
  <c r="AN246" i="1"/>
  <c r="AN226" i="1"/>
  <c r="AV226" i="1" s="1"/>
  <c r="AN6" i="1"/>
  <c r="AW502" i="1"/>
  <c r="AV231" i="1"/>
  <c r="AV136" i="1"/>
  <c r="AN665" i="1"/>
  <c r="AW665" i="1" s="1"/>
  <c r="AN605" i="1"/>
  <c r="AN585" i="1"/>
  <c r="AV585" i="1" s="1"/>
  <c r="AN545" i="1"/>
  <c r="AW545" i="1" s="1"/>
  <c r="AN225" i="1"/>
  <c r="AU225" i="1" s="1"/>
  <c r="AN165" i="1"/>
  <c r="AV165" i="1" s="1"/>
  <c r="AN145" i="1"/>
  <c r="AV145" i="1" s="1"/>
  <c r="AV213" i="1"/>
  <c r="AV76" i="1"/>
  <c r="AN304" i="1"/>
  <c r="AN244" i="1"/>
  <c r="AV244" i="1" s="1"/>
  <c r="AW535" i="1"/>
  <c r="AW474" i="1"/>
  <c r="AV135" i="1"/>
  <c r="AN283" i="1"/>
  <c r="AW283" i="1" s="1"/>
  <c r="AW735" i="1"/>
  <c r="AW625" i="1"/>
  <c r="AU562" i="1"/>
  <c r="AV526" i="1"/>
  <c r="AW509" i="1"/>
  <c r="AV291" i="1"/>
  <c r="AW257" i="1"/>
  <c r="AW212" i="1"/>
  <c r="AV186" i="1"/>
  <c r="AV26" i="1"/>
  <c r="AN682" i="1"/>
  <c r="AV682" i="1" s="1"/>
  <c r="AN662" i="1"/>
  <c r="AN562" i="1"/>
  <c r="AN502" i="1"/>
  <c r="AN82" i="1"/>
  <c r="AN62" i="1"/>
  <c r="AV62" i="1" s="1"/>
  <c r="AV744" i="1"/>
  <c r="AV716" i="1"/>
  <c r="AU465" i="1"/>
  <c r="AW336" i="1"/>
  <c r="AV203" i="1"/>
  <c r="AV125" i="1"/>
  <c r="AV57" i="1"/>
  <c r="AN741" i="1"/>
  <c r="AW741" i="1" s="1"/>
  <c r="AN681" i="1"/>
  <c r="AW681" i="1" s="1"/>
  <c r="AN341" i="1"/>
  <c r="AW341" i="1" s="1"/>
  <c r="AN301" i="1"/>
  <c r="AW301" i="1" s="1"/>
  <c r="AN261" i="1"/>
  <c r="AN181" i="1"/>
  <c r="AN101" i="1"/>
  <c r="AV101" i="1" s="1"/>
  <c r="AN21" i="1"/>
  <c r="AV256" i="1"/>
  <c r="AV220" i="1"/>
  <c r="AV211" i="1"/>
  <c r="AV185" i="1"/>
  <c r="AV41" i="1"/>
  <c r="AW17" i="1"/>
  <c r="AN720" i="1"/>
  <c r="AW720" i="1" s="1"/>
  <c r="AN700" i="1"/>
  <c r="AN680" i="1"/>
  <c r="AU680" i="1" s="1"/>
  <c r="AN600" i="1"/>
  <c r="AW600" i="1" s="1"/>
  <c r="AN440" i="1"/>
  <c r="AU440" i="1" s="1"/>
  <c r="AN420" i="1"/>
  <c r="AU420" i="1" s="1"/>
  <c r="AN380" i="1"/>
  <c r="AV380" i="1" s="1"/>
  <c r="AN280" i="1"/>
  <c r="AU280" i="1" s="1"/>
  <c r="AN260" i="1"/>
  <c r="AU260" i="1" s="1"/>
  <c r="AN220" i="1"/>
  <c r="AN180" i="1"/>
  <c r="AW696" i="1"/>
  <c r="AV464" i="1"/>
  <c r="AN539" i="1"/>
  <c r="AW539" i="1" s="1"/>
  <c r="AN359" i="1"/>
  <c r="AN279" i="1"/>
  <c r="AV356" i="1"/>
  <c r="AU356" i="1"/>
  <c r="AW62" i="1"/>
  <c r="AU535" i="1"/>
  <c r="AW716" i="1"/>
  <c r="AV699" i="1"/>
  <c r="AU687" i="1"/>
  <c r="AU588" i="1"/>
  <c r="AV576" i="1"/>
  <c r="AV546" i="1"/>
  <c r="AW413" i="1"/>
  <c r="AV377" i="1"/>
  <c r="AW348" i="1"/>
  <c r="AW288" i="1"/>
  <c r="AU98" i="1"/>
  <c r="AV71" i="1"/>
  <c r="AV734" i="1"/>
  <c r="AU523" i="1"/>
  <c r="AW517" i="1"/>
  <c r="AU499" i="1"/>
  <c r="AU192" i="1"/>
  <c r="AU152" i="1"/>
  <c r="AU130" i="1"/>
  <c r="AV752" i="1"/>
  <c r="AV480" i="1"/>
  <c r="AV419" i="1"/>
  <c r="AW197" i="1"/>
  <c r="AU141" i="1"/>
  <c r="AV28" i="1"/>
  <c r="AV763" i="1"/>
  <c r="AV704" i="1"/>
  <c r="AV662" i="1"/>
  <c r="AU651" i="1"/>
  <c r="AW640" i="1"/>
  <c r="AU587" i="1"/>
  <c r="AV511" i="1"/>
  <c r="AV461" i="1"/>
  <c r="AV282" i="1"/>
  <c r="AV243" i="1"/>
  <c r="AW202" i="1"/>
  <c r="AV38" i="1"/>
  <c r="AW610" i="1"/>
  <c r="AW581" i="1"/>
  <c r="AW102" i="1"/>
  <c r="AW727" i="1"/>
  <c r="AV466" i="1"/>
  <c r="AV322" i="1"/>
  <c r="AW316" i="1"/>
  <c r="AV151" i="1"/>
  <c r="AV762" i="1"/>
  <c r="AW615" i="1"/>
  <c r="AW586" i="1"/>
  <c r="AW510" i="1"/>
  <c r="AV448" i="1"/>
  <c r="AU399" i="1"/>
  <c r="AW388" i="1"/>
  <c r="AV370" i="1"/>
  <c r="AU340" i="1"/>
  <c r="AV265" i="1"/>
  <c r="AV196" i="1"/>
  <c r="AU140" i="1"/>
  <c r="AU123" i="1"/>
  <c r="AU86" i="1"/>
  <c r="AU801" i="1"/>
  <c r="AV756" i="1"/>
  <c r="AV714" i="1"/>
  <c r="AU661" i="1"/>
  <c r="AU346" i="1"/>
  <c r="AU632" i="1"/>
  <c r="AU609" i="1"/>
  <c r="AU568" i="1"/>
  <c r="AW471" i="1"/>
  <c r="AW321" i="1"/>
  <c r="AV315" i="1"/>
  <c r="AV253" i="1"/>
  <c r="AV247" i="1"/>
  <c r="AV190" i="1"/>
  <c r="AU90" i="1"/>
  <c r="AV11" i="1"/>
  <c r="AU435" i="1"/>
  <c r="AU161" i="1"/>
  <c r="AU96" i="1"/>
  <c r="AV761" i="1"/>
  <c r="AV719" i="1"/>
  <c r="AU579" i="1"/>
  <c r="AV549" i="1"/>
  <c r="AU543" i="1"/>
  <c r="AW490" i="1"/>
  <c r="AW484" i="1"/>
  <c r="AV410" i="1"/>
  <c r="AV351" i="1"/>
  <c r="AW275" i="1"/>
  <c r="AV264" i="1"/>
  <c r="AV106" i="1"/>
  <c r="AW660" i="1"/>
  <c r="AV561" i="1"/>
  <c r="AV555" i="1"/>
  <c r="AU422" i="1"/>
  <c r="AV258" i="1"/>
  <c r="AU89" i="1"/>
  <c r="AW731" i="1"/>
  <c r="AU654" i="1"/>
  <c r="AU531" i="1"/>
  <c r="AU502" i="1"/>
  <c r="AW446" i="1"/>
  <c r="AW428" i="1"/>
  <c r="AU392" i="1"/>
  <c r="AV332" i="1"/>
  <c r="AU302" i="1"/>
  <c r="AV234" i="1"/>
  <c r="AW217" i="1"/>
  <c r="AU177" i="1"/>
  <c r="AU100" i="1"/>
  <c r="AU73" i="1"/>
  <c r="AV766" i="1"/>
  <c r="AU143" i="1"/>
  <c r="AU111" i="1"/>
  <c r="AU799" i="1"/>
  <c r="AV742" i="1"/>
  <c r="AW712" i="1"/>
  <c r="AW672" i="1"/>
  <c r="AV536" i="1"/>
  <c r="AW514" i="1"/>
  <c r="AU476" i="1"/>
  <c r="AV274" i="1"/>
  <c r="AV170" i="1"/>
  <c r="AU132" i="1"/>
  <c r="AU105" i="1"/>
  <c r="AV56" i="1"/>
  <c r="AV46" i="1"/>
  <c r="AU9" i="1"/>
  <c r="AW730" i="1"/>
  <c r="AV268" i="1"/>
  <c r="AV245" i="1"/>
  <c r="AU121" i="1"/>
  <c r="AU811" i="1"/>
  <c r="AU642" i="1"/>
  <c r="AW519" i="1"/>
  <c r="AU494" i="1"/>
  <c r="AW433" i="1"/>
  <c r="AW343" i="1"/>
  <c r="AV289" i="1"/>
  <c r="AV284" i="1"/>
  <c r="AU210" i="1"/>
  <c r="AV66" i="1"/>
  <c r="AU577" i="1"/>
  <c r="AV541" i="1"/>
  <c r="AW378" i="1"/>
  <c r="AW318" i="1"/>
  <c r="AV110" i="1"/>
  <c r="AU747" i="1"/>
  <c r="AU606" i="1"/>
  <c r="AW524" i="1"/>
  <c r="AU518" i="1"/>
  <c r="AU500" i="1"/>
  <c r="AU114" i="1"/>
  <c r="AV61" i="1"/>
  <c r="AW529" i="1"/>
  <c r="AU395" i="1"/>
  <c r="AV294" i="1"/>
  <c r="AU120" i="1"/>
  <c r="AV450" i="1"/>
  <c r="AU450" i="1"/>
  <c r="AU359" i="1"/>
  <c r="AW232" i="1"/>
  <c r="AV13" i="1"/>
  <c r="AW13" i="1"/>
  <c r="AV769" i="1"/>
  <c r="AU582" i="1"/>
  <c r="AV582" i="1"/>
  <c r="AU517" i="1"/>
  <c r="AV81" i="1"/>
  <c r="AV33" i="1"/>
  <c r="AW33" i="1"/>
  <c r="AV18" i="1"/>
  <c r="AU412" i="1"/>
  <c r="AV376" i="1"/>
  <c r="AU376" i="1"/>
  <c r="AU347" i="1"/>
  <c r="AV208" i="1"/>
  <c r="AV686" i="1"/>
  <c r="AV681" i="1"/>
  <c r="AW745" i="1"/>
  <c r="AV745" i="1"/>
  <c r="AV436" i="1"/>
  <c r="AU436" i="1"/>
  <c r="AV236" i="1"/>
  <c r="AW207" i="1"/>
  <c r="AV691" i="1"/>
  <c r="AW691" i="1"/>
  <c r="AV726" i="1"/>
  <c r="AW726" i="1"/>
  <c r="AW172" i="1"/>
  <c r="AV42" i="1"/>
  <c r="AW42" i="1"/>
  <c r="AW22" i="1"/>
  <c r="AW767" i="1"/>
  <c r="AV579" i="1"/>
  <c r="AW579" i="1"/>
  <c r="AU464" i="1"/>
  <c r="AU446" i="1"/>
  <c r="AV446" i="1"/>
  <c r="AV416" i="1"/>
  <c r="AU416" i="1"/>
  <c r="AV269" i="1"/>
  <c r="AV116" i="1"/>
  <c r="AW57" i="1"/>
  <c r="AW590" i="1"/>
  <c r="AV379" i="1"/>
  <c r="AU379" i="1"/>
  <c r="AU344" i="1"/>
  <c r="AV344" i="1"/>
  <c r="AW344" i="1"/>
  <c r="AW302" i="1"/>
  <c r="AV302" i="1"/>
  <c r="AU290" i="1"/>
  <c r="AV290" i="1"/>
  <c r="AW290" i="1"/>
  <c r="AW263" i="1"/>
  <c r="AV67" i="1"/>
  <c r="AW67" i="1"/>
  <c r="AV701" i="1"/>
  <c r="AW701" i="1"/>
  <c r="AV439" i="1"/>
  <c r="AU439" i="1"/>
  <c r="AU415" i="1"/>
  <c r="AV415" i="1"/>
  <c r="AU355" i="1"/>
  <c r="AV355" i="1"/>
  <c r="AU350" i="1"/>
  <c r="AV228" i="1"/>
  <c r="AW630" i="1"/>
  <c r="AV754" i="1"/>
  <c r="AU754" i="1"/>
  <c r="AV706" i="1"/>
  <c r="AW595" i="1"/>
  <c r="AV396" i="1"/>
  <c r="AU396" i="1"/>
  <c r="AU295" i="1"/>
  <c r="AV77" i="1"/>
  <c r="AW77" i="1"/>
  <c r="AU324" i="1"/>
  <c r="AW324" i="1"/>
  <c r="AW635" i="1"/>
  <c r="AU312" i="1"/>
  <c r="AV8" i="1"/>
  <c r="AU474" i="1"/>
  <c r="AU432" i="1"/>
  <c r="AW267" i="1"/>
  <c r="AV267" i="1"/>
  <c r="AW82" i="1"/>
  <c r="AW759" i="1"/>
  <c r="AV739" i="1"/>
  <c r="AV709" i="1"/>
  <c r="AU655" i="1"/>
  <c r="AU626" i="1"/>
  <c r="AU593" i="1"/>
  <c r="AU574" i="1"/>
  <c r="AW448" i="1"/>
  <c r="AV364" i="1"/>
  <c r="AW247" i="1"/>
  <c r="AU195" i="1"/>
  <c r="AU187" i="1"/>
  <c r="AU158" i="1"/>
  <c r="AV150" i="1"/>
  <c r="AU138" i="1"/>
  <c r="AU134" i="1"/>
  <c r="AV130" i="1"/>
  <c r="AU11" i="1"/>
  <c r="AU797" i="1"/>
  <c r="AU792" i="1"/>
  <c r="AU787" i="1"/>
  <c r="AU782" i="1"/>
  <c r="AU777" i="1"/>
  <c r="AU772" i="1"/>
  <c r="AV749" i="1"/>
  <c r="AU721" i="1"/>
  <c r="AU650" i="1"/>
  <c r="AU469" i="1"/>
  <c r="AV430" i="1"/>
  <c r="AU191" i="1"/>
  <c r="AU170" i="1"/>
  <c r="AU162" i="1"/>
  <c r="AU142" i="1"/>
  <c r="AU122" i="1"/>
  <c r="AU97" i="1"/>
  <c r="AU72" i="1"/>
  <c r="AU43" i="1"/>
  <c r="AU23" i="1"/>
  <c r="AU802" i="1"/>
  <c r="AV712" i="1"/>
  <c r="AU696" i="1"/>
  <c r="AV687" i="1"/>
  <c r="AU679" i="1"/>
  <c r="AU674" i="1"/>
  <c r="AU645" i="1"/>
  <c r="AU597" i="1"/>
  <c r="AV568" i="1"/>
  <c r="AV522" i="1"/>
  <c r="AW495" i="1"/>
  <c r="AW489" i="1"/>
  <c r="AU477" i="1"/>
  <c r="AV458" i="1"/>
  <c r="AU443" i="1"/>
  <c r="AU410" i="1"/>
  <c r="AW358" i="1"/>
  <c r="AU273" i="1"/>
  <c r="AV251" i="1"/>
  <c r="AV238" i="1"/>
  <c r="AW222" i="1"/>
  <c r="AU166" i="1"/>
  <c r="AU146" i="1"/>
  <c r="AU126" i="1"/>
  <c r="AV105" i="1"/>
  <c r="AW38" i="1"/>
  <c r="AU31" i="1"/>
  <c r="AU27" i="1"/>
  <c r="AW18" i="1"/>
  <c r="AU807" i="1"/>
  <c r="AV729" i="1"/>
  <c r="AU640" i="1"/>
  <c r="AU551" i="1"/>
  <c r="AU541" i="1"/>
  <c r="AW268" i="1"/>
  <c r="AU113" i="1"/>
  <c r="AU101" i="1"/>
  <c r="AU88" i="1"/>
  <c r="AU76" i="1"/>
  <c r="AU63" i="1"/>
  <c r="AU51" i="1"/>
  <c r="AU6" i="1"/>
  <c r="AU812" i="1"/>
  <c r="AU635" i="1"/>
  <c r="AW500" i="1"/>
  <c r="AW473" i="1"/>
  <c r="AV447" i="1"/>
  <c r="AV437" i="1"/>
  <c r="AW423" i="1"/>
  <c r="AU390" i="1"/>
  <c r="AU335" i="1"/>
  <c r="AU282" i="1"/>
  <c r="AV206" i="1"/>
  <c r="AU202" i="1"/>
  <c r="AW177" i="1"/>
  <c r="AV161" i="1"/>
  <c r="AV141" i="1"/>
  <c r="AV121" i="1"/>
  <c r="AV96" i="1"/>
  <c r="AV796" i="1"/>
  <c r="AV791" i="1"/>
  <c r="AV786" i="1"/>
  <c r="AV781" i="1"/>
  <c r="AV776" i="1"/>
  <c r="AV771" i="1"/>
  <c r="AU767" i="1"/>
  <c r="AU691" i="1"/>
  <c r="AU682" i="1"/>
  <c r="AU630" i="1"/>
  <c r="AV531" i="1"/>
  <c r="AU526" i="1"/>
  <c r="AV516" i="1"/>
  <c r="AU510" i="1"/>
  <c r="AW505" i="1"/>
  <c r="AW494" i="1"/>
  <c r="AU463" i="1"/>
  <c r="AW303" i="1"/>
  <c r="AU153" i="1"/>
  <c r="AU133" i="1"/>
  <c r="AU129" i="1"/>
  <c r="AU117" i="1"/>
  <c r="AU92" i="1"/>
  <c r="AU67" i="1"/>
  <c r="AV801" i="1"/>
  <c r="AU716" i="1"/>
  <c r="AU625" i="1"/>
  <c r="AW582" i="1"/>
  <c r="AV535" i="1"/>
  <c r="AV521" i="1"/>
  <c r="AW499" i="1"/>
  <c r="AV417" i="1"/>
  <c r="AW403" i="1"/>
  <c r="AW368" i="1"/>
  <c r="AU362" i="1"/>
  <c r="AV352" i="1"/>
  <c r="AW313" i="1"/>
  <c r="AW308" i="1"/>
  <c r="AW298" i="1"/>
  <c r="AU190" i="1"/>
  <c r="AU157" i="1"/>
  <c r="AU137" i="1"/>
  <c r="AW87" i="1"/>
  <c r="AU38" i="1"/>
  <c r="AU18" i="1"/>
  <c r="AV724" i="1"/>
  <c r="AW695" i="1"/>
  <c r="AU639" i="1"/>
  <c r="AU620" i="1"/>
  <c r="AU591" i="1"/>
  <c r="AU268" i="1"/>
  <c r="AU217" i="1"/>
  <c r="AU83" i="1"/>
  <c r="AU71" i="1"/>
  <c r="AU58" i="1"/>
  <c r="AU46" i="1"/>
  <c r="AU42" i="1"/>
  <c r="AU26" i="1"/>
  <c r="AU22" i="1"/>
  <c r="AV811" i="1"/>
  <c r="AU762" i="1"/>
  <c r="AV737" i="1"/>
  <c r="AU707" i="1"/>
  <c r="AU686" i="1"/>
  <c r="AU658" i="1"/>
  <c r="AU615" i="1"/>
  <c r="AV577" i="1"/>
  <c r="AW451" i="1"/>
  <c r="AV259" i="1"/>
  <c r="AV229" i="1"/>
  <c r="AU205" i="1"/>
  <c r="AW152" i="1"/>
  <c r="AW132" i="1"/>
  <c r="AW747" i="1"/>
  <c r="AU610" i="1"/>
  <c r="AU520" i="1"/>
  <c r="AU509" i="1"/>
  <c r="AV432" i="1"/>
  <c r="AW352" i="1"/>
  <c r="AW328" i="1"/>
  <c r="AV254" i="1"/>
  <c r="AU197" i="1"/>
  <c r="AU112" i="1"/>
  <c r="AU87" i="1"/>
  <c r="AU62" i="1"/>
  <c r="AU766" i="1"/>
  <c r="AU672" i="1"/>
  <c r="AU667" i="1"/>
  <c r="AU605" i="1"/>
  <c r="AU586" i="1"/>
  <c r="AW549" i="1"/>
  <c r="AU427" i="1"/>
  <c r="AW412" i="1"/>
  <c r="AW333" i="1"/>
  <c r="AV160" i="1"/>
  <c r="AU148" i="1"/>
  <c r="AV140" i="1"/>
  <c r="AU128" i="1"/>
  <c r="AU124" i="1"/>
  <c r="AV120" i="1"/>
  <c r="AU74" i="1"/>
  <c r="AU49" i="1"/>
  <c r="AW769" i="1"/>
  <c r="AV727" i="1"/>
  <c r="AU715" i="1"/>
  <c r="AU711" i="1"/>
  <c r="AW706" i="1"/>
  <c r="AV694" i="1"/>
  <c r="AU662" i="1"/>
  <c r="AU638" i="1"/>
  <c r="AU619" i="1"/>
  <c r="AU600" i="1"/>
  <c r="AV571" i="1"/>
  <c r="AV412" i="1"/>
  <c r="AV275" i="1"/>
  <c r="AU263" i="1"/>
  <c r="AW258" i="1"/>
  <c r="AU172" i="1"/>
  <c r="AU116" i="1"/>
  <c r="AU103" i="1"/>
  <c r="AU95" i="1"/>
  <c r="AU91" i="1"/>
  <c r="AU78" i="1"/>
  <c r="AU66" i="1"/>
  <c r="AU53" i="1"/>
  <c r="AU33" i="1"/>
  <c r="AU13" i="1"/>
  <c r="AW761" i="1"/>
  <c r="AU756" i="1"/>
  <c r="AV736" i="1"/>
  <c r="AU681" i="1"/>
  <c r="AU633" i="1"/>
  <c r="AU614" i="1"/>
  <c r="AU595" i="1"/>
  <c r="AV559" i="1"/>
  <c r="AV554" i="1"/>
  <c r="AV544" i="1"/>
  <c r="AU519" i="1"/>
  <c r="AU514" i="1"/>
  <c r="AW392" i="1"/>
  <c r="AW351" i="1"/>
  <c r="AW338" i="1"/>
  <c r="AU275" i="1"/>
  <c r="AV249" i="1"/>
  <c r="AV224" i="1"/>
  <c r="AU212" i="1"/>
  <c r="AW192" i="1"/>
  <c r="AU156" i="1"/>
  <c r="AU136" i="1"/>
  <c r="AV111" i="1"/>
  <c r="AV86" i="1"/>
  <c r="AU41" i="1"/>
  <c r="AU37" i="1"/>
  <c r="AU21" i="1"/>
  <c r="AU17" i="1"/>
  <c r="AW685" i="1"/>
  <c r="AU676" i="1"/>
  <c r="AU628" i="1"/>
  <c r="AU590" i="1"/>
  <c r="AU471" i="1"/>
  <c r="AU180" i="1"/>
  <c r="AU176" i="1"/>
  <c r="AU107" i="1"/>
  <c r="AU82" i="1"/>
  <c r="AU57" i="1"/>
  <c r="AU809" i="1"/>
  <c r="AU585" i="1"/>
  <c r="AU548" i="1"/>
  <c r="AU538" i="1"/>
  <c r="AW491" i="1"/>
  <c r="AW455" i="1"/>
  <c r="AV420" i="1"/>
  <c r="AU387" i="1"/>
  <c r="AU351" i="1"/>
  <c r="AU332" i="1"/>
  <c r="AW326" i="1"/>
  <c r="AU292" i="1"/>
  <c r="AV270" i="1"/>
  <c r="AV240" i="1"/>
  <c r="AU232" i="1"/>
  <c r="AU200" i="1"/>
  <c r="AV115" i="1"/>
  <c r="AW52" i="1"/>
  <c r="AU8" i="1"/>
  <c r="AU769" i="1"/>
  <c r="AU706" i="1"/>
  <c r="AU61" i="1"/>
  <c r="AU48" i="1"/>
  <c r="AV735" i="1"/>
  <c r="AV710" i="1"/>
  <c r="AW564" i="1"/>
  <c r="AU513" i="1"/>
  <c r="AV502" i="1"/>
  <c r="AW479" i="1"/>
  <c r="AV474" i="1"/>
  <c r="AW346" i="1"/>
  <c r="AV337" i="1"/>
  <c r="AV219" i="1"/>
  <c r="AU167" i="1"/>
  <c r="AU127" i="1"/>
  <c r="AU28" i="1"/>
  <c r="AU808" i="1"/>
  <c r="AV755" i="1"/>
  <c r="AW721" i="1"/>
  <c r="AU641" i="1"/>
  <c r="AU608" i="1"/>
  <c r="AU589" i="1"/>
  <c r="AV490" i="1"/>
  <c r="AW485" i="1"/>
  <c r="AU400" i="1"/>
  <c r="AV395" i="1"/>
  <c r="AW342" i="1"/>
  <c r="AV295" i="1"/>
  <c r="AV239" i="1"/>
  <c r="AW187" i="1"/>
  <c r="AU175" i="1"/>
  <c r="AU171" i="1"/>
  <c r="AU151" i="1"/>
  <c r="AU102" i="1"/>
  <c r="AU77" i="1"/>
  <c r="AU52" i="1"/>
  <c r="AW43" i="1"/>
  <c r="AU36" i="1"/>
  <c r="AU32" i="1"/>
  <c r="AW23" i="1"/>
  <c r="AU16" i="1"/>
  <c r="AW797" i="1"/>
  <c r="AW792" i="1"/>
  <c r="AW787" i="1"/>
  <c r="AW782" i="1"/>
  <c r="AW777" i="1"/>
  <c r="AW772" i="1"/>
  <c r="AU726" i="1"/>
  <c r="AV721" i="1"/>
  <c r="AU701" i="1"/>
  <c r="AW675" i="1"/>
  <c r="AW650" i="1"/>
  <c r="AU636" i="1"/>
  <c r="AU617" i="1"/>
  <c r="AU603" i="1"/>
  <c r="AU459" i="1"/>
  <c r="AU315" i="1"/>
  <c r="AW287" i="1"/>
  <c r="AV195" i="1"/>
  <c r="AV191" i="1"/>
  <c r="AW162" i="1"/>
  <c r="AW142" i="1"/>
  <c r="AW122" i="1"/>
  <c r="AW97" i="1"/>
  <c r="AW72" i="1"/>
  <c r="AU64" i="1"/>
  <c r="AV43" i="1"/>
  <c r="AV23" i="1"/>
  <c r="AW802" i="1"/>
  <c r="AU768" i="1"/>
  <c r="AU730" i="1"/>
  <c r="AV705" i="1"/>
  <c r="AV696" i="1"/>
  <c r="AV692" i="1"/>
  <c r="AW670" i="1"/>
  <c r="AU522" i="1"/>
  <c r="AU444" i="1"/>
  <c r="AU227" i="1"/>
  <c r="AU207" i="1"/>
  <c r="AV166" i="1"/>
  <c r="AV146" i="1"/>
  <c r="AV126" i="1"/>
  <c r="AU118" i="1"/>
  <c r="AU106" i="1"/>
  <c r="AU93" i="1"/>
  <c r="AU81" i="1"/>
  <c r="AU68" i="1"/>
  <c r="AU56" i="1"/>
  <c r="AW27" i="1"/>
  <c r="AV717" i="1"/>
  <c r="AW717" i="1"/>
  <c r="AU796" i="1"/>
  <c r="AU791" i="1"/>
  <c r="AU786" i="1"/>
  <c r="AU781" i="1"/>
  <c r="AU776" i="1"/>
  <c r="AU771" i="1"/>
  <c r="AU806" i="1"/>
  <c r="AU795" i="1"/>
  <c r="AV795" i="1"/>
  <c r="AW795" i="1"/>
  <c r="AU790" i="1"/>
  <c r="AV790" i="1"/>
  <c r="AW790" i="1"/>
  <c r="AU785" i="1"/>
  <c r="AV785" i="1"/>
  <c r="AW785" i="1"/>
  <c r="AU780" i="1"/>
  <c r="AV780" i="1"/>
  <c r="AW780" i="1"/>
  <c r="AU775" i="1"/>
  <c r="AV775" i="1"/>
  <c r="AW775" i="1"/>
  <c r="AU770" i="1"/>
  <c r="AV770" i="1"/>
  <c r="AW770" i="1"/>
  <c r="AU800" i="1"/>
  <c r="AV800" i="1"/>
  <c r="AW800" i="1"/>
  <c r="AU757" i="1"/>
  <c r="AV757" i="1"/>
  <c r="AW757" i="1"/>
  <c r="AU805" i="1"/>
  <c r="AV805" i="1"/>
  <c r="AW805" i="1"/>
  <c r="AU810" i="1"/>
  <c r="AV810" i="1"/>
  <c r="AW810" i="1"/>
  <c r="AU752" i="1"/>
  <c r="AU742" i="1"/>
  <c r="AU794" i="1"/>
  <c r="AU789" i="1"/>
  <c r="AU784" i="1"/>
  <c r="AU779" i="1"/>
  <c r="AU774" i="1"/>
  <c r="AV702" i="1"/>
  <c r="AV794" i="1"/>
  <c r="AW794" i="1"/>
  <c r="AV789" i="1"/>
  <c r="AW789" i="1"/>
  <c r="AV784" i="1"/>
  <c r="AW784" i="1"/>
  <c r="AV779" i="1"/>
  <c r="AW779" i="1"/>
  <c r="AV774" i="1"/>
  <c r="AW774" i="1"/>
  <c r="AV746" i="1"/>
  <c r="AW746" i="1"/>
  <c r="AU804" i="1"/>
  <c r="AV799" i="1"/>
  <c r="AW799" i="1"/>
  <c r="AV804" i="1"/>
  <c r="AW804" i="1"/>
  <c r="AV751" i="1"/>
  <c r="AW751" i="1"/>
  <c r="AV722" i="1"/>
  <c r="AV809" i="1"/>
  <c r="AW809" i="1"/>
  <c r="AU793" i="1"/>
  <c r="AU788" i="1"/>
  <c r="AU783" i="1"/>
  <c r="AU778" i="1"/>
  <c r="AU773" i="1"/>
  <c r="AU803" i="1"/>
  <c r="AV760" i="1"/>
  <c r="AW760" i="1"/>
  <c r="AV740" i="1"/>
  <c r="AW740" i="1"/>
  <c r="AU764" i="1"/>
  <c r="AV764" i="1"/>
  <c r="AW764" i="1"/>
  <c r="AV759" i="1"/>
  <c r="AU753" i="1"/>
  <c r="AV753" i="1"/>
  <c r="AW753" i="1"/>
  <c r="AU750" i="1"/>
  <c r="AU743" i="1"/>
  <c r="AV743" i="1"/>
  <c r="AW743" i="1"/>
  <c r="AU718" i="1"/>
  <c r="AV718" i="1"/>
  <c r="AW718" i="1"/>
  <c r="AU697" i="1"/>
  <c r="AU690" i="1"/>
  <c r="AV690" i="1"/>
  <c r="AV621" i="1"/>
  <c r="AW621" i="1"/>
  <c r="AV612" i="1"/>
  <c r="AW612" i="1"/>
  <c r="AU607" i="1"/>
  <c r="AU759" i="1"/>
  <c r="AU732" i="1"/>
  <c r="AW707" i="1"/>
  <c r="AU673" i="1"/>
  <c r="AU664" i="1"/>
  <c r="AU621" i="1"/>
  <c r="AV616" i="1"/>
  <c r="AW616" i="1"/>
  <c r="AV607" i="1"/>
  <c r="AW607" i="1"/>
  <c r="AU583" i="1"/>
  <c r="AV583" i="1"/>
  <c r="AU527" i="1"/>
  <c r="AW527" i="1"/>
  <c r="AU765" i="1"/>
  <c r="AU728" i="1"/>
  <c r="AV728" i="1"/>
  <c r="AW728" i="1"/>
  <c r="AU725" i="1"/>
  <c r="AV707" i="1"/>
  <c r="AU693" i="1"/>
  <c r="AV677" i="1"/>
  <c r="AU616" i="1"/>
  <c r="AV611" i="1"/>
  <c r="AW611" i="1"/>
  <c r="AV602" i="1"/>
  <c r="AW602" i="1"/>
  <c r="AW752" i="1"/>
  <c r="AU746" i="1"/>
  <c r="AW742" i="1"/>
  <c r="AU704" i="1"/>
  <c r="AW704" i="1"/>
  <c r="AU677" i="1"/>
  <c r="AU668" i="1"/>
  <c r="AU659" i="1"/>
  <c r="AU611" i="1"/>
  <c r="AV606" i="1"/>
  <c r="AW606" i="1"/>
  <c r="AV597" i="1"/>
  <c r="AW597" i="1"/>
  <c r="AU592" i="1"/>
  <c r="AU573" i="1"/>
  <c r="AV573" i="1"/>
  <c r="AU739" i="1"/>
  <c r="AW739" i="1"/>
  <c r="AU689" i="1"/>
  <c r="AV689" i="1"/>
  <c r="AW689" i="1"/>
  <c r="AV601" i="1"/>
  <c r="AW601" i="1"/>
  <c r="AV592" i="1"/>
  <c r="AW592" i="1"/>
  <c r="AU567" i="1"/>
  <c r="AW567" i="1"/>
  <c r="AV812" i="1"/>
  <c r="AV807" i="1"/>
  <c r="AV802" i="1"/>
  <c r="AV797" i="1"/>
  <c r="AV792" i="1"/>
  <c r="AV787" i="1"/>
  <c r="AV782" i="1"/>
  <c r="AV777" i="1"/>
  <c r="AV772" i="1"/>
  <c r="AV767" i="1"/>
  <c r="AW755" i="1"/>
  <c r="AU714" i="1"/>
  <c r="AW714" i="1"/>
  <c r="AW692" i="1"/>
  <c r="AU663" i="1"/>
  <c r="AU649" i="1"/>
  <c r="AU601" i="1"/>
  <c r="AV596" i="1"/>
  <c r="AW596" i="1"/>
  <c r="AV587" i="1"/>
  <c r="AW587" i="1"/>
  <c r="AV567" i="1"/>
  <c r="AU749" i="1"/>
  <c r="AW749" i="1"/>
  <c r="AU735" i="1"/>
  <c r="AU731" i="1"/>
  <c r="AU717" i="1"/>
  <c r="AU700" i="1"/>
  <c r="AV700" i="1"/>
  <c r="AU685" i="1"/>
  <c r="AV685" i="1"/>
  <c r="AV676" i="1"/>
  <c r="AW676" i="1"/>
  <c r="AV667" i="1"/>
  <c r="AU644" i="1"/>
  <c r="AU596" i="1"/>
  <c r="AV591" i="1"/>
  <c r="AW591" i="1"/>
  <c r="AU550" i="1"/>
  <c r="AV550" i="1"/>
  <c r="AW550" i="1"/>
  <c r="AU540" i="1"/>
  <c r="AV540" i="1"/>
  <c r="AW540" i="1"/>
  <c r="AU724" i="1"/>
  <c r="AW724" i="1"/>
  <c r="AU703" i="1"/>
  <c r="AV703" i="1"/>
  <c r="AW703" i="1"/>
  <c r="AU572" i="1"/>
  <c r="AV572" i="1"/>
  <c r="AW572" i="1"/>
  <c r="AU530" i="1"/>
  <c r="AV530" i="1"/>
  <c r="AW530" i="1"/>
  <c r="AU758" i="1"/>
  <c r="AV758" i="1"/>
  <c r="AW758" i="1"/>
  <c r="AU738" i="1"/>
  <c r="AV738" i="1"/>
  <c r="AW738" i="1"/>
  <c r="AU727" i="1"/>
  <c r="AU688" i="1"/>
  <c r="AV671" i="1"/>
  <c r="AW671" i="1"/>
  <c r="AU653" i="1"/>
  <c r="AU634" i="1"/>
  <c r="AU761" i="1"/>
  <c r="AU755" i="1"/>
  <c r="AU713" i="1"/>
  <c r="AV713" i="1"/>
  <c r="AW713" i="1"/>
  <c r="AU710" i="1"/>
  <c r="AU671" i="1"/>
  <c r="AU648" i="1"/>
  <c r="AU629" i="1"/>
  <c r="AU560" i="1"/>
  <c r="AV560" i="1"/>
  <c r="AW560" i="1"/>
  <c r="AV525" i="1"/>
  <c r="AW525" i="1"/>
  <c r="AU525" i="1"/>
  <c r="AU748" i="1"/>
  <c r="AV748" i="1"/>
  <c r="AW748" i="1"/>
  <c r="AU745" i="1"/>
  <c r="AV730" i="1"/>
  <c r="AW702" i="1"/>
  <c r="AU684" i="1"/>
  <c r="AV666" i="1"/>
  <c r="AW666" i="1"/>
  <c r="AU657" i="1"/>
  <c r="AU643" i="1"/>
  <c r="AU624" i="1"/>
  <c r="AU734" i="1"/>
  <c r="AW734" i="1"/>
  <c r="AU723" i="1"/>
  <c r="AV723" i="1"/>
  <c r="AW723" i="1"/>
  <c r="AU720" i="1"/>
  <c r="AU699" i="1"/>
  <c r="AW699" i="1"/>
  <c r="AW687" i="1"/>
  <c r="AV680" i="1"/>
  <c r="AU666" i="1"/>
  <c r="AV657" i="1"/>
  <c r="AW657" i="1"/>
  <c r="AU652" i="1"/>
  <c r="AW811" i="1"/>
  <c r="AW806" i="1"/>
  <c r="AW801" i="1"/>
  <c r="AW796" i="1"/>
  <c r="AW791" i="1"/>
  <c r="AW786" i="1"/>
  <c r="AW781" i="1"/>
  <c r="AW776" i="1"/>
  <c r="AW771" i="1"/>
  <c r="AW766" i="1"/>
  <c r="AU741" i="1"/>
  <c r="AV661" i="1"/>
  <c r="AW661" i="1"/>
  <c r="AV652" i="1"/>
  <c r="AW652" i="1"/>
  <c r="AU647" i="1"/>
  <c r="AU580" i="1"/>
  <c r="AU751" i="1"/>
  <c r="AU702" i="1"/>
  <c r="AU695" i="1"/>
  <c r="AV695" i="1"/>
  <c r="AU675" i="1"/>
  <c r="AV675" i="1"/>
  <c r="AV656" i="1"/>
  <c r="AW656" i="1"/>
  <c r="AV647" i="1"/>
  <c r="AW647" i="1"/>
  <c r="AU565" i="1"/>
  <c r="AV565" i="1"/>
  <c r="AW565" i="1"/>
  <c r="AV747" i="1"/>
  <c r="AU737" i="1"/>
  <c r="AW722" i="1"/>
  <c r="AU709" i="1"/>
  <c r="AW709" i="1"/>
  <c r="AW705" i="1"/>
  <c r="AU683" i="1"/>
  <c r="AU656" i="1"/>
  <c r="AV651" i="1"/>
  <c r="AW651" i="1"/>
  <c r="AV642" i="1"/>
  <c r="AW642" i="1"/>
  <c r="AU637" i="1"/>
  <c r="AU623" i="1"/>
  <c r="AU604" i="1"/>
  <c r="AU570" i="1"/>
  <c r="AV570" i="1"/>
  <c r="AW570" i="1"/>
  <c r="AU763" i="1"/>
  <c r="AW763" i="1"/>
  <c r="AU733" i="1"/>
  <c r="AV733" i="1"/>
  <c r="AW733" i="1"/>
  <c r="AU712" i="1"/>
  <c r="AU698" i="1"/>
  <c r="AU670" i="1"/>
  <c r="AV670" i="1"/>
  <c r="AV646" i="1"/>
  <c r="AW646" i="1"/>
  <c r="AV637" i="1"/>
  <c r="AW637" i="1"/>
  <c r="AU618" i="1"/>
  <c r="AU599" i="1"/>
  <c r="AW808" i="1"/>
  <c r="AW803" i="1"/>
  <c r="AW798" i="1"/>
  <c r="AW793" i="1"/>
  <c r="AW788" i="1"/>
  <c r="AW783" i="1"/>
  <c r="AW778" i="1"/>
  <c r="AW773" i="1"/>
  <c r="AW768" i="1"/>
  <c r="AU760" i="1"/>
  <c r="AW754" i="1"/>
  <c r="AW750" i="1"/>
  <c r="AU744" i="1"/>
  <c r="AW744" i="1"/>
  <c r="AU719" i="1"/>
  <c r="AW719" i="1"/>
  <c r="AW715" i="1"/>
  <c r="AU646" i="1"/>
  <c r="AV641" i="1"/>
  <c r="AW641" i="1"/>
  <c r="AV632" i="1"/>
  <c r="AW632" i="1"/>
  <c r="AU627" i="1"/>
  <c r="AU613" i="1"/>
  <c r="AU594" i="1"/>
  <c r="AU558" i="1"/>
  <c r="AV558" i="1"/>
  <c r="AU533" i="1"/>
  <c r="AV808" i="1"/>
  <c r="AV803" i="1"/>
  <c r="AV798" i="1"/>
  <c r="AV793" i="1"/>
  <c r="AV788" i="1"/>
  <c r="AV783" i="1"/>
  <c r="AV778" i="1"/>
  <c r="AV773" i="1"/>
  <c r="AV768" i="1"/>
  <c r="AV750" i="1"/>
  <c r="AW736" i="1"/>
  <c r="AU722" i="1"/>
  <c r="AV715" i="1"/>
  <c r="AW690" i="1"/>
  <c r="AU665" i="1"/>
  <c r="AV665" i="1"/>
  <c r="AV636" i="1"/>
  <c r="AW636" i="1"/>
  <c r="AV627" i="1"/>
  <c r="AW627" i="1"/>
  <c r="AU622" i="1"/>
  <c r="AU584" i="1"/>
  <c r="AW765" i="1"/>
  <c r="AW762" i="1"/>
  <c r="AW732" i="1"/>
  <c r="AU729" i="1"/>
  <c r="AW729" i="1"/>
  <c r="AW725" i="1"/>
  <c r="AU708" i="1"/>
  <c r="AV708" i="1"/>
  <c r="AW708" i="1"/>
  <c r="AU705" i="1"/>
  <c r="AW697" i="1"/>
  <c r="AU694" i="1"/>
  <c r="AW694" i="1"/>
  <c r="AV631" i="1"/>
  <c r="AW631" i="1"/>
  <c r="AV622" i="1"/>
  <c r="AW622" i="1"/>
  <c r="AU563" i="1"/>
  <c r="AV563" i="1"/>
  <c r="AW512" i="1"/>
  <c r="AU512" i="1"/>
  <c r="AV765" i="1"/>
  <c r="AU740" i="1"/>
  <c r="AU736" i="1"/>
  <c r="AV732" i="1"/>
  <c r="AV725" i="1"/>
  <c r="AV697" i="1"/>
  <c r="AU678" i="1"/>
  <c r="AU669" i="1"/>
  <c r="AU660" i="1"/>
  <c r="AU631" i="1"/>
  <c r="AV626" i="1"/>
  <c r="AW626" i="1"/>
  <c r="AV617" i="1"/>
  <c r="AW617" i="1"/>
  <c r="AU612" i="1"/>
  <c r="AU598" i="1"/>
  <c r="AU569" i="1"/>
  <c r="AV569" i="1"/>
  <c r="AW569" i="1"/>
  <c r="AV562" i="1"/>
  <c r="AU508" i="1"/>
  <c r="AV508" i="1"/>
  <c r="AW508" i="1"/>
  <c r="AU493" i="1"/>
  <c r="AV493" i="1"/>
  <c r="AW493" i="1"/>
  <c r="AU424" i="1"/>
  <c r="AW424" i="1"/>
  <c r="AU391" i="1"/>
  <c r="AV391" i="1"/>
  <c r="AW391" i="1"/>
  <c r="AU310" i="1"/>
  <c r="AV310" i="1"/>
  <c r="AU300" i="1"/>
  <c r="AV300" i="1"/>
  <c r="AU555" i="1"/>
  <c r="AU545" i="1"/>
  <c r="AU503" i="1"/>
  <c r="AV503" i="1"/>
  <c r="AW503" i="1"/>
  <c r="AU498" i="1"/>
  <c r="AV498" i="1"/>
  <c r="AW498" i="1"/>
  <c r="AU482" i="1"/>
  <c r="AW482" i="1"/>
  <c r="AV473" i="1"/>
  <c r="AU434" i="1"/>
  <c r="AV424" i="1"/>
  <c r="AU320" i="1"/>
  <c r="AV320" i="1"/>
  <c r="AV552" i="1"/>
  <c r="AV542" i="1"/>
  <c r="AV532" i="1"/>
  <c r="AU487" i="1"/>
  <c r="AW487" i="1"/>
  <c r="AV482" i="1"/>
  <c r="AU452" i="1"/>
  <c r="AW452" i="1"/>
  <c r="AU404" i="1"/>
  <c r="AW404" i="1"/>
  <c r="AV369" i="1"/>
  <c r="AW369" i="1"/>
  <c r="AU330" i="1"/>
  <c r="AV330" i="1"/>
  <c r="AU309" i="1"/>
  <c r="AV309" i="1"/>
  <c r="AW309" i="1"/>
  <c r="AU299" i="1"/>
  <c r="AV299" i="1"/>
  <c r="AW299" i="1"/>
  <c r="AU576" i="1"/>
  <c r="AW576" i="1"/>
  <c r="AV564" i="1"/>
  <c r="AU521" i="1"/>
  <c r="AV517" i="1"/>
  <c r="AU507" i="1"/>
  <c r="AU492" i="1"/>
  <c r="AW492" i="1"/>
  <c r="AV487" i="1"/>
  <c r="AU457" i="1"/>
  <c r="AV452" i="1"/>
  <c r="AU429" i="1"/>
  <c r="AV429" i="1"/>
  <c r="AW429" i="1"/>
  <c r="AU414" i="1"/>
  <c r="AV404" i="1"/>
  <c r="AU369" i="1"/>
  <c r="AU345" i="1"/>
  <c r="AV345" i="1"/>
  <c r="AU319" i="1"/>
  <c r="AV319" i="1"/>
  <c r="AW319" i="1"/>
  <c r="AW584" i="1"/>
  <c r="AU561" i="1"/>
  <c r="AW561" i="1"/>
  <c r="AV528" i="1"/>
  <c r="AW528" i="1"/>
  <c r="AU497" i="1"/>
  <c r="AW497" i="1"/>
  <c r="AV492" i="1"/>
  <c r="AV457" i="1"/>
  <c r="AW457" i="1"/>
  <c r="AU447" i="1"/>
  <c r="AW447" i="1"/>
  <c r="AU384" i="1"/>
  <c r="AW384" i="1"/>
  <c r="AU374" i="1"/>
  <c r="AU329" i="1"/>
  <c r="AV329" i="1"/>
  <c r="AW329" i="1"/>
  <c r="AW684" i="1"/>
  <c r="AW679" i="1"/>
  <c r="AW674" i="1"/>
  <c r="AW669" i="1"/>
  <c r="AW664" i="1"/>
  <c r="AW659" i="1"/>
  <c r="AW654" i="1"/>
  <c r="AW649" i="1"/>
  <c r="AW644" i="1"/>
  <c r="AW639" i="1"/>
  <c r="AW634" i="1"/>
  <c r="AW629" i="1"/>
  <c r="AW624" i="1"/>
  <c r="AW619" i="1"/>
  <c r="AW614" i="1"/>
  <c r="AW609" i="1"/>
  <c r="AW604" i="1"/>
  <c r="AW599" i="1"/>
  <c r="AW594" i="1"/>
  <c r="AW589" i="1"/>
  <c r="AV584" i="1"/>
  <c r="AW573" i="1"/>
  <c r="AW558" i="1"/>
  <c r="AV548" i="1"/>
  <c r="AW548" i="1"/>
  <c r="AV538" i="1"/>
  <c r="AW538" i="1"/>
  <c r="AV512" i="1"/>
  <c r="AV497" i="1"/>
  <c r="AW481" i="1"/>
  <c r="AU467" i="1"/>
  <c r="AV467" i="1"/>
  <c r="AW467" i="1"/>
  <c r="AU442" i="1"/>
  <c r="AU437" i="1"/>
  <c r="AW437" i="1"/>
  <c r="AU409" i="1"/>
  <c r="AV409" i="1"/>
  <c r="AW409" i="1"/>
  <c r="AU394" i="1"/>
  <c r="AV384" i="1"/>
  <c r="AU349" i="1"/>
  <c r="AV349" i="1"/>
  <c r="AW349" i="1"/>
  <c r="AV340" i="1"/>
  <c r="AU286" i="1"/>
  <c r="AV286" i="1"/>
  <c r="AW286" i="1"/>
  <c r="AV684" i="1"/>
  <c r="AV679" i="1"/>
  <c r="AV674" i="1"/>
  <c r="AV669" i="1"/>
  <c r="AV664" i="1"/>
  <c r="AV659" i="1"/>
  <c r="AV654" i="1"/>
  <c r="AV649" i="1"/>
  <c r="AV644" i="1"/>
  <c r="AV639" i="1"/>
  <c r="AV634" i="1"/>
  <c r="AV629" i="1"/>
  <c r="AV624" i="1"/>
  <c r="AV619" i="1"/>
  <c r="AV614" i="1"/>
  <c r="AV609" i="1"/>
  <c r="AV604" i="1"/>
  <c r="AV599" i="1"/>
  <c r="AV594" i="1"/>
  <c r="AV589" i="1"/>
  <c r="AW575" i="1"/>
  <c r="AW520" i="1"/>
  <c r="AV507" i="1"/>
  <c r="AU481" i="1"/>
  <c r="AV481" i="1"/>
  <c r="AU472" i="1"/>
  <c r="AW472" i="1"/>
  <c r="AW462" i="1"/>
  <c r="AU451" i="1"/>
  <c r="AV451" i="1"/>
  <c r="AU357" i="1"/>
  <c r="AV357" i="1"/>
  <c r="AW357" i="1"/>
  <c r="AU334" i="1"/>
  <c r="AV334" i="1"/>
  <c r="AW334" i="1"/>
  <c r="AV581" i="1"/>
  <c r="AV578" i="1"/>
  <c r="AV575" i="1"/>
  <c r="AW554" i="1"/>
  <c r="AW544" i="1"/>
  <c r="AW534" i="1"/>
  <c r="AU524" i="1"/>
  <c r="AV524" i="1"/>
  <c r="AV520" i="1"/>
  <c r="AU486" i="1"/>
  <c r="AV486" i="1"/>
  <c r="AU462" i="1"/>
  <c r="AV462" i="1"/>
  <c r="AU417" i="1"/>
  <c r="AW417" i="1"/>
  <c r="AV389" i="1"/>
  <c r="AW389" i="1"/>
  <c r="AU581" i="1"/>
  <c r="AW557" i="1"/>
  <c r="AW547" i="1"/>
  <c r="AW537" i="1"/>
  <c r="AU511" i="1"/>
  <c r="AW496" i="1"/>
  <c r="AU491" i="1"/>
  <c r="AV491" i="1"/>
  <c r="AW475" i="1"/>
  <c r="AU475" i="1"/>
  <c r="AV475" i="1"/>
  <c r="AU466" i="1"/>
  <c r="AW466" i="1"/>
  <c r="AU456" i="1"/>
  <c r="AV456" i="1"/>
  <c r="AW456" i="1"/>
  <c r="AU441" i="1"/>
  <c r="AV441" i="1"/>
  <c r="AW441" i="1"/>
  <c r="AV397" i="1"/>
  <c r="AU389" i="1"/>
  <c r="AU339" i="1"/>
  <c r="AV339" i="1"/>
  <c r="AW339" i="1"/>
  <c r="AU554" i="1"/>
  <c r="AU544" i="1"/>
  <c r="AU534" i="1"/>
  <c r="AW506" i="1"/>
  <c r="AW501" i="1"/>
  <c r="AU496" i="1"/>
  <c r="AV496" i="1"/>
  <c r="AU397" i="1"/>
  <c r="AW397" i="1"/>
  <c r="AU367" i="1"/>
  <c r="AU361" i="1"/>
  <c r="AV361" i="1"/>
  <c r="AW361" i="1"/>
  <c r="AU307" i="1"/>
  <c r="AV307" i="1"/>
  <c r="AW307" i="1"/>
  <c r="AU297" i="1"/>
  <c r="AV297" i="1"/>
  <c r="AW297" i="1"/>
  <c r="AU506" i="1"/>
  <c r="AV506" i="1"/>
  <c r="AU501" i="1"/>
  <c r="AV501" i="1"/>
  <c r="AU480" i="1"/>
  <c r="AW480" i="1"/>
  <c r="AU461" i="1"/>
  <c r="AW461" i="1"/>
  <c r="AU421" i="1"/>
  <c r="AV421" i="1"/>
  <c r="AW421" i="1"/>
  <c r="AV367" i="1"/>
  <c r="AW367" i="1"/>
  <c r="AU317" i="1"/>
  <c r="AV317" i="1"/>
  <c r="AW317" i="1"/>
  <c r="AW578" i="1"/>
  <c r="AU566" i="1"/>
  <c r="AW566" i="1"/>
  <c r="AV527" i="1"/>
  <c r="AV510" i="1"/>
  <c r="AV495" i="1"/>
  <c r="AU490" i="1"/>
  <c r="AV427" i="1"/>
  <c r="AW427" i="1"/>
  <c r="AU377" i="1"/>
  <c r="AW377" i="1"/>
  <c r="AU372" i="1"/>
  <c r="AV372" i="1"/>
  <c r="AW372" i="1"/>
  <c r="AW580" i="1"/>
  <c r="AV557" i="1"/>
  <c r="AV547" i="1"/>
  <c r="AV537" i="1"/>
  <c r="AV505" i="1"/>
  <c r="AV500" i="1"/>
  <c r="AV465" i="1"/>
  <c r="AV440" i="1"/>
  <c r="AU407" i="1"/>
  <c r="AU401" i="1"/>
  <c r="AV401" i="1"/>
  <c r="AW401" i="1"/>
  <c r="AU366" i="1"/>
  <c r="AV366" i="1"/>
  <c r="AW366" i="1"/>
  <c r="AU327" i="1"/>
  <c r="AV327" i="1"/>
  <c r="AW327" i="1"/>
  <c r="AW698" i="1"/>
  <c r="AW693" i="1"/>
  <c r="AW688" i="1"/>
  <c r="AW683" i="1"/>
  <c r="AW678" i="1"/>
  <c r="AW673" i="1"/>
  <c r="AW668" i="1"/>
  <c r="AW663" i="1"/>
  <c r="AW658" i="1"/>
  <c r="AW653" i="1"/>
  <c r="AW648" i="1"/>
  <c r="AW643" i="1"/>
  <c r="AW638" i="1"/>
  <c r="AW633" i="1"/>
  <c r="AW628" i="1"/>
  <c r="AW623" i="1"/>
  <c r="AW618" i="1"/>
  <c r="AW613" i="1"/>
  <c r="AW608" i="1"/>
  <c r="AW603" i="1"/>
  <c r="AW598" i="1"/>
  <c r="AW593" i="1"/>
  <c r="AW588" i="1"/>
  <c r="AV580" i="1"/>
  <c r="AW563" i="1"/>
  <c r="AV523" i="1"/>
  <c r="AW523" i="1"/>
  <c r="AU426" i="1"/>
  <c r="AV426" i="1"/>
  <c r="AW426" i="1"/>
  <c r="AV407" i="1"/>
  <c r="AW407" i="1"/>
  <c r="AV698" i="1"/>
  <c r="AV693" i="1"/>
  <c r="AV688" i="1"/>
  <c r="AV683" i="1"/>
  <c r="AV678" i="1"/>
  <c r="AV673" i="1"/>
  <c r="AV668" i="1"/>
  <c r="AV663" i="1"/>
  <c r="AV658" i="1"/>
  <c r="AV653" i="1"/>
  <c r="AV648" i="1"/>
  <c r="AV643" i="1"/>
  <c r="AV638" i="1"/>
  <c r="AV633" i="1"/>
  <c r="AV628" i="1"/>
  <c r="AV623" i="1"/>
  <c r="AV618" i="1"/>
  <c r="AV613" i="1"/>
  <c r="AV608" i="1"/>
  <c r="AV603" i="1"/>
  <c r="AV598" i="1"/>
  <c r="AV593" i="1"/>
  <c r="AV588" i="1"/>
  <c r="AW577" i="1"/>
  <c r="AW574" i="1"/>
  <c r="AU381" i="1"/>
  <c r="AV381" i="1"/>
  <c r="AW381" i="1"/>
  <c r="AU360" i="1"/>
  <c r="AV360" i="1"/>
  <c r="AV574" i="1"/>
  <c r="AW559" i="1"/>
  <c r="AV553" i="1"/>
  <c r="AW553" i="1"/>
  <c r="AV543" i="1"/>
  <c r="AW543" i="1"/>
  <c r="AV533" i="1"/>
  <c r="AW533" i="1"/>
  <c r="AU484" i="1"/>
  <c r="AU460" i="1"/>
  <c r="AV460" i="1"/>
  <c r="AU406" i="1"/>
  <c r="AV406" i="1"/>
  <c r="AW406" i="1"/>
  <c r="AV387" i="1"/>
  <c r="AW387" i="1"/>
  <c r="AU371" i="1"/>
  <c r="AV371" i="1"/>
  <c r="AW371" i="1"/>
  <c r="AU337" i="1"/>
  <c r="AW337" i="1"/>
  <c r="AW585" i="1"/>
  <c r="AW583" i="1"/>
  <c r="AW562" i="1"/>
  <c r="AU556" i="1"/>
  <c r="AW556" i="1"/>
  <c r="AU546" i="1"/>
  <c r="AU536" i="1"/>
  <c r="AU489" i="1"/>
  <c r="AV454" i="1"/>
  <c r="AU431" i="1"/>
  <c r="AV431" i="1"/>
  <c r="AW431" i="1"/>
  <c r="AV400" i="1"/>
  <c r="AU571" i="1"/>
  <c r="AW571" i="1"/>
  <c r="AV518" i="1"/>
  <c r="AW518" i="1"/>
  <c r="AU454" i="1"/>
  <c r="AW454" i="1"/>
  <c r="AU449" i="1"/>
  <c r="AV449" i="1"/>
  <c r="AW449" i="1"/>
  <c r="AU386" i="1"/>
  <c r="AV386" i="1"/>
  <c r="AW386" i="1"/>
  <c r="AV660" i="1"/>
  <c r="AV655" i="1"/>
  <c r="AV650" i="1"/>
  <c r="AV645" i="1"/>
  <c r="AV640" i="1"/>
  <c r="AV635" i="1"/>
  <c r="AV630" i="1"/>
  <c r="AV625" i="1"/>
  <c r="AV620" i="1"/>
  <c r="AV615" i="1"/>
  <c r="AV610" i="1"/>
  <c r="AV605" i="1"/>
  <c r="AV600" i="1"/>
  <c r="AV595" i="1"/>
  <c r="AV590" i="1"/>
  <c r="AU559" i="1"/>
  <c r="AW552" i="1"/>
  <c r="AW542" i="1"/>
  <c r="AW532" i="1"/>
  <c r="AU529" i="1"/>
  <c r="AV529" i="1"/>
  <c r="AU483" i="1"/>
  <c r="AV483" i="1"/>
  <c r="AW483" i="1"/>
  <c r="AU411" i="1"/>
  <c r="AV411" i="1"/>
  <c r="AW411" i="1"/>
  <c r="AU342" i="1"/>
  <c r="AV342" i="1"/>
  <c r="AU305" i="1"/>
  <c r="AV305" i="1"/>
  <c r="AW568" i="1"/>
  <c r="AU552" i="1"/>
  <c r="AU549" i="1"/>
  <c r="AU542" i="1"/>
  <c r="AU539" i="1"/>
  <c r="AV513" i="1"/>
  <c r="AW513" i="1"/>
  <c r="AU488" i="1"/>
  <c r="AV488" i="1"/>
  <c r="AW488" i="1"/>
  <c r="AU453" i="1"/>
  <c r="AV453" i="1"/>
  <c r="AW453" i="1"/>
  <c r="AU375" i="1"/>
  <c r="AV375" i="1"/>
  <c r="AU370" i="1"/>
  <c r="AU364" i="1"/>
  <c r="AW364" i="1"/>
  <c r="AU354" i="1"/>
  <c r="AU325" i="1"/>
  <c r="AV325" i="1"/>
  <c r="AU478" i="1"/>
  <c r="AW464" i="1"/>
  <c r="AW439" i="1"/>
  <c r="AW436" i="1"/>
  <c r="AW419" i="1"/>
  <c r="AW416" i="1"/>
  <c r="AW399" i="1"/>
  <c r="AW396" i="1"/>
  <c r="AW379" i="1"/>
  <c r="AW376" i="1"/>
  <c r="AW359" i="1"/>
  <c r="AW356" i="1"/>
  <c r="AW347" i="1"/>
  <c r="AW322" i="1"/>
  <c r="AW312" i="1"/>
  <c r="AV292" i="1"/>
  <c r="AW470" i="1"/>
  <c r="AW445" i="1"/>
  <c r="AW277" i="1"/>
  <c r="AW425" i="1"/>
  <c r="AW405" i="1"/>
  <c r="AW385" i="1"/>
  <c r="AW365" i="1"/>
  <c r="AU338" i="1"/>
  <c r="AV338" i="1"/>
  <c r="AW335" i="1"/>
  <c r="AU353" i="1"/>
  <c r="AV353" i="1"/>
  <c r="AV477" i="1"/>
  <c r="AW469" i="1"/>
  <c r="AW458" i="1"/>
  <c r="AW444" i="1"/>
  <c r="AU433" i="1"/>
  <c r="AV433" i="1"/>
  <c r="AU413" i="1"/>
  <c r="AV413" i="1"/>
  <c r="AU393" i="1"/>
  <c r="AV393" i="1"/>
  <c r="AU373" i="1"/>
  <c r="AV373" i="1"/>
  <c r="AU285" i="1"/>
  <c r="AW285" i="1"/>
  <c r="AU281" i="1"/>
  <c r="AV281" i="1"/>
  <c r="AW281" i="1"/>
  <c r="AV469" i="1"/>
  <c r="AV455" i="1"/>
  <c r="AW450" i="1"/>
  <c r="AV444" i="1"/>
  <c r="AW350" i="1"/>
  <c r="AW291" i="1"/>
  <c r="AU288" i="1"/>
  <c r="AV288" i="1"/>
  <c r="AU458" i="1"/>
  <c r="AU455" i="1"/>
  <c r="AU331" i="1"/>
  <c r="AV331" i="1"/>
  <c r="AU328" i="1"/>
  <c r="AV328" i="1"/>
  <c r="AW325" i="1"/>
  <c r="AU276" i="1"/>
  <c r="AV276" i="1"/>
  <c r="AW276" i="1"/>
  <c r="AU272" i="1"/>
  <c r="AV272" i="1"/>
  <c r="AW272" i="1"/>
  <c r="AV242" i="1"/>
  <c r="AW242" i="1"/>
  <c r="AW430" i="1"/>
  <c r="AW410" i="1"/>
  <c r="AW390" i="1"/>
  <c r="AW370" i="1"/>
  <c r="AU318" i="1"/>
  <c r="AV318" i="1"/>
  <c r="AW315" i="1"/>
  <c r="AU308" i="1"/>
  <c r="AV308" i="1"/>
  <c r="AW305" i="1"/>
  <c r="AU298" i="1"/>
  <c r="AV298" i="1"/>
  <c r="AW295" i="1"/>
  <c r="AU291" i="1"/>
  <c r="AU438" i="1"/>
  <c r="AV438" i="1"/>
  <c r="AU418" i="1"/>
  <c r="AV418" i="1"/>
  <c r="AU398" i="1"/>
  <c r="AV398" i="1"/>
  <c r="AU378" i="1"/>
  <c r="AV378" i="1"/>
  <c r="AU358" i="1"/>
  <c r="AV358" i="1"/>
  <c r="AU321" i="1"/>
  <c r="AV321" i="1"/>
  <c r="AU311" i="1"/>
  <c r="AV311" i="1"/>
  <c r="AU271" i="1"/>
  <c r="AV271" i="1"/>
  <c r="AW271" i="1"/>
  <c r="AV519" i="1"/>
  <c r="AV514" i="1"/>
  <c r="AV509" i="1"/>
  <c r="AV504" i="1"/>
  <c r="AV499" i="1"/>
  <c r="AV494" i="1"/>
  <c r="AV489" i="1"/>
  <c r="AV484" i="1"/>
  <c r="AV479" i="1"/>
  <c r="AV471" i="1"/>
  <c r="AU343" i="1"/>
  <c r="AV343" i="1"/>
  <c r="AW340" i="1"/>
  <c r="AV324" i="1"/>
  <c r="AW476" i="1"/>
  <c r="AW355" i="1"/>
  <c r="AU314" i="1"/>
  <c r="AV314" i="1"/>
  <c r="AU304" i="1"/>
  <c r="AV304" i="1"/>
  <c r="AV476" i="1"/>
  <c r="AW468" i="1"/>
  <c r="AW443" i="1"/>
  <c r="AW435" i="1"/>
  <c r="AW415" i="1"/>
  <c r="AW395" i="1"/>
  <c r="AW375" i="1"/>
  <c r="AW551" i="1"/>
  <c r="AW546" i="1"/>
  <c r="AW541" i="1"/>
  <c r="AW536" i="1"/>
  <c r="AW531" i="1"/>
  <c r="AW526" i="1"/>
  <c r="AW521" i="1"/>
  <c r="AW516" i="1"/>
  <c r="AW511" i="1"/>
  <c r="AV468" i="1"/>
  <c r="AW460" i="1"/>
  <c r="AV443" i="1"/>
  <c r="AU423" i="1"/>
  <c r="AV423" i="1"/>
  <c r="AU403" i="1"/>
  <c r="AV403" i="1"/>
  <c r="AU383" i="1"/>
  <c r="AV383" i="1"/>
  <c r="AU363" i="1"/>
  <c r="AV363" i="1"/>
  <c r="AW354" i="1"/>
  <c r="AU336" i="1"/>
  <c r="AV336" i="1"/>
  <c r="AU333" i="1"/>
  <c r="AV333" i="1"/>
  <c r="AW330" i="1"/>
  <c r="AU293" i="1"/>
  <c r="AV293" i="1"/>
  <c r="AW293" i="1"/>
  <c r="AU283" i="1"/>
  <c r="AV283" i="1"/>
  <c r="AW434" i="1"/>
  <c r="AW414" i="1"/>
  <c r="AW394" i="1"/>
  <c r="AW374" i="1"/>
  <c r="AV354" i="1"/>
  <c r="AW459" i="1"/>
  <c r="AV434" i="1"/>
  <c r="AV414" i="1"/>
  <c r="AV394" i="1"/>
  <c r="AV374" i="1"/>
  <c r="AW478" i="1"/>
  <c r="AV470" i="1"/>
  <c r="AW465" i="1"/>
  <c r="AV459" i="1"/>
  <c r="AV445" i="1"/>
  <c r="AW442" i="1"/>
  <c r="AW440" i="1"/>
  <c r="AW422" i="1"/>
  <c r="AW402" i="1"/>
  <c r="AW400" i="1"/>
  <c r="AW382" i="1"/>
  <c r="AW362" i="1"/>
  <c r="AW360" i="1"/>
  <c r="AU348" i="1"/>
  <c r="AV348" i="1"/>
  <c r="AW332" i="1"/>
  <c r="AU323" i="1"/>
  <c r="AV323" i="1"/>
  <c r="AW320" i="1"/>
  <c r="AU313" i="1"/>
  <c r="AV313" i="1"/>
  <c r="AW310" i="1"/>
  <c r="AU303" i="1"/>
  <c r="AV303" i="1"/>
  <c r="AW300" i="1"/>
  <c r="AV478" i="1"/>
  <c r="AU473" i="1"/>
  <c r="AU470" i="1"/>
  <c r="AU448" i="1"/>
  <c r="AU445" i="1"/>
  <c r="AV442" i="1"/>
  <c r="AV425" i="1"/>
  <c r="AV422" i="1"/>
  <c r="AV405" i="1"/>
  <c r="AV402" i="1"/>
  <c r="AV385" i="1"/>
  <c r="AV382" i="1"/>
  <c r="AV365" i="1"/>
  <c r="AV362" i="1"/>
  <c r="AW345" i="1"/>
  <c r="AV335" i="1"/>
  <c r="AU326" i="1"/>
  <c r="AV326" i="1"/>
  <c r="AU278" i="1"/>
  <c r="AV257" i="1"/>
  <c r="AU428" i="1"/>
  <c r="AV428" i="1"/>
  <c r="AU425" i="1"/>
  <c r="AU408" i="1"/>
  <c r="AV408" i="1"/>
  <c r="AU405" i="1"/>
  <c r="AU388" i="1"/>
  <c r="AV388" i="1"/>
  <c r="AU385" i="1"/>
  <c r="AU368" i="1"/>
  <c r="AV368" i="1"/>
  <c r="AU365" i="1"/>
  <c r="AU316" i="1"/>
  <c r="AV316" i="1"/>
  <c r="AU306" i="1"/>
  <c r="AV306" i="1"/>
  <c r="AU296" i="1"/>
  <c r="AV296" i="1"/>
  <c r="AW292" i="1"/>
  <c r="AU248" i="1"/>
  <c r="AW248" i="1"/>
  <c r="AU241" i="1"/>
  <c r="AW241" i="1"/>
  <c r="AU154" i="1"/>
  <c r="AV154" i="1"/>
  <c r="AW154" i="1"/>
  <c r="AU35" i="1"/>
  <c r="AV35" i="1"/>
  <c r="AW35" i="1"/>
  <c r="AU15" i="1"/>
  <c r="AV15" i="1"/>
  <c r="AW15" i="1"/>
  <c r="AU255" i="1"/>
  <c r="AW255" i="1"/>
  <c r="AU223" i="1"/>
  <c r="AW223" i="1"/>
  <c r="AU216" i="1"/>
  <c r="AW216" i="1"/>
  <c r="AU150" i="1"/>
  <c r="AU262" i="1"/>
  <c r="AU244" i="1"/>
  <c r="AW244" i="1"/>
  <c r="AU237" i="1"/>
  <c r="AU230" i="1"/>
  <c r="AW230" i="1"/>
  <c r="AU201" i="1"/>
  <c r="AW201" i="1"/>
  <c r="AU193" i="1"/>
  <c r="AV193" i="1"/>
  <c r="AW193" i="1"/>
  <c r="AU189" i="1"/>
  <c r="AV189" i="1"/>
  <c r="AW189" i="1"/>
  <c r="AU109" i="1"/>
  <c r="AU84" i="1"/>
  <c r="AU80" i="1"/>
  <c r="AV80" i="1"/>
  <c r="AW80" i="1"/>
  <c r="AU59" i="1"/>
  <c r="AU55" i="1"/>
  <c r="AV55" i="1"/>
  <c r="AW55" i="1"/>
  <c r="AU265" i="1"/>
  <c r="AW265" i="1"/>
  <c r="AU219" i="1"/>
  <c r="AW219" i="1"/>
  <c r="AU208" i="1"/>
  <c r="AW208" i="1"/>
  <c r="AU173" i="1"/>
  <c r="AV173" i="1"/>
  <c r="AW173" i="1"/>
  <c r="AU10" i="1"/>
  <c r="AV10" i="1"/>
  <c r="AW10" i="1"/>
  <c r="AU289" i="1"/>
  <c r="AW289" i="1"/>
  <c r="AU258" i="1"/>
  <c r="AU251" i="1"/>
  <c r="AW251" i="1"/>
  <c r="AU233" i="1"/>
  <c r="AW233" i="1"/>
  <c r="AU204" i="1"/>
  <c r="AV204" i="1"/>
  <c r="AW204" i="1"/>
  <c r="AU185" i="1"/>
  <c r="AU169" i="1"/>
  <c r="AV169" i="1"/>
  <c r="AW169" i="1"/>
  <c r="AU34" i="1"/>
  <c r="AU14" i="1"/>
  <c r="AU254" i="1"/>
  <c r="AW254" i="1"/>
  <c r="AU240" i="1"/>
  <c r="AW240" i="1"/>
  <c r="AU181" i="1"/>
  <c r="AU149" i="1"/>
  <c r="AV149" i="1"/>
  <c r="AW149" i="1"/>
  <c r="AU30" i="1"/>
  <c r="AV30" i="1"/>
  <c r="AW30" i="1"/>
  <c r="AU247" i="1"/>
  <c r="AU226" i="1"/>
  <c r="AW226" i="1"/>
  <c r="AU215" i="1"/>
  <c r="AU125" i="1"/>
  <c r="AU104" i="1"/>
  <c r="AV100" i="1"/>
  <c r="AW100" i="1"/>
  <c r="AU79" i="1"/>
  <c r="AU75" i="1"/>
  <c r="AV75" i="1"/>
  <c r="AW75" i="1"/>
  <c r="AU54" i="1"/>
  <c r="AU50" i="1"/>
  <c r="AV50" i="1"/>
  <c r="AW50" i="1"/>
  <c r="AU229" i="1"/>
  <c r="AW229" i="1"/>
  <c r="AU222" i="1"/>
  <c r="AV222" i="1"/>
  <c r="AU188" i="1"/>
  <c r="AV188" i="1"/>
  <c r="AW188" i="1"/>
  <c r="AU5" i="1"/>
  <c r="AV5" i="1"/>
  <c r="AW5" i="1"/>
  <c r="AU277" i="1"/>
  <c r="AU264" i="1"/>
  <c r="AW264" i="1"/>
  <c r="AU261" i="1"/>
  <c r="AW261" i="1"/>
  <c r="AW253" i="1"/>
  <c r="AU243" i="1"/>
  <c r="AW243" i="1"/>
  <c r="AU236" i="1"/>
  <c r="AW236" i="1"/>
  <c r="AV232" i="1"/>
  <c r="AU211" i="1"/>
  <c r="AW211" i="1"/>
  <c r="AU196" i="1"/>
  <c r="AU184" i="1"/>
  <c r="AV184" i="1"/>
  <c r="AW184" i="1"/>
  <c r="AU294" i="1"/>
  <c r="AW294" i="1"/>
  <c r="AU274" i="1"/>
  <c r="AW274" i="1"/>
  <c r="AU250" i="1"/>
  <c r="AW250" i="1"/>
  <c r="AU239" i="1"/>
  <c r="AW239" i="1"/>
  <c r="AU218" i="1"/>
  <c r="AW218" i="1"/>
  <c r="AU168" i="1"/>
  <c r="AV168" i="1"/>
  <c r="AW168" i="1"/>
  <c r="AU29" i="1"/>
  <c r="AU4" i="1"/>
  <c r="AU257" i="1"/>
  <c r="AU214" i="1"/>
  <c r="AV214" i="1"/>
  <c r="AW214" i="1"/>
  <c r="AU203" i="1"/>
  <c r="AW203" i="1"/>
  <c r="AU199" i="1"/>
  <c r="AV199" i="1"/>
  <c r="AW199" i="1"/>
  <c r="AU164" i="1"/>
  <c r="AV164" i="1"/>
  <c r="AW164" i="1"/>
  <c r="AU144" i="1"/>
  <c r="AV144" i="1"/>
  <c r="AW144" i="1"/>
  <c r="AU99" i="1"/>
  <c r="AV95" i="1"/>
  <c r="AW95" i="1"/>
  <c r="AU70" i="1"/>
  <c r="AV70" i="1"/>
  <c r="AW70" i="1"/>
  <c r="AU45" i="1"/>
  <c r="AV45" i="1"/>
  <c r="AW45" i="1"/>
  <c r="AU25" i="1"/>
  <c r="AV25" i="1"/>
  <c r="AW25" i="1"/>
  <c r="AU160" i="1"/>
  <c r="AW273" i="1"/>
  <c r="AU267" i="1"/>
  <c r="AV263" i="1"/>
  <c r="AU253" i="1"/>
  <c r="AU246" i="1"/>
  <c r="AW246" i="1"/>
  <c r="AV3" i="1"/>
  <c r="AW3" i="1"/>
  <c r="AV273" i="1"/>
  <c r="AU235" i="1"/>
  <c r="AW235" i="1"/>
  <c r="AU228" i="1"/>
  <c r="AW228" i="1"/>
  <c r="AU221" i="1"/>
  <c r="AW221" i="1"/>
  <c r="AU183" i="1"/>
  <c r="AV183" i="1"/>
  <c r="AW183" i="1"/>
  <c r="AU179" i="1"/>
  <c r="AV179" i="1"/>
  <c r="AW179" i="1"/>
  <c r="AU3" i="1"/>
  <c r="AU279" i="1"/>
  <c r="AW279" i="1"/>
  <c r="AU270" i="1"/>
  <c r="AW270" i="1"/>
  <c r="AU249" i="1"/>
  <c r="AW249" i="1"/>
  <c r="AU242" i="1"/>
  <c r="AU119" i="1"/>
  <c r="AU94" i="1"/>
  <c r="AV90" i="1"/>
  <c r="AW90" i="1"/>
  <c r="AU69" i="1"/>
  <c r="AU65" i="1"/>
  <c r="AV65" i="1"/>
  <c r="AW65" i="1"/>
  <c r="AU44" i="1"/>
  <c r="AU24" i="1"/>
  <c r="AU238" i="1"/>
  <c r="AW238" i="1"/>
  <c r="AU224" i="1"/>
  <c r="AW224" i="1"/>
  <c r="AU206" i="1"/>
  <c r="AW206" i="1"/>
  <c r="AU163" i="1"/>
  <c r="AV163" i="1"/>
  <c r="AW163" i="1"/>
  <c r="AU159" i="1"/>
  <c r="AV159" i="1"/>
  <c r="AW159" i="1"/>
  <c r="AU139" i="1"/>
  <c r="AV139" i="1"/>
  <c r="AW139" i="1"/>
  <c r="AU40" i="1"/>
  <c r="AV40" i="1"/>
  <c r="AW40" i="1"/>
  <c r="AU20" i="1"/>
  <c r="AV20" i="1"/>
  <c r="AW20" i="1"/>
  <c r="AU12" i="1"/>
  <c r="AU256" i="1"/>
  <c r="AW256" i="1"/>
  <c r="AW227" i="1"/>
  <c r="AU213" i="1"/>
  <c r="AW213" i="1"/>
  <c r="AU198" i="1"/>
  <c r="AW198" i="1"/>
  <c r="AU155" i="1"/>
  <c r="AU135" i="1"/>
  <c r="AW278" i="1"/>
  <c r="AU259" i="1"/>
  <c r="AW259" i="1"/>
  <c r="AV248" i="1"/>
  <c r="AU245" i="1"/>
  <c r="AW245" i="1"/>
  <c r="AV241" i="1"/>
  <c r="AU231" i="1"/>
  <c r="AW231" i="1"/>
  <c r="AV227" i="1"/>
  <c r="AU209" i="1"/>
  <c r="AV209" i="1"/>
  <c r="AW209" i="1"/>
  <c r="AU194" i="1"/>
  <c r="AV194" i="1"/>
  <c r="AW194" i="1"/>
  <c r="AU2" i="1"/>
  <c r="AU287" i="1"/>
  <c r="AV278" i="1"/>
  <c r="AU266" i="1"/>
  <c r="AW266" i="1"/>
  <c r="AW262" i="1"/>
  <c r="AU252" i="1"/>
  <c r="AW237" i="1"/>
  <c r="AU234" i="1"/>
  <c r="AW234" i="1"/>
  <c r="AV223" i="1"/>
  <c r="AU220" i="1"/>
  <c r="AV216" i="1"/>
  <c r="AU178" i="1"/>
  <c r="AV178" i="1"/>
  <c r="AW178" i="1"/>
  <c r="AU174" i="1"/>
  <c r="AV174" i="1"/>
  <c r="AW174" i="1"/>
  <c r="AV85" i="1"/>
  <c r="AW85" i="1"/>
  <c r="AU60" i="1"/>
  <c r="AV60" i="1"/>
  <c r="AW60" i="1"/>
  <c r="AU7" i="1"/>
  <c r="AU284" i="1"/>
  <c r="AW284" i="1"/>
  <c r="AU269" i="1"/>
  <c r="AW269" i="1"/>
  <c r="AV262" i="1"/>
  <c r="AV255" i="1"/>
  <c r="AV237" i="1"/>
  <c r="AV201" i="1"/>
  <c r="AU186" i="1"/>
  <c r="AU110" i="1"/>
  <c r="AU85" i="1"/>
  <c r="AU39" i="1"/>
  <c r="AU19" i="1"/>
  <c r="AW196" i="1"/>
  <c r="AW191" i="1"/>
  <c r="AW186" i="1"/>
  <c r="AW181" i="1"/>
  <c r="AW176" i="1"/>
  <c r="AW171" i="1"/>
  <c r="AW166" i="1"/>
  <c r="AW161" i="1"/>
  <c r="AW156" i="1"/>
  <c r="AW151" i="1"/>
  <c r="AW146" i="1"/>
  <c r="AW141" i="1"/>
  <c r="AW136"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W158" i="1"/>
  <c r="AW153" i="1"/>
  <c r="AW148" i="1"/>
  <c r="AW143" i="1"/>
  <c r="AW138" i="1"/>
  <c r="AW133" i="1"/>
  <c r="AW128" i="1"/>
  <c r="AW123" i="1"/>
  <c r="AW118" i="1"/>
  <c r="AW113" i="1"/>
  <c r="AW108" i="1"/>
  <c r="AW103" i="1"/>
  <c r="AW98" i="1"/>
  <c r="AW93" i="1"/>
  <c r="AW88" i="1"/>
  <c r="AW83" i="1"/>
  <c r="AW78" i="1"/>
  <c r="AW73" i="1"/>
  <c r="AW68" i="1"/>
  <c r="AW63" i="1"/>
  <c r="AW58" i="1"/>
  <c r="AW53" i="1"/>
  <c r="AW48" i="1"/>
  <c r="AV158" i="1"/>
  <c r="AV153" i="1"/>
  <c r="AV148" i="1"/>
  <c r="AV143" i="1"/>
  <c r="AV138" i="1"/>
  <c r="AV133" i="1"/>
  <c r="AV128" i="1"/>
  <c r="AV123" i="1"/>
  <c r="AV118" i="1"/>
  <c r="AV113" i="1"/>
  <c r="AV108" i="1"/>
  <c r="AV103" i="1"/>
  <c r="AV98" i="1"/>
  <c r="AV93" i="1"/>
  <c r="AV88" i="1"/>
  <c r="AV83" i="1"/>
  <c r="AV78" i="1"/>
  <c r="AV73" i="1"/>
  <c r="AV68" i="1"/>
  <c r="AV63" i="1"/>
  <c r="AV58" i="1"/>
  <c r="AV53" i="1"/>
  <c r="AV48" i="1"/>
  <c r="AW220" i="1"/>
  <c r="AW215" i="1"/>
  <c r="AW210" i="1"/>
  <c r="AW200" i="1"/>
  <c r="AW195" i="1"/>
  <c r="AW190" i="1"/>
  <c r="AW185" i="1"/>
  <c r="AW180" i="1"/>
  <c r="AW175" i="1"/>
  <c r="AW170" i="1"/>
  <c r="AW165" i="1"/>
  <c r="AW160" i="1"/>
  <c r="AW155" i="1"/>
  <c r="AW150" i="1"/>
  <c r="AW140" i="1"/>
  <c r="AW135" i="1"/>
  <c r="AW130" i="1"/>
  <c r="AW125" i="1"/>
  <c r="AW120" i="1"/>
  <c r="AW115" i="1"/>
  <c r="AW110" i="1"/>
  <c r="AW105" i="1"/>
  <c r="AW7" i="1"/>
  <c r="AW2" i="1"/>
  <c r="AV217" i="1"/>
  <c r="AV212" i="1"/>
  <c r="AV207" i="1"/>
  <c r="AV202" i="1"/>
  <c r="AV197" i="1"/>
  <c r="AV192" i="1"/>
  <c r="AV187" i="1"/>
  <c r="AV182" i="1"/>
  <c r="AV177" i="1"/>
  <c r="AV172" i="1"/>
  <c r="AV167" i="1"/>
  <c r="AV162" i="1"/>
  <c r="AV157" i="1"/>
  <c r="AV152" i="1"/>
  <c r="AV147" i="1"/>
  <c r="AV142" i="1"/>
  <c r="AV137" i="1"/>
  <c r="AV132" i="1"/>
  <c r="AV127" i="1"/>
  <c r="AV122" i="1"/>
  <c r="AV117" i="1"/>
  <c r="AV112" i="1"/>
  <c r="AV107" i="1"/>
  <c r="AV102" i="1"/>
  <c r="AV97" i="1"/>
  <c r="AV92" i="1"/>
  <c r="AV37" i="1"/>
  <c r="AV32" i="1"/>
  <c r="AV27" i="1"/>
  <c r="AV22" i="1"/>
  <c r="AV17" i="1"/>
  <c r="AV12" i="1"/>
  <c r="AV7" i="1"/>
  <c r="AV2"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V545" i="1" l="1"/>
  <c r="AV205" i="1"/>
  <c r="AV260" i="1"/>
  <c r="AU145" i="1"/>
  <c r="AU165" i="1"/>
  <c r="AW380" i="1"/>
  <c r="AW280" i="1"/>
  <c r="AW182" i="1"/>
  <c r="AV341" i="1"/>
  <c r="AV741" i="1"/>
  <c r="AU341" i="1"/>
  <c r="AW147" i="1"/>
  <c r="AW225" i="1"/>
  <c r="AW420" i="1"/>
  <c r="AV301" i="1"/>
  <c r="AW680" i="1"/>
  <c r="AV131" i="1"/>
  <c r="AW260" i="1"/>
  <c r="AU301" i="1"/>
  <c r="AU47" i="1"/>
  <c r="AW711" i="1"/>
  <c r="AW145" i="1"/>
</calcChain>
</file>

<file path=xl/sharedStrings.xml><?xml version="1.0" encoding="utf-8"?>
<sst xmlns="http://schemas.openxmlformats.org/spreadsheetml/2006/main" count="16312" uniqueCount="10710">
  <si>
    <t>undefined</t>
  </si>
  <si>
    <t>Journal</t>
  </si>
  <si>
    <t>Review of Scientific Instruments</t>
  </si>
  <si>
    <t>United States</t>
  </si>
  <si>
    <t>Cambridge</t>
  </si>
  <si>
    <t>Article</t>
  </si>
  <si>
    <t>ar</t>
  </si>
  <si>
    <t>n</t>
  </si>
  <si>
    <t>International Journal of Infrared and Millimeter Waves</t>
  </si>
  <si>
    <t>Germany;Germany</t>
  </si>
  <si>
    <t>India;India;India</t>
  </si>
  <si>
    <t>Portugal</t>
  </si>
  <si>
    <t>Lisbon</t>
  </si>
  <si>
    <t>Instituto Superior T√©cnico</t>
  </si>
  <si>
    <t>United States;United States;United States;United States</t>
  </si>
  <si>
    <t>Garching bei Munchen;Stuttgart</t>
  </si>
  <si>
    <t>Max Planck Institute for Plasma Physics;Universit√§t Stuttgart</t>
  </si>
  <si>
    <t>60026838;60015815</t>
  </si>
  <si>
    <t>Hirsch M.</t>
  </si>
  <si>
    <t>Doppler reflectometry for the investigation of propagating density perturbations</t>
  </si>
  <si>
    <t>National Science Foundation</t>
  </si>
  <si>
    <t>NSF</t>
  </si>
  <si>
    <t>60001439;60001439</t>
  </si>
  <si>
    <t>University Park</t>
  </si>
  <si>
    <t>Pennsylvania State University</t>
  </si>
  <si>
    <t>Earth, Planets and Space</t>
  </si>
  <si>
    <t>Japan</t>
  </si>
  <si>
    <t>Tsukuba</t>
  </si>
  <si>
    <t>23-30</t>
  </si>
  <si>
    <t>Japan;United States</t>
  </si>
  <si>
    <t>Germany;United States</t>
  </si>
  <si>
    <t>France;France;France</t>
  </si>
  <si>
    <t>Telecommunications and Radio Engineering (English translation of Elektrosvyaz and Radiotekhnika)</t>
  </si>
  <si>
    <t>Fusion Engineering and Design</t>
  </si>
  <si>
    <t>Kashiwa</t>
  </si>
  <si>
    <t>Japan Atomic Energy Agency</t>
  </si>
  <si>
    <t>Thom√§ R.</t>
  </si>
  <si>
    <t>United Kingdom</t>
  </si>
  <si>
    <t>Sheffield</t>
  </si>
  <si>
    <t>The University of Sheffield</t>
  </si>
  <si>
    <t>Sdralia V.</t>
  </si>
  <si>
    <t>Davis</t>
  </si>
  <si>
    <t>University of California, Davis</t>
  </si>
  <si>
    <t>Progress in Electromagnetics Research</t>
  </si>
  <si>
    <t>United States;United States</t>
  </si>
  <si>
    <t>Japan;Japan</t>
  </si>
  <si>
    <t>Germany</t>
  </si>
  <si>
    <t>Munich</t>
  </si>
  <si>
    <t>Technical University of Munich</t>
  </si>
  <si>
    <t>South Korea;South Korea</t>
  </si>
  <si>
    <t>Japan;Japan;Japan</t>
  </si>
  <si>
    <t>National Institutes of Health</t>
  </si>
  <si>
    <t>R01DC002751</t>
  </si>
  <si>
    <t>NIH</t>
  </si>
  <si>
    <t>Journal of Comparative Physiology - A Sensory, Neural, and Behavioral Physiology</t>
  </si>
  <si>
    <t>6701472862;7102653635</t>
  </si>
  <si>
    <t>Tucson;Towson</t>
  </si>
  <si>
    <t>Arizona Research Laboratories;Towson University</t>
  </si>
  <si>
    <t>60023324;60004092</t>
  </si>
  <si>
    <t>Shields V.D.C.</t>
  </si>
  <si>
    <t>National Natural Science Foundation of China</t>
  </si>
  <si>
    <t>NSFC</t>
  </si>
  <si>
    <t>China</t>
  </si>
  <si>
    <t>Beijing</t>
  </si>
  <si>
    <t>International Journal of Hyperthermia</t>
  </si>
  <si>
    <t>Los Angeles</t>
  </si>
  <si>
    <t>Italy</t>
  </si>
  <si>
    <t>Rome</t>
  </si>
  <si>
    <t>169-173</t>
  </si>
  <si>
    <t>60021097;60021097;60021097</t>
  </si>
  <si>
    <t>Guildford</t>
  </si>
  <si>
    <t>University of Surrey</t>
  </si>
  <si>
    <t>Switzerland</t>
  </si>
  <si>
    <t>Lausanne</t>
  </si>
  <si>
    <t>0006324X</t>
  </si>
  <si>
    <t>Proceedings of the Biological Society of Washington</t>
  </si>
  <si>
    <t>South Korea</t>
  </si>
  <si>
    <t>Canada;Canada;Canada</t>
  </si>
  <si>
    <t>Srivastava S.</t>
  </si>
  <si>
    <t>Norway</t>
  </si>
  <si>
    <t>India</t>
  </si>
  <si>
    <t>Plant Physiology</t>
  </si>
  <si>
    <t>Columbus</t>
  </si>
  <si>
    <t>The Ohio State University</t>
  </si>
  <si>
    <t>Bochum</t>
  </si>
  <si>
    <t>Ruhr-Universitat Bochum</t>
  </si>
  <si>
    <t>Netherlands</t>
  </si>
  <si>
    <t>France</t>
  </si>
  <si>
    <t>Paris</t>
  </si>
  <si>
    <t>United States;India;India</t>
  </si>
  <si>
    <t>European Journal of Biochemistry</t>
  </si>
  <si>
    <t>Germany;Italy</t>
  </si>
  <si>
    <t>Tokyo</t>
  </si>
  <si>
    <t>Nippon Telegraph and Telephone Corporation</t>
  </si>
  <si>
    <t>Ray J.</t>
  </si>
  <si>
    <t>Chinese Journal of Electronics</t>
  </si>
  <si>
    <t>Xi'an</t>
  </si>
  <si>
    <t>Xidian University</t>
  </si>
  <si>
    <t>Wireless Personal Communications</t>
  </si>
  <si>
    <t>National Science Council</t>
  </si>
  <si>
    <t>NSC</t>
  </si>
  <si>
    <t>60028717;60028717;60028717</t>
  </si>
  <si>
    <t>Ludwig-Maximilians-Universit√§t M√ºnchen</t>
  </si>
  <si>
    <t>IEEE Transactions on Microwave Theory and Techniques</t>
  </si>
  <si>
    <t>89-E-FA06-2-4</t>
  </si>
  <si>
    <t>Taiwan</t>
  </si>
  <si>
    <t>Hsinchu</t>
  </si>
  <si>
    <t>National Chiao Tung University</t>
  </si>
  <si>
    <t>Lee T.</t>
  </si>
  <si>
    <t>1479-1484</t>
  </si>
  <si>
    <t>Siemens AG</t>
  </si>
  <si>
    <t>Turkey</t>
  </si>
  <si>
    <t>Kayseri</t>
  </si>
  <si>
    <t>Erciyes √úniversitesi</t>
  </si>
  <si>
    <t>G√ºney K.</t>
  </si>
  <si>
    <t>Sweden</t>
  </si>
  <si>
    <t>Gothenburg</t>
  </si>
  <si>
    <t>Chalmers University of Technology</t>
  </si>
  <si>
    <t>Kassel</t>
  </si>
  <si>
    <t>Universit√§t Kassel</t>
  </si>
  <si>
    <t>0949944X</t>
  </si>
  <si>
    <t>Development Genes and Evolution</t>
  </si>
  <si>
    <t>United Kingdom;United States</t>
  </si>
  <si>
    <t>Pasadena</t>
  </si>
  <si>
    <t>Jet Propulsion Laboratory</t>
  </si>
  <si>
    <t>Japan;China</t>
  </si>
  <si>
    <t>Canada</t>
  </si>
  <si>
    <t>0277786X</t>
  </si>
  <si>
    <t>United States;United States;United States</t>
  </si>
  <si>
    <t>60017161;60017161</t>
  </si>
  <si>
    <t>Singapore</t>
  </si>
  <si>
    <t>Singapore City</t>
  </si>
  <si>
    <t>National University of Singapore</t>
  </si>
  <si>
    <t>Minato</t>
  </si>
  <si>
    <t>Fujitsu Ltd.</t>
  </si>
  <si>
    <t>20-29</t>
  </si>
  <si>
    <t>Sapporo</t>
  </si>
  <si>
    <t>Wong K.</t>
  </si>
  <si>
    <t>South Africa</t>
  </si>
  <si>
    <t>60009037;60009037;60009037</t>
  </si>
  <si>
    <t>Finland;United States</t>
  </si>
  <si>
    <t>Swiss Federal Institute of Technology Lausanne</t>
  </si>
  <si>
    <t>Dayton;</t>
  </si>
  <si>
    <t>60027550;60027550</t>
  </si>
  <si>
    <t>University of California, Los Angeles</t>
  </si>
  <si>
    <t>Finland</t>
  </si>
  <si>
    <t>Espoo</t>
  </si>
  <si>
    <t>Nokia Corporation</t>
  </si>
  <si>
    <t>Ann Arbor</t>
  </si>
  <si>
    <t>University of Michigan, Ann Arbor</t>
  </si>
  <si>
    <t>Proceedings of SPIE - The International Society for Optical Engineering</t>
  </si>
  <si>
    <t>Deutsche Forschungsgemeinschaft</t>
  </si>
  <si>
    <t>DFG</t>
  </si>
  <si>
    <t>Lund</t>
  </si>
  <si>
    <t>Lunds Universitet</t>
  </si>
  <si>
    <t>Australia;Australia</t>
  </si>
  <si>
    <t>Zhang J.</t>
  </si>
  <si>
    <t>Physical Review D</t>
  </si>
  <si>
    <t>Gainesville</t>
  </si>
  <si>
    <t>6603975038;7005547723</t>
  </si>
  <si>
    <t>Ungarelli, Carlo;Vecchio, Alberto</t>
  </si>
  <si>
    <t>Ungarelli C.</t>
  </si>
  <si>
    <t>['weighting factors', 'sidelobe level', 'present method', 'prescribed nulls', 'pattern synthesis', 'null depth', 'imposed single', 'design specifications', 'chebyshev pattern', 'broad nulls', 'array element']</t>
  </si>
  <si>
    <t>A useful and flexible method based on the tabu search algorithm for the pattern synthesis of linear antenna arrays with the prescribed nulls is presented. Nulling of the pattern is achieved by controlling the amplitude-only and both the amplitude and phase of each array element. To show the versatility of the present method, some design specifications such as the sidelobe level, the null depth and the dynamic range ratio are considered by introducing a set of weighting factors in the cost function constructed for the tabu search algorithm. Several illustrative examples of Chebyshev pattern with the imposed single, multiple and broad nulls are given.</t>
  </si>
  <si>
    <t>60003217;60003217</t>
  </si>
  <si>
    <t>7005087231;35581650500</t>
  </si>
  <si>
    <t>Null steering of linear antenna arrays using a modified tabu search algorithm</t>
  </si>
  <si>
    <t>60012689;60012689</t>
  </si>
  <si>
    <t>Wurzburg</t>
  </si>
  <si>
    <t>Julius-Maximilians-Universit√§t W√ºrzburg</t>
  </si>
  <si>
    <t>National Cancer Institute</t>
  </si>
  <si>
    <t>NCI</t>
  </si>
  <si>
    <t>Berlin</t>
  </si>
  <si>
    <t>Rogers S.</t>
  </si>
  <si>
    <t>India;United States</t>
  </si>
  <si>
    <t>Italy;Italy;Italy</t>
  </si>
  <si>
    <t>Sweden;Sweden</t>
  </si>
  <si>
    <t>60000745;60000745</t>
  </si>
  <si>
    <t>Urbana</t>
  </si>
  <si>
    <t>University of Illinois Urbana-Champaign</t>
  </si>
  <si>
    <t>249-257</t>
  </si>
  <si>
    <t>Naka</t>
  </si>
  <si>
    <t>Naka Fusion Institute</t>
  </si>
  <si>
    <t>Saint Paul lez Durance</t>
  </si>
  <si>
    <t>CEA Cadarache</t>
  </si>
  <si>
    <t>Netherlands;Netherlands</t>
  </si>
  <si>
    <t>Li J.</t>
  </si>
  <si>
    <t>India;India</t>
  </si>
  <si>
    <t>New Delhi;New Delhi</t>
  </si>
  <si>
    <t>60025038;60025038;60025038</t>
  </si>
  <si>
    <t>Berkeley</t>
  </si>
  <si>
    <t>University of California, Berkeley</t>
  </si>
  <si>
    <t>Electronics and Communications in Japan, Part I: Communications (English translation of Denshi Tsushin Gakkai Ronbunshi)</t>
  </si>
  <si>
    <t>Hokkaido University</t>
  </si>
  <si>
    <t>Spain</t>
  </si>
  <si>
    <t>Barcelona</t>
  </si>
  <si>
    <t>Iskander M.</t>
  </si>
  <si>
    <t>Russian Federation</t>
  </si>
  <si>
    <t>Moscow</t>
  </si>
  <si>
    <t>Argentina</t>
  </si>
  <si>
    <t>119-122</t>
  </si>
  <si>
    <t>Tsinghua University</t>
  </si>
  <si>
    <t>57-70</t>
  </si>
  <si>
    <t>192-195</t>
  </si>
  <si>
    <t>IEEE Transactions on Vehicular Technology</t>
  </si>
  <si>
    <t>60014652;60014652;60014652</t>
  </si>
  <si>
    <t>82-92</t>
  </si>
  <si>
    <t>60021378;60021378;60021378;60021378</t>
  </si>
  <si>
    <t>Murray</t>
  </si>
  <si>
    <t>Nokia Bell Labs</t>
  </si>
  <si>
    <t>IEEE Transactions on Aerospace and Electronic Systems</t>
  </si>
  <si>
    <t>67-78</t>
  </si>
  <si>
    <t>51-57</t>
  </si>
  <si>
    <t>Johns Hopkins APL Technical Digest (Applied Physics Laboratory)</t>
  </si>
  <si>
    <t>Naples</t>
  </si>
  <si>
    <t>Italy;Italy</t>
  </si>
  <si>
    <t>285-288</t>
  </si>
  <si>
    <t>Office of Naval Research</t>
  </si>
  <si>
    <t>Russian Foundation for Basic Research</t>
  </si>
  <si>
    <t>–†–§–§–ò</t>
  </si>
  <si>
    <t>47-57</t>
  </si>
  <si>
    <t>Brazil</t>
  </si>
  <si>
    <t>Suzuki Y.</t>
  </si>
  <si>
    <t>Australia</t>
  </si>
  <si>
    <t>Edinburgh</t>
  </si>
  <si>
    <t>0018926X</t>
  </si>
  <si>
    <t>IEEE Transactions on Antennas and Propagation</t>
  </si>
  <si>
    <t>Los Angeles;New York</t>
  </si>
  <si>
    <t>University of California, Los Angeles;IEEE</t>
  </si>
  <si>
    <t>60027550;60000251</t>
  </si>
  <si>
    <t>Singapore;United States</t>
  </si>
  <si>
    <t>Singapore City;New York</t>
  </si>
  <si>
    <t>Li L.</t>
  </si>
  <si>
    <t>Bengaluru</t>
  </si>
  <si>
    <t>Indian Space Research Organization</t>
  </si>
  <si>
    <t>Italy;United States</t>
  </si>
  <si>
    <t>Taiwan;United States</t>
  </si>
  <si>
    <t>Kaohsiung;New York</t>
  </si>
  <si>
    <t>National Sun Yat-Sen University;IEEE</t>
  </si>
  <si>
    <t>60011357;60000251</t>
  </si>
  <si>
    <t>Russian Federation;Russian Federation</t>
  </si>
  <si>
    <t>Kudrin A.</t>
  </si>
  <si>
    <t>57198926864;55510527400;7501501369</t>
  </si>
  <si>
    <t>Guo Y.X.</t>
  </si>
  <si>
    <t>Defense Advanced Research Projects Agency</t>
  </si>
  <si>
    <t>DARPA</t>
  </si>
  <si>
    <t>Argentina;United States</t>
  </si>
  <si>
    <t>45-47</t>
  </si>
  <si>
    <t>Naturwissenschaften</t>
  </si>
  <si>
    <t>Novosibirsk</t>
  </si>
  <si>
    <t>149-163</t>
  </si>
  <si>
    <t>Radio Science</t>
  </si>
  <si>
    <t>IEEE Journal on Selected Areas in Communications</t>
  </si>
  <si>
    <t>Hochwald B.</t>
  </si>
  <si>
    <t>60000745;60000745;60000745</t>
  </si>
  <si>
    <t>60017161;60017161;60017161;60017161</t>
  </si>
  <si>
    <t>ONR</t>
  </si>
  <si>
    <t>30-37</t>
  </si>
  <si>
    <t>IEEE Communications Letters</t>
  </si>
  <si>
    <t>Taipei</t>
  </si>
  <si>
    <t>National Taiwan University</t>
  </si>
  <si>
    <t>Journal of Neurobiology</t>
  </si>
  <si>
    <t>Suita</t>
  </si>
  <si>
    <t>Osaka University</t>
  </si>
  <si>
    <t>IEEE Transactions on Information Theory</t>
  </si>
  <si>
    <t>60000251-60008383</t>
  </si>
  <si>
    <t>Florham Park;New York</t>
  </si>
  <si>
    <t>AT&amp;T Laboratories Florham Park;IEEE</t>
  </si>
  <si>
    <t>60008383;60000251</t>
  </si>
  <si>
    <t>Ogawa T.</t>
  </si>
  <si>
    <t>68-71</t>
  </si>
  <si>
    <t>Journal of Vacuum Science and Technology B: Microelectronics and Nanometer Structures</t>
  </si>
  <si>
    <t>Miami</t>
  </si>
  <si>
    <t>South Korea;South Korea;South Korea</t>
  </si>
  <si>
    <t>229-232</t>
  </si>
  <si>
    <t>France;France</t>
  </si>
  <si>
    <t>Nantes</t>
  </si>
  <si>
    <t>Nirmalathas A.</t>
  </si>
  <si>
    <t>Washington, D.C.</t>
  </si>
  <si>
    <t>Journal of Atmospheric and Solar-Terrestrial Physics</t>
  </si>
  <si>
    <t>IEEE Communications Magazine</t>
  </si>
  <si>
    <t>60026638;60026638;60026638</t>
  </si>
  <si>
    <t>Wilmington</t>
  </si>
  <si>
    <t>IEEE Transactions on Geoscience and Remote Sensing</t>
  </si>
  <si>
    <t>IEEE Transactions on Communications</t>
  </si>
  <si>
    <t>Hong Kong</t>
  </si>
  <si>
    <t>Hong Kong University of Science and Technology</t>
  </si>
  <si>
    <t>Belgium</t>
  </si>
  <si>
    <t>Toshiba Corporation</t>
  </si>
  <si>
    <t>Wang J.</t>
  </si>
  <si>
    <t>Microwave and Optical Technology Letters</t>
  </si>
  <si>
    <t>Aalto University</t>
  </si>
  <si>
    <t>47-51</t>
  </si>
  <si>
    <t>1053587X</t>
  </si>
  <si>
    <t>IEEE Transactions on Signal Processing</t>
  </si>
  <si>
    <t>Hong Kong;United States</t>
  </si>
  <si>
    <t>Huang C.</t>
  </si>
  <si>
    <t>Centre National de la Recherche Scientifique</t>
  </si>
  <si>
    <t>CNRS</t>
  </si>
  <si>
    <t>55732083700;7005811039</t>
  </si>
  <si>
    <t>Thomas, Joseph;Geraniotis, Evaggelos</t>
  </si>
  <si>
    <t>Thomas J.</t>
  </si>
  <si>
    <t>Research Grants Council, University Grants Committee</t>
  </si>
  <si>
    <t>RGC, UGC</t>
  </si>
  <si>
    <t>Mississippi State</t>
  </si>
  <si>
    <t>College of Agriculture and Life Sciences</t>
  </si>
  <si>
    <t>Baker G.T.</t>
  </si>
  <si>
    <t>Tucson</t>
  </si>
  <si>
    <t>Stiftelsen f√∂r¬†Strategisk Forskning</t>
  </si>
  <si>
    <t>SSF</t>
  </si>
  <si>
    <t>60003858;60003858</t>
  </si>
  <si>
    <t>Uppsala</t>
  </si>
  <si>
    <t>Uppsala Universitet</t>
  </si>
  <si>
    <t>8756663X</t>
  </si>
  <si>
    <t>Electronics and Communications in Japan, Part II: Electronics (English translation of Denshi Tsushin Gakkai Ronbunshi)</t>
  </si>
  <si>
    <t>Nanyang Technological University</t>
  </si>
  <si>
    <t>Chiba</t>
  </si>
  <si>
    <t>Chiba University</t>
  </si>
  <si>
    <t>Saito K.</t>
  </si>
  <si>
    <t>Rennes</t>
  </si>
  <si>
    <t>Universite de Rennes 1</t>
  </si>
  <si>
    <t>196-199</t>
  </si>
  <si>
    <t>Denmark</t>
  </si>
  <si>
    <t>Pittsburgh</t>
  </si>
  <si>
    <t>Seoul</t>
  </si>
  <si>
    <t>Kyung Hee University</t>
  </si>
  <si>
    <t>Yokosuka</t>
  </si>
  <si>
    <t>Taiwan;Taiwan</t>
  </si>
  <si>
    <t>London</t>
  </si>
  <si>
    <t>Kaohsiung</t>
  </si>
  <si>
    <t>National Kaohsiung University of Science and Technology</t>
  </si>
  <si>
    <t>Shackelford A.</t>
  </si>
  <si>
    <t>Daejeon</t>
  </si>
  <si>
    <t>Spain;Spain</t>
  </si>
  <si>
    <t>Canada;Canada</t>
  </si>
  <si>
    <t>Fractus S.A.</t>
  </si>
  <si>
    <t>Anguera J.</t>
  </si>
  <si>
    <t>United States;South Korea</t>
  </si>
  <si>
    <t>246-249</t>
  </si>
  <si>
    <t>Li X.</t>
  </si>
  <si>
    <t>Granet C.</t>
  </si>
  <si>
    <t>60011357;60011357</t>
  </si>
  <si>
    <t>National Sun Yat-Sen University</t>
  </si>
  <si>
    <t>Molndal</t>
  </si>
  <si>
    <t>Ericsson Microwave Systems AB</t>
  </si>
  <si>
    <t>60000745;60000745;60000745;60000745</t>
  </si>
  <si>
    <t>Bernhard J.T.</t>
  </si>
  <si>
    <t>Huang Y.</t>
  </si>
  <si>
    <t>284-287</t>
  </si>
  <si>
    <t>60013983;60013983;60013983</t>
  </si>
  <si>
    <t>Kowloon</t>
  </si>
  <si>
    <t>City University of Hong Kong</t>
  </si>
  <si>
    <t>7403252663;57213425197;56250080900;7006153735</t>
  </si>
  <si>
    <t>Song, C. T.P.;Hall, P. S.;Ghafouri-Shiraz, H.;Henning, I.</t>
  </si>
  <si>
    <t>Song C.</t>
  </si>
  <si>
    <t>Shorted fractal Sierpinski monopole antenna</t>
  </si>
  <si>
    <t>INSA Rennes</t>
  </si>
  <si>
    <t>Sendai</t>
  </si>
  <si>
    <t>Tohoku University</t>
  </si>
  <si>
    <t>60005049;60005049;60005049</t>
  </si>
  <si>
    <t>Herscovici N.</t>
  </si>
  <si>
    <t>Kaohsiung;Kaohsiung</t>
  </si>
  <si>
    <t>Chen H.</t>
  </si>
  <si>
    <t>Belgium;United States</t>
  </si>
  <si>
    <t>7006707338;7101988263;7103143634;55825844800</t>
  </si>
  <si>
    <t>Rosengren, Kent;Kildal, Per Simon;Carlsson, Charlie;Carlsson, Jan</t>
  </si>
  <si>
    <t>Rosengren K.</t>
  </si>
  <si>
    <t>Nanjing</t>
  </si>
  <si>
    <t>Seoul;Seoul</t>
  </si>
  <si>
    <t>Italy;Italy;Italy;Italy</t>
  </si>
  <si>
    <t>United States;Spain;United States</t>
  </si>
  <si>
    <t>Wang C.</t>
  </si>
  <si>
    <t>Kim J.</t>
  </si>
  <si>
    <t>60007284;60007284</t>
  </si>
  <si>
    <t>Centre for Wireless Communications, Singapore</t>
  </si>
  <si>
    <t>7006707338;7101988263</t>
  </si>
  <si>
    <t>Rosengren, Kent;Kildal, Per Simon</t>
  </si>
  <si>
    <t>Werner D.</t>
  </si>
  <si>
    <t>Tokyo;Kyoto</t>
  </si>
  <si>
    <t>Germany;Germany;Germany</t>
  </si>
  <si>
    <t>Chou H.</t>
  </si>
  <si>
    <t>410-413</t>
  </si>
  <si>
    <t>60001439;60001439;60001439;60017694</t>
  </si>
  <si>
    <t>6603758204;7403914320;55197051100;57221229017</t>
  </si>
  <si>
    <t>France;United States</t>
  </si>
  <si>
    <t>Paris;University Park</t>
  </si>
  <si>
    <t>CNES Centre National d'Etudes Spatiales;Pennsylvania State University</t>
  </si>
  <si>
    <t>60017694;60001439</t>
  </si>
  <si>
    <t>Farahat N.</t>
  </si>
  <si>
    <t>IEEE Microwave and Wireless Components Letters</t>
  </si>
  <si>
    <t>College Station;New York</t>
  </si>
  <si>
    <t>Texas A&amp;M University;IEEE</t>
  </si>
  <si>
    <t>60020547;60000251</t>
  </si>
  <si>
    <t>United States;Singapore</t>
  </si>
  <si>
    <t>Cambridge;Singapore City</t>
  </si>
  <si>
    <t>Li L.W.</t>
  </si>
  <si>
    <t>Massachusetts Institute of Technology</t>
  </si>
  <si>
    <t>Department of Electrical Engineering, Chulalongkorn University</t>
  </si>
  <si>
    <t>['used instead', 'theoretical analysis', 'small size', 'significant reduction', 'shaped patch', 'results illustrating', 'resonant frequency', 'radiation patterns', 'ground plane', 'fdtd programs', 'difference time', 'broad beamwidth', 'antenna size']</t>
  </si>
  <si>
    <t>In this paper, the characteristics of a small antenna using an H-shaped microstrip patch are studied. Significant reduction of antenna size can be realized when the H-shaped patch is used instead of the conventional rectangular microstrip patch antenna. The theoretical analysis is carried out based on the finite-difference time-domain (FDTD) method. The FDTD programs are developed and validated by available measurement results. The effects of various antenna parameters on the resonant frequency and radiation patterns are shown. Several design curves are presented, which are useful for practical antenna design. The electric current distributions on the patch and those on the ground plane are described, together with the results illustrating the electric field distributions under the patch. This antenna is suitable for applications where small size and broad beamwidth are required.</t>
  </si>
  <si>
    <t>Gao, S. C.;Li, L. W.;Leong, M. S.;Yeo, T. S.</t>
  </si>
  <si>
    <t>Gao S.</t>
  </si>
  <si>
    <t>Analysis of an H-shaped patch antenna by using the FDTD method</t>
  </si>
  <si>
    <t>Karmakar N.</t>
  </si>
  <si>
    <t>Lim, C. P.;Li, L. W.;Leong, M. S.</t>
  </si>
  <si>
    <t>Singapore-MIT Alliance;National University of Singapore</t>
  </si>
  <si>
    <t>60026293;60017161</t>
  </si>
  <si>
    <t>Lim C.P.</t>
  </si>
  <si>
    <t>VR</t>
  </si>
  <si>
    <t>Australia;Australia;United States</t>
  </si>
  <si>
    <t>Al-Dhahir N.</t>
  </si>
  <si>
    <t>Wu J.</t>
  </si>
  <si>
    <t>United Kingdom;United Kingdom</t>
  </si>
  <si>
    <t>57193400384;7005101794;36071330300;7202596473</t>
  </si>
  <si>
    <t>Zhou Y.</t>
  </si>
  <si>
    <t>60026851;60026851;60026851</t>
  </si>
  <si>
    <t>Oxford</t>
  </si>
  <si>
    <t>University of Oxford</t>
  </si>
  <si>
    <t>60005510;60005510;60005510</t>
  </si>
  <si>
    <t>Israel</t>
  </si>
  <si>
    <t>Ilmenau</t>
  </si>
  <si>
    <t>Technischen Universit√§t Ilmenau</t>
  </si>
  <si>
    <t>204-208</t>
  </si>
  <si>
    <t>60012708;60012708</t>
  </si>
  <si>
    <t>Palo Alto</t>
  </si>
  <si>
    <t>Stanford University</t>
  </si>
  <si>
    <t>Yener A.</t>
  </si>
  <si>
    <t>Turkey;United States</t>
  </si>
  <si>
    <t>Kavak A.</t>
  </si>
  <si>
    <t>South Korea;United States</t>
  </si>
  <si>
    <t>60004305;60004305</t>
  </si>
  <si>
    <t>Ankara</t>
  </si>
  <si>
    <t>Middle East Technical University (METU)</t>
  </si>
  <si>
    <t>Xu H.</t>
  </si>
  <si>
    <t>Brazil;Brazil</t>
  </si>
  <si>
    <t>Rio de Janeiro;Rio de Janeiro</t>
  </si>
  <si>
    <t>Chung-Li</t>
  </si>
  <si>
    <t>Yuan Ze University</t>
  </si>
  <si>
    <t>Canada;United States</t>
  </si>
  <si>
    <t>Journal of the European Ceramic Society</t>
  </si>
  <si>
    <t>Sao Paulo</t>
  </si>
  <si>
    <t>Universidade de S√£o Paulo</t>
  </si>
  <si>
    <t>Tokyo;Tokyo</t>
  </si>
  <si>
    <t>60101699;60101699;60101699;60101699</t>
  </si>
  <si>
    <t>Mitsubishi Electric Corporation</t>
  </si>
  <si>
    <t>19-29</t>
  </si>
  <si>
    <t>Journal of Insect Physiology</t>
  </si>
  <si>
    <t>G√∂teborgs Universitet</t>
  </si>
  <si>
    <t>Suita;Kawaguchi</t>
  </si>
  <si>
    <t>Osaka University;Japan Science and Technology Agency</t>
  </si>
  <si>
    <t>60024322;60015682</t>
  </si>
  <si>
    <t>Signal Processing</t>
  </si>
  <si>
    <t>7407157045;35460663000</t>
  </si>
  <si>
    <t>Lin, Shun Yun;Wong, Kin Lu</t>
  </si>
  <si>
    <t>Lin S.</t>
  </si>
  <si>
    <t>Saitama University;Nihon Koshuha Co., Ltd.</t>
  </si>
  <si>
    <t>Shirai H.</t>
  </si>
  <si>
    <t>Ukraine</t>
  </si>
  <si>
    <t>Kharkiv</t>
  </si>
  <si>
    <t>Institute of Radio Astronomy National Academy of Sciences of Ukraine</t>
  </si>
  <si>
    <t>China;United States</t>
  </si>
  <si>
    <t>Karlsruhe</t>
  </si>
  <si>
    <t>Karlsruhe Institute of Technology, Campus South</t>
  </si>
  <si>
    <t>IEEE Journal of Solid-State Circuits</t>
  </si>
  <si>
    <t>Schaumburg</t>
  </si>
  <si>
    <t>Motorola</t>
  </si>
  <si>
    <t>Garching bei Munchen</t>
  </si>
  <si>
    <t>U.S. Department of Energy</t>
  </si>
  <si>
    <t>USDOE</t>
  </si>
  <si>
    <t>60010365;60010365</t>
  </si>
  <si>
    <t>6602107750;7004509923</t>
  </si>
  <si>
    <t>Vancouver</t>
  </si>
  <si>
    <t>The University of British Columbia</t>
  </si>
  <si>
    <t>Cagnoli B.</t>
  </si>
  <si>
    <t>Eumseong-gun</t>
  </si>
  <si>
    <t>Keukdong College</t>
  </si>
  <si>
    <t>Tanaka S.</t>
  </si>
  <si>
    <t>European Commission</t>
  </si>
  <si>
    <t>EC</t>
  </si>
  <si>
    <t>NDT and E International</t>
  </si>
  <si>
    <t>147-152</t>
  </si>
  <si>
    <t>60019106;60019106</t>
  </si>
  <si>
    <t>6602733200;7003714798</t>
  </si>
  <si>
    <t>Meshram, Manoj Kumar;Vishvakarma, Babau R.</t>
  </si>
  <si>
    <t>Varanasi</t>
  </si>
  <si>
    <t>Indian Institute of Technology Banaras Hindu University</t>
  </si>
  <si>
    <t>Borkar V.</t>
  </si>
  <si>
    <t>Chennai</t>
  </si>
  <si>
    <t>Coleraine</t>
  </si>
  <si>
    <t>Ulster University</t>
  </si>
  <si>
    <t>Scanlon W.G.</t>
  </si>
  <si>
    <t>Austria;Austria</t>
  </si>
  <si>
    <t>Vienna;Vienna</t>
  </si>
  <si>
    <t>Technische Universit√§t Wien;Forschungszentrum Telekommunikation Wien</t>
  </si>
  <si>
    <t>60018163;60009854</t>
  </si>
  <si>
    <t>Australia;United States;United States</t>
  </si>
  <si>
    <t>60005429;60005429</t>
  </si>
  <si>
    <t>161-164</t>
  </si>
  <si>
    <t>IEEE Foundation</t>
  </si>
  <si>
    <t>IEEE Antennas and Propagation Magazine</t>
  </si>
  <si>
    <t>60068535;60068535;60068535</t>
  </si>
  <si>
    <t>O. Ya. Usikov Institute for Radiophysics and Electronics of the National Academy of Sciences of Ukraine</t>
  </si>
  <si>
    <t>National Oceanic and Atmospheric Administration</t>
  </si>
  <si>
    <t>60016418;60016418;60016418;60016418;60016418</t>
  </si>
  <si>
    <t>York</t>
  </si>
  <si>
    <t>University of York</t>
  </si>
  <si>
    <t>Journal of Applied Geophysics</t>
  </si>
  <si>
    <t>Surface and Coatings Technology</t>
  </si>
  <si>
    <t>Optical Engineering</t>
  </si>
  <si>
    <t>Rostov-on-Don</t>
  </si>
  <si>
    <t>Southern Federal University</t>
  </si>
  <si>
    <t>60018279;60018279</t>
  </si>
  <si>
    <t>Yokohama</t>
  </si>
  <si>
    <t>Yokohama National University</t>
  </si>
  <si>
    <t>Kyoto</t>
  </si>
  <si>
    <t>60018735;60018735;60018735</t>
  </si>
  <si>
    <t>60025555;60025555;60025555</t>
  </si>
  <si>
    <t>60025278;60025278;60025278</t>
  </si>
  <si>
    <t>60014652;60014652</t>
  </si>
  <si>
    <t>60002787;60002787;60002787;60002787</t>
  </si>
  <si>
    <t>International Journal of RF and Microwave Computer-Aided Engineering</t>
  </si>
  <si>
    <t>Burigana C.</t>
  </si>
  <si>
    <t>University of Tsukuba</t>
  </si>
  <si>
    <t>The University of Western Ontario</t>
  </si>
  <si>
    <t>60020661;60020661;60020661</t>
  </si>
  <si>
    <t>Liverpool</t>
  </si>
  <si>
    <t>University of Liverpool</t>
  </si>
  <si>
    <t>60025555;60025555</t>
  </si>
  <si>
    <t>60012370;60012370</t>
  </si>
  <si>
    <t>Japan;Japan;United States</t>
  </si>
  <si>
    <t>Zhang Y.</t>
  </si>
  <si>
    <t>Yamamoto A.</t>
  </si>
  <si>
    <t>Physica C: Superconductivity and its Applications</t>
  </si>
  <si>
    <t>Ministry of Education, Culture, Sports, Science and Technology</t>
  </si>
  <si>
    <t>Monbusho</t>
  </si>
  <si>
    <t>IEEE Transactions on Broadcasting</t>
  </si>
  <si>
    <t>IEEE</t>
  </si>
  <si>
    <t>57213822533;7003714798;7003390412</t>
  </si>
  <si>
    <t>Srivastava, Shweta;Vishvakarma, Babau R.;Ansari, J. A.</t>
  </si>
  <si>
    <t>Takahashi K.</t>
  </si>
  <si>
    <t>Array antenna | Direction-of-arrival (DOA) | Millimeter-wave | Radio-on-fiber</t>
  </si>
  <si>
    <t>Tsuji H.</t>
  </si>
  <si>
    <t>A millimeter-wave broadband wireless access system using mobile tracking technology</t>
  </si>
  <si>
    <t>60028419;60028419;60028419;60028419</t>
  </si>
  <si>
    <t>Santiago de Compostela</t>
  </si>
  <si>
    <t>Universidad de Santiago de Compostela</t>
  </si>
  <si>
    <t>60010080;60010080;60010080;60010080</t>
  </si>
  <si>
    <t>Nanjing University of Science and Technology</t>
  </si>
  <si>
    <t>National Aeronautics and Space Administration</t>
  </si>
  <si>
    <t>NASA</t>
  </si>
  <si>
    <t>Journal of Vacuum Science and Technology, Part A: Vacuum, Surfaces and Films</t>
  </si>
  <si>
    <t>Jang Y.</t>
  </si>
  <si>
    <t>IEEE Transactions on Electromagnetic Compatibility</t>
  </si>
  <si>
    <t>60073283;60073283</t>
  </si>
  <si>
    <t>Alenia Aeronautica</t>
  </si>
  <si>
    <t>1063780X</t>
  </si>
  <si>
    <t>Plasma Physics Reports</t>
  </si>
  <si>
    <t>Troitsk</t>
  </si>
  <si>
    <t>Durham</t>
  </si>
  <si>
    <t>1520541X</t>
  </si>
  <si>
    <t>Evolution and Development</t>
  </si>
  <si>
    <t>Glasgow</t>
  </si>
  <si>
    <t>33-43</t>
  </si>
  <si>
    <t>975-979</t>
  </si>
  <si>
    <t>7004070198;57205013552;7404879378</t>
  </si>
  <si>
    <t>Foshee, J.;Tahim, R. S.;Chang, K.</t>
  </si>
  <si>
    <t>Foshee J.</t>
  </si>
  <si>
    <t>Palaiseau</t>
  </si>
  <si>
    <t>Vetenskapsr√•det</t>
  </si>
  <si>
    <t>Annales Geophysicae</t>
  </si>
  <si>
    <t>Estonia;Sweden</t>
  </si>
  <si>
    <t>53-58</t>
  </si>
  <si>
    <t>Experimental Astronomy</t>
  </si>
  <si>
    <t>France;France;France;France</t>
  </si>
  <si>
    <t>Houston;Ann Arbor</t>
  </si>
  <si>
    <t>Rice University;Picometrix, Inc.</t>
  </si>
  <si>
    <t>60005286;100322480</t>
  </si>
  <si>
    <t>0004640X</t>
  </si>
  <si>
    <t>Astrophysics and Space Science</t>
  </si>
  <si>
    <t>China;China</t>
  </si>
  <si>
    <t>Yoneda H.</t>
  </si>
  <si>
    <t>;;</t>
  </si>
  <si>
    <t>;</t>
  </si>
  <si>
    <t>Singapore;China</t>
  </si>
  <si>
    <t>United States;Singapore;United States</t>
  </si>
  <si>
    <t>137-140</t>
  </si>
  <si>
    <t>Liu K.</t>
  </si>
  <si>
    <t>159-162</t>
  </si>
  <si>
    <t>60003771;60003771;60003771</t>
  </si>
  <si>
    <t>Manchester</t>
  </si>
  <si>
    <t>The University of Manchester</t>
  </si>
  <si>
    <t>Wang Y.</t>
  </si>
  <si>
    <t>Birmingham</t>
  </si>
  <si>
    <t>University of Birmingham</t>
  </si>
  <si>
    <t>0011216X</t>
  </si>
  <si>
    <t>Crustaceana</t>
  </si>
  <si>
    <t>181-188</t>
  </si>
  <si>
    <t>Villeneuve-d'Ascq</t>
  </si>
  <si>
    <t>Institut d'Electronique de Micro√©lectronique et de Nanotechnologie (IEMN)</t>
  </si>
  <si>
    <t>Sevilla</t>
  </si>
  <si>
    <t>Universidad de Sevilla</t>
  </si>
  <si>
    <t>Guerra-Garc√≠a J.M.</t>
  </si>
  <si>
    <t>Photosynthesis Research</t>
  </si>
  <si>
    <t>Cooke S.</t>
  </si>
  <si>
    <t>Sydney</t>
  </si>
  <si>
    <t>CSIRO Industrial Physics</t>
  </si>
  <si>
    <t>345-349</t>
  </si>
  <si>
    <t>60026113;60026113;60026113;60026113;60026113</t>
  </si>
  <si>
    <t>60028628;60028628;60028628</t>
  </si>
  <si>
    <t>Boston</t>
  </si>
  <si>
    <t>Northeastern University</t>
  </si>
  <si>
    <t>Russian Federation;Netherlands</t>
  </si>
  <si>
    <t>Northrop Grumman corporation</t>
  </si>
  <si>
    <t>Delft</t>
  </si>
  <si>
    <t>Delft University of Technology</t>
  </si>
  <si>
    <t>129-134</t>
  </si>
  <si>
    <t>Ames;Ames</t>
  </si>
  <si>
    <t>Ames Laboratory;Iowa State University</t>
  </si>
  <si>
    <t>60008023;60004354</t>
  </si>
  <si>
    <t>Savikhin S.</t>
  </si>
  <si>
    <t>Sensor Review</t>
  </si>
  <si>
    <t>Biotechnology and Biological Sciences Research Council</t>
  </si>
  <si>
    <t>BBSRC</t>
  </si>
  <si>
    <t>Imperial College London</t>
  </si>
  <si>
    <t>Santa Clara</t>
  </si>
  <si>
    <t>Intel Corporation</t>
  </si>
  <si>
    <t>Dresden</t>
  </si>
  <si>
    <t>Technische Universit√§t Dresden</t>
  </si>
  <si>
    <t>Adelaide</t>
  </si>
  <si>
    <t>60002014;60002014-60117981</t>
  </si>
  <si>
    <t>57219918544;36048024500</t>
  </si>
  <si>
    <t>Qiu, Min;He, Sailing</t>
  </si>
  <si>
    <t>China;Sweden</t>
  </si>
  <si>
    <t>Hangzhou;Stockholm</t>
  </si>
  <si>
    <t>State Key Laboratory of Modern Optical Instrumentation;The Royal Institute of Technology (KTH)</t>
  </si>
  <si>
    <t>60117981;60002014</t>
  </si>
  <si>
    <t>Qiu M.</t>
  </si>
  <si>
    <t>Geophysical Research Letters</t>
  </si>
  <si>
    <t>North Atlantic Treaty Organization</t>
  </si>
  <si>
    <t>NATO</t>
  </si>
  <si>
    <t>Radiophysics and Quantum Electronics</t>
  </si>
  <si>
    <t>Nizhny Novgorod</t>
  </si>
  <si>
    <t>Institute of Applied Physics of the Russian Academy of Sciences</t>
  </si>
  <si>
    <t>Chugunov Y.V.</t>
  </si>
  <si>
    <t>0004637X</t>
  </si>
  <si>
    <t>Astrophysical Journal</t>
  </si>
  <si>
    <t>Naval Research Laboratory</t>
  </si>
  <si>
    <t>International Journal of Electronics</t>
  </si>
  <si>
    <t>60009941;60009941;60009941;60009941</t>
  </si>
  <si>
    <t>Kaiserslautern</t>
  </si>
  <si>
    <t>Technische Universit√§t Kaiserslautern</t>
  </si>
  <si>
    <t>60019722;60019722</t>
  </si>
  <si>
    <t>Stiftelsen f√∂r Milj√∂strategisk Forskning</t>
  </si>
  <si>
    <t>Uppsala;Stockholm</t>
  </si>
  <si>
    <t>Sveriges lantbruksuniversitet;The Royal Institute of Technology (KTH)</t>
  </si>
  <si>
    <t>60027152;60002014</t>
  </si>
  <si>
    <t>Madrid</t>
  </si>
  <si>
    <t>National Science Center Kharkov Institute of Physics and Technology</t>
  </si>
  <si>
    <t>Germany;Spain</t>
  </si>
  <si>
    <t>V. N. Karazin Kharkiv National University</t>
  </si>
  <si>
    <t>Withington S.</t>
  </si>
  <si>
    <t>Maebashi</t>
  </si>
  <si>
    <t>Gunma University</t>
  </si>
  <si>
    <t>Frascati</t>
  </si>
  <si>
    <t>Associazione EURATOM-ENEA sulla Fusione</t>
  </si>
  <si>
    <t>87-95</t>
  </si>
  <si>
    <t>525-536</t>
  </si>
  <si>
    <t>Wachtberg</t>
  </si>
  <si>
    <t>Menzel W.</t>
  </si>
  <si>
    <t>Spain;United States</t>
  </si>
  <si>
    <t>Journal of Communications Technology and Electronics</t>
  </si>
  <si>
    <t>International Journal of Wireless Information Networks</t>
  </si>
  <si>
    <t>Los Angeles;Urbana</t>
  </si>
  <si>
    <t>Kocaeli</t>
  </si>
  <si>
    <t>Gebze Teknik √úniversitesi</t>
  </si>
  <si>
    <t>Moscow;Moscow</t>
  </si>
  <si>
    <t>75-79</t>
  </si>
  <si>
    <t>33-39</t>
  </si>
  <si>
    <t>49-55</t>
  </si>
  <si>
    <t>Kyoto University</t>
  </si>
  <si>
    <t>60024322;60024322;60024322</t>
  </si>
  <si>
    <t>Kotelnikov Institute of Radioengineering and Electronics (IRE) of Russian Academy of Sciences</t>
  </si>
  <si>
    <t>GPS Solutions</t>
  </si>
  <si>
    <t>Physical Review Letters</t>
  </si>
  <si>
    <t>Plasma Physics and Controlled Fusion</t>
  </si>
  <si>
    <t>Kim T.</t>
  </si>
  <si>
    <t>Australia;United States</t>
  </si>
  <si>
    <t>Russian Federation;United States</t>
  </si>
  <si>
    <t>Canterbury</t>
  </si>
  <si>
    <t>University of Kent</t>
  </si>
  <si>
    <t>1205-1224</t>
  </si>
  <si>
    <t>60014097;60014097</t>
  </si>
  <si>
    <t>Indian Institute of Science</t>
  </si>
  <si>
    <t>A deterministic propagation model for the microcellular environment using multiple two-dimensional planes</t>
  </si>
  <si>
    <t>United States;France</t>
  </si>
  <si>
    <t>University;Columbia</t>
  </si>
  <si>
    <t>University of Mississippi;University of Missouri</t>
  </si>
  <si>
    <t>60010491;60006173</t>
  </si>
  <si>
    <t>Electronics Letters</t>
  </si>
  <si>
    <t>Journal of the American Chemical Society</t>
  </si>
  <si>
    <t>2 PART 1</t>
  </si>
  <si>
    <t>Funda√ß√£o de Amparo √† Pesquisa do Estado de S√£o Paulo</t>
  </si>
  <si>
    <t>FAPESP</t>
  </si>
  <si>
    <t>Brazil;Brazil;Brazil</t>
  </si>
  <si>
    <t>Journal of Applied Physics</t>
  </si>
  <si>
    <t>Eindhoven</t>
  </si>
  <si>
    <t>Nature</t>
  </si>
  <si>
    <t>RFBR</t>
  </si>
  <si>
    <t>Physics Letters, Section A: General, Atomic and Solid State Physics</t>
  </si>
  <si>
    <t>Lomonosov Moscow State University</t>
  </si>
  <si>
    <t>Braginsky V.B.</t>
  </si>
  <si>
    <t>Biochemistry</t>
  </si>
  <si>
    <t>Monthly Notices of the Royal Astronomical Society</t>
  </si>
  <si>
    <t>Spain;Russian Federation;Netherlands</t>
  </si>
  <si>
    <t>Granada;Moscow;Dwingeloo</t>
  </si>
  <si>
    <t>Instituto de Astrof√≠sica de Andaluc√≠a - CSIC;P.N. Lebedev Physical Institute of the Russian Academy of Sciences;Joint Institute for VLBI in Europe</t>
  </si>
  <si>
    <t>60021557;60009114;60002493</t>
  </si>
  <si>
    <t>Gabuzda D.</t>
  </si>
  <si>
    <t>Infrared Physics and Technology</t>
  </si>
  <si>
    <t>College Station</t>
  </si>
  <si>
    <t>Texas A&amp;M University</t>
  </si>
  <si>
    <t>Air Force Office of Scientific Research</t>
  </si>
  <si>
    <t>AFOSR</t>
  </si>
  <si>
    <t>21-24</t>
  </si>
  <si>
    <t>IEE Proceedings: Microwaves, Antennas and Propagation</t>
  </si>
  <si>
    <t>7403257414;7501449136;7102523120;7102006113</t>
  </si>
  <si>
    <t>Gao, S. C.;Li, L. W.;Yeo, T. S.;Leong, M. S.</t>
  </si>
  <si>
    <t>Florence</t>
  </si>
  <si>
    <t>Universit√† degli Studi di Firenze</t>
  </si>
  <si>
    <t>7409485017;7004839408</t>
  </si>
  <si>
    <t>Chen, Z. N.;Chia, M. Y.W.</t>
  </si>
  <si>
    <t>Chen Z.</t>
  </si>
  <si>
    <t>Melbourne;New York</t>
  </si>
  <si>
    <t>RMIT University;IEEE</t>
  </si>
  <si>
    <t>60011362;60000251</t>
  </si>
  <si>
    <t>Sapienza Universit√† di Roma</t>
  </si>
  <si>
    <t>305-311</t>
  </si>
  <si>
    <t>36071330300;7005101794</t>
  </si>
  <si>
    <t>Centre for Wireless Communications, Singapore;IEEE</t>
  </si>
  <si>
    <t>60007284;60000251</t>
  </si>
  <si>
    <t>Liang Y.</t>
  </si>
  <si>
    <t>60017161;60017161;60017161</t>
  </si>
  <si>
    <t>13-18</t>
  </si>
  <si>
    <t>Columbus;New York</t>
  </si>
  <si>
    <t>The Ohio State University;IEEE</t>
  </si>
  <si>
    <t>60003500;60000251</t>
  </si>
  <si>
    <t>Natural Sciences and Engineering Research Council of Canada</t>
  </si>
  <si>
    <t>NSERC</t>
  </si>
  <si>
    <t>U.S. Army</t>
  </si>
  <si>
    <t>330-338</t>
  </si>
  <si>
    <t>IEEE Transactions on Instrumentation and Measurement</t>
  </si>
  <si>
    <t>60009037;60009037;60009037;60009037</t>
  </si>
  <si>
    <t>341-348</t>
  </si>
  <si>
    <t>60027271;60027271</t>
  </si>
  <si>
    <t>27-28</t>
  </si>
  <si>
    <t>0960667X</t>
  </si>
  <si>
    <t>Microwave Engineering Europe</t>
  </si>
  <si>
    <t xml:space="preserve">Anon, </t>
  </si>
  <si>
    <t>Anon</t>
  </si>
  <si>
    <t>MIP-9703377</t>
  </si>
  <si>
    <t>Xia X.</t>
  </si>
  <si>
    <t>IEE Proceedings: Radar, Sonar and Navigation</t>
  </si>
  <si>
    <t>Wu, Z.</t>
  </si>
  <si>
    <t>Wu Z.</t>
  </si>
  <si>
    <t>7202904359;7101878862;7005913291</t>
  </si>
  <si>
    <t>Chow, Yan Wai;Yung, Edward Kai Ning;Hui, Hon Tat</t>
  </si>
  <si>
    <t>Chow Y.</t>
  </si>
  <si>
    <t>60023813;60023813;60023813</t>
  </si>
  <si>
    <t>7401811428;7202152603;9739950200</t>
  </si>
  <si>
    <t>Cui, Jun Hai;Zhong, Shun Shi;Yu, Chun</t>
  </si>
  <si>
    <t>Shanghai</t>
  </si>
  <si>
    <t>Shanghai University</t>
  </si>
  <si>
    <t>Cui J.</t>
  </si>
  <si>
    <t>Photochemistry and Photobiology</t>
  </si>
  <si>
    <t>Yagai S.</t>
  </si>
  <si>
    <t>Morozov, V. A.</t>
  </si>
  <si>
    <t>N.D. Zelinsky Institute of Organic Chemistry, Russian Academy of Sciences</t>
  </si>
  <si>
    <t>Morozov V.</t>
  </si>
  <si>
    <t>129-136</t>
  </si>
  <si>
    <t>60026134;60026134;60026134</t>
  </si>
  <si>
    <t>Vigo</t>
  </si>
  <si>
    <t>Universidade de Vigo</t>
  </si>
  <si>
    <t>National Institute of General Medical Sciences</t>
  </si>
  <si>
    <t>NIGMS</t>
  </si>
  <si>
    <t>Journal of Biological Chemistry</t>
  </si>
  <si>
    <t>Bern</t>
  </si>
  <si>
    <t>National Institute on Deafness and Other Communication Disorders</t>
  </si>
  <si>
    <t>NIDCD</t>
  </si>
  <si>
    <t>Journal of Experimental Biology</t>
  </si>
  <si>
    <t>Arizona Research Laboratories</t>
  </si>
  <si>
    <t>Buenos Aires</t>
  </si>
  <si>
    <t>Sensors and Actuators, A: Physical</t>
  </si>
  <si>
    <t>Israel;Israel</t>
  </si>
  <si>
    <t>Development</t>
  </si>
  <si>
    <t>533-541</t>
  </si>
  <si>
    <t>Journal of Comparative Neurology</t>
  </si>
  <si>
    <t>Ammann M.</t>
  </si>
  <si>
    <t>60001439;60001439;60001439;60001439</t>
  </si>
  <si>
    <t>Hanyang University</t>
  </si>
  <si>
    <t>Physics in Medicine and Biology</t>
  </si>
  <si>
    <t>FEBS Letters</t>
  </si>
  <si>
    <t>Santabarbara S.</t>
  </si>
  <si>
    <t>Science</t>
  </si>
  <si>
    <t>Proceedings of the National Academy of Sciences of the United States of America</t>
  </si>
  <si>
    <t>497-505</t>
  </si>
  <si>
    <t>United States;United States;United States;United States;United States</t>
  </si>
  <si>
    <t>Method of moments (MoM) | Microstrip antennas</t>
  </si>
  <si>
    <t>Taiwan;Taiwan;United States</t>
  </si>
  <si>
    <t>Smulders P.</t>
  </si>
  <si>
    <t>Moscow;New York</t>
  </si>
  <si>
    <t>Tempe;New York</t>
  </si>
  <si>
    <t>Arizona State University;IEEE</t>
  </si>
  <si>
    <t>60003892;60000251</t>
  </si>
  <si>
    <t>O«ßuzer T.</t>
  </si>
  <si>
    <t>United Kingdom;France</t>
  </si>
  <si>
    <t>Kolesnikova E.</t>
  </si>
  <si>
    <t>60000251-60013983</t>
  </si>
  <si>
    <t>Leung, Kwok Wa</t>
  </si>
  <si>
    <t>Kowloon;New York</t>
  </si>
  <si>
    <t>City University of Hong Kong;IEEE</t>
  </si>
  <si>
    <t>60013983;60000251</t>
  </si>
  <si>
    <t>Leung K.</t>
  </si>
  <si>
    <t>Army Research Office</t>
  </si>
  <si>
    <t>ARO</t>
  </si>
  <si>
    <t>New Delhi</t>
  </si>
  <si>
    <t>60030553;60030553</t>
  </si>
  <si>
    <t>6507875519;24722105800</t>
  </si>
  <si>
    <t>Louvign√©, J. C.;Sharaiha, A.</t>
  </si>
  <si>
    <t>Louvign√© J.</t>
  </si>
  <si>
    <t>Hallbj√∂rner P.</t>
  </si>
  <si>
    <t>60005510;60005510</t>
  </si>
  <si>
    <t>IEEE Transactions on Image Processing</t>
  </si>
  <si>
    <t>60103653;60103653;60103653</t>
  </si>
  <si>
    <t>International Journal of Satellite Communications</t>
  </si>
  <si>
    <t>IEEE Signal Processing Letters</t>
  </si>
  <si>
    <t>Journal of Physical Chemistry B</t>
  </si>
  <si>
    <t>United States;Canada;United States</t>
  </si>
  <si>
    <t>321-323</t>
  </si>
  <si>
    <t>60017161;60017161;60017161;60017161;60017161</t>
  </si>
  <si>
    <t>7201954696;56119416800;7501449136;35581072400;7102006113</t>
  </si>
  <si>
    <t>Xia L.</t>
  </si>
  <si>
    <t>Princeton</t>
  </si>
  <si>
    <t>Desclos L.</t>
  </si>
  <si>
    <t>Journal of the Communications Research Laboratory</t>
  </si>
  <si>
    <t>;;;</t>
  </si>
  <si>
    <t>60011047;60011047</t>
  </si>
  <si>
    <t>7201912802;55572797300</t>
  </si>
  <si>
    <t>Fukuoka</t>
  </si>
  <si>
    <t>Kyushu University</t>
  </si>
  <si>
    <t>Shindo M.</t>
  </si>
  <si>
    <t>Lobachevsky State University of Nizhni Novgorod</t>
  </si>
  <si>
    <t>Journal of Chromatography A</t>
  </si>
  <si>
    <t>Italy;France</t>
  </si>
  <si>
    <t>Neuchatel</t>
  </si>
  <si>
    <t>Universite de Neuchatel, Institut de Zoologie</t>
  </si>
  <si>
    <t>60029738;60029738;60029738</t>
  </si>
  <si>
    <t>Belfast</t>
  </si>
  <si>
    <t>Queen's University Belfast</t>
  </si>
  <si>
    <t>Laheurte, J. M.</t>
  </si>
  <si>
    <t>Sophia Antipolis</t>
  </si>
  <si>
    <t>Laboratoire D'√©lectronique, Antennes et T√©l√©communications</t>
  </si>
  <si>
    <t>Laheurte J.M.</t>
  </si>
  <si>
    <t>60009220;60072235;60009220</t>
  </si>
  <si>
    <t>6506257858;6602103294;57196866342</t>
  </si>
  <si>
    <t>Baligar, J. S.;Revankar, U. K.;Acharya, K. V.</t>
  </si>
  <si>
    <t>Bengaluru;Bengaluru</t>
  </si>
  <si>
    <t>Electronics &amp; Radar Development Establishment India;Bangalore University</t>
  </si>
  <si>
    <t>60072235;60009220</t>
  </si>
  <si>
    <t>Baligar J.S.</t>
  </si>
  <si>
    <t>Lu J.</t>
  </si>
  <si>
    <t>Bristol</t>
  </si>
  <si>
    <t>University of Bristol</t>
  </si>
  <si>
    <t>Electromagnetics</t>
  </si>
  <si>
    <t>Monterey;New York</t>
  </si>
  <si>
    <t>Naval Postgraduate School;IEEE</t>
  </si>
  <si>
    <t>60033012;60000251</t>
  </si>
  <si>
    <t>Tyo J.</t>
  </si>
  <si>
    <t>New Zealand;United States</t>
  </si>
  <si>
    <t>Chicago;New York</t>
  </si>
  <si>
    <t>133-136</t>
  </si>
  <si>
    <t>Israel;United States</t>
  </si>
  <si>
    <t>677-684</t>
  </si>
  <si>
    <t>128-130</t>
  </si>
  <si>
    <t>Switzerland;United States</t>
  </si>
  <si>
    <t>United States;United States;Italy;United States</t>
  </si>
  <si>
    <t>142-144</t>
  </si>
  <si>
    <t>Chen J.</t>
  </si>
  <si>
    <t>IEEE Personal Communications</t>
  </si>
  <si>
    <t>IEEE Aerospace and Electronic Systems Magazine</t>
  </si>
  <si>
    <t>Nortel Networks Inc</t>
  </si>
  <si>
    <t>NNI</t>
  </si>
  <si>
    <t>1070664X</t>
  </si>
  <si>
    <t>Physics of Plasmas</t>
  </si>
  <si>
    <t>57198323343;35586300900;57206299488</t>
  </si>
  <si>
    <t>United Kingdom;United Kingdom;United Kingdom</t>
  </si>
  <si>
    <t>Bhatti A.</t>
  </si>
  <si>
    <t>Indian Journal of Radio and Space Physics</t>
  </si>
  <si>
    <t>Biochimica et Biophysica Acta - Bioenergetics</t>
  </si>
  <si>
    <t>7006351403;35460663000</t>
  </si>
  <si>
    <t>Tung, Hao Chun;Wong, Kin Lu</t>
  </si>
  <si>
    <t>Tung H.</t>
  </si>
  <si>
    <t>60019330;60019330</t>
  </si>
  <si>
    <t>35755202500;25960688900</t>
  </si>
  <si>
    <t>Chen, Horng Dean;Chen, Wen Shyang</t>
  </si>
  <si>
    <t>Cheng Shiu University Taiwan</t>
  </si>
  <si>
    <t>60-62</t>
  </si>
  <si>
    <t>60031544;60031544;60031544;60031544</t>
  </si>
  <si>
    <t>Kochi</t>
  </si>
  <si>
    <t>Cochin University of Science and Technology</t>
  </si>
  <si>
    <t>Joseph V.</t>
  </si>
  <si>
    <t>Zhejiang University</t>
  </si>
  <si>
    <t>0302766X</t>
  </si>
  <si>
    <t>Cell and Tissue Research</t>
  </si>
  <si>
    <t>Rogers M.E.</t>
  </si>
  <si>
    <t>60011362;60011362</t>
  </si>
  <si>
    <t>7101602940;35478779700</t>
  </si>
  <si>
    <t>Kan, H. K.;Waterhouse, R. B.</t>
  </si>
  <si>
    <t>Melbourne</t>
  </si>
  <si>
    <t>RMIT University</t>
  </si>
  <si>
    <t>Kan H.K.</t>
  </si>
  <si>
    <t>Developmental Biology</t>
  </si>
  <si>
    <t>Tokunaga K.</t>
  </si>
  <si>
    <t>32-40</t>
  </si>
  <si>
    <t>60023053;60023053;60023053;60023053</t>
  </si>
  <si>
    <t>Gaithersburg</t>
  </si>
  <si>
    <t>National Institute of Standards and Technology</t>
  </si>
  <si>
    <t>95-97</t>
  </si>
  <si>
    <t>Learning and Memory</t>
  </si>
  <si>
    <t>Southeast University</t>
  </si>
  <si>
    <t>IEEE Transactions on Ultrasonics, Ferroelectrics, and Frequency Control</t>
  </si>
  <si>
    <t>Tokyo;New York</t>
  </si>
  <si>
    <t>Chung, Dong Chul</t>
  </si>
  <si>
    <t>Bongdong-eup/Wanju-gun</t>
  </si>
  <si>
    <t>Woosuk University</t>
  </si>
  <si>
    <t>Chung D.</t>
  </si>
  <si>
    <t>Plasma Sources Science and Technology</t>
  </si>
  <si>
    <t>Hong Kong;New York</t>
  </si>
  <si>
    <t>Hong Kong University of Science and Technology;IEEE</t>
  </si>
  <si>
    <t>60008592;60000251</t>
  </si>
  <si>
    <t>Biglieri E.</t>
  </si>
  <si>
    <t>60022403;60022403</t>
  </si>
  <si>
    <t>Haifa</t>
  </si>
  <si>
    <t>Technion - Israel Institute of Technology</t>
  </si>
  <si>
    <t>Nuclear Fusion</t>
  </si>
  <si>
    <t>Astronomical Journal</t>
  </si>
  <si>
    <t>Meshram M.</t>
  </si>
  <si>
    <t>Selvan K.</t>
  </si>
  <si>
    <t>185-187</t>
  </si>
  <si>
    <t>60013983;60013983</t>
  </si>
  <si>
    <t>60010491;60010491;60010491</t>
  </si>
  <si>
    <t>University</t>
  </si>
  <si>
    <t>University of Mississippi</t>
  </si>
  <si>
    <t>Kishk A.</t>
  </si>
  <si>
    <t>Kolkata;Kalyani;Howrah</t>
  </si>
  <si>
    <t>Jadavpur University;University of Kalyani;Indian Institute of Engineering Science and Technology, Shibpur</t>
  </si>
  <si>
    <t>60020825;60011023;60000912</t>
  </si>
  <si>
    <t>Sarkar P.P.</t>
  </si>
  <si>
    <t>Journal of Chromatography B: Biomedical Sciences and Applications</t>
  </si>
  <si>
    <t>Plant Cell</t>
  </si>
  <si>
    <t>Journal of Systems Engineering and Electronics</t>
  </si>
  <si>
    <t>Japanese Journal of Applied Physics, Part 2: Letters</t>
  </si>
  <si>
    <t>Saitama;Yokohama</t>
  </si>
  <si>
    <t>60028263;100438704</t>
  </si>
  <si>
    <t>60015465;60015465;60015465</t>
  </si>
  <si>
    <t>Dehradun</t>
  </si>
  <si>
    <t>Defence Research and Development Organisation India</t>
  </si>
  <si>
    <t>Vinoy K.</t>
  </si>
  <si>
    <t>276-280</t>
  </si>
  <si>
    <t>Lee Y.</t>
  </si>
  <si>
    <t>Austria</t>
  </si>
  <si>
    <t>Vienna</t>
  </si>
  <si>
    <t>Spain;Spain;Spain</t>
  </si>
  <si>
    <t>University of Florida</t>
  </si>
  <si>
    <t>Larsson E.</t>
  </si>
  <si>
    <t>218-220</t>
  </si>
  <si>
    <t>60001439;60001439;60001439</t>
  </si>
  <si>
    <t>7403914320;6603758204;55197051100</t>
  </si>
  <si>
    <t>Yu W.</t>
  </si>
  <si>
    <t>7403257414;7501449136;7102006113;7102523120</t>
  </si>
  <si>
    <t>Eskelinen P.</t>
  </si>
  <si>
    <t>Yang M.</t>
  </si>
  <si>
    <t>7202063846;35579308700;7004255361</t>
  </si>
  <si>
    <t>Chou, Hsi Tseng;Pathak, Prabhakar H.;Burkholder, Robert J.</t>
  </si>
  <si>
    <t>60008592;60000251-60008592</t>
  </si>
  <si>
    <t>971-979</t>
  </si>
  <si>
    <t>Ellingson S.</t>
  </si>
  <si>
    <t>Cho J.</t>
  </si>
  <si>
    <t>DAAG55-98-1-0336</t>
  </si>
  <si>
    <t>60029445;60000251-60029445</t>
  </si>
  <si>
    <t>Minneapolis;New York</t>
  </si>
  <si>
    <t>University of Minnesota Twin Cities;IEEE</t>
  </si>
  <si>
    <t>60029445;60000251</t>
  </si>
  <si>
    <t>Liu Z.</t>
  </si>
  <si>
    <t>948-951</t>
  </si>
  <si>
    <t>San Diego;New York</t>
  </si>
  <si>
    <t>NSF ECS 99-06651</t>
  </si>
  <si>
    <t>1221-1230</t>
  </si>
  <si>
    <t>Chen C.</t>
  </si>
  <si>
    <t>European Space Agency</t>
  </si>
  <si>
    <t>ESA</t>
  </si>
  <si>
    <t>60000251-60027561;60000251-60027561</t>
  </si>
  <si>
    <t>University of Illinois at Chicago;IEEE</t>
  </si>
  <si>
    <t>60027561;60000251</t>
  </si>
  <si>
    <t>Journal of Chemical Ecology</t>
  </si>
  <si>
    <t>60018491;60018491</t>
  </si>
  <si>
    <t>Burnaby</t>
  </si>
  <si>
    <t>Simon Fraser University</t>
  </si>
  <si>
    <t>Brain, Behavior and Evolution</t>
  </si>
  <si>
    <t>60029170;60029170;60029170</t>
  </si>
  <si>
    <t>Ignell R.</t>
  </si>
  <si>
    <t>7004989005;6603090729;7004362848;57218539158</t>
  </si>
  <si>
    <t>Paulson M.</t>
  </si>
  <si>
    <t>Antenna feed | Broadband antenna | Patch antenna</t>
  </si>
  <si>
    <t>60010080-60013983;60013983;60010491</t>
  </si>
  <si>
    <t>Guo, Y. X.;Luk, K. M.;Lee, K. F.</t>
  </si>
  <si>
    <t>Hong Kong;United States;China</t>
  </si>
  <si>
    <t>Kowloon;University;Nanjing</t>
  </si>
  <si>
    <t>City University of Hong Kong;University of Mississippi;Nanjing University of Science and Technology</t>
  </si>
  <si>
    <t>60013983;60010491;60010080</t>
  </si>
  <si>
    <t>Guo Y.</t>
  </si>
  <si>
    <t>60020547;60020547;60020547</t>
  </si>
  <si>
    <t>Ames</t>
  </si>
  <si>
    <t>Ames Laboratory</t>
  </si>
  <si>
    <t>60031040;60031040;60031040;60031040</t>
  </si>
  <si>
    <t>Umea</t>
  </si>
  <si>
    <t>Ume√• Universitet</t>
  </si>
  <si>
    <t>Applied Physics Letters</t>
  </si>
  <si>
    <t>China;Russian Federation;Sweden</t>
  </si>
  <si>
    <t>Hangzhou;Saint Petersburg;Stockholm</t>
  </si>
  <si>
    <t>State Key Laboratory of Modern Optical Instrumentation;Saint Petersburg National Research University of Information Technologies, Mechanics and Optics University ITMO;The Royal Institute of Technology (KTH)</t>
  </si>
  <si>
    <t>60117981;60072485;60002014</t>
  </si>
  <si>
    <t>410-412</t>
  </si>
  <si>
    <t>Hansen R.</t>
  </si>
  <si>
    <t>Spain;United Kingdom</t>
  </si>
  <si>
    <t>ECS-9875104</t>
  </si>
  <si>
    <t>Ong K.G.</t>
  </si>
  <si>
    <t>Insect Biochemistry and Molecular Biology</t>
  </si>
  <si>
    <t>Dallas</t>
  </si>
  <si>
    <t>69-78</t>
  </si>
  <si>
    <t>299-312</t>
  </si>
  <si>
    <t>197-201</t>
  </si>
  <si>
    <t>00-03-32957</t>
  </si>
  <si>
    <t>['substantially exceed', 'special features', 'separate pigments', 'reaction center', 'molecular antenna', 'interperiodica ".', 'found earlier', 'fluorescence spectra', 'field formalism', 'expressions obtained', 'excitation spectrum', 'chromophore playing', 'chromophore pigments', 'chromophore molecular', 'chromophore antenna']</t>
  </si>
  <si>
    <t>The expressions are obtained for the intensity of the frequency-shifted secondary emission of a chromophore playing the role of a reaction center in the simplest model three-chromophore molecular "lightharvesting" antenna, which is constructed and oriented in space so that the incident photons coherently excite two of its chromophore pigments. The quantum-field formalism was used, which takes into account the generalized (quantum-electrodynamic) dipole-dipole, as well as radiative and nonradiative dissipative interactions between pigments and the reaction center of the antenna. The special features of the excitation spectrum of the Raman scattering line and the frequency-shifted fluorescence spectrum of the reaction center of the molecular antenna under study are discussed. A comparison of the expressions obtained for the excitation and fluorescence spectra and with the corresponding expressions obtained for a bichromophore molecular system, which differs from a three-chromophore antenna by the absence of one of the pigments, revealed the properties of the mechanism of action of light-harvesting molecular antennas that have not been found earlier. In particular, it is shown that "the light-harvesting" caused by the collective dissipative interactions of pigments with the reaction center of the antenna can substantially exceed a sum of contributions from separate pigments. ¬© 2001 MAIK "Nauka/Interperiodica".</t>
  </si>
  <si>
    <t>0030400X</t>
  </si>
  <si>
    <t>Optics and Spectroscopy (English translation of Optika i Spektroskopiya)</t>
  </si>
  <si>
    <t>On the Theory of Frequency-Shifted Secondary Emission of Light-Harvesting Molecular Systems</t>
  </si>
  <si>
    <t>10.1134/1.1388321</t>
  </si>
  <si>
    <t>2-s2.0-0009007575</t>
  </si>
  <si>
    <t>['weight coefficients', 'ultrasound systems', 'threshold accepting', 'proposed method', 'periodic arrays', 'optimization procedure', 'optimization problem', 'optimization method', 'numerical simulations', 'minimum number', 'lobe level', 'lobe energy', 'linear arrays', 'linear array', 'first case', 'fast algorithm', 'element weights', 'element positions', 'computational burden', 'better results', 'better performances', 'band optimization', 'band operation', 'array elements', 'aperture width', 'also consider', '7 db']</t>
  </si>
  <si>
    <t>An optimization method is proposed for linear arrays to be used in ultrasound systems under wide-band operation. A fast algorithm, the threshold accepting, has been utilized to determine the element positions and weight coefficients of a linear array that generates a desired beam pattern. To reduce the computational burden in the optimization procedure, an efficient numerical routine for the beam pattern evaluation has been implemented. We address the optimization problem of both dense and sparse wideband arrays. In the first case, the goal is to minimize the side-lobe energy by varying the element weights; we compare the optimized beam pattern with that obtained with classical shading functions, showing that better results can be achieved with a wide-band optimization. We also consider the optimization of the layout (positions and weights) of a sparse linear array to achieve a desired beam pattern with a fixed or minimum number of array elements. The comparison of the proposed method with a narrow-band optimization algorithm is presented, showing that better performances (about -7 dB further reduction of the side-lobe level) can be achieved with a wide-band sparse array optimization. Further numerical simulations are given, showing that the proposed method yields better results than wide-band sparse random arrays and periodic arrays with the same aperture width.</t>
  </si>
  <si>
    <t>943-952</t>
  </si>
  <si>
    <t>60011218;60012630;60012630;60000251-60012630</t>
  </si>
  <si>
    <t>7006204619;7006105313;7003523515;7005273376</t>
  </si>
  <si>
    <t>Cardone, Giovanni;Cincotti, Gabriella;Gori, Paola;Pappalardo, Massimo</t>
  </si>
  <si>
    <t>Italy;Italy;United States</t>
  </si>
  <si>
    <t>Rome;Pula;New York</t>
  </si>
  <si>
    <t>Universit√† degli Studi Roma Tre;CRS4 - Centro di Ricerca Sviluppo e Studi Superiori in Sardegna;IEEE</t>
  </si>
  <si>
    <t>60012630;60011218;60000251</t>
  </si>
  <si>
    <t>Cardone G.</t>
  </si>
  <si>
    <t>Optimization of wide-band linear arrays</t>
  </si>
  <si>
    <t>10.1109/58.935711</t>
  </si>
  <si>
    <t>2-s2.0-0035384776</t>
  </si>
  <si>
    <t>['volumetric apertures', 'time consuming', 'steering angles', 'squared response', 'spherical coordinates', 'sonar design', 'report provides', 'renewed need', 'polar angles', 'output signal', 'omnidirectional element', 'input snr', 'fold integration', 'directivity requires', 'directivity factor', 'complexity increase', 'arrival angles', 'array geometries', 'array elements', 'accurate formulas']</t>
  </si>
  <si>
    <t>Acoustic arrays | Acoustic beams | Antenna theory | Dipole arrays</t>
  </si>
  <si>
    <t>Even after decades of sonar design, approximations to the directivity factor (DF) or index of an array, are often used inappropriately. Many of the approximations commonly used provide accurate directivity approximations for only the simplest of array geometries. As the array's size, shape, weighting, and complexity increase, there is a renewed need for better directivity approximations. Directivity is defined as the ratio of the output signal-to-noise (SNR) of an array to the input SNR at an omnidirectional element in a spherically isotropic noise field. Calculation of directivity is obtained by integrating the magnitude-squared response of the array over all angles of incidence. In spherical coordinates, these arrival angles are denoted by an azimuthal angle Œ∏ and a polar angle œÜ. Hence, calculation of the directivity requires a two-fold integration over the angular space defined by the azimuthal and polar angles. For complex, large-size arrays consisting of thousands of array elements, directivity calculations using numerical integration procedures can be time consuming, even on state-of-the-art computing systems. This report provides a number of accurate formulas for estimating the directivity of linear, planar, and volumetric apertures and arrays, which are allowed to have arbitrary shading coefficients, steering angles, and directional array element responses.</t>
  </si>
  <si>
    <t>383-398</t>
  </si>
  <si>
    <t>IEEE Journal of Oceanic Engineering</t>
  </si>
  <si>
    <t>60022791;60022791</t>
  </si>
  <si>
    <t>7102583073;6603486377</t>
  </si>
  <si>
    <t>Nuttall, A. H.;Cray, B. A.</t>
  </si>
  <si>
    <t>Newport</t>
  </si>
  <si>
    <t>Naval Undersea Warfare Center Division Newport</t>
  </si>
  <si>
    <t>Nuttall A.</t>
  </si>
  <si>
    <t>Approximations to directivity for linear, planar, and volumetric apertures and arrays</t>
  </si>
  <si>
    <t>S0364905901036925</t>
  </si>
  <si>
    <t>10.1109/48.946512</t>
  </si>
  <si>
    <t>2-s2.0-0035385549</t>
  </si>
  <si>
    <t>['working gas', 'wide field', 'rights reserved', 'quartz tube', 'presented experiments', 'plasma treatment', 'placed along', 'new kind', 'metallic walls', 'linear emitter', 'gas flow', 'elliptical cross', 'continuous wave', 'bifocal shape', 'atmospheric pressure', '6 slm', '45 ghz', '105 pa']</t>
  </si>
  <si>
    <t>Atmospheric plasma | PACVD | PAPVD</t>
  </si>
  <si>
    <t>A new kind of linearly extended plasma source was developed. The prototype of such a device was built up as a barrel with elliptical cross-section. This bifocal shape has two focus lines. A linearly extended microwave antenna is placed along one focus line and the sector of plasma treatment is placed along the second focus line. The antenna is a linear emitter of radial divergent microwave radiation. In this work, a frequency of 2.45 GHz in pulsed and continuous wave (CW) mode was used. The power up to 6 kW CW and 10 kW pulsed is adjustable, pulse on/off times are variable in a wide field. The microwave is reflected by the metallic walls of the barrel and concentrated in the second focus line apart from the antenna. There a quartz tube is placed, that can be evaporated and filled with a working gas at a pressure between 102 and 105 Pa. The presented experiments have been done with Argon up to atmospheric pressure at a gas flow up to 6 slm. ¬© 2001 Elsevier Science B.V. All rights reserved.</t>
  </si>
  <si>
    <t>939-942</t>
  </si>
  <si>
    <t>60073306;60073306;60073306;60073306;102062823;60015815</t>
  </si>
  <si>
    <t>7201712940;7006611037;24481131900;7103015211;7004891826;6601971954</t>
  </si>
  <si>
    <t>Kaiser, M.;Urban, H.;Emmerich, R.;Elsner, P.;Baumg√§rtner, K. M.;R√§uchle, E.</t>
  </si>
  <si>
    <t>Pfinztal;Stuttgart;</t>
  </si>
  <si>
    <t>Fraunhofer Institute for Chemical Technology ICT;Universit√§t Stuttgart;Muegge Electronic Company</t>
  </si>
  <si>
    <t>60073306;60015815;102062823</t>
  </si>
  <si>
    <t>Kaiser M.</t>
  </si>
  <si>
    <t>A new linearly extended bifocal microwave plasma device</t>
  </si>
  <si>
    <t>S0257897201013196</t>
  </si>
  <si>
    <t>10.1016/S0257-8972(01)01319-6</t>
  </si>
  <si>
    <t>2-s2.0-0035386084</t>
  </si>
  <si>
    <t>['œ ±,', 'œ ±', 'two methods', 'spatial distribution', 'second one', 'rights reserved', 'reduction rate', 'positive ions', 'optimum value', 'negative ions', 'langmuir probe', 'iaws ).', 'first one', 'fast mode', 'density ratio', 'center region', 'also found', '15 %,']</t>
  </si>
  <si>
    <t>Electron cyclotron resonance plasma | Ion acoustic waves | Langmuir probe | Negative ion density | Oxygen plasma</t>
  </si>
  <si>
    <t>An attempt to measure the negative ion density in an O2/Ar electron cyclotron resonance (ECR) plasma is made with two methods. The first one is to estimate the density ratio of negative ions to positive ions, Œ±, from the reduction rate of the ion and electron saturation current obtained with the Langmuir probe. The second one is to calculate Œ± from the measured phase velocity of the fast mode of ion acoustic waves (IAWs). The IAWs are launched along magnetic fields using a wire-antenna where positive pulse voltages are applied, and are detected as a fluctuation of ion saturation current. As a result, Œ± &lt; 0.3 is found. It is also found that Œ± obtained with both methods agree qualitatively. Furthermore, the spatial distribution and the gas mixture ratio dependence of Œ± are investigated. It is found that Œ± has the optimum value at the gas mixture ratio of 15%, and that Œ± near the wall is larger than that in the center region. ¬© 2001 Elsevier Science B.V. All rights reserved.</t>
  </si>
  <si>
    <t>355-359</t>
  </si>
  <si>
    <t>Shindo, M.;Kawai, Y.</t>
  </si>
  <si>
    <t>Measurements of negative ion density in O&lt;inf&gt;2&lt;/inf&gt;/Ar electron cyclotron resonance plasma</t>
  </si>
  <si>
    <t>S0257897201010738</t>
  </si>
  <si>
    <t>10.1016/S0257-8972(01)01073-8</t>
  </si>
  <si>
    <t>2-s2.0-0035386845</t>
  </si>
  <si>
    <t>['vivaldi antennas', 'several gigahertz', 'road construction', 'road applications', 'rights reserved', 'one decade', 'network analyzer', 'initial step', 'different parameters', 'dependent pulse']</t>
  </si>
  <si>
    <t>GPR | Layer | Network analyzer | Road | Step frequency</t>
  </si>
  <si>
    <t>In the field of road construction and maintenance, the need for information on the thickness of very thin road layers is not satisfied by means of commercial pulse GPR, due to the inability of such devices to operate over ranges of several gigahertz. As a result, research has focused on the design of a step-frequency radar technique, able to work with very high-frequency synthetic pulses. An ultrawide band antenna, belonging to the family of Vivaldi antennas, has been developed for road applications. It has been created using stripline technology and yields a band width greater than one decade. During an initial step, this antenna was tested on various bituminous concrete samples with a network analyzer. Different parameters were studied, including band width, offset between antennas, and height and shape of the frequency-dependent pulse. A second step involved GPR dynamic measurements. A customized software program enabled recording data from the network analyzer. Several radar profiles were developed from selected road construction and maintenance test sites (e.g. the Circular Pavement Fatigue Test Track, composed of a number of known structures). Results show improved resolution when compared to a commercial impulse GPR system. ¬© 2001 Elsevier Science B.V. All rights reserved.</t>
  </si>
  <si>
    <t>317-325</t>
  </si>
  <si>
    <t>60014644;60014644;60110755;60110755;60110755;60110755</t>
  </si>
  <si>
    <t>6508314303;7102219948;6507974742;6507443330;6603031706;57206342086</t>
  </si>
  <si>
    <t>Fauchard, C.;C√¥te, Ph;Le Brusq, E.;Guillanton, E.;Dauvignac, J. Y.;Pichot, Ch</t>
  </si>
  <si>
    <t>Sophia Antipolis;Paris</t>
  </si>
  <si>
    <t>Laboratoire D'√©lectronique, Antennes et T√©l√©communications;LCPC Laboratoire Central des Ponts et Chauss√©es</t>
  </si>
  <si>
    <t>60110755;60014644</t>
  </si>
  <si>
    <t>Fauchard C.</t>
  </si>
  <si>
    <t>Step-frequency radar applied on thin road layers</t>
  </si>
  <si>
    <t>S0926985101000751</t>
  </si>
  <si>
    <t>10.1016/S0926-9851(01)00075-1</t>
  </si>
  <si>
    <t>2-s2.0-0035386971</t>
  </si>
  <si>
    <t>['textile factory', 'studying changes', 'spilt onto', 'significant variation', 'rights reserved', 'reflected signal', 'paper describes', 'obtain information', 'model used', 'many years', 'heterogeneous conditions', 'factory floor', 'evaluating deterioration', 'different conditions', 'continuous action', 'concrete porosity', 'concrete floors', 'concrete caused', 'accurate estimate', '25 %,']</t>
  </si>
  <si>
    <t>Concrete porosity | GPR | Radar | Remote sensing</t>
  </si>
  <si>
    <t>This paper describes a GPR study carried out with the aim of evaluating deterioration of concrete floors in a textile factory. In the past, production process waste was spilt onto the floor of the factory. A slow but continuous action from this waste on the concrete caused a significant variation in its porosity that can be detected by studying changes in the GPR reflected pulse. A simple synthetic model was developed in order to obtain information about how the response of the GPR antenna pulse is affected by changes in the porosity of concrete. It should also be taken into account the different conditions of the factory floor at the time of testing, as it had been isolated from the action of waste for many years. The heterogeneous conditions of the floor and the simplicity of the model used did not allow for an accurate estimate of the porosity; however, it was possible to map degraded areas of the floor in relationship to changes in the reflected signal. Core samples taken showed that some areas had concrete porosity of 15% and up to 25%, which is closer to that of sand than to concrete. ¬© 2001 Elsevier Science B.V. All rights reserved.</t>
  </si>
  <si>
    <t>327-336</t>
  </si>
  <si>
    <t>60026134;60002802;60027282</t>
  </si>
  <si>
    <t>6603882725;6603089327;35554558400</t>
  </si>
  <si>
    <t>Lorenzo, H.;Cu√©llar, V.;Hern√°ndez, M. C.</t>
  </si>
  <si>
    <t>Madrid;Vigo;Madrid</t>
  </si>
  <si>
    <t>Universidad Complutense de Madrid;Universidade de Vigo;Centro de Estudios y Experimentaci√≥n de Obras Publicas</t>
  </si>
  <si>
    <t>60027282;60026134;60002802</t>
  </si>
  <si>
    <t>Lorenzo H.</t>
  </si>
  <si>
    <t>Close range radar remote sensing of concrete degradation in a textile factory floor</t>
  </si>
  <si>
    <t>S0926985101000763</t>
  </si>
  <si>
    <t>10.1016/S0926-9851(01)00076-3</t>
  </si>
  <si>
    <t>2-s2.0-0035387008</t>
  </si>
  <si>
    <t>['tapered section', 'surface layer', 'spatial resolutions', 'size reduction', 'rod diameter', 'rights reserved', 'remote sens', 'publication )]', 'pavement cracks', 'one end', 'linearly tapered', 'internal reflections', 'ieee trans', 'guided along', 'features make', 'excellent depth', 'detecting small', 'dependent pattern', 'better efficiency']</t>
  </si>
  <si>
    <t>Antenna | Ground penetration radar | Landmines | Modeling</t>
  </si>
  <si>
    <t>A new dielectric rod antenna design modified from its previous version developed by Chen [IEEE Trans. Geosci. Remote Sens. (accepted for publication)] is presented. Such an antenna is useful in detecting small and shallow subsurface objects with excellent depth and spatial resolutions. These features make it useful in detecting small anti-personnel (AP) mines, pavement cracks and the surface layer. Broad bandwidth electromagnetic energy is fed into the rod from one end, guided along the rod and then radiated from the other end where the rod diameter is linearly tapered to a point. The tapered-permittivity design uses an additional permittivity taper to overcome the problem of a frequency-dependent pattern when high dielectric material is used for size reduction. This new design reduces the internal reflections at the tapered section and results in better efficiency and less antenna clutter. ¬© 2001 Elsevier Science B.V. All rights reserved.</t>
  </si>
  <si>
    <t>309-316</t>
  </si>
  <si>
    <t>60003500;60003500;60003500</t>
  </si>
  <si>
    <t>7501961026;57197354435;26040905400</t>
  </si>
  <si>
    <t>Chen, Chi Chih;Rama Rao, Kishore;Lee, Robert</t>
  </si>
  <si>
    <t>A tapered-permittivity rod antenna for ground penetrating radar applications</t>
  </si>
  <si>
    <t>S092698510100074X</t>
  </si>
  <si>
    <t>10.1016/S0926-9851(01)00074-X</t>
  </si>
  <si>
    <t>2-s2.0-0035387012</t>
  </si>
  <si>
    <t>NSF-EAR-9712012</t>
  </si>
  <si>
    <t>['western scarp', 'west margin', 'using gpr', 'using 400', 'stratigraphic disturbances', 'sikeston ridge', 'shallow depths', 'rights reserved', 'rather sandy', 'paleoliquefaction studies', 'paleoliquefaction site', 'haynes farm', 'ground truth', 'gpr surveys', 'gpr data', 'features shown', 'examples show', 'erosional trimming', 'colluvial deposition', 'collected using', 'channel incision', 'central us', 'best data', 'almost east']</t>
  </si>
  <si>
    <t>Deformation | Faulting | New Madrid seismic zone | Paleoliquefaction | Sand blow</t>
  </si>
  <si>
    <t>Ground penetrating radar (GPR) surveys were conducted in the New Madrid seismic zone in the central US. The targets of the GPR surveys were the near-surface sedimentary features associated with seismically induced liquefaction and stratigraphic disturbances. Correlation of the features shown by the GPR data and "ground truth" revealed by geological excavation holds the promise of using GPR to assist optimal selection of future trenching sites. The present paper reports GPR survey results using a 400 MHz antenna at the site of Haynes Farm in Arkansas for paleoliquefaction studies; and using 400 and 100 MHz antennas at three sites along the western scarp of the Sikeston Ridge in Missouri for near-surface deformation studies. The 400 MHz data at the paleoliquefaction site in Haynes Farm characterized an elongated sand blow feature at a depth of about 1 m, with an almost east-west striking orientation. At the Sikeston Ridge site, GPR surveys were carried out at one excavation site near Davis Cemetery in the village of Kewanee, Missouri, using the 400 MHz antenna. Another three GPR profiles with lengths of more than 100 m and crossing the western scarp of the Sikeston Ridge were collected using the 100 MHz antenna. Since the soils in this area are rather sandy, the 100 MHz antenna produced the best data and penetrated to depths of 6-7 m. The GPR surveys reveal similar subsurface deformation features at depth for all three 100 MHz profiles. Correlating GPR profiles with trenching, drilling, and satellite imaging confirms that the stratigraphic disturbances shown at shallow depths are associated with erosional trimming, colluvial deposition, and channel incision of the west margin of the Sikeston Ridge, occurring in the latest Wisconsin time about 10 000 years BP. The examples show that GPR is useful in locating subsurface features in the New Madrid seismic zone for seismic hazard assessments. ¬© 2001 Elsevier Science B.V. All rights reserved.</t>
  </si>
  <si>
    <t>199-215</t>
  </si>
  <si>
    <t>60022659;100348093</t>
  </si>
  <si>
    <t>8557620700;57219397202</t>
  </si>
  <si>
    <t>Liu, Lanbo;Li, Yong</t>
  </si>
  <si>
    <t>Storrs;Boston</t>
  </si>
  <si>
    <t>University of Connecticut;Applied Insurance Research</t>
  </si>
  <si>
    <t>Liu L.</t>
  </si>
  <si>
    <t>Identification of liquefaction and deformation features using ground penetrating radar in the New Madrid seismic zone, USA</t>
  </si>
  <si>
    <t>S0926985101000659</t>
  </si>
  <si>
    <t>10.1016/S0926-9851(01)00065-9</t>
  </si>
  <si>
    <t>2-s2.0-0035387151</t>
  </si>
  <si>
    <t>Universidade do Estado do Rio de Janeiro</t>
  </si>
  <si>
    <t>['tupinamb √°"', 'study area', 'several uses', 'several profiles', 'serrano site', 'sand exploitation', 'rights reserved', 'results showed', 'response model', 'ramac system', 'radar data', 'prehistoric times', 'pottery artifacts', 'morro grande', 'mainly characterized', 'host media', 'great importance', 'archaeological remains', 'araruama county', 'acquired using', 'acquired around']</t>
  </si>
  <si>
    <t>Archaeology | Cultural heritage | Ground penetrating radar | Pottery</t>
  </si>
  <si>
    <t>The application of the ground penetrating radar (GPR) at two archaeological sites, Serrano and Morro Grande, situated in Araruama County, Rio de Janeiro, Brazil, aids the study of a prehistoric indigenous culture, associated with the "Tupinamb√°" that inhabited the region during prehistoric times. The archaeological remains of the study area are mainly characterized by pottery artifacts for several uses, including funerary urns, which were buried within layers of sand and clay. Several profiles were acquired using a RAMAC system, with a 200 and 400 MHz frequency antennae. At the Serrano site, the profiles were acquired around some partially exposed pottery shards, due to sand exploitation. The resultant profiles provided a response model to guide the interpretation of new profiles acquired at other sites in the area, which present similar characteristics. The results showed the great importance of the dielectric permittivity contrast which exists between the targets and the host media, in order for possibly significant features to be identified in radar data. ¬© 2001 Elsevier Science B.V. All rights reserved.</t>
  </si>
  <si>
    <t>227-240</t>
  </si>
  <si>
    <t>60000036;60000036;60000036;60006171</t>
  </si>
  <si>
    <t>15819657700;7801587616;6506426086;7401876576</t>
  </si>
  <si>
    <t>Silva Cezar, Gl√≥ria;Ferrucio da Rocha, Paula Lucia;Buarque, Angela;Costa, Ariovaldo</t>
  </si>
  <si>
    <t>Petrobras;Universidade Federal do Rio de Janeiro</t>
  </si>
  <si>
    <t>60006171;60000036</t>
  </si>
  <si>
    <t>Silva Cezar G.</t>
  </si>
  <si>
    <t>Two Brazilian archaeological investigated by GPR: Serrano and Morro grande</t>
  </si>
  <si>
    <t>S0926985101000672</t>
  </si>
  <si>
    <t>10.1016/S0926-9851(01)00067-2</t>
  </si>
  <si>
    <t>2-s2.0-0035387226</t>
  </si>
  <si>
    <t>['spreading code', 'rake receivers', 'desired user', 'conventional space', 'channel characteristics', 'blind receiver', 'also studied']</t>
  </si>
  <si>
    <t>Antenna array | Blind multiuser detection | CDMA | Neural network | RAKE receiver</t>
  </si>
  <si>
    <t>A space-time-code (STC) blind receiver is proposed in this paper. The receiver can operate in a frequency-selective fading environment with knowledge of the desired user's spreading code but not its channel characteristics. It integrates the advantages of constrained minimum output energy (CMOE) blind multiuser detector and conventional space-time (ST) 2D-RAKE receivers and overcomes their limitations. It can make full use of spatial, temporal and code signatures involved in desired user's signal to suppress multiuser access interference (MAI) and combine multipath components. Neural network based implementation of the receiver is also studied.</t>
  </si>
  <si>
    <t>356-360</t>
  </si>
  <si>
    <t>60005244;60005244</t>
  </si>
  <si>
    <t>7202051478;56852500400</t>
  </si>
  <si>
    <t>Song, R.;Bi, G.</t>
  </si>
  <si>
    <t>Song R.</t>
  </si>
  <si>
    <t>Space-time-code blind receiver in CDMA systems and its neural network implementation</t>
  </si>
  <si>
    <t>2-s2.0-0035388103</t>
  </si>
  <si>
    <t>['varying channels', 'tracking capability', 'simulation results', 'simple task', 'rls ).', 'practical fields', 'great improvements', 'enormous amount', 'calculation burden', 'analytic solution', 'adaptive processors']</t>
  </si>
  <si>
    <t>Adaptive algorithm | Recursive least square (RLS) | Smart antenna | Tracking capability</t>
  </si>
  <si>
    <t>Although smart antenna will be introduced in the third generation mobile communication for its great improvements on the capacity, it is not a simple task to commercialize this technique to practical fields, mainly because the overall procedure requires an enormous amount of computation. For most adaptive processors, the calculation burden can be attributed to the calculation complexity required by the algorithm at each iteration and the iteration rate required by adaptivity of system in time-varying channels. The presented paper presents an analytic solution for estimating the tracking capability of the Recursive Least Square (RLS). This approach is formed by the simulation results.</t>
  </si>
  <si>
    <t>318-320</t>
  </si>
  <si>
    <t>60014966;60014966</t>
  </si>
  <si>
    <t>7201739568;7006676820</t>
  </si>
  <si>
    <t>Gu, Q.;Jiao, B.</t>
  </si>
  <si>
    <t>Peking University</t>
  </si>
  <si>
    <t>Gu Q.</t>
  </si>
  <si>
    <t>Analytic solution for estimating the tracking capability of the RLS algorithm for smart antenna</t>
  </si>
  <si>
    <t>2-s2.0-0035388308</t>
  </si>
  <si>
    <t>['unnecessarily degrade', 'tdma frames', 'results show', 'protocol performance', 'polling protocol', 'link direction', 'link capacity', 'give insight', 'care must', 'blocking effects', 'base station', 'allows us', 'accommodates variations']</t>
  </si>
  <si>
    <t>Multiple access protocol | Packet switching | Polling | Smart antennas | Space division multiple access (SDMA)</t>
  </si>
  <si>
    <t>In this paper, we consider a base station, which communicates to a set of portable stations using a smart antenna operating in multibeam, packet-switched, space division multiple access (SDMA) mode. We assume that the system operates using time division duplexing (TDD) and focus on the problem of access to the stations by the base station in the forward-link direction. A polling protocol is used which permits efficient access in this type of system. The operation of the protocol is unique in that it permits dynamic slot allocation and accommodates variations in channel time coherence. In the protocol, dynamic slot assignment is integrated into the forward-link beam scheduling. This allows us to explore the value of dynamic station slot assignment when constructing the SDMA/TDMA frames. The results show the improvements in capacity, which are possible in such systems and give insight into the degradation in protocol performance that occurs when channel coherence times decrease. We find that very large imp rovements in capacity are possible using dynamic slot allocation, especially under harsh channel conditions. We also investigate various base station queueing issues in this type of system. It is shown that care must be taken in how buffering is performed so that blocking effects do not unnecessarily degrade the forward-link capacity.</t>
  </si>
  <si>
    <t>1024-1038</t>
  </si>
  <si>
    <t>60107880;60000251-60031828;60000251-60024590;60000251-60085908</t>
  </si>
  <si>
    <t>23025300500;7101635609;6602407495;6602107891</t>
  </si>
  <si>
    <t>Kuehner, Rupam;Todd, Terence D.;Shad, Faisal;Kezys, Vytas</t>
  </si>
  <si>
    <t>Canada;Canada;Canada;United States;United States</t>
  </si>
  <si>
    <t>Markham;Hamilton;Hamilton;Schaumburg;New York</t>
  </si>
  <si>
    <t>IBM Canada Software Lab;TalariCom Inc.;McMaster University;Motorola;IEEE</t>
  </si>
  <si>
    <t>60107880;60085908;60031828;60024590;60000251</t>
  </si>
  <si>
    <t>Kuehner R.</t>
  </si>
  <si>
    <t>Forward-link capacity in smart antenna base stations with dynamic slot allocation</t>
  </si>
  <si>
    <t>S0018954501048873</t>
  </si>
  <si>
    <t>10.1109/25.938578</t>
  </si>
  <si>
    <t>2-s2.0-0035388438</t>
  </si>
  <si>
    <t>['two transmit', 'trellis search', 'time block', 'performance comparisons', 'length optimized', 'feedback equalizer', 'error decision', 'delay multi', 'decoding scheme', 'decision feedback', 'combined equalization', 'coded transmissions', 'case study']</t>
  </si>
  <si>
    <t>Diversity methods | Equalizers | Multi-input-multi-output (MIMO) systems | Multipath channels</t>
  </si>
  <si>
    <t>A finite-length optimized-delay multi-input-multi-output (MIMO) mean-square-error decision-feedback equalizer for space-time block-coded transmissions over multipath-fadingchannels is presented. Alamouti's space-time block code with two transmit and two receive antennas on a typical urban EDGE channel is taken as a case study. We propose a combined equalization and decoding scheme under the constraint of linear processing complexity (no trellis search) at the receiver. Performance comparisons are made with the single-transmit/single-receive antenna case and the case of MIMO feedforward linear equalization only with no decision feedback.</t>
  </si>
  <si>
    <t>1176-1182</t>
  </si>
  <si>
    <t>60008383;100356351;60008383</t>
  </si>
  <si>
    <t>7006800187;7004611847;35586083000</t>
  </si>
  <si>
    <t>Al-Dhahir, Naofal;Naguib, Ayman F.;Calderbank, A. R.</t>
  </si>
  <si>
    <t>Florham Park;Canberra</t>
  </si>
  <si>
    <t>AT&amp;T Laboratories Florham Park;Morphics Technology, Inc.</t>
  </si>
  <si>
    <t>60008383;100356351</t>
  </si>
  <si>
    <t>Finite-length MIMO decision feedback equalization for space-time block-coded signals over multipath-fading channels</t>
  </si>
  <si>
    <t>S0018954501048903</t>
  </si>
  <si>
    <t>10.1109/25.938592</t>
  </si>
  <si>
    <t>2-s2.0-0035388546</t>
  </si>
  <si>
    <t>['using two', 'urban area', 'twcl ).', 'time window', 'sight situation', 'results show', 'rake receiver', 'rake method', 'matched filter', 'field test', 'effective even', 'diversity gain', 'diversity effect', 'delay paths', 'chip rate', 'antenna diversity', '18 db', '096 mchip']</t>
  </si>
  <si>
    <t>Code division multiple access (CDMA) | Code synchronization | Field test | Multipath fading | Path diversity | RAKE receiver</t>
  </si>
  <si>
    <t>This paper presents field test measurement results from a postdetection RAKE receiver system using a time-window control loop (TWCL). TWCL is a code synchronization scheme, and its performance with delay paths is better than the performance, in terms of acquisition and tracking, without delay paths because of the path-diversity effect. This receiver is suitable for systems that use short spreading codes such as wireless local area networks because it employs a matched filter for despreading. The RAKE method is a simple integral demodulation method used to combine correlation peaks including delay paths in a time window, and two-branch-antenna combining diversity is available. A field test is implemented while walking in an urban area, including the no-line-of-sight situation, taking into consideration microcellular systems. The results show that when the bit error rate is 10-3 and the spreading-chip rate is 4.096 Mchip/s, path-diversity gain from the theoretical differential quadrature phase-s hift keying value is more than 12 dB without antenna diversity. This path-diversity gain value corresponds to a path-diversity reception gain of between two and three. Using two-branch-antenna diversity, the total of path- and antenna-diversity gain is up to 18 dB in the no-line-of sight situation. From the above results, it is clear that this RAKE receiver is effective even in the no-line-of-sight situation and that TWCL provides good performance under the given field conditions.</t>
  </si>
  <si>
    <t>895-899</t>
  </si>
  <si>
    <t>60025555;60000251-60025555;60000251-60025555-60032492</t>
  </si>
  <si>
    <t>55624479722;6701737759;6603933637</t>
  </si>
  <si>
    <t>Suzuki, Yasuo;Kudoh, Eisuke;Ogose, Shigeaki</t>
  </si>
  <si>
    <t>Takamatsu;Tokyo;New York</t>
  </si>
  <si>
    <t>Kagawa University;Nippon Telegraph and Telephone Corporation;IEEE</t>
  </si>
  <si>
    <t>60032492;60025555;60000251</t>
  </si>
  <si>
    <t>Field test measurement of DS-CDMA rake receiver with TWCL in an urban area</t>
  </si>
  <si>
    <t>S0018954501060443</t>
  </si>
  <si>
    <t>10.1109/25.938566</t>
  </si>
  <si>
    <t>2-s2.0-0035388690</t>
  </si>
  <si>
    <t>ECS-9979413</t>
  </si>
  <si>
    <t>['urban environment', 'tracing simulator', 'surface impedance', 'propagation prediction', 'practical restrictions', 'numerical results', 'new two', 'new features', 'impedance wedges', 'arbitrary values']</t>
  </si>
  <si>
    <t>Electromagnetic (EM) propagation | Geometrical theory of diffraction (GTD) | Radio propagation | Urban areas</t>
  </si>
  <si>
    <t>A new two-dimensional (2-D) ray-tracing simulator for electromagnetic (EM) propagation prediction in an urban environment is described. The new features are that no practical restrictions are imposed on the profile of the cross section connecting the transmitter to the receiver and that each surface is characterized by its own value for the surface impedance; also, second-order diffraction coefficients for impedance wedges are used to allow for arbitrary values of the heights of both antennas. Comparisons with other methods and numerical results are presented.</t>
  </si>
  <si>
    <t>1158-1168</t>
  </si>
  <si>
    <t>6602988232;7004462124</t>
  </si>
  <si>
    <t>Erricolo, Danilo;Uslenghi, Piergiorgio L.E.</t>
  </si>
  <si>
    <t>Erricolo D.</t>
  </si>
  <si>
    <t>Two-dimensional simulator for propagation in urban environments</t>
  </si>
  <si>
    <t>S0018954501060455</t>
  </si>
  <si>
    <t>10.1109/25.938590</t>
  </si>
  <si>
    <t>2-s2.0-0035388692</t>
  </si>
  <si>
    <t>['silicon substrate', 'plasma sphere', 'entire substrate', 'empirical equation', 'discussed using', 'diamond precursors', 'diamond deposition']</t>
  </si>
  <si>
    <t>ACMPG | Coaxial cable | CVD | Deposition | Diamond | Electrode | Heated substrate | Large area | Microwave | Plasma</t>
  </si>
  <si>
    <t>Diamond deposition on a large area silicon wafer substrate (√∏100 mm) is achieved with a methane/hydrogen plasma induced by an antenna-type coaxial microwave plasma generator. Deposition of diamond is observed over the entire substrate. Diamond precursors are emitted radially onto a silicon substrate from the plasma sphere generated at the tip of the antenna. The possibility of diamond deposition outside the plasma sphere is discussed using a semi-empirical equation.</t>
  </si>
  <si>
    <t>100503568;100503568;60012461;60023462</t>
  </si>
  <si>
    <t>6505921374;7203018783;7102142912;7005370313</t>
  </si>
  <si>
    <t>Taniyama, Norikazu;Kudo, Minoru;Matsumoto, Osamu;Kawarada, Hiroshi</t>
  </si>
  <si>
    <t>Tokyo;Tokyo;Kawagoe</t>
  </si>
  <si>
    <t>Waseda University;Aoyama Gakuin University;Micro Denshi Co., Ltd.</t>
  </si>
  <si>
    <t>60023462;60012461;100503568</t>
  </si>
  <si>
    <t>Taniyama N.</t>
  </si>
  <si>
    <t>Diamond deposition on a large-area substrate by plasma-assisted chemical vapor deposition using an antenna-type coaxial microwave plasma generator</t>
  </si>
  <si>
    <t>10.1143/jjap.40.l698</t>
  </si>
  <si>
    <t>2-s2.0-0035389211</t>
  </si>
  <si>
    <t>['uniform state', 'supply conditions', 'plasma source', 'novel high', 'microwave power', 'low temperature', 'high potential', 'fairly simple', 'external one', '3 ev', '22 cm', '1011 cm']</t>
  </si>
  <si>
    <t>High-density plasma | Internal spoke antenna | Low-temperature plasma | Microcrystalline silicon | Microwave plasma</t>
  </si>
  <si>
    <t>Novel high-density and low-temperature microwave plasma utilizing an internal spoke antenna is demonstrated. No quartz glass plate is required to maintain a high-density plasma using the alumina-ceramic-coated spoke antenna. Consequently, the plasma source is fairly simple. This microwave plasma maintains the uniform state over a diameter of 22 cm with a high electron density of 1011 cm-3 and a low temperature of 1-3 eV as well as a higher traveling efficiency of the microwave power to the chamber than that of the external one. A fast deposition rate of ‚àº 40 √Ö/s is achieved for highly crystallized microcrystalline silicon (Œºc-Si:H) formation from SiH4 and H2 under lower-power-supply conditions. This high-density microwave plasma utilizing an internal spoke antenna has a high potential for larger-area thin film processing.</t>
  </si>
  <si>
    <t>60028263;60028263;60028263;100438704</t>
  </si>
  <si>
    <t>7202945191;7401650880;6506283555;7102921642</t>
  </si>
  <si>
    <t>Shirai, Hajime;Yoshino, Koichi;Ohkawara, Go;Ueyama, Hiroyuki</t>
  </si>
  <si>
    <t>Novel high-density microwave plasma utilizing an internal spoke antenna for fast deposition of microcrystalline silicon films</t>
  </si>
  <si>
    <t>10.1143/jjap.40.l701</t>
  </si>
  <si>
    <t>2-s2.0-0035389654</t>
  </si>
  <si>
    <t>['sequence code', 'promising technique', 'multimedia services', 'multidelay paths', 'main complexity', 'downlink beamforming', 'division multiple']</t>
  </si>
  <si>
    <t>Adaptive beamforming | Code-division multiple access | Multimedia communications | Power control</t>
  </si>
  <si>
    <t>Downlink beamforming is a promising technique for direct-sequence code-division multiple-access (DS-CDMA) systems with multimedia services to effectively reduce strong interferences induced by high data rate users. In this paper, a new downlink beamforming technique is proposed that converts downlink beamforming problem into a virtual uplink one and takes into account of the data rate information of all users. Since the main complexity of this method is due to the existence of multidelay paths, two simplified algorithms are suggested using equivalent one-path channel vector to replace multipath channel vectors. Computer simulation results are given to evaluate downlink capacity of DS-CDMA systems using base station antenna array and the new algorithms proposed in this paper.</t>
  </si>
  <si>
    <t>1288-1298</t>
  </si>
  <si>
    <t>60000251-60007284;60007284;60078684</t>
  </si>
  <si>
    <t>36071330300;7005101794;7404200118</t>
  </si>
  <si>
    <t>Liang, Ying Chang;Chin, Francois P.S.;Ray Liu, K. J.</t>
  </si>
  <si>
    <t>College Park;Singapore City;New York</t>
  </si>
  <si>
    <t>A. James Clark School of Engineering;Centre for Wireless Communications, Singapore;IEEE</t>
  </si>
  <si>
    <t>60078684;60007284;60000251</t>
  </si>
  <si>
    <t>Downlink beamforming for DS-CDMA mobile radio with multimedia services</t>
  </si>
  <si>
    <t>S0090677801057725</t>
  </si>
  <si>
    <t>10.1109/26.935169</t>
  </si>
  <si>
    <t>2-s2.0-0035390842</t>
  </si>
  <si>
    <t>['œºm technology', 'signal processing', 'paper describes', 'new generation', 'frequency communication', 'digital parts', 'delay insensitive', 'bit microcontroller', 'asynchronous quasi', 'asynchronous logics', 'associates analog']</t>
  </si>
  <si>
    <t>Asynchronous processor | Coil-on-chip | Quasi-delay insensitive circuits | Smart cards | System-on-chip</t>
  </si>
  <si>
    <t>This paper describes a new generation of Contactless Smart Card Chip which integrates an on-chip coil connected to a power reception system and an emitter/receiver module compatible with the ISO 14443 standard, together with an asynchronous quasi-delay insensitive (QDI) 8-bit microcontroller. Beyond the Contactless Smart Card application field, this new chip demonstrates that system-on-chip integrating power reception and management, radio-frequency communication, and signal processing is feasible. It associates analog/digital parts as well as synchronous/asynchronous logics and has been fabricated in a CMOS six metal layers 0.25-Œºm technology from STMicroelectronics.</t>
  </si>
  <si>
    <t>1101-1107</t>
  </si>
  <si>
    <t>60104081;60104081;60000251-60003462;60000251-60104081;60102593</t>
  </si>
  <si>
    <t>6507187821;7102489717;7004412323;7004323011;23010439700</t>
  </si>
  <si>
    <t>Abrial, Andr√©;Bouvier, Jacky;Renaudin, Marc;Senn, Patrice;Vivet, Pascal</t>
  </si>
  <si>
    <t>France;France;France;United States</t>
  </si>
  <si>
    <t>Issy-les-Moulineaux;Paris;Grenoble;New York</t>
  </si>
  <si>
    <t>Orange Labs;STMicroelectronics SA, France;Techniques de l'Informatique et de la Micro√©lectronique pour l'Architecture des syst√®mes int√©gr√©s;IEEE</t>
  </si>
  <si>
    <t>60104081;60102593;60003462;60000251</t>
  </si>
  <si>
    <t>Abrial A.</t>
  </si>
  <si>
    <t>A new contactless smart card IC using an on-chip antenna and an asynchronous microcontroller</t>
  </si>
  <si>
    <t>S0018920001057900</t>
  </si>
  <si>
    <t>10.1109/4.933467</t>
  </si>
  <si>
    <t>2-s2.0-0035391629</t>
  </si>
  <si>
    <t>Office F√©d√©ral de l'Education et de la Science</t>
  </si>
  <si>
    <t>97.0382-1</t>
  </si>
  <si>
    <t>OFES</t>
  </si>
  <si>
    <t>['sensitivity control', 'regenerative principle', 'receiver part', 'power transceiver', 'pll ).', 'mhz band', 'ism applications', 'frequency control', 'batteries solution', '6 mw', '105 dbm']</t>
  </si>
  <si>
    <t>BiCMOS RF integrated circuits | Low power | Oscillators | Super-regenerative receivers</t>
  </si>
  <si>
    <t>A low-power transceiver for ISM applications in the 868-MHz band has been integrated in a 0.8-Œºm BiCMOS technology. The receiver part is based on the super-regenerative principle. The system includes two time-shared control loops, one for the selectivity and sensitivity control and one for the frequency control (PLL). The receiver with its PLL draws 3.6 mW for a sensitivity of -105 dBm and the emitter current consumption is 6mA for a 0-dBm output power. A 2.4-V operation voltage allow the usage of a two-batteries solution.</t>
  </si>
  <si>
    <t>1025-1031</t>
  </si>
  <si>
    <t>60028186;60000251-60028186;60028186;105228206;60000251-60028186</t>
  </si>
  <si>
    <t>6603435138;6701713974;7003289899;6603764353;7006591464</t>
  </si>
  <si>
    <t>Joehl, Norbert;Dehollain, Catherine;Favre, Patrick;Deval, Philippe;Declercq, Michel</t>
  </si>
  <si>
    <t>Switzerland;United States;Switzerland</t>
  </si>
  <si>
    <t>Lausanne;New York;Lausanne</t>
  </si>
  <si>
    <t>Swiss Federal Institute of Technology Lausanne;IEEE;Mead SA</t>
  </si>
  <si>
    <t>60028186;60000251;105228206</t>
  </si>
  <si>
    <t>Joehl N.</t>
  </si>
  <si>
    <t>A low-power 1-GHz super-regenerative transceiver with time-shared PLL control</t>
  </si>
  <si>
    <t>S0018920001045164</t>
  </si>
  <si>
    <t>10.1109/4.933457</t>
  </si>
  <si>
    <t>2-s2.0-0035391753</t>
  </si>
  <si>
    <t>['well known', 'utilized compared', 'spatial filtering', 'significant savings', 'several methods', 'receiver beamforming', 'provide high', 'promising candidate', 'power control', 'potential gains', 'optimum powers', 'one domain', 'multiuser detection', 'maximally utilize', 'joint temporal', 'interference management', 'intelligent temporal', 'generation systems', 'cdma systems', 'capacity increase', 'ambitious challenges', 'also given', 'access scheme']</t>
  </si>
  <si>
    <t>Code-division multiple access (CDMA) | Interference suppression | MMSE receivers | Multiuser detection | Power control | Receiver beamforming</t>
  </si>
  <si>
    <t>Among the ambitious challenges to be met by the third-generation systems is to provide high-capacity flexible services. Code-division multiple access (CDMA) emerges as a promising candidate to meet these challenges. It is well known that CDMA systems are interference-limited, and interference management is needed to maximally utilize the potential gains of this access scheme. Several methods of controlling and/or suppressing the interference through power control, multiuser detection (temporal filtering), and receiver beamforming (spatial filtering) have been proposed to increase the capacity of CDMA systems up to date. We investigate the capacity increase that is possible by combining power control with intelligent temporal and spatial receiver filter design. The signal-to-interference ratio maximizing joint temporal-spatial receiver filters in unconstrained and constrained filter spaces are derived. Two-step iterative power control algorithms that converge to the optimum powers and the joint temporal and spatial receiver filters in the corresponding filter domains are given. A power control algorithm with a less complex filter update procedure is also given. We observe that significant savings in total transmit power are possible if filtering in both domains is utilized compared with conventional power control and joint optimal power control and filtering in only one domain.</t>
  </si>
  <si>
    <t>1227-1239</t>
  </si>
  <si>
    <t>60000251-60119141-60000060;60000251-60119141;60000251-60008383</t>
  </si>
  <si>
    <t>7003701601;7103058794;7003375238</t>
  </si>
  <si>
    <t>Yener, Aylin;Yates, Roy D.;Ulukus, Sennur</t>
  </si>
  <si>
    <t>New Brunswick;Florham Park;New York;Bethlehem</t>
  </si>
  <si>
    <t>Rutgers University‚ÄìNew Brunswick;AT&amp;T Laboratories Florham Park;IEEE;Lehigh University</t>
  </si>
  <si>
    <t>60119141;60008383;60000251;60000060</t>
  </si>
  <si>
    <t>Interference management for CDMA systems through power control, multiuser detection, and beamforming</t>
  </si>
  <si>
    <t>S0090677801057713</t>
  </si>
  <si>
    <t>10.1109/26.935163</t>
  </si>
  <si>
    <t>2-s2.0-0035392031</t>
  </si>
  <si>
    <t>Danmarks Grundforskningsfond</t>
  </si>
  <si>
    <t>DNRF</t>
  </si>
  <si>
    <t>['wind direction', 'thus measuring', 'theoretical work', 'sea surface', 'radiometer imagery', 'polarimetric radiometers', 'pixel basis', 'ocean using', 'correlation type', 'circle flights', 'airborne experiment', 'achieved using']</t>
  </si>
  <si>
    <t>Microwave radiometry | Ocean wind measurements | Polarimetric radiometers | Remote sensing</t>
  </si>
  <si>
    <t>The speed and direction of winds over the ocean can be determined by polarimetric radiometers. This has been established by theoretical work and demonstrated experimentally using airborne radiometers carrying out circle flights and thus measuring the full 360¬∞ azimuthal response from the sea surface. An airborne experiment, with the aim of measuring wind direction over the ocean using an imaging polarimetric radiometer, is described. A polarimetric radiometer system of the correlation type, measuring all four Stokes brightness parameters, is used. Imaging is achieved using a 1-m aperture conically scanning antenna. The polarimetric azimuthal signature of the ocean is known from modeling and circle flight experiments. Combining the signature with the measured brightness data from just a single flight track enables the wind direction to be determined on a pixel-by-pixel basis in the radiometer imagery.</t>
  </si>
  <si>
    <t>1547-1555</t>
  </si>
  <si>
    <t>60000251-60011373;60000251-60011373</t>
  </si>
  <si>
    <t>57196842592;7003928581</t>
  </si>
  <si>
    <t>Laursen, Brian;Skou, Niels</t>
  </si>
  <si>
    <t>Denmark;United States</t>
  </si>
  <si>
    <t>Lyngby;New York</t>
  </si>
  <si>
    <t>Danmarks Tekniske Universitet;IEEE</t>
  </si>
  <si>
    <t>60011373;60000251</t>
  </si>
  <si>
    <t>Laursen B.</t>
  </si>
  <si>
    <t>Wind direction over the ocean determined by an airborne, imaging, polarimeteric radiometer system</t>
  </si>
  <si>
    <t>S0196289201054663</t>
  </si>
  <si>
    <t>10.1109/36.934086</t>
  </si>
  <si>
    <t>2-s2.0-0035392118</t>
  </si>
  <si>
    <t>['time block', 'like space', 'domain equalization', 'combining space', 'coding scheme', 'antenna transmission']</t>
  </si>
  <si>
    <t>Diversity methods | Equalizers | Fourier transform | Intersymbol interference</t>
  </si>
  <si>
    <t>A scheme was proposed for combining space-time block coding with single-carrier frequency domain equalization. The low complexity scheme gives the advantages of Almouti-like space-time block-coding scheme and fast fourier transforms (FFT) based single carrier frequency-domain equalization. The scheme, which is appropriate for frequency-selective channels gave significant performance gains over single-antenna transmission for the EDGE TU channel.</t>
  </si>
  <si>
    <t>304-306</t>
  </si>
  <si>
    <t>Al-Dhahir, Naofal</t>
  </si>
  <si>
    <t>Single-carrier frequency-domain equalization for space-time block-coded transmissions over frequency-selective fading channels</t>
  </si>
  <si>
    <t>S1089779801064729</t>
  </si>
  <si>
    <t>10.1109/4234.935750</t>
  </si>
  <si>
    <t>2-s2.0-0035392557</t>
  </si>
  <si>
    <t>['synthesis radiometers', 'spatial resolution', 'somehow related', 'signals collected', 'sars ),', 'radiometric sensitivity', 'quite poor', 'physical size', 'paper presents', 'next step', 'narrow beam', 'microwave radiometers', 'correlations measured', 'baseline ).', 'antenna doppler', 'angular resolution']</t>
  </si>
  <si>
    <t>Interferometry | Radiometry | Sparse arrays</t>
  </si>
  <si>
    <t>Compared to synthetic aperture radars (SARs), the angular resolution of microwave radiometers is quite poor. Traditionally, it has been limited by the physical size of the antenna. However, the angular resolution can be improved by means of aperture synthesis interferometric techniques. A narrow beam is synthesized during the image formation processing of the cross-correlations measured at zero-lag between pairs of signals collected by an array of antennas. The angular resolution is then determined by the maximum antenna spacing normalized to the wavelength (baseline). The next step in improving the angular resolution is the Doppler-Radiometer, somehow related to the super-synthesis radiometers and the Radiometer-SAR. This paper presents the concept of a three-antenna Doppler-Radiometer for 2-D imaging. The performance of this instrument is evaluated in terms of angular/spatial resolution and radiometric sensitivity and an L-band illustrative example is presented.</t>
  </si>
  <si>
    <t>1566-1572</t>
  </si>
  <si>
    <t>60000251-60007592;60000251-60014313</t>
  </si>
  <si>
    <t>7005018006;7101802161</t>
  </si>
  <si>
    <t>Camps, Adriano J.;Swift, Calvin T.</t>
  </si>
  <si>
    <t>Amherst MA;Barcelona;New York</t>
  </si>
  <si>
    <t>University of Massachusetts Amherst;Universitat Polit√®cnica de Catalunya;IEEE</t>
  </si>
  <si>
    <t>60014313;60007592;60000251</t>
  </si>
  <si>
    <t>Camps A.</t>
  </si>
  <si>
    <t>A two-dimensional Doppler-radiometer for earth observation</t>
  </si>
  <si>
    <t>S0196289201054699</t>
  </si>
  <si>
    <t>10.1109/36.934088</t>
  </si>
  <si>
    <t>2-s2.0-0035392663</t>
  </si>
  <si>
    <t>['time codes', 'perform well', 'numerical analysis', 'new space', 'designed via', 'bits transmitted', '4psk constellations']</t>
  </si>
  <si>
    <t>Diversity methods | Fading channels | Trellis-coded modulation</t>
  </si>
  <si>
    <t>New space-time codes for 4PSK constellations were designed via a modified determinant criterion at 2b/s/Hz and were shown to perform well under conditions of quasi-static flat fading. The transmit antennas used the same M-PSK complex modulator constellation M of unit average energy and exactly log 2 M bits transmitted during each multiple channel use. The equal eigen value criterion for L-transmit-antenna Rayleigh fading with perfect channel state information (CSI) was used for the numerical analysis.</t>
  </si>
  <si>
    <t>301-303</t>
  </si>
  <si>
    <t>60000251-60023290;60000251-60005286;60000251-60000745;60000251-60026638</t>
  </si>
  <si>
    <t>7102900358;6602275869;7402519916;7004160057</t>
  </si>
  <si>
    <t>Ionescu, D. Mihai;Mukkavilli, K. Kiran;Yan, Zhiyuan;Lilleberg, Jorma</t>
  </si>
  <si>
    <t>Finland;United States;United States;United States;United States</t>
  </si>
  <si>
    <t>Espoo;Murray;Houston;Urbana;New York</t>
  </si>
  <si>
    <t>Nokia Corporation;Nokia USA;Rice University;University of Illinois Urbana-Champaign;IEEE</t>
  </si>
  <si>
    <t>60026638;60023290;60005286;60000745;60000251</t>
  </si>
  <si>
    <t>Ionescu D.</t>
  </si>
  <si>
    <t>Improved 8- and 16-state space-time codes for 4PSK with two transmit antennas</t>
  </si>
  <si>
    <t>S1089779801064651</t>
  </si>
  <si>
    <t>10.1109/4234.935749</t>
  </si>
  <si>
    <t>2-s2.0-0035392751</t>
  </si>
  <si>
    <t>['two eigenwaves', 'tuned corrugations', 'sources reducing', 'shs boundary', 'reflection dyadic', 'recently extended', 'pmc boundaries', 'planar soft', 'magnetic sources', 'isotropic medium', 'image principle', 'hard surface', 'em sources', 'chiral medium']</t>
  </si>
  <si>
    <t>Chiral media | Image theory | Soft-and-hard surfaces</t>
  </si>
  <si>
    <t>The classical image theory valid for electromagnetic (EM) sources in an isotropic medium above a planar perfect electric conductor (PEC) or perfect magnetic conductor (PMC) surface was more recently extended to involve the planar soft-and-hard surface (SHS) boundary that can be realized with tuned corrugations. The image principle is now generalized to EM sources in isotropic chiral medium above a SHS boundary. The problem is solved by two consecutive decompositions of the sources reducing the problem to four classical ones involving electric and magnetic sources above PEC and PMC boundaries; each involving an isotropic nonchiral medium and possessing a known image solution. One of the decompositions is based on the fact that the two eigenwaves of a chiral medium do not couple at a soft-and-hard surface; and, the other one, on the eigenpolarizations of the reflection dyadic.</t>
  </si>
  <si>
    <t>1065-1068</t>
  </si>
  <si>
    <t>Lindell, I. V.</t>
  </si>
  <si>
    <t>Lindell I.</t>
  </si>
  <si>
    <t>Image theory for electromagnetic sources in chiral medium above the soft and hard boundary</t>
  </si>
  <si>
    <t>S0018926X01056435</t>
  </si>
  <si>
    <t>10.1109/8.933486</t>
  </si>
  <si>
    <t>2-s2.0-0035392829</t>
  </si>
  <si>
    <t>ECS-9501652</t>
  </si>
  <si>
    <t>['two gains', 'transmission power', 'significant gains', 'scale fading', 'results show', 'noisy knowledge', 'large system', 'jointly gaussian', 'interferences across', 'interference ratio', 'independent case', 'independent across', 'fading effects', 'diversity gain', 'diversity combining', 'desired user', 'decibels ).', 'correlated across', 'combat small', 'clear separation']</t>
  </si>
  <si>
    <t>CDMA | Large-scale fading | Maximum ratio combining | MMSE | Power control | Selection combining | Small-scale fading | Space diversity</t>
  </si>
  <si>
    <t>In a mobile wireless system, fading effects can be classified into large-scale (long-term) effects and small-scale (short-term) effects. We use transmission power control to compensate for large-scale fading and exploit receiver antenna (space) diversity to combat small-scale fading. We show that the interferences across the antennas are jointly Gaussian in a large system, and then characterize the signal-to-interference ratio for both independent and correlated (across the antennas) small-scale fading cases. Our results show that when each user's small-scale fading effects are independent across the antennas, there is a clear separation between the gains of transmission power control and diversity combining, and the two gains are additive (in decibels). When each user's small-scale fading effects are correlated across the antennas, we observe that, in general, the gains of transmission power control and diversity combining are coupled. However, when the noise level diminishes to zero, using maximum ratio combining "decouples" the gains and achieves the same diversity gain as in the independent case. We then characterize the Pareto-optimal (minimum) transmission power allocation for the cases of perfect and noisy knowledge of the desired user's large-scale fading effects. We find that using antenna diversity leads to significant gains for the transmission power.</t>
  </si>
  <si>
    <t>1276-1288</t>
  </si>
  <si>
    <t>60000251-60003892;60000251-60009254;60028629</t>
  </si>
  <si>
    <t>36105605300;7005870631;57203159813</t>
  </si>
  <si>
    <t>Zhang, Junshan;Chong, Edwin K.P.;Kontoyiannis, Ioannis</t>
  </si>
  <si>
    <t>West Lafayette;West Lafayette;Tempe;New York</t>
  </si>
  <si>
    <t>College of Science;Purdue University;Arizona State University;IEEE</t>
  </si>
  <si>
    <t>60028629;60009254;60003892;60000251</t>
  </si>
  <si>
    <t>Unified spatial diversity combining and power allocation for CDMA systems in multiple time-scale fading channels</t>
  </si>
  <si>
    <t>S0733871601047102</t>
  </si>
  <si>
    <t>10.1109/49.932696</t>
  </si>
  <si>
    <t>2-s2.0-0035393120</t>
  </si>
  <si>
    <t>CRC96/99</t>
  </si>
  <si>
    <t>['system capacity', 'system bit', 'significant improvements', 'results reduce', 'proposed system', 'prior knowledge', 'optimum solution', 'operating jointly', 'noise ratio', 'mobile stations', 'make comparisons', 'global optimum', 'error rates', 'average signal', 'analytical expression', 'analytic formula', 'adaptive antennas']</t>
  </si>
  <si>
    <t>Co-channel interference | Flat and frequency selective fading channels | Intersymbol interference | MIMO | Smart antennas | Wireless communication systems</t>
  </si>
  <si>
    <t>Smart or adaptive antennas promise to provide significant increases in system capacity and performance in wireless communication systems. In this paper, we investigate the use of adaptive antennas at the base and mobile stations, operating jointly, to maximize the average signal-to-interference and noise ratio (SINR) of each packet in the system for frequency selective channels with prior knowledge of the channel at the transmitter. Our approach is based on deriving an analytic formula for the average packet SINR and using the Lagrange multiplier method to determine an optimum. We derive necessary conditions for an optimum solution and propose an analytical expression for the optimum. Our analytical expression is not guaranteed to be the global optimum but it does satisfy the derived necessary conditions and, in addition for frequency flat channels, our results reduce to expressions for optimal weights previously published. To demonstrate the potential of the proposed system, we provide Monte Carlo simulation results of the system bit-error rates and make comparisons with other adaptive antenna systems. These show that significant improvements in performance are possible in a wireless communications context.</t>
  </si>
  <si>
    <t>1395-1407</t>
  </si>
  <si>
    <t>60000251-60008592;60000251-60008592;60000251-60008592</t>
  </si>
  <si>
    <t>7404759940;7006019510;55666697100</t>
  </si>
  <si>
    <t>Wong, Kai Kit;Murch, Ross D.;Letaief, Khaled Ben</t>
  </si>
  <si>
    <t>Optimizing time and space MIMO antenna system for frequency selective fading channels</t>
  </si>
  <si>
    <t>S073387160104999X</t>
  </si>
  <si>
    <t>10.1109/49.932706</t>
  </si>
  <si>
    <t>2-s2.0-0035393137</t>
  </si>
  <si>
    <t>['wireless propagation', 'whereas space', 'time encoding', 'time coders', 'system performance', 'simple maximum', 'selective channel', 'rao bound', 'performance space', 'modulus algorithm', 'likelihood decoders', 'exploited recently', 'diversity available', 'develop high', 'deterministic variant', 'channel estimates', 'block precoding', 'benchmark performance', 'also derived']</t>
  </si>
  <si>
    <t>Blind channel estimation | Multipath fading channels | Space-time coding | Transmit diversity</t>
  </si>
  <si>
    <t>Transmit antenna diversity has been exploited recently to develop high-performance space-time coders and simple maximum-likelihood decoders for transmissions over flat fading channels. Relying on block precoding, this paper develops generalized space-time coded multicarrier transceivers appropriate for wireless propagation over frequency-selective multipath channels. Multicarrier precoding maps the frequency-selective channel into a set of flat fading subchannels, whereas space-time encoding/decoding facilitates equalization and achieves performance gains by exploiting the diversity available with multiple transmit antennas. When channel state information is unknown at the receiver, it is acquired blindly based on a deterministic variant of the constant-modulus algorithm that exploits the structure of space-time block codes. To benchmark performance, the Cram√©r-Rao bound of channel estimates is also derived. System performance is evaluated both analytically and with simulations.</t>
  </si>
  <si>
    <t>1352-1364</t>
  </si>
  <si>
    <t>60029445;60000251-60029445;60000251-60032350;60000251-60033021</t>
  </si>
  <si>
    <t>56373660100;36049280600;35494538700;7005577332</t>
  </si>
  <si>
    <t>Liu, Zhiqiang;Giannakis, Georgios B.;Barbarossa, Sergio;Scaglione, Anna</t>
  </si>
  <si>
    <t>United States;Italy;United States;United States</t>
  </si>
  <si>
    <t>Albuquerque;Rome;Minneapolis;New York</t>
  </si>
  <si>
    <t>The University of New Mexico;Sapienza Universit√† di Roma;University of Minnesota Twin Cities;IEEE</t>
  </si>
  <si>
    <t>60033021;60032350;60029445;60000251</t>
  </si>
  <si>
    <t>Transmit-antennae space-time block coding for generalized OFDM in the presence of unknown multipath</t>
  </si>
  <si>
    <t>S0733871601047163</t>
  </si>
  <si>
    <t>10.1109/49.932702</t>
  </si>
  <si>
    <t>2-s2.0-0035393256</t>
  </si>
  <si>
    <t>['single cell', 'null positions', 'fdd ds', 'downlink beamforming', 'constrained method', 'computer simulations', 'calibrated method', 'also evaluate']</t>
  </si>
  <si>
    <t>Adaptive beamforming | Code division multiple access | Frequency calibration | Frequency division duplex | Power control</t>
  </si>
  <si>
    <t>Two suboptimal algorithms are proposed for downlink beamforming in FDD DS-CDMA mobile radio by using uplink beamforming weights. One is a null-constrained method, which maintains the same null positions for both uplink and downlink beam patterns; the other is a frequency-calibrated method which constrains the same main beam positions for both patterns. We also evaluate the multicell downlink capacity of DS-CDMA systems using per-user-per-weight beamforming scheme. Outer cell interference is modeled as an AWGN process whose variance is proportional to the average intracell total tranmitted power. Computer simulations are given to compare the single cell and multicell capacities using different downlink beamforming weight generation algorithms.</t>
  </si>
  <si>
    <t>1264-1275</t>
  </si>
  <si>
    <t>60000251-60007284;60000251-60007284</t>
  </si>
  <si>
    <t>Liang, Ying Chang;Chin, Francois</t>
  </si>
  <si>
    <t>Two suboptimal algorithms for downlink beamforming in FDD DS-CDMA mobile radio</t>
  </si>
  <si>
    <t>S0733871601047096</t>
  </si>
  <si>
    <t>10.1109/49.932695</t>
  </si>
  <si>
    <t>2-s2.0-0035393409</t>
  </si>
  <si>
    <t>['zone area', 'temporary disabling', 'set positioning', 'roof applications', 'new trend', 'minimum impact', 'features must', 'crossing area', 'camera pre', '100 meters', '10 meters']</t>
  </si>
  <si>
    <t>There is a new trend in the outdoor security market that demands more precision in identifying the crossing area of an intruder. Often called intrusion location capability, this capability also presents inherent features such as more accuracy in camera pre-set positioning and temporary disabling of sub-zone and individual sensitivity level per sub-zone. However even though market trend demands them, such features must have minimum impact to overall system cost. How the Synergistic Radar technology can be modified to offer intruder location capability to a sub-zone area as precise as 10% of the total zone length is presented. For a typical zone length of 100 meters, the zone is sub-divided into up to ten equally spaced sub-zones of 10 meters each, giving an intrusion crossing point resolution of 10 meters. Synergistic Radar technology can be applied to buried, surface, wall and roof applications. This intrusion location capability also applies to each of these applications.</t>
  </si>
  <si>
    <t>Gagnon, Andr√©</t>
  </si>
  <si>
    <t>Hull</t>
  </si>
  <si>
    <t>Auratek Security, Inc</t>
  </si>
  <si>
    <t>Gagnon A.</t>
  </si>
  <si>
    <t>Intrusion location capability added to synergistic radar technology</t>
  </si>
  <si>
    <t>10.1109/62.935462</t>
  </si>
  <si>
    <t>2-s2.0-0035393459</t>
  </si>
  <si>
    <t>['wide bandwidth', 'two examples', 'slot length', 'radiation pattern', 'patch wide', 'paper presents', 'novel single', 'microstrip antenna', 'design concept', 'band mechanism', 'also presented', '4 ghz']</t>
  </si>
  <si>
    <t>Dual parallel slots | E-shaped | Patch antenna | Wide band | Wireless communications</t>
  </si>
  <si>
    <t>This paper presents a novel single-patch wide-band microstrip antenna: the E-shaped patch antenna. Two parallel slots are incorporated into the patch of a microstrip antenna to expand it bandwidth. The wide-band mechanism is explored by investigating the behavior of the currents on the patch. The slot length, width, and position are optimized to achieve a wide bandwidth. The validity of the design concept is demonstrated by two examples with 21.2% and 32.3% bandwidths. Finally, a 30.3% E-shaped patch antenna, resonating at wireless communication frequencies of 1.9 and 2.4 GHz, is designed, fabricated, and measured. The radiation pattern and directivity are also presented.</t>
  </si>
  <si>
    <t>1094-1100</t>
  </si>
  <si>
    <t>60000251-60027550;60025278;60024728;60000251-60027550</t>
  </si>
  <si>
    <t>57198993246;51565281600;7401899085;7102110120</t>
  </si>
  <si>
    <t>Yang, Fan;Zhang, Xue Xia;Ye, Xiaoning;Rahmat-Samii, Yahya</t>
  </si>
  <si>
    <t>United States;China;United States;United States</t>
  </si>
  <si>
    <t>Los Angeles;Beijing;Rolla;New York</t>
  </si>
  <si>
    <t>University of California, Los Angeles;Tsinghua University;Missouri University of Science and Technology;IEEE</t>
  </si>
  <si>
    <t>60027550;60025278;60024728;60000251</t>
  </si>
  <si>
    <t>Yang F.</t>
  </si>
  <si>
    <t>Wide-band E-shaped patch antennas for wireless communications</t>
  </si>
  <si>
    <t>S0018926X01056575</t>
  </si>
  <si>
    <t>10.1109/8.933489</t>
  </si>
  <si>
    <t>2-s2.0-0035393627</t>
  </si>
  <si>
    <t>['vector multiplication', 'triangular discretization', 'spatial green', 'spatial domain', 'proposed method', 'parallel computation', 'numerical examples', 'microstrip structures', 'matrix equation', 'large number', 'iterative solution', 'interaction portion', 'integral equation', 'form expressions', 'ffts ).', 'computational complexity', 'cg method', 'based facilitates']</t>
  </si>
  <si>
    <t>Fast Hankel transform | Interconnects | SM/CG method</t>
  </si>
  <si>
    <t>In this paper, a fast numerical method called the sparse-matrix/canonical-grid (SM/CG) method is employed to analyze densely packed microstrip interconnects that involve a large number of unknowns. The mixed-potential integral equation is solved by using the method of moments in the spatial domain. The closed-form expressions of the spatial Green's functions of microstrip structures are obtained from the combination of the fast Hankel transform and the matrix pencil method. The Rao-Wilton-Glisson triangular basis functions are used to convert the integral equation into a matrix equation. The matrix equation is then solved by using the SM/CG method, in which the far-interaction portion of the matrix-vector multiplication in the iterative solution is performed by the fast Fourier transforms (FFTs). This is achieved by the Taylor series expansions of the spatial Green's functions about the uniformly spaced canonical grid points overlaying the triangular discretization. Numerical examples are presented to illustrate the accuracy and efficiency of the proposed method. The SM/CG method has computational complexity of O(N log N). Furthermore, being FFT-based facilitates the implementation for parallel computation.</t>
  </si>
  <si>
    <t>1221-1228</t>
  </si>
  <si>
    <t>60013983;60013983;60013983;60013983;60013983</t>
  </si>
  <si>
    <t>8392892700;7406253178;55511318500;55477588200;7103290950</t>
  </si>
  <si>
    <t>Li, S. Q.;Yu, Y.;Chan, C. H.;Chan, K. F.;Tsang, L.</t>
  </si>
  <si>
    <t>Li S.Q.</t>
  </si>
  <si>
    <t>A sparse-matrix/canonical grid method for analyzing densely packed interconnects</t>
  </si>
  <si>
    <t>S0018948001050591</t>
  </si>
  <si>
    <t>10.1109/22.932239</t>
  </si>
  <si>
    <t>2-s2.0-0035393699</t>
  </si>
  <si>
    <t>['wide range', 'user decoders', 'user case', 'subsequent iterations', 'signals arrive', 'seeking neither', 'random spreading', 'rake demodulation', 'pilot symbols', 'obtained via', 'multiuser demodulator', 'modest loss', 'minimum mean', 'increasing iterations', 'four iterations', 'feeding back', 'division multiple', 'displays near', 'conventional receivers', 'behaves like', 'array responses', 'array geometry']</t>
  </si>
  <si>
    <t>Antenna array processing | Array response estimation | Dispersive CDMA channels | Iterative (turbo) processing | Multiuser interference suppression</t>
  </si>
  <si>
    <t>A soft iterative multisensor array receiver for coded multiuser wideband code-division multiple-access wireless uplink channels is proposed. Such channels are typically both frequency- and time-selective. A new equivalent discrete-time synchronous representation is used to model asynchronous multiuser dispersive channels that employ, in general, random spreading. The proposed scheme suppresses multiuser interference over a wide range of user signal powers, by iteratively exchanging soft information between a minimum mean-square-error (MMSE) multiuser demodulator and a bank of single-user decoders, feeding back the outputs of the latter to aid in soft multiuser multisensor MMSE-Rake demodulation and subtractive interference cancellation, in the second and subsequent iterations. It displays near-far resistance since it behaves like a successive interference subtracter across iterations. The array responses are obtained via a multipass estimation scheme that uses both (temporal) pilot symbols and soft estimates fed back from the decoders to effectively provide multisymbol pilot signals and thence successively refined estimates with increasing iterations, while seeking neither to rely on the array geometry nor to estimate the directions from which users' signals arrive at the receiver. Simulation studies indicate that this scheme performs close to the single-user case with a two-sensor receiver array, and perfect channel state information, after four iterations; alternatively, it allows significantly increased user capacity compared with conventional receivers, and suffers only a modest loss with estimated array responses.</t>
  </si>
  <si>
    <t>1334-1351</t>
  </si>
  <si>
    <t>60000251-60078684;60000251-60078684</t>
  </si>
  <si>
    <t>College Park;New York</t>
  </si>
  <si>
    <t>A. James Clark School of Engineering;IEEE</t>
  </si>
  <si>
    <t>60078684;60000251</t>
  </si>
  <si>
    <t>Soft iterative multisensor multiuser detection in coded dispersive CDMA wireless channels</t>
  </si>
  <si>
    <t>S0733871601047151</t>
  </si>
  <si>
    <t>10.1109/49.932701</t>
  </si>
  <si>
    <t>2-s2.0-0035393752</t>
  </si>
  <si>
    <t>['unwanted interference', 'training signal', 'time region', 'signature sequence', 'rough estimate', 'prescribed space', 'interference suppression', 'information required', 'correlator pairs', 'adaptive space']</t>
  </si>
  <si>
    <t>Antenna arrays | Beamforming | CDMA | Interference cancellation | RAKE receiver</t>
  </si>
  <si>
    <t>A beamspace-time (BT) receiver is proposed for interference suppression and multipath diversity reception in sectored wireless code division multiple access communications. The scheme involves two stages. First, a set of adaptive space-time diversity processors, in the form of beamformer-correlator pairs, is constructed which provides effective suppression of unwanted interference and reception of signals from a prescribed space-time region. Second, the output data obtained by these processors are maximum ratio combined to capture the signal multipath components coherently. The proposed BT receiver is blind in that no training signal is required. The only information required is the signature sequence, timing and a rough estimate of the angle of arrival of the signal for selecting the sector of interest.</t>
  </si>
  <si>
    <t>1374-1384</t>
  </si>
  <si>
    <t>7501435107;13004870400</t>
  </si>
  <si>
    <t>Lee, T. S.;Tsai, T. C.</t>
  </si>
  <si>
    <t>A beamspace-time interference canceling CDMA receiver for sectored communications in a multipath environment</t>
  </si>
  <si>
    <t>S0733871601049976</t>
  </si>
  <si>
    <t>10.1109/49.932704</t>
  </si>
  <si>
    <t>2-s2.0-0035393770</t>
  </si>
  <si>
    <t>['prism optical', 'fully characterized', 'exhibits squint', 'entire k', 'delay millimeter', 'delay lines', 'band millimeter', 'band fiber', 'azimuth across']</t>
  </si>
  <si>
    <t>Array signal processing | Millimeter-wave antenna arrays | Millimeter-wave radar optical fiber delay lines | Optical-fiber dispersion</t>
  </si>
  <si>
    <t>An ultrawide-band fiber-optic true time-delay millimeter-wave array transmitter is fully characterized and demonstrated in this paper. The beamformer is based on dispersive-prism optical-delay lines and exhibits squint-free ¬±60¬∞ steering in azimuth across the entire K a-band (26.5-40 GHz). This is believed to be the first fully functioning demonstration of a photonically controlled wide-band millimeter-wave transmitter system.</t>
  </si>
  <si>
    <t>1248-1253</t>
  </si>
  <si>
    <t>35499185600;7202324699</t>
  </si>
  <si>
    <t>Tulchinsky, D. A.;Matthews, P. J.</t>
  </si>
  <si>
    <t>Tulchinsky D.</t>
  </si>
  <si>
    <t>Ultrawide-band fiber-optic control of a millimeter-wave transmit beamformer</t>
  </si>
  <si>
    <t>S0018948001050529</t>
  </si>
  <si>
    <t>10.1109/22.932243</t>
  </si>
  <si>
    <t>2-s2.0-0035393899</t>
  </si>
  <si>
    <t>['slot antenna', 'radiation characteristics', 'printed wide', 'microstrip line', 'least 0', 'experimentally investigated', 'conventional microstrip', 'bandwidth enhancement', 'also achieved', '5 ghz', '1 ghz']</t>
  </si>
  <si>
    <t>Bandwidth enhancement | Broad-band antenna | Printed slot antenna</t>
  </si>
  <si>
    <t>Printed wide-slot antennas fed by a microstrip line with a fork-like tuning stub for bandwidth enhancement are proposed and experimentally investigated. Both impedance and radiation characteristics of this antenna are studied. Experimental results indicate that a 1:1.5 VSWR bandwidth of 1 GHz is achieved at operating frequencies around 2 GHz, which is nearly ten times that of a conventional microstrip-line-fed printed wide-slot antenna. It also achieved a 2-dB gain bandwidth of at least 0.5 GHz.</t>
  </si>
  <si>
    <t>1020-1024</t>
  </si>
  <si>
    <t>60000251-60011357;60000251-60011357</t>
  </si>
  <si>
    <t>35249332900;35460663000</t>
  </si>
  <si>
    <t>Sze, Jia Yi;Wong, Kin Lu</t>
  </si>
  <si>
    <t>Sze J.</t>
  </si>
  <si>
    <t>Bandwidth enhancement of a microstrip-line-fed printed wide-slot antenna</t>
  </si>
  <si>
    <t>S0018926X01056551</t>
  </si>
  <si>
    <t>10.1109/8.933480</t>
  </si>
  <si>
    <t>2-s2.0-0035393973</t>
  </si>
  <si>
    <t>['results show', 'prototype 60', 'measured far', 'hankel transform', 'field patterns', 'field data', 'antenna far', 'amplitude across']</t>
  </si>
  <si>
    <t>Millimeter-wave radio systems | Shaped reflector antenna</t>
  </si>
  <si>
    <t>A shaped reflector antenna for a prototype 60-GHz wireless LAN access point has been designed and constructed. Its performance has been verified through measurements of the antenna far-field radiation patterns in the compact antenna test range. Near-field patterns have been reconstructed from the measured far-field data by using the Hankel transform. The results show that the amplitude across the footprint area remains within 6 dB of uniformity.</t>
  </si>
  <si>
    <t>1013-1015</t>
  </si>
  <si>
    <t>60000251-60032882;60000251-60032882</t>
  </si>
  <si>
    <t>16415286000;7003821814</t>
  </si>
  <si>
    <t>Smulders, Peter F.M.;Herben, Matti H.A.J.</t>
  </si>
  <si>
    <t>Netherlands;United States</t>
  </si>
  <si>
    <t>Eindhoven;New York</t>
  </si>
  <si>
    <t>Technische Universiteit Eindhoven;IEEE</t>
  </si>
  <si>
    <t>60032882;60000251</t>
  </si>
  <si>
    <t>A shaped reflector antenna for 60-GHz radio access points</t>
  </si>
  <si>
    <t>S0018926X01056587</t>
  </si>
  <si>
    <t>10.1109/8.933478</t>
  </si>
  <si>
    <t>2-s2.0-0035394153</t>
  </si>
  <si>
    <t>['three designs', 'meandering pifa', 'make use', 'lc resonators', 'lc resonator', 'frequency operation', 'feed dual', 'experimental results', '1800 mhz']</t>
  </si>
  <si>
    <t>Broad-band antennas | Inverted F antennas | Printed antennas</t>
  </si>
  <si>
    <t>In this paper, we report our investigation into single-feed dual-frequency planar inverted F antenna (PIFA) designs which make use of LC resonators (or "RF traps"). We introduce three basic methods for incorporating the LC resonator into the PIFA, including a variant of the meandering PIFA. Experimental results are provided and these show that dual-frequency operation at 900 and 1800 MHz can be achieved for all three designs.</t>
  </si>
  <si>
    <t>1016-1019</t>
  </si>
  <si>
    <t>7006547270;7006019510</t>
  </si>
  <si>
    <t>Lui, Gabriel K.H.;Murch, Ross D.</t>
  </si>
  <si>
    <t>Lui G.</t>
  </si>
  <si>
    <t>Compact dual-frequency PIFA designs using LC resonators</t>
  </si>
  <si>
    <t>S0018926X01056563</t>
  </si>
  <si>
    <t>10.1109/8.933479</t>
  </si>
  <si>
    <t>2-s2.0-0035394165</t>
  </si>
  <si>
    <t>['wave concept', 'technique enables', 'solved iteratively', 'rigorous treatment', 'fem model', 'computational efficiency']</t>
  </si>
  <si>
    <t>Electromagnetic radiation | Finite element method | Iterative method | Numerical hybrid method</t>
  </si>
  <si>
    <t>An iterative process based on the wave concept is presented. This technique enables the rigorous treatment of radiating structures modeled by the finite element method (FEM) while preserving its computational efficiency. The coupling of the FEM model with the open region modeled by the integral equation technique is solved iteratively.</t>
  </si>
  <si>
    <t>194-201</t>
  </si>
  <si>
    <t>60012164-60001422;60104081;60028112;60012164</t>
  </si>
  <si>
    <t>6602115696;7403907957;7007171277;7004657754</t>
  </si>
  <si>
    <t>Richalot, E.;Wong, M. F.;Baudrand, H.;Fouad-Hanna, V.</t>
  </si>
  <si>
    <t>Issy-les-Moulineaux;Toulouse;Marne-la-Vallee;Paris</t>
  </si>
  <si>
    <t>Orange Labs;ENSEEIHT Ecole Nationale Sup√©rieure d'Electrotechnique, d'Electronique, d'Informatique, d'Hydraulique et des T√©l√©communications;Universit√© de Marne-La-Vall√©e;Sorbonne Universite</t>
  </si>
  <si>
    <t>60104081;60028112;60012164;60001422</t>
  </si>
  <si>
    <t>Richalot E.</t>
  </si>
  <si>
    <t>An iterative method for modeling of antennas</t>
  </si>
  <si>
    <t>10.1002/mmce.1024</t>
  </si>
  <si>
    <t>2-s2.0-0035396464</t>
  </si>
  <si>
    <t>['design parameters']</t>
  </si>
  <si>
    <t>Gain | Pyramidal horn design</t>
  </si>
  <si>
    <t>A technique, simple and easy to use, is presented to design the optimum gain pyramidal horn. The optimum gain pyramidal horn design equation available in the literature is improved. Design parameters are computed from the simple and explicit analytical formulas. The pyramidal horn gain is determined with no path length error approximation. Several design examples are given to show the performance of the improved design technique.</t>
  </si>
  <si>
    <t>188-193</t>
  </si>
  <si>
    <t>G√ºney, Kerim</t>
  </si>
  <si>
    <t>Improved design method for optimum gain pyramidal horns</t>
  </si>
  <si>
    <t>10.1002/mmce.1023</t>
  </si>
  <si>
    <t>2-s2.0-0035397386</t>
  </si>
  <si>
    <t>['vector codes', 'simple structure', 'recent result', 'mutual information', 'diversity performance', 'data rate', 'computational complexity', 'achieve 3', 'achieve 1']</t>
  </si>
  <si>
    <t>Coded diversity | Mutual information | Scalar codes | Transmission diversity</t>
  </si>
  <si>
    <t>In this correspondence, we consider the case of multiple-antenna transmission diversity. We outline a recent result on the maximum possible performance (in terms of mutual information) and show that it can be achieved using scalar codes instead of vector codes. The scalar coding schemes we propose are based on space-time block codes and do not involve any reduction in data rate for two transmitter antennas. For the case of three and four transmitter antennas we achieve 3/4 of the rate achieved using vector codes. For more than four transmitter antennas we achieve 1/2 of the maximum possible rate. In all cases, the diversity performance is the same as that corresponding to vector codes. In addition, the receiver has a simple structure which makes implementation easier and keeps down the computational complexity.</t>
  </si>
  <si>
    <t>2078-2080</t>
  </si>
  <si>
    <t>7003620876;36040796700</t>
  </si>
  <si>
    <t>Ganesan, G.;Stoica, P.</t>
  </si>
  <si>
    <t>Ganesan G.</t>
  </si>
  <si>
    <t>Achieving optimum coded diversity with scalar codes</t>
  </si>
  <si>
    <t>S0018944801047526</t>
  </si>
  <si>
    <t>10.1109/18.930946</t>
  </si>
  <si>
    <t>2-s2.0-0035397472</t>
  </si>
  <si>
    <t>['water surfaces', 'structural surveys', 'radar properties', 'propagation frequency', 'previous studies', 'presented showing', 'practical implications', 'physical size', 'inspection may', 'experimental programme', 'especially important', 'emulsion used', 'appropriate antenna', 'antenna may']</t>
  </si>
  <si>
    <t>Antenna characteristics | Concrete | Coupling effects | Emulsion | NDE | Radar | Signal | Water</t>
  </si>
  <si>
    <t>The selection of the most appropriate antenna is especially important for structural surveys where the physical size of the antenna may be critical and when the interaction of the antenna and material under inspection may have implications for interpretation of results. An experimental programme is described in which the characteristics of commercially available 900 MHz and 1 GHz antennas are compared in air and when in contact with concrete and water surfaces, together with an emulsion used in previous studies to simulate the radar properties of concrete very successfully. Results are presented showing the influence of the material being measured upon factors such as the propagation frequency and the bandwidth. These effects are considered in terms of the practical implications for field testing using radar.</t>
  </si>
  <si>
    <t>450-457</t>
  </si>
  <si>
    <t>Insight: Non-Destructive Testing and Condition Monitoring</t>
  </si>
  <si>
    <t>7007138250;36851752200;7005741924</t>
  </si>
  <si>
    <t>Millard, S. G.;Shaari, A.;Bungey, J. H.</t>
  </si>
  <si>
    <t>Millard S.</t>
  </si>
  <si>
    <t>Frequency characteristics of GPR antennas</t>
  </si>
  <si>
    <t>2-s2.0-0035397530</t>
  </si>
  <si>
    <t>F49620-99-1-0209</t>
  </si>
  <si>
    <t>['widely used', 'two 2', 'target identification', 'scattering center', 'relative altitude', 'major shortcoming', 'isar images', 'images reconstructed', 'different altitudes', 'azimuthal angle']</t>
  </si>
  <si>
    <t>Image processing | Interferometry | Inverse synthetic aperture radar (ISAR) | Radar imaging</t>
  </si>
  <si>
    <t>Two-dimensional (2-D) inverse synthetic aperture radar (ISAR) imaging has been widely used in target scattering diagnosis, modeling and target identification. A major shortcoming is that a 2-D ISAR image cannot provide information on the relative altitude of each scattering center on the target. In this paper, we present an interferometric inverse synthetic aperture radar (IF-ISAR) image processing technique for three-dimensional (3-D) target altitude image formation. The 2-D ISAR images are obtained from the signature data acquired as a function of frequency and azimuthal angle. A 3-D IF-ISAR altitude image can then be derived from two 2-D images reconstructed from the measurements by antennas at different altitudes. 3-D altitude image formation examples from both indoor and outdoor test range data are demonstrated on complex radar targets.</t>
  </si>
  <si>
    <t>1094-1102</t>
  </si>
  <si>
    <t>60026306;60000251-60026306</t>
  </si>
  <si>
    <t>16320137600;7202724032</t>
  </si>
  <si>
    <t>Xu, Xiaojian;Narayanan, Ram M.</t>
  </si>
  <si>
    <t>Lincoln;New York</t>
  </si>
  <si>
    <t>University of Nebraska‚ÄìLincoln;IEEE</t>
  </si>
  <si>
    <t>60026306;60000251</t>
  </si>
  <si>
    <t>Xu X.</t>
  </si>
  <si>
    <t>Three-dimensional interferometric ISAR imaging for target scattering diagnosis and modeling</t>
  </si>
  <si>
    <t>S1057714901054392</t>
  </si>
  <si>
    <t>10.1109/83.931103</t>
  </si>
  <si>
    <t>2-s2.0-0035397744</t>
  </si>
  <si>
    <t>['wooden gate', 'wet sand', 'tie antennas', 'three sides', 'test rig', 'sodium chloride', 'severely attenuated', 'saline water', 'refraction effects', 'radar signals', 'radar propagation', 'ongoing program', 'masonry box', 'laboratory study', 'fresh water', 'filled models', 'dry sand', 'different concentrations', 'brick walls', 'better penetration']</t>
  </si>
  <si>
    <t>As part of an ongoing program into the noninvasive geometrical characterization of masonry arch bridges, a laboratory study of radar propagation through masonry has been undertaken. A 2.4 m long √ó 1 m wide √ó 1.5 m high experimental test rig was built in the laboratory with brick walls on three sides and a wooden gate on the fourth narrow side. The objective was to construct a composite test rig that would replicate certain of the environments that ground-penetrating radar might encounter when being used to test a masonry arch bridge. Tests were undertaken using 500, 900, and 1,000 MHz bow-tie antennas with the masonry box filled with fresh water and then saline water with different concentrations of sodium chloride. Further tests were undertaken with the masonry box filled with dry sand and wet sand. Finally the test rig was modified to simulate a composite masonry structure and tests were performed both on the hollow- and sand-filled models. The results from this work are reported herein indicating the reliability and ease of identifying various targets. It was found that radar signals were severely attenuated when the saline concentration exceeded 0.05% by mass. Better penetration of the radar signals was obtained when the masonry box was filled with dry sand rather than wet sand. In the case of the hollow cellular masonry structure, refraction effects were more evident.</t>
  </si>
  <si>
    <t>262-270</t>
  </si>
  <si>
    <t>Journal of Bridge Engineering</t>
  </si>
  <si>
    <t>60027272;60027272;60027272</t>
  </si>
  <si>
    <t>55961964600;7101822041;7006979513</t>
  </si>
  <si>
    <t>Colla, C.;McCann, D. M.;Forde, M. C.</t>
  </si>
  <si>
    <t>The University of Edinburgh</t>
  </si>
  <si>
    <t>Colla C.</t>
  </si>
  <si>
    <t>Radar testing of a masonry composite structure with sand and water backfill</t>
  </si>
  <si>
    <t>10.1061/(ASCE)1084-0702(2001)6:4(262)</t>
  </si>
  <si>
    <t>2-s2.0-0035398027</t>
  </si>
  <si>
    <t>['usable variation', 'thin films', 'loss targets', 'gel method', 'dielectric properties', 'bottom electrode', 'best combination']</t>
  </si>
  <si>
    <t>In this text, the BaxSr1-xTiO3 (BST) films were prepared on the Pt/Al2O3 by the Sol-Gel method for use in phase shifter antennas. The thin films have been investigated systematically using XRD and AES. XRD results indicate that the BST thin films were completely crystallized films at 550¬∞C. The AES results shows that the platinum behaved well as a bottom electrode. Finally, the dielectric properties were studied and the Ba0.45Sn0.55TiO3 film provided the best combination of suitable dielectric constant tunability, low-loss targets, and maintenance of usable variation.</t>
  </si>
  <si>
    <t>26-29</t>
  </si>
  <si>
    <t>Journal of Advanced Materials</t>
  </si>
  <si>
    <t>60030514;60030514;60030514;60030514</t>
  </si>
  <si>
    <t>6507405289;7005030624;6504733657;6506300378</t>
  </si>
  <si>
    <t>Fujun, G.;Greaves, G. N.;Chuanren, Y.;Yanrong, L.</t>
  </si>
  <si>
    <t>Aberystwyth</t>
  </si>
  <si>
    <t>Aberystwyth University</t>
  </si>
  <si>
    <t>Fujun G.</t>
  </si>
  <si>
    <t>Fabrication and investigation Ba&lt;inf&gt;x&lt;/inf&gt;Sr&lt;inf&gt;1-x&lt;/inf&gt;TiO&lt;inf&gt;3&lt;/inf&gt; films for microwave application</t>
  </si>
  <si>
    <t>2-s2.0-0035398681</t>
  </si>
  <si>
    <t>University of Edinburgh</t>
  </si>
  <si>
    <t>['spent ballast', 'radar velocity', 'laboratory experiments', 'laboratory experiment', 'identifying defects', 'gpr ).', 'final analysis', 'dielectric properties', 'dielectric constants', 'clear distinctions', 'better results', 'also given']</t>
  </si>
  <si>
    <t>Ballast | Clutter | Dielectric constant | Ground Penetrating Radar</t>
  </si>
  <si>
    <t>Laboratory experiments were undertaken to identify and characterise the dielectric properties of railway track ballast using Ground Penetrating Radar (GPR). Better results were obtained with lower frequency antennas. Clear distinctions were obtained between wet and dry and clean and spent ballast. The laboratory experiment is described in detail and sample radar scan plots given - the final analysis of dielectric constants is also given. The implications of the findings for radar velocity are discussed. The application to identifying defects in railway track bed is discussed. ¬© 2001 Elsevier Science Ltd.</t>
  </si>
  <si>
    <t>60027272;60027272;60027272;60027272;60027272</t>
  </si>
  <si>
    <t>7404529259;15767537500;15767598000;7101822041;7006979513</t>
  </si>
  <si>
    <t>Clark, M. R.;Gillespie, R.;Kemp, T.;McCann, D. M.;Forde, M. C.</t>
  </si>
  <si>
    <t>Clark M.R.</t>
  </si>
  <si>
    <t>Electromagnetic properties of railway ballast</t>
  </si>
  <si>
    <t>S0963869500000062</t>
  </si>
  <si>
    <t>10.1016/S0963-8695(00)00006-2</t>
  </si>
  <si>
    <t>2-s2.0-0035400738</t>
  </si>
  <si>
    <t>['transfer orbit', 'tracking antenna', 'te21o null', 'relative levels', 'monopulse pattern', 'dominant mode', 'customarily used', 'convenient means', 'azimuthal angle', 'axis lobe', 'aperture antenna', 'angular distance']</t>
  </si>
  <si>
    <t>Monopulse tracking antennas are customarily used for tracking satellites subsequent to launch, in transfer orbit, and on station. A convenient means of obtaining a monopulse pattern is to couple to the null-on-axis TE21o mode of the tracking antenna's aperture in addition to the aperture's dominant mode. An expression is derived here for the polar-angular distance from the boresight of a circular-aperture antenna to the peaks of the TE21o null-on-axis lobe as a function of azimuthal angle. In addition, the relative levels of the peaks of the TE21omode, relative to the mainlobe, are evaluated.</t>
  </si>
  <si>
    <t>1113-1117</t>
  </si>
  <si>
    <t>;60027392</t>
  </si>
  <si>
    <t>6602409185;6602140409</t>
  </si>
  <si>
    <t>Lenzing, Erik H.;Lenzing, Harry F.</t>
  </si>
  <si>
    <t>Hoboken</t>
  </si>
  <si>
    <t>Stevens Institute of Technology</t>
  </si>
  <si>
    <t>Lenzing E.</t>
  </si>
  <si>
    <t>Characteristics of the TE&lt;inf&gt;21&lt;/inf&gt;&lt;sup&gt;o&lt;/sup&gt; mode in circular apertures as used for satellite tracking</t>
  </si>
  <si>
    <t>10.1109/7.953263</t>
  </si>
  <si>
    <t>2-s2.0-0035401487</t>
  </si>
  <si>
    <t>['target modelling', 'target characters', 'study focused', 'radar detection', 'polarization model', 'integration theory', 'echo energy', 'discussions included', 'conventional radar']</t>
  </si>
  <si>
    <t>The introduction of concept of the target modelling in China was studied. The study focused on radar detection and on increasing detection range from current radar tachnologies. The discussions included the integration theory, target characters, the optimum integration number and the polarization model. It was discovered that the conventional radar with the same polarization for transmitting and receiving lacked full advantage of echo energy.</t>
  </si>
  <si>
    <t>1070-1075</t>
  </si>
  <si>
    <t>60016835-60017161;60016835</t>
  </si>
  <si>
    <t>7102816431;35317686400</t>
  </si>
  <si>
    <t>Ke, Youan;Liu, Zhiwen</t>
  </si>
  <si>
    <t>Singapore City;Beijing</t>
  </si>
  <si>
    <t>National University of Singapore;Beijing Institute of Technology</t>
  </si>
  <si>
    <t>60017161;60016835</t>
  </si>
  <si>
    <t>Ke Y.</t>
  </si>
  <si>
    <t>Early studies on target models in China</t>
  </si>
  <si>
    <t>10.1109/7.953257</t>
  </si>
  <si>
    <t>2-s2.0-0035401512</t>
  </si>
  <si>
    <t>['waveguide transition', 'transition consists', 'simulated results', 'prototype transition', 'numerical simulation', 'new cpw', 'high reliability', 'duroid substrate', 'developed based', 'current design', 'compact size', 'broad bandwidth', 'back combination', '90 waveguide']</t>
  </si>
  <si>
    <t>CPW | Tapered slotline | Waveguide transition</t>
  </si>
  <si>
    <t>A new CPW to waveguide transition is developed based on the concept of tapered slot antenna and E-plane probe coupling. The transition consists of a tapered slotline probe and a slotline to CPW matching section. The current design has the advantages of broad bandwidth, compact size, low fabrication cost, and high reliability. The characteristics of a prototype transition are investigated by numerical simulation on Duroid substrate and WR-90 waveguide. The back-to-back combination is measured to verify the agreement with the simulated results and realization of this design.</t>
  </si>
  <si>
    <t>314-316</t>
  </si>
  <si>
    <t>60072375-60005429;60000251-60005429</t>
  </si>
  <si>
    <t>36822530200;7402943497</t>
  </si>
  <si>
    <t>Lin, Ting Huei;Wu, Ruey Beei</t>
  </si>
  <si>
    <t>Yangmei;Taipei;New York</t>
  </si>
  <si>
    <t>Chunghwa Telecom Co. Ltd.;National Taiwan University;IEEE</t>
  </si>
  <si>
    <t>60072375;60005429;60000251</t>
  </si>
  <si>
    <t>Lin T.</t>
  </si>
  <si>
    <t>CPW to waveguide transition with tapered slotline probe</t>
  </si>
  <si>
    <t>S1531130901059359</t>
  </si>
  <si>
    <t>10.1109/7260.933782</t>
  </si>
  <si>
    <t>2-s2.0-0035401682</t>
  </si>
  <si>
    <t>['thz time', 'terahertz time', 'signal detected', 'semiconductor material', 'parameter values', 'largest dynamics', 'experimental data', 'domain spectroscopy', 'detected terahertz', 'conducting antennas', 'carrier lifetime', 'analytical form']</t>
  </si>
  <si>
    <t>Low-temperature-grown GaAs | Noise | Photoconduction | Terahertz | Time-domain spectroscopy</t>
  </si>
  <si>
    <t>From classical charge transport equations and dipole radiation equations, we derive a simple analytical model for the signal detected in terahertz time-domain spectroscopy using photo-conducting antennas. The validity of our model is checked by comparison to published calculated results and to experimental data we have measured. This expression depends mostly on the carrier lifetime in the antennas' semiconductor material and on the laser pulse duration. The analytical form of the detected terahertz (THz) signal allows us to separate the contribution of the different experimental parameters. Together with a detailed noise analysis in THz time-domain spectroscopy, we optimize the parameter values in order to achieve the largest dynamics of measurement.</t>
  </si>
  <si>
    <t>615-623</t>
  </si>
  <si>
    <t>1077260X</t>
  </si>
  <si>
    <t>IEEE Journal on Selected Topics in Quantum Electronics</t>
  </si>
  <si>
    <t>60019513;60019513;60019513;60019513</t>
  </si>
  <si>
    <t>7004683218;55926421100;7202424452;7003805528</t>
  </si>
  <si>
    <t>Duvillaret, Lionel;Garet, Fr√©d√©ric;Roux, Jean Fran√ßois;Coutaz, Jean Louis</t>
  </si>
  <si>
    <t>Chambery</t>
  </si>
  <si>
    <t>Universit√© Savoie Mont Blanc</t>
  </si>
  <si>
    <t>Duvillaret L.</t>
  </si>
  <si>
    <t>Analytical modeling and optimization of terahertz time-domain spectroscopy experiments using photoswitches as antennas</t>
  </si>
  <si>
    <t>S1077260X01107549</t>
  </si>
  <si>
    <t>10.1109/2944.974233</t>
  </si>
  <si>
    <t>2-s2.0-0035410176</t>
  </si>
  <si>
    <t>European Research Council</t>
  </si>
  <si>
    <t>ERC</t>
  </si>
  <si>
    <t>['subpicosecond photoconductor', 'radiation patterns', 'radiation pattern', 'picosecond pulses', 'measured using', 'domain testing', 'domain simulation', 'difference time', 'dependent diffraction', 'coupled pcpa']</t>
  </si>
  <si>
    <t>Antenna measurement | Photoconductive measurement | Photoconductive sampling | Spatiotemporal radiation pattern | Terahertz radiation | Time-domain antenna testing</t>
  </si>
  <si>
    <t>The photoconductive terahertz measurement technique was used for measurement of the radiation pattern from thick metal slits. Picosecond pulses were generated and detected by an ultrafast optoelectronic technique using a femtosecond pulse laser and a subpicosecond photoconductor. Photoconductive sampling measurements of the polarization-dependent diffraction of the picosecond electromagnetic pulses showed the highly polarized radiation characteristics of the photoconductive probing antenna (PCPA) with the finite-difference time-domain simulation. The radiation patterns from the slits were measured using a fiber-coupled PCPA. Investigation of the spatiotemporal radiation pattern from a thick metal slit shows the usefulness of the present measurement setup for time-domain and broadband antenna characterization. Together with the time-domain radiation pattern, the frequency-domain radiation pattern from the experimental transient response is presented in both amplitude and phase. It is demonstrated that the time-domain radiation pattern measurement using the photoconductive terahertz radiation technique is a promising characterization method for millimeter-wave and submillimeter-wave antenna time-domain testing.</t>
  </si>
  <si>
    <t>667-673</t>
  </si>
  <si>
    <t>60032144;60000251-60032144;60000251-60032144</t>
  </si>
  <si>
    <t>26643147500;7601453459;15754186500</t>
  </si>
  <si>
    <t>Lee, Heeseok;Lee, Jongjoo;Kim, Joungho</t>
  </si>
  <si>
    <t>Daejeon;New York</t>
  </si>
  <si>
    <t>Korea Advanced Institute of Science and Technology;IEEE</t>
  </si>
  <si>
    <t>60032144;60000251</t>
  </si>
  <si>
    <t>Lee H.</t>
  </si>
  <si>
    <t>Picosecond-domain radiation pattern measurement using fiber-coupled photoconductive antenna</t>
  </si>
  <si>
    <t>S1077260X0109952X</t>
  </si>
  <si>
    <t>10.1109/2944.974238</t>
  </si>
  <si>
    <t>2-s2.0-0035410221</t>
  </si>
  <si>
    <t>['different configurations', 'currently used', 'bandwidth utilization']</t>
  </si>
  <si>
    <t>The bandwidth utilization of wireless local area networks (LAN) currently used was discussed. Networks were designed in different configurations to increase the throughput and decrease network congestion. Wireless development tools were required to provide data compression and provide safe recovery from frequent service interruptions.</t>
  </si>
  <si>
    <t>34-39</t>
  </si>
  <si>
    <t>0892676X</t>
  </si>
  <si>
    <t>ID Systems</t>
  </si>
  <si>
    <t>Sharp, Kevin R.</t>
  </si>
  <si>
    <t>Sharp K.</t>
  </si>
  <si>
    <t>All the speed you need</t>
  </si>
  <si>
    <t>2-s2.0-0035412470</t>
  </si>
  <si>
    <t>['whole cells', 'visible absorption', 'spectral properties', 'soret region', 'soret band', 'several bchl', 'separated bchl', 'qy band', 'phase high', 'hplc separation', 'homologs consisted', 'homologous mixtures', 'fluorescence emission', 'epimerically pure', 'epimeric mixtures', 'e homologs', 'e epimers', 'e aggregates', 'e ])', 'cultured brown', 'broadened compared', 'around 430', 'also given', '520 nm']</t>
  </si>
  <si>
    <t>Self-aggregation of naturally occurring bacteriochlorophyll (BChl)-e in nonpolar organic solvents was investigated by visible absorption, fluorescence emission and circular dichroism spectra. Cultured brown-colored photosynthetic bacteria have several BChl-e as light-harvesting antenna pigments. Three major BChl-e homologs were separated from the extracts of the culture by reverse-phase high-performance liquid chromatography (HPLC) and characterized by 1H-NMR and fast-atom bombardment mass spectroscopy: 8-ethyl-12-ethyl ([E,E])-, 8-propyl-12-ethyl- and 8-isobutyl-12-ethyl-BChl-e farnesyl esters. All the homologs consisted of a mixture of the 31-epimers, and epimerically pure BChl-e were also given by HPLC separation. All the separated BChl-e epimers, the epimeric mixtures and the homologous mixtures formed self-aggregates in 2% dichloromethane/hexane, giving visible absorption spectra similar to that of the whole cells, which showed two peaks (or shoulders) around 430-450 and 520 nm at the Soret region as well as a red-shifted Qy band relative to the monomeric. The spectral properties of the Soret band were basically unchanged among the epimers or epimeric/homologous mixtures. In contrast, the Qy band of aggregates of epimeric mixtures (except [E,E]) and homologous mixtures red-shifted and broadened compared with the epimerically pure. The red-shift and broadening of the Qy band are advantageous for efficient energy transfer from BChl-e aggregates to BChl-a in a baseplate in chlorosomes because their spectral overlap increases.</t>
  </si>
  <si>
    <t>72-80</t>
  </si>
  <si>
    <t>60105159;60005038;60105159-60015682</t>
  </si>
  <si>
    <t>7006308216;57200274634;7006346090</t>
  </si>
  <si>
    <t>Saga, Yoshitaka;Matsuura, Katsumi;Tamiaki, Hitoshi</t>
  </si>
  <si>
    <t>Kusatsu;Kawaguchi;Hachioji</t>
  </si>
  <si>
    <t>Ritsumeikan University Biwako-Kusatsu Campus;Japan Science and Technology Agency;Tokyo Metropolitan University</t>
  </si>
  <si>
    <t>60105159;60015682;60005038</t>
  </si>
  <si>
    <t>Saga Y.</t>
  </si>
  <si>
    <t>Spectroscopic studies on self-aggregation of bacteriochlorophyll-e in nonpolar organic solvents: Effects of stereoisomeric configuration at the 3&lt;sup&gt;1&lt;/sup&gt;-position and alkyl substituents at the 8&lt;sup&gt;1&lt;/sup&gt;-position</t>
  </si>
  <si>
    <t>10.1562/0031-8655(2001)074&lt;0072:SSOSAO&gt;2.0.CO;2</t>
  </si>
  <si>
    <t>2-s2.0-0035413194</t>
  </si>
  <si>
    <t>476-480</t>
  </si>
  <si>
    <t>Doklady Physics</t>
  </si>
  <si>
    <t>60029225;60029225;60109573</t>
  </si>
  <si>
    <t>6603104851;55943071100;7006220090</t>
  </si>
  <si>
    <t>Zelkin, E. G.;Kravchenko, V. F.;Pustovo«êt, V. I.</t>
  </si>
  <si>
    <t>Scientific and Technological Centre of Unique Instrumentation of the Russian Academy of Sciences;Kotelnikov Institute of Radioengineering and Electronics (IRE) of Russian Academy of Sciences</t>
  </si>
  <si>
    <t>60109573;60029225</t>
  </si>
  <si>
    <t>Zelkin E.</t>
  </si>
  <si>
    <t>Synthesis of directivity patterns for nonequidistant antenna arrays by means of atomic functions</t>
  </si>
  <si>
    <t>10.1134/1.1390400</t>
  </si>
  <si>
    <t>2-s2.0-0035536522</t>
  </si>
  <si>
    <t>491-494</t>
  </si>
  <si>
    <t>;60030359</t>
  </si>
  <si>
    <t>7003635691;7003348008</t>
  </si>
  <si>
    <t>Bakhrakh, L. D.;Izrailovich, M. Ya</t>
  </si>
  <si>
    <t>Mechanical Engineering Research Institute, Russian Academy of Sciences</t>
  </si>
  <si>
    <t>Bakhrakh L.</t>
  </si>
  <si>
    <t>Synthesis of correcting signals for ultrashort-pulse antennas</t>
  </si>
  <si>
    <t>10.1134/1.1390404</t>
  </si>
  <si>
    <t>2-s2.0-0035536538</t>
  </si>
  <si>
    <t>['well isolated', 'uncontrolled components', 'thermal coefficients', 'temperature sensitivity', 'receiver systems', 'pseudorange observations', 'likely apply', 'environmental variations', 'direct estimation', 'direct comparison', 'daily average', 'antennas appears', '2400 km']</t>
  </si>
  <si>
    <t>Environmental Variation | Local Temperature | Temperature Coefficient | Temperature Measurement | Timing Measurement</t>
  </si>
  <si>
    <t>We have inferred the temperature sensitivity of Dorne Margolin choke ring antennas by direct estimation from differential clock estimates for two GPS sites separated by 2400 km. At each site, the cable and receiver systems are very well isolated from environmental variations. By direct comparison of the observed clock variations between these sites with local temperature measurements, empirical temperature coefficients for each system have been estimated. These thermal coefficients most likely apply to the only uncontrolled components of the systems, the Dorne Margolin choke ring antennas. Based on these results, the short-term (diurnal) stability of the antennas appears to be better than 2 ps/¬∞C. The possibility that longer-term effects exist due to sensitivity in the daily average of the pseudorange observations has not been tested and cannot be excluded. ¬© 2001 John Wiley &amp; Sons, Inc.</t>
  </si>
  <si>
    <t>24-30</t>
  </si>
  <si>
    <t>60019200;60019200</t>
  </si>
  <si>
    <t>7402379074;7102939434</t>
  </si>
  <si>
    <t>Ray, J. R.;Senior, K.</t>
  </si>
  <si>
    <t>US Naval Observatory</t>
  </si>
  <si>
    <t>Temperature Sensitivity of Timing Measurements Using Dorne Margolin Antennas</t>
  </si>
  <si>
    <t>10.1007/PL00012873</t>
  </si>
  <si>
    <t>2-s2.0-0038544509</t>
  </si>
  <si>
    <t>Los Alamos National Laboratory</t>
  </si>
  <si>
    <t>389AZ0017-97</t>
  </si>
  <si>
    <t>LANL</t>
  </si>
  <si>
    <t>['wave injection', 'vice versa', 'transmitted signals', 'take place', 'spin plane', 'spin axis', 'signal path', 'science topics', 'returning signals', 'radiation efficiency', 'polar regions', 'plasmapause region', 'plasma boundaries', 'particle energy', 'obtaining information', 'observing power', 'normal angles', 'nonlinear process', 'momentum exchange', 'mode wave', 'mode frequencies', 'low altitudes', 'ionospheric irregularities', 'injection experiments', 'ground reception', 'greatly extend', 'following reflection', 'electric antennas', 'density irregularities', 'antennas approach', 'antenna along', 'addressed include', '30khz range', '10 %.']</t>
  </si>
  <si>
    <t>Plasmasphere | Wave-injection | Whistler-mode</t>
  </si>
  <si>
    <t>Whistler-mode wave-injection experiments with a high-altitude radio sounder offer an opportunity to greatly extend the observing power of satellites such as imager for magnetopause-to-aurora global exploration (IMAGE) when the satellite is within or near the plasmasphere or at low altitudes over the polar regions. We use as an example the radio plasma imager (RPI) instrument on IMAGE, which includes crossed 500-m electric antennas in the spin plane and a 20-m antenna along the spin axis (for reception only). The 500-m antennas approach a half-wavelength at whistler-mode frequencies in the 3-30kHz range and should have a radiation efficiency of 1-10%. The wave power within ~100km of the transmitter should be greater than that produced by wave injection from the ground-based very low-frequency (VLF) transmitter at Siple, Antarctica, thus making possible experiments on wave-particle energy and momentum exchange. We use ray tracings along a sample IMAGE orbit (polar, apogee ~8RE) to show the conditions under which transmitted signals may return to the satellite as echoes, following reflection, or be observed by satellites of opportunity, such as EXOS-D. We find that ground reception of transmitted signals should be possible as a result of a linear mode conversion process in regions of ionospheric irregularities. We discuss the determination of wave-normal angles of returning signals, which will aid in identifying the signal path and obtaining information on plasma boundaries and irregularities. The science topics that may be addressed include: (1) investigation of the nonlinear process by which weak coherent waves excite VLF emissions; (2) probing plasmaspheric density structure, including plasmaspheric density cavities, field aligned waveducts, density irregularities in the plasmapause region, and the ionospheric density structure where conversion of whistler-mode wave energy to quasi-electrostatic lower hybrid (LHR) waves (and vice versa) can take place. ¬© 2001 Elsevier Science Ltd.</t>
  </si>
  <si>
    <t>1199-1216</t>
  </si>
  <si>
    <t>60011976;60011976;60011976;60012708;60012708</t>
  </si>
  <si>
    <t>6506208644;56071672800;23995178400;7201795486;7402501729</t>
  </si>
  <si>
    <t>Sonwalkar, V. S.;Chen, X.;Harikumar, J.;Carpenter, D. L.;Bell, T. F.</t>
  </si>
  <si>
    <t>Palo Alto;Fairbanks</t>
  </si>
  <si>
    <t>Stanford University;University of Alaska Fairbanks</t>
  </si>
  <si>
    <t>60012708;60011976</t>
  </si>
  <si>
    <t>Sonwalkar V.S.</t>
  </si>
  <si>
    <t>Whistler-mode wave-injection experiments in the plasmasphere with a radio sounder</t>
  </si>
  <si>
    <t>S1364682600002236</t>
  </si>
  <si>
    <t>10.1016/S1364-6826(00)00223-6</t>
  </si>
  <si>
    <t>2-s2.0-0041079208</t>
  </si>
  <si>
    <t>['white dwarf', 'uv sources', 'using correlations', 'unclassified objects', 'type stars', 'two k', 'stars within', 'optical counterparts', 'objects found', 'noise ratio', 'identified objects', 'galactic models', 'faust shuttle', 'f stars', 'existing catalogues', 'binary system', 'best estimates']</t>
  </si>
  <si>
    <t>Galaxy: stellar content | Ultraviolet: galaxies | Ultraviolet: stars</t>
  </si>
  <si>
    <t>Analysis of ultraviolet (UV) observations with the FAUST shuttle-borne telescope toward the Antennae and NGC 6752 celestial regions resulted in the detection of 46 and 221 candidate sources respectively, for a signal-to-noise ratio of 8. We discuss the source detection process and the identification of UV sources with optical counterparts. Using correlations with existing catalogues, we present reliable identifications for approximately 60 per cent of the sources. We find that most identified objects are B, A and F stars. The remaining identified objects are galaxies, a white dwarf in a binary system, and two K-type stars. Nearly all of the remaining unidentified objects have assigned optical counterparts but, lacking additional information, we give these only as best estimates. With help from new diagnostic diagrams, we suggest that these unclassified objects are main-sequence (or giant) stars within the local spiral arm or halo; or other hot evolved objects within the local spiral arm. We discuss the nature of the objects found and compare our results with those predicted from spectral and Galactic models.</t>
  </si>
  <si>
    <t>580-598</t>
  </si>
  <si>
    <t>60005681-60027161;60005681;60005681;60005681;60029392;60029392</t>
  </si>
  <si>
    <t>7202376947;56264253100;35616917100;6602096398;7101691028;10240517300</t>
  </si>
  <si>
    <t>Daniels, Julian;Brosch, Noah;Almoznino, Elchanan;Shemmer, Ohad;Bowyer, Stuart;Lampton, Michael</t>
  </si>
  <si>
    <t>United States;Israel;Israel</t>
  </si>
  <si>
    <t>Berkeley;Beer Sheba;Tel Aviv-Yafo</t>
  </si>
  <si>
    <t>Space Sciences Laboratory at UC Berkeley;Ben-Gurion University of the Negev;Tel Aviv University</t>
  </si>
  <si>
    <t>60029392;60027161;60005681</t>
  </si>
  <si>
    <t>Daniels J.</t>
  </si>
  <si>
    <t>FAUST observations of ultraviolet sources in the directions of NGC 4038-39 and 6752</t>
  </si>
  <si>
    <t>10.1046/j.1365-8711.2001.04319.x</t>
  </si>
  <si>
    <t>2-s2.0-0043027933</t>
  </si>
  <si>
    <t>['transverse width', 'subtle interplay', 'spacecraft measurements', 'single frequency', 'simple model', 'plasma flow', 'original channel', 'model consists', 'laboratory frame', 'field flow', 'field expansion', 'embedded within', 'electron skin', 'diagnostic tool', 'depth driven', 'current filaments', 'could lead', 'combined effects', 'alternating polarity']</t>
  </si>
  <si>
    <t>This analytic study examines the effect of cross-field flow on a microscopic current channel. To illustrate the subtle interplay between finite electron inertia and flows, a simple model of excitation of a microscopic current channel is considered. The model consists of a slab antenna exciter with a transverse width on the order of the electron skin-depth driven at a single frequency. The antenna is fixed in the laboratory frame and embedded within a plasma that has a uniform drift across the confining magnetic field. The combined effects of the plasma flow and the intrinsic, collisionless, cross-field expansion of the current channel lead to standing wave structures across the confining magnetic field. The resulting parallel electric fields generate an array of current filaments of alternating polarity which individually have transverse width smaller than the original channel. These results may help interpret laboratory and spacecraft measurements of Alfv√©nic turbulence and could lead to the development of a diagnostic tool to map plasma flows. ¬© 2001 American Institute of Physics.</t>
  </si>
  <si>
    <t>3177-3182</t>
  </si>
  <si>
    <t>6507646624;7102711643</t>
  </si>
  <si>
    <t>Drozdenko, T.;Morales, G. J.</t>
  </si>
  <si>
    <t>Drozdenko T.</t>
  </si>
  <si>
    <t>Effect of cross-field flow on inertial Alfv√©n waves of small transverse scale</t>
  </si>
  <si>
    <t>10.1063/1.1374587</t>
  </si>
  <si>
    <t>2-s2.0-0442291915</t>
  </si>
  <si>
    <t>['wider range', 'usually ignored', 'traditionally published', 'small spacings', 'single center', 'radiation pattern', 'previously known', 'moment method', 'logarithmic form', 'input impedance', 'important aerial', 'graphs presenting', 'fed dipole', 'conventional assumption', 'conductor diameter', 'available literature', 'antenna length', 'also demonstrated', '05 œª']</t>
  </si>
  <si>
    <t>Folded dipole | Linear antennas | Loop antennas | Moment method</t>
  </si>
  <si>
    <t>The folded dipole antenna with practical curved edges is analysed by the moment method and results are given for the input impedance covering a wider range of thicknesses and spacings than that previously known. The graphs presenting this input impedance as a function of conductor diameter, spacing between arms, and antenna length are more complete and easier to interpret than those traditionally published in logarithmic form. It is also demonstrated, with plotted current distributions, that the conventional assumption that the currents in both arms are equal in magnitude is inaccurate, even for small spacings of the order of 0.05 Œª. Finally, a discussion on the radiation pattern, usually ignored or not mentioned in the available literature, is given for this important aerial, comparing it in gain and beamwidth with those of a single center-fed dipole and of a directed dipole antenna.</t>
  </si>
  <si>
    <t>435-449</t>
  </si>
  <si>
    <t>60032442;60032442;60032442-100516395</t>
  </si>
  <si>
    <t>9639675700;6603132971;7102419646</t>
  </si>
  <si>
    <t>Hern√°ndez, V.;Valiente, L. A.;Neri, R.</t>
  </si>
  <si>
    <t>Mexico;Mexico</t>
  </si>
  <si>
    <t>Ciudad de M√©xico;Ciudad Universitaria</t>
  </si>
  <si>
    <t>Universidad Nacional Aut√≥noma de M√©xico;Facultad de Ingenier√≠a</t>
  </si>
  <si>
    <t>60032442;100516395</t>
  </si>
  <si>
    <t>Hern√°ndez V.</t>
  </si>
  <si>
    <t>Input Impedance, Current Distributions, and Radiation Properties of Thick and Widely Spaced Folded Dipoles</t>
  </si>
  <si>
    <t>10.1080/027263401300364991</t>
  </si>
  <si>
    <t>2-s2.0-18044400349</t>
  </si>
  <si>
    <t>PPA/G/O/1997/00254</t>
  </si>
  <si>
    <t>['unit gain', 'two cables', 'symmetrical arrangement', 'static approximation', 'spin plane', 'significantly shorter', 'shell values', 'polar satellite', 'passive antenna', 'necessarily induced', 'latter electrode', 'instability lies', 'electrically decoupled', 'distances longer', 'debye length', 'capacitive coupling', 'booms deployed', 'antenna consists', 'analysed using', 'active elements', '8 cm', '30 cm']</t>
  </si>
  <si>
    <t>Electric field antenna | Electrical instability | Plasmasphere</t>
  </si>
  <si>
    <t>The long electric dipole antennas mounted on the POLAR satellite are unstable in the plamasphere, at L-shell values of about 2-3, where the Debye length is shorter than 30 cm; the frequency of the instability lies in the vicinity of the ambient electron plasma frequency. Each antenna consists of two spherical sensors, 8 cm in diameter, which are installed at the ends of wire-booms deployed in the spin plane and separated by distances longer than 100 m. Each sphere is electrically decoupled from the wire-boom by a double-stub, a symmetrical arrangement of two cables of 3 m each, whose ac potential is controlled by the output of a preamplifier with unit gain. A passive antenna is stable under all circumstances and the oscillation is necessarily induced by the active elements of the system. The instability is triggered when the Debye length is significantly shorter than the stubs; this phenomenon is due to a capacitive coupling between the sensor and the stubs, when the self-impedance of the latter electrode is inductive. This problem is analysed using a numerical approach based on the surface charge distribution technique developed for an isotropic thermal plasma in the quasi-static approximation. ¬© 2001 Elsevier Science Ltd.</t>
  </si>
  <si>
    <t>1217-1224</t>
  </si>
  <si>
    <t>60033125;60008134;60031159;60031159</t>
  </si>
  <si>
    <t>7006341883;56115724600;7003557020;6601966831</t>
  </si>
  <si>
    <t>Kolesnikova, E.;B√©ghin, C.;Grard, R.;Escoubet, C. P.</t>
  </si>
  <si>
    <t>United Kingdom;Netherlands;France</t>
  </si>
  <si>
    <t>Leicester;Noordwijk aan Zee;Paris</t>
  </si>
  <si>
    <t>University of Leicester;ESTEC - European Space Research and Technology Centre;CNRS Centre National de la Recherche Scientifique</t>
  </si>
  <si>
    <t>60033125;60031159;60008134</t>
  </si>
  <si>
    <t>The electrical stability of the electric field antennas in the plasmasphere</t>
  </si>
  <si>
    <t>S1364682600002248</t>
  </si>
  <si>
    <t>10.1016/S1364-6826(00)00224-8</t>
  </si>
  <si>
    <t>2-s2.0-18044401217</t>
  </si>
  <si>
    <t>97{1964</t>
  </si>
  <si>
    <t>['wavelength interferometry', 'statistical characteristics', 'small baselines', 'single antenna', 'scintillation spectrum', 'radio waves', 'radio brightness', 'radiation intensity', 'point source', 'limiting cases', 'intensity fluctuations', 'frequency region', 'element interferometers', 'doppler frequency', 'disturbed ionosphere', 'discrete sources', 'decameter ground', 'cosmic sources', 'cosmic objects', 'based observations', 'autocorrelation function', 'angular distribution', 'analytical expressions']</t>
  </si>
  <si>
    <t>We consider some theoretical issues concerning diffraction of radio waves in a randomly irregular ionosphere with application to the problems of long-wavelength interferometry of cosmic objects. The statistical characteristics of intensity fluctuations of the decameter radio emission from discrete sources in the case of ground-based observations by two-element interferometers with very long and small baselines are analyzed. Analytical expressions are obtained for the autocorrelation function of the radiation intensity and for the scintillation spectrum of a point source in the limiting cases of large and small phase increments in an irregular ionospheric plasma. We find that in the case of radio interferometric reception, the scintillation spectrum corresponding to observations of a source by a single antenna is transferred from the zero-frequency region to the region of the Doppler frequency of the interferometer. It is shown that decameter ground-based and space-borne radio interferometers can be used to study the angular distribution of the radio brightness of cosmic sources under conditions of both quiet and disturbed ionosphere.</t>
  </si>
  <si>
    <t>513-519</t>
  </si>
  <si>
    <t>60008673;60008673</t>
  </si>
  <si>
    <t>26643441700;7005051797</t>
  </si>
  <si>
    <t>Alimov, V. A.;Tokarev, Yu V.</t>
  </si>
  <si>
    <t>Alimov V.</t>
  </si>
  <si>
    <t>Effects of ionospheric radio wave scattering in decameter interferometry</t>
  </si>
  <si>
    <t>10.1023/A:1017956315657</t>
  </si>
  <si>
    <t>2-s2.0-36549077140</t>
  </si>
  <si>
    <t>['unique window', 'subtraction technique', 'significantly affect', 'removed using', 'recent years', 'parametric estimation', 'oh line', 'galactic dynamics', 'experiments using', 'evolved stars', 'astronomers use', 'additional antennas', '20 db']</t>
  </si>
  <si>
    <t>Instrumentation: detectors | Methods: analytical | Radio lines: general</t>
  </si>
  <si>
    <t>Astronomers use the 1612 MHz OH spectral line emission as a unique window on galactic dynamics and the properties of evolved stars. In recent years, experiments using this OH line have become more difficult because of interference from the GLON ASS satellite system. In this paper we demonstrate that the C/A component of the GLON ASS signal can be removed using a parametric estimation/subtraction technique that exploits known properties of the modulation and requires no additional antennas. Using actual OH line observations, we demonstrate cancellation greater than 20 dB. This technique can be implemented using present-day digital signal processing hardware, and it does not significantly affect the relatively weak astronomy signals or the sensitivity of the measurement.</t>
  </si>
  <si>
    <t>87-93</t>
  </si>
  <si>
    <t>Astrophysical Journal, Supplement Series</t>
  </si>
  <si>
    <t>60003500;60030000;60005920</t>
  </si>
  <si>
    <t>7003519320;6603440878;7404446663</t>
  </si>
  <si>
    <t>Ellingson, Steven W.;Bunton, John D.;Bell, Jon F.</t>
  </si>
  <si>
    <t>Sydney;Sydney;Columbus</t>
  </si>
  <si>
    <t>CSIRO Industrial Physics;Australia Telescope National Facility;The Ohio State University</t>
  </si>
  <si>
    <t>60030000;60005920;60003500</t>
  </si>
  <si>
    <t>Removal of the GLON ASS C/A signal from oh spectral line observations using a parametric modeling technique</t>
  </si>
  <si>
    <t>10.1086/321780</t>
  </si>
  <si>
    <t>2-s2.0-4243266647</t>
  </si>
  <si>
    <t>['planar waveguide', 'longitudinal component', 'input admittance', 'inhomogeneous filling', 'inhomogeneous dielectric', 'harmonic e', 'electromagnetic waves', 'electric field', 'calculated numerically', 'antenna characteristics']</t>
  </si>
  <si>
    <t>We consider the problem of radiation of electromagnetic waves from a thin electric antenna located in a planar waveguide with perfectly conducting walls filled with an inhomogeneous dielectric. Cases where the antenna is fed by a time-harmonic e.m.f. and a bell-shaped impulse signal are analyzed. The current distribution along the antenna, its input admittance, the longitudinal component of the electric field, and the total complex power of the antenna are calculated numerically. We compare the antenna characteristics for waveguides with homogeneous and inhomogeneous filling.</t>
  </si>
  <si>
    <t>24469146700;6506234099</t>
  </si>
  <si>
    <t>Shorokhova, E. A.;Yashnov, V. A.</t>
  </si>
  <si>
    <t>Shorokhova E.</t>
  </si>
  <si>
    <t>Features of radiation of electromagnetic waves from a thin electric antenna in a planar waveguide with inhomogeneous filling</t>
  </si>
  <si>
    <t>10.1023/A:1017957716566</t>
  </si>
  <si>
    <t>2-s2.0-77955677029</t>
  </si>
  <si>
    <t>['studied numerically', 'shield covered', 'radiation field', 'proposed model', 'layer surface', 'dielectric parameters']</t>
  </si>
  <si>
    <t>The problem of excitation of a nonlinear load array on a shield covered by a homogeneous dielectric layer is solved by the integral equation method in the case where this array is excited by a periodic source array. The influence of dielectric parameters on the radiation field of the proposed model of a nonlinear phased antenna array is studied numerically for the case where the array of filament-like external magnetic current is located on the shield and the layer surface.</t>
  </si>
  <si>
    <t>547-553</t>
  </si>
  <si>
    <t>Semenikhina, D. V.</t>
  </si>
  <si>
    <t>Semenikhina D.</t>
  </si>
  <si>
    <t>Excitation of a nonlinear load array on a perfectly conducting shield covered by a dielectric</t>
  </si>
  <si>
    <t>10.1023/A:1017961917475</t>
  </si>
  <si>
    <t>2-s2.0-84888366811</t>
  </si>
  <si>
    <t>['visible region', 'uv region', 'terminal ligands', 'single os', 'room temperature', 'pyrazine ),', 'pt2 +;', 'osru3pt6 luminesce', 'osru3pt6 appears', 'osru3pt6 ),', 'intense ligand', 'formally triplet', 'first examples', 'emitting state', 'efficiently channeled', 'dendritic structure', 'centered transitions', 'bridging ligands', 'based unit', 'acetonitrile solution', 'absorbed energy', '875 nm', '77 k']</t>
  </si>
  <si>
    <t>The "complexes as metal/complexes as ligand" strategy has been used to prepare new polynuclear heterometallic complexes containing two, 3, 4, and ten metal units. The metal ions employed are Ru2+, Os2+, and Pt2+; the bridging ligands are 2,3- and 2,5-dpp (dpp = bis(2-pyridyl)pyrazine), and the terminal ligands are Cl- and bpy (bpy = 2,2‚Ä≤-bipyridine). [Os(bpy)2(Œº-2,3-dpp)Ru{(Œº-2,3-dpp)PtCl2} 2](PF6)4 (OsRuPt2) and [Os{(Œº-2,3-dpp)Ru[(Œº-2,3-dpp)PtCl2]2} 3](PF6)8 (OsRu3Pt6), which have a dendritic structure, are the first examples of polynuclear complexes based on the dpp bridging ligand simultaneously containing three different metals. All of the new compounds feature absorption spectra with intense ligand-centered transitions in the UV region and metal-to-ligand charge transfer (MLCT) bands in the visible region. The complexes are luminescent both at room temperature in acetonitrile solution and at 77 K in butyronitrile rigid matrix. OsRuPt2 and OsRu3Pt6 luminesce in the nearinfrared spectral region at 975 and 875 nm, respectively, at room temperature. This indicates that the emitting state is a (formally triplet) MLCT involving Os2+ and the bridging ligand Œº-2,3-dpp and that all the absorbed energy is efficiently channeled to the single Os-based unit. OsRu3Pt6 appears to be the first decanuclear species displaying such efficient antenna effect.</t>
  </si>
  <si>
    <t>3318-3323</t>
  </si>
  <si>
    <t>Inorganic Chemistry</t>
  </si>
  <si>
    <t>60028868;60028868;60011576;60011576;60021199;60028218;60028218</t>
  </si>
  <si>
    <t>6602787371;57208459253;7004639059;7005385415;6602824478;37161745100;57222440413</t>
  </si>
  <si>
    <t>Sommovigo, M.;Denti, G.;Serroni, S.;Campagna, S.;Mingazzini, C.;Mariotti, C.;Juris, A.</t>
  </si>
  <si>
    <t>Pisa;Bologna;Rome;Messina</t>
  </si>
  <si>
    <t>Universit√† di Pisa;Alma Mater Studiorum Universit√† di Bologna;Consiglio Nazionale delle Ricerche;Universit√† degli Studi di Messina</t>
  </si>
  <si>
    <t>60028868;60028218;60021199;60011576</t>
  </si>
  <si>
    <t>Sommovigo M.</t>
  </si>
  <si>
    <t>Polynuclear polypyridine complexes incorporating Ru(II), Os(II), and Pt(II): Decanuclear dendrimeric antennas</t>
  </si>
  <si>
    <t>10.1021/ic001217x</t>
  </si>
  <si>
    <t>2-s2.0-0035796164</t>
  </si>
  <si>
    <t>['terminal extension', 'structurally homologous', 'structural features', 'rubrivivax gelatinosus', 'residues 51', 'reconstituted complexes', 'projection maps', 'periplasmic surface', 'one carotenoid', 'nonameric ring', 'negative staining', 'like organization', 'lh2 complex', 'hydrophobic c', 'fold back', 'endogenous protease', 'electron microscopy', 'dimensional crystals', 'absorption spectroscopy', '71 residues']</t>
  </si>
  <si>
    <t>Antenna | Oligomeric structure | Purple bacterium | Two-dimensional crystal</t>
  </si>
  <si>
    <t>The light-harvesting complex LH2 of Rubrivivax gelatinosus has an oligomeric structure built from Œ±-Œ≤ heterodimers containing three bacteriochlorophylls and one carotenoid each. The Œ± subunit (71 residues) presents a C-terminal hydrophobic extension (residues 51-71) which is prone to attack by an endogenous protease. This extension can also be cleaved by a mild thermolysin treatment, as demonstrated by electrophoresis and by matrix-assisted laser desorption-time of flight mass spectrometry. This cleavage does not affect the pigment binding sites as shown by absorption spectroscopy. Electron microscopy was used to investigate the structures of the native and thermolysin cleaved forms of the complexes. Two-dimensional crystals of the reconstituted complexes were examined after negative staining and cryomicroscopy. Projection maps at 10 √Ö resolution were calculated, demonstrating the nonameric ring-like organization of Œ±-Œ≤ subunits. The cleaved form presents the same structural features. We conclude that the LH2 complex is structurally homologous to the Rhodopseudomonas acidophila LH2. The hydrophobic C-terminal extension does not fold back in the membrane, but lays out on the periplasmic surface of the complex. ¬© 2001 Elsevier Science B.V.</t>
  </si>
  <si>
    <t>60105742;60105742;60105742;60072957;60008134</t>
  </si>
  <si>
    <t>55665483100;7005075034;6602563788;7006848095;56616617400</t>
  </si>
  <si>
    <t>Ranck, Jean Luc;Ruiz, Teresa;P√©hau-Arnaudet, G√©rard;Arnoux, Bernadette;Reiss-Husson, Fran√ßoise</t>
  </si>
  <si>
    <t>Paris;Gif-sur-Yvette;Paris</t>
  </si>
  <si>
    <t>Laboratoire Physico Chimie Curie;LEBS Laboratoire d'Enzymologie et Biochimie Structurales CNRS UPR 9063;CNRS Centre National de la Recherche Scientifique</t>
  </si>
  <si>
    <t>60105742;60072957;60008134</t>
  </si>
  <si>
    <t>Ranck J.L.</t>
  </si>
  <si>
    <t>Two-dimensional structure of the native light-harvesting complex LH2 from Rubrivivax gelatinosus and of a truncated form</t>
  </si>
  <si>
    <t>S0005272801001852</t>
  </si>
  <si>
    <t>10.1016/S0005-2728(01)00185-2</t>
  </si>
  <si>
    <t>2-s2.0-0035796958</t>
  </si>
  <si>
    <t>['stereoselectively synthesized', 'species specificity', 'respective habitats', 'reproductively isolated', 'ppl antennae', 'pheromone components', 'pheromonal communication', 'pheromoal components', 'molecular comparisons', 'male shl', 'hourly recordings', 'field experiments', 'electroantennographic detection', 'ecological analyses', 'diel periodicity', 'captured males', 'absolute configuration', '7s )-', '11s )-,', '11r )-,', '11 ],', '00 hr']</t>
  </si>
  <si>
    <t>7,11-dimethylheptadecane | 7-methylheptadecane | Diel periodicity of pheromonal communication | Geometridae | Pheromone chirality | Reproductive isolating mechanisms | Seasonality of flight | Synonomy</t>
  </si>
  <si>
    <t>Recently, 7-methylheptadecane and 7,11-dimethylheptadecane have been reported as sex pheromone components of both spring hemlock looper (SHL), Lambdina athasaria, and pitch pine looper (PPL), Lambdina pellucidaria. Our objective was to test the hypothesis that SHL and PPL are reproductively isolated, in part, through species specificity in: (1) absolute configuration of pheromone components, (2) diel periodicity of pheromonal communication, and/or (3) seasonal flight period. In coupled gas chromatographic-electroantennographic detection (GC-EAD) analyses of stereoselectively synthesized (7S)- and (7R)-7-methylheptadecane [7S; 7R] as well as (7S, 11S)-, (7R, 11R)-, and (meso-7,11)-7,11-dimethylheptadecane [7S,11S; 7R,11R; meso-7,11], only 7S and meso-7,11 elicited responses by male SHL and PPL antennae. In field experiments, male SHL and PPL were attracted only to lures containing 7S plus meso-7,11. In hourly recordings of trap-captured males, SHL and PPL in their respective habitats were trapped between 24:00 and 03:00 hr. Capture of both SHL and PPL in pheromone-baited traps throughout June indicated overlapping seasonal flight periods. These findings of identical absolute configuration of pheromoal components, diel periodicity of pheromonal communication, and overlap of seasonal flight periods support synonymy of SHL and PPL. Finite taxonomic classification of PPL and SHL must await careful assessment of further criteria, such as morphometrics, molecular comparisons and ecological analyses.</t>
  </si>
  <si>
    <t>431-442</t>
  </si>
  <si>
    <t>101546420-60014792;101546420;60025141;60025141;60025141;60025141;60018491;60018491;101546420;60026722;60007670</t>
  </si>
  <si>
    <t>36766676500;7006196798;24543409400;7202788826;55166998900;7103218251;15919945600;7003978932;7006335669;57213499138;7402014398</t>
  </si>
  <si>
    <t>Duff, Cameron M.;Gries, Gerhard;Mori, Kenji;Shirai, Yasuo;Seki, Masanori;Takikawa, Hirosato;Sheng, Tao;Slessor, Keith N.;Gries, Regine;Maier, Chris T.;Ferguson, Douglas C.</t>
  </si>
  <si>
    <t>United States;Japan;Canada;Canada;United States;</t>
  </si>
  <si>
    <t>New Haven;Tokyo;Burnaby;Ottawa;Washington, D.C.;</t>
  </si>
  <si>
    <t>Connecticut Agricultural Experiment Station;Tokyo University of Science;Simon Fraser University;Canadian Food Inspection Agency (CFIA);Smithsonian National Museum of Natural History;Center for Environmental Biology</t>
  </si>
  <si>
    <t>60026722;60025141;60018491;60014792;60007670;101546420</t>
  </si>
  <si>
    <t>Duff C.</t>
  </si>
  <si>
    <t>Does pheromone biology of Lambdina athasaria and L. pellucidaria contribute to their reproductive isolation?</t>
  </si>
  <si>
    <t>10.1023/A:1010324519127</t>
  </si>
  <si>
    <t>2-s2.0-0034979152</t>
  </si>
  <si>
    <t>Schweizerischer Nationalfonds zur F√∂rderung der Wissenschaftlichen Forschung</t>
  </si>
  <si>
    <t>SNF</t>
  </si>
  <si>
    <t>['various life', 'using solid', 'using antenna', 'upwind walk', 'racemate 1', 'phase microfibers', 'odor source', 'octenol isomer', 'mass spectrometry', 'major constituent', 'gas chromatography', 'dimethylpyrazine also', 'compound increased', 'charcoal traps', 'behavioral responses', 'amblyomma spp', 'aggregation response', 'adult ticks']</t>
  </si>
  <si>
    <t>1-Octen-3-ol | Amblyomma variegatum | Ixodid tick | Tick attractant</t>
  </si>
  <si>
    <t>Volatiles from various life-stages of the bont ticks Amblyomma variegatum and A. hebraeum were collected by using solid-phase microfibers and charcoal traps. An octenol isomer was found to be a major constituent of most of the tick material sampled and was identified as 1-octen-3-ol by gas chromatography-mass spectrometry and by using antenna of the tsetse fly Glossina brevipalpis in gas chromatography-linked antennogram detection. Release of this compound increased during molt to adulthood and following mechanical disturbance of adult ticks. (R)-(-)-1-Octen-3-ol and racemate 1-octen-3-ol both induce an increase in upwind walk to the odor source from A. variegatum in an airstream on a servosphere. Volatiles from tick exuviae plus feces and from dead ticks also attracted A. variegatum, suggesting that 1-octen-3-ol may contribute to the aggregation response of Amblyomma spp. on such substrates. 2,6-Dichloroanisol and 2,5-dimethylpyrazine also were detected in volatiles from the ticks but induced no behavioral responses on the servosphere. The suspected tick pheromone component, 2,6-dichlorophenol, was detected from A. variegatum adults cut into pieces but had no effect on the behavior of A. variegatum on the servosphere at a range of doses.</t>
  </si>
  <si>
    <t>471-486</t>
  </si>
  <si>
    <t>60005175;60005175;60005175</t>
  </si>
  <si>
    <t>15763077000;24782873200;15058519400</t>
  </si>
  <si>
    <t>Mcmahon, C.;Guerin, P. M.;Syed, Z.</t>
  </si>
  <si>
    <t>Mcmahon C.</t>
  </si>
  <si>
    <t>1-Octen-3-ol isolated from bont ticks attracts Amblyomma variegatum</t>
  </si>
  <si>
    <t>10.1023/A:1010328720035</t>
  </si>
  <si>
    <t>2-s2.0-0034988849</t>
  </si>
  <si>
    <t>['similar functionality', 'ieee 802', 'dielectric reduced', 'controlled electronically', 'back ratio', 'antenna volume', '11 applications']</t>
  </si>
  <si>
    <t>A nine monopole antenna embedded in a dielectric cylinder mounted on a small ground plane has been designed for IEEE 802.11 applications. Two simultaneous beams are controlled electronically with a front-to-back ratio of 12dB and 13% bandwidth. The dielectric reduced the footprint by 85% and the antenna volume by 91% compared to an array with similar functionality in air.</t>
  </si>
  <si>
    <t>871-872</t>
  </si>
  <si>
    <t>60032987;60032987;60032987;60032987</t>
  </si>
  <si>
    <t>55806552500;36893654800;57214473036;6602423265</t>
  </si>
  <si>
    <t>Lu, J. W.;Thiel, D. V.;Hanna, B.;Saario, S.</t>
  </si>
  <si>
    <t>Brisbane</t>
  </si>
  <si>
    <t>Griffith University</t>
  </si>
  <si>
    <t>Multi-beam switched parasitic antenna embedded in dielectric for wireless communications systems</t>
  </si>
  <si>
    <t>10.1049/el:20010618</t>
  </si>
  <si>
    <t>2-s2.0-0035811713</t>
  </si>
  <si>
    <t>['predicting boresight', 'distances needs', 'also described']</t>
  </si>
  <si>
    <t>A technique for predicting power density levels near transmitting parabolic Earth station antennas was described. A method for predicting boresight and off-axis power density levels at Fresnel region distances from large circular aperture antennas was also described. However, to determine the Fresnel region power densities, an antenna gain function for these distances needs to be formulated.</t>
  </si>
  <si>
    <t>869-871</t>
  </si>
  <si>
    <t>100427846;101792850;101792850</t>
  </si>
  <si>
    <t>7007048290;7005395374;7004666999</t>
  </si>
  <si>
    <t>Keen, K. M.;Heron, R. C.;Hodson, K.</t>
  </si>
  <si>
    <t>;Billingshurst</t>
  </si>
  <si>
    <t>Delta Communication Ltd.;Keen Associates</t>
  </si>
  <si>
    <t>101792850;100427846</t>
  </si>
  <si>
    <t>Keen K.</t>
  </si>
  <si>
    <t>Fresnel region power density levels from Earth station antennas</t>
  </si>
  <si>
    <t>10.1049/el:20010603</t>
  </si>
  <si>
    <t>2-s2.0-0035811736</t>
  </si>
  <si>
    <t>['transmitted energ', 'results showed', 'proposed combination', 'joint transmission', 'joint detection']</t>
  </si>
  <si>
    <t>Two simple downlink systems utilizing conventional joint detection-code division multiple access (JD-CDMA) and the combination of joint detection and joint transmission (JT) was considered. The results showed that proposed combination of JD and JT had the capability of reducing the transmitted energ.</t>
  </si>
  <si>
    <t>919-920</t>
  </si>
  <si>
    <t>7102238211;7006903834;7401450792;7005997210</t>
  </si>
  <si>
    <t>Meurer, M.;Tr√∂ger, H.;Weber, T.;Baier, P. W.</t>
  </si>
  <si>
    <t>Meurer M.</t>
  </si>
  <si>
    <t>Synthesis of joint detection and joint transmission in CDMA downlinks</t>
  </si>
  <si>
    <t>10.1049/el:20010623</t>
  </si>
  <si>
    <t>2-s2.0-0035811750</t>
  </si>
  <si>
    <t>['one octave', 'microwave technology', 'major problem', 'good suppression', 'expensive air', 'dipole antenna', 'broadband solution']</t>
  </si>
  <si>
    <t>A major problem in microwave technology is the connection of an unbalanced transmission line to a symmetrical (balanced) load, e.g. a dipole antenna. A broadband solution for this problem is presented in the shape of a simple and low-loss microstrip circuit without absorbing loads, shorts or expensive air-bridges, which offers more than one octave of bandwidth and good suppression of the even-mode.</t>
  </si>
  <si>
    <t>900-902</t>
  </si>
  <si>
    <t>60015815;60015815</t>
  </si>
  <si>
    <t>57197141522;7006070055</t>
  </si>
  <si>
    <t>Berger, N.;Landstorfer, F. M.</t>
  </si>
  <si>
    <t>Stuttgart</t>
  </si>
  <si>
    <t>Universit√§t Stuttgart</t>
  </si>
  <si>
    <t>Berger N.</t>
  </si>
  <si>
    <t>Optimum-shaped broadband balancing microstrip-coupler without bridges or load but with even-mode suppression</t>
  </si>
  <si>
    <t>10.1049/el:20010622</t>
  </si>
  <si>
    <t>2-s2.0-0035811794</t>
  </si>
  <si>
    <t>['yebes radiotelescope', 'vertical polarization', 'scintillation correlation', 'gas attenuation', 'atmospheric attenuation']</t>
  </si>
  <si>
    <t>A propagation experiment using the 50 GHz ITALSAT beacon with receiver as Yebes radiotelescope was carried out. The mission of this experiment was the measurement of atmospheric attenuation in vertical polarization. The experiment was carried out in scintillation correlation with turbulence related conditions, as well as in the effects of absolute humidity variations and frequency on gas attenuation.</t>
  </si>
  <si>
    <t>916-918</t>
  </si>
  <si>
    <t>60009455;60009455;60008828;60008828</t>
  </si>
  <si>
    <t>55362307100;6603937660;6603916069;57205863951</t>
  </si>
  <si>
    <t>Riera, J. M.;Benarroch, A.;Barcia, A.;Lopez-Fernandez, J. A.</t>
  </si>
  <si>
    <t>Madrid;Guadalajara</t>
  </si>
  <si>
    <t>Escuela T√©cnica Superior de Ingenieros de Telecomunicaci√≥n, Universidad Polit√©cnica de Madrid;Centro Astronomico de Yebes</t>
  </si>
  <si>
    <t>60009455;60008828</t>
  </si>
  <si>
    <t>Riera J.M.</t>
  </si>
  <si>
    <t>Propagation experiment at 50 GHz using radiotelescope</t>
  </si>
  <si>
    <t>10.1049/el:20010626</t>
  </si>
  <si>
    <t>2-s2.0-0035811798</t>
  </si>
  <si>
    <t>['transmission line', 'proposed model', 'order approximation', 'first applied', 'field distribution']</t>
  </si>
  <si>
    <t>A method for finding the electric field distribution of microstrip line fed H-slots is described. A transverse resonance technique is first applied to find a second-order approximation of the slot propagation constant, which is then used in the transmission line model for the H-slot. The proposed model for the field distribution can be applied to the transmission line and cavity model analysis of H-slot coupled microstrip antennas.</t>
  </si>
  <si>
    <t>873-874</t>
  </si>
  <si>
    <t>60003858;60003858;60030553</t>
  </si>
  <si>
    <t>6602512213;7004485449;7003723658</t>
  </si>
  <si>
    <t>Kurup, D. G.;Rydberg, A.;Himdi, M.</t>
  </si>
  <si>
    <t>France;Sweden</t>
  </si>
  <si>
    <t>Rennes;Uppsala</t>
  </si>
  <si>
    <t>Universite de Rennes 1;Uppsala Universitet</t>
  </si>
  <si>
    <t>60030553;60003858</t>
  </si>
  <si>
    <t>Kurup D.</t>
  </si>
  <si>
    <t>Transmission line model for field distribution in microstrip line fed H-slots</t>
  </si>
  <si>
    <t>10.1049/el:20010590</t>
  </si>
  <si>
    <t>2-s2.0-0035811804</t>
  </si>
  <si>
    <t>['work presents', 'wideband millimeter', 'terminal impedance', 'taper line', 'small impedances', 'semiconductor substrate', 'optical wavelength', 'minimum reflections', 'matching section', 'laser source', 'impedance transformation', 'gradually obtained', 'active devices', '80 %.']</t>
  </si>
  <si>
    <t>Matching section | Microstrip-taper line | Microwave active devices | Optical control | Quasi-TEM analysis</t>
  </si>
  <si>
    <t>This work presents a wideband millimeter-wave matching technique between active devices with very small impedances and conventionally used antennas. The matching section is an optically controlled microstrip-taper line. Impedance transformation from 75 to 6.5 Œ© is gradually obtained with minimum reflections and losses. The average transmitted power is more than 80%. The terminal impedance can be controlled by the power of the laser source, optical wavelength, or by changing the lifetime of the semiconductor substrate.</t>
  </si>
  <si>
    <t>29-33</t>
  </si>
  <si>
    <t>60007740;60007740</t>
  </si>
  <si>
    <t>23105204500;7102483892</t>
  </si>
  <si>
    <t>Baliram Singh, R.;Weller, T. M.</t>
  </si>
  <si>
    <t>Tampa</t>
  </si>
  <si>
    <t>University of South Florida, Tampa</t>
  </si>
  <si>
    <t>Baliram Singh R.</t>
  </si>
  <si>
    <t>Optical control of microstrip matching section</t>
  </si>
  <si>
    <t>10.1002/mop.1211</t>
  </si>
  <si>
    <t>2-s2.0-0035811933</t>
  </si>
  <si>
    <t>['vivaldi antennas', 'uniplanar parallel', 'substrate plane', 'radiation efficiency', 'matching conditions', 'letter describes', 'circuit model', 'bandwidth centered']</t>
  </si>
  <si>
    <t>Equivalent-circuit model | Radiation efficiency | Uniplanar | Vivaldi antenna</t>
  </si>
  <si>
    <t>This letter describes the design of a uniplanar parallel-series-fed linear array of Vivaldi antennas. Matching conditions have been optimized with an equivalent-circuit model. The array exhibits 12dBi gain in the substrate plane, 80% radiation efficiency, and low cross polarization over 5% bandwidth centered at 4.2GHz.</t>
  </si>
  <si>
    <t>60014966;60014966;60014966;60014966;60014966</t>
  </si>
  <si>
    <t>7201884408;7409483082;57198554054;7404297246;7202655457</t>
  </si>
  <si>
    <t>Tao, Zhenning;Chen, Zhangyuan;Fu, Libin;Wu, Deming;Xu, Anshi</t>
  </si>
  <si>
    <t>Tao Z.</t>
  </si>
  <si>
    <t>Uniplanar four-element vivaldi array fed by a coplanar waveguide</t>
  </si>
  <si>
    <t>10.1002/mop.1220</t>
  </si>
  <si>
    <t>2-s2.0-0035811936</t>
  </si>
  <si>
    <t>['two rectangular', 'two frequencies', 'slot loops', 'proposed antenna', 'polarization planes', 'paper proposes', 'novel dual', 'lower band', 'inner rectangular', 'higher band', 'fed dual', 'capacitively fed']</t>
  </si>
  <si>
    <t>Dual-frequency operation | Printed-slot antenna</t>
  </si>
  <si>
    <t>This paper proposes a novel dual-frequency coplanar waveguide-fed dual-slot loop antenna. The two operating frequencies have the same polarization planes, and can easily be controlled by the perimeters of outer and inner rectangular-slot loops in the proposed antenna. The two rectangular-slot loops are both capacitively fed by a 50 Œ© coplanar waveguide, and good impedance matching for the two operating frequencies with a frequency ratio ranging from about 1.33 to 1.54 can be achieved. Also, wide operating bandwidths (13.6-17.8% for the lower band and about 7% for the higher band) for the two frequencies are obtained.</t>
  </si>
  <si>
    <t>38-40</t>
  </si>
  <si>
    <t>Dual-frequency operation of a coplanar waveguide-fed dual-slot loop antenna</t>
  </si>
  <si>
    <t>10.1002/mop.1213</t>
  </si>
  <si>
    <t>2-s2.0-0035811941</t>
  </si>
  <si>
    <t>['symmetric flat', 'pseudoinverse technique', 'optimized using', 'new approach', 'linear array', 'least mean', 'iteration process', 'genetic algorithm']</t>
  </si>
  <si>
    <t>Array synthesis algorithms</t>
  </si>
  <si>
    <t>A new approach to the Orchard-Elliott pattern synthesis algorithm-based on the least mean-square (LMS) technique and the pseudoinverse technique is described. The new algorithm offers better initial conditions and avoids possible divergence problems throughout the iteration process. The array current distribution obtained is optimized using a genetic algorithm. The effectiveness of the new approach is demonstrated on a linear array with a symmetric flat-topped radiation pattern.</t>
  </si>
  <si>
    <t>60024513;60020583</t>
  </si>
  <si>
    <t>6505884193;7201783511</t>
  </si>
  <si>
    <t>Kransteuber, Amy S.;Gregory, Don A.</t>
  </si>
  <si>
    <t>Huntsville;Huntsville</t>
  </si>
  <si>
    <t>Advanced Optical Systems Incorporated;The University of Alabama in Huntsville</t>
  </si>
  <si>
    <t>Kransteuber A.</t>
  </si>
  <si>
    <t>A new approach to the orchard-elliott pattern synthesis algorithm using LMS and pseudoinverse techniques</t>
  </si>
  <si>
    <t>10.1002/mop.1206</t>
  </si>
  <si>
    <t>2-s2.0-0035811942</t>
  </si>
  <si>
    <t>['two populations', 'trimeric states', 'thylakoid membranes', 'slight differences', 'photosystem ii', 'one absorbing', 'monomeric lhciib', 'molecular configuration', 'major xanthophylls', 'lhciib trimers', 'j .,', 'isolated antenna', 'higher plants', 'harvesting complexes', 'harvesting complex', 'free pigments', 'free diffusion', 'broad 0', 'antenna proteins', '510 nm', '497 nm', '488 nm', '486 nm', '429 nm', '423 nm', '2 ).', '2 ),', '10465 ).', '1 ),', '0 transitions', '0 transition', '., young']</t>
  </si>
  <si>
    <t>Resonance Raman excitation spectroscopy combined with ultra low temperature absorption spectral analysis of the major xanthophylls of higher plants in isolated antenna and intact thylakoid membranes was used to identify carotenoid absorption regions and study their molecular configuration. The major electronic transitions of the light-harvesting complex of photosystem II (LHCIIb) xanthophylls have been identified for both the monomeric and trimeric states of the complex. One long wavelength state of lutein with a 0-0 transition at 510 nm was detected in LHCIIb trimers. The short wavelength 0-0 transitions of lutein and neoxanthin were located at 495 and 486 nm, respectively. In monomeric LHCIIb, both luteins absorb around 495 nm, but slight differences in their protein environments give rise to a broadening of this band. The resonance Raman spectra of violaxanthin and zeaxanthin in intact thylakoid membranes was determined. The broad 0-0 absorption transition for zeaxanthin was found to be located in the 503-511 nm region. Violaxanthin exhibited heterogeneity, having two populations with one absorbing at 497 nm (0-0), 460 nm (0-1), and 429 nm (0-2), and the other major pool absorbing at 488 nm (0-0), 452 nm (0-1), and 423 nm (0-2). The origin of this heterogeneity is discussed. The configuration of zeaxanthin and violaxanthin in thylakoid membranes was different from that of free pigments, and both xanthophylls (notably, zeaxanthin) were found to be well coordinated within the antenna proteins in vivo, arguing against the possibility of their free diffusion in the membrane and supporting our recent biochemical evidence of their association with intact oligomeric light-harvesting complexes (Ruban, A. V., Lee, P. J., Wentworth, M., Young, A. J., and Horton, P. (1999) J. Biol. Chem. 274, 10458-10465).</t>
  </si>
  <si>
    <t>24862-24870</t>
  </si>
  <si>
    <t>;;60019615;</t>
  </si>
  <si>
    <t>7102944615;7006934557;7103125115;57203184101</t>
  </si>
  <si>
    <t>Ruban, Alexander V.;Pascal, Andrew A.;Robert, Bruno;Horton, Peter</t>
  </si>
  <si>
    <t>Gif-sur-Yvette</t>
  </si>
  <si>
    <t>CEA Saclay</t>
  </si>
  <si>
    <t>Ruban A.V.</t>
  </si>
  <si>
    <t>Configuration and dynamics of xanthophylls in light-harvesting antennae of higher plants: Spectroscopic analysis of isolated light-harvesting complex of photosystem II and thylakoid membranes</t>
  </si>
  <si>
    <t>10.1074/jbc.M103263200</t>
  </si>
  <si>
    <t>2-s2.0-0035816628</t>
  </si>
  <si>
    <t>['tilt angle', 'side lengths', 'radiation characteristics', 'radiation cell', 'properly chosen', 'power beamwidth', 'mutual coupling', 'line antenna', 'fan beam', 'elevation plane', 'circular polarization', 'calculations show', 'axial ratio', 'array consisting', 'also analyzed', '65 ¬∞', '46 ¬∞.']</t>
  </si>
  <si>
    <t>Circularly polarized antenna | Method of moments | Microstrip line antenna | Tilted beam</t>
  </si>
  <si>
    <t>The radiation cell of a crank-line antenna is analyzed by using the method of moments. The maximum beam direction, axial ratio, and half-power beamwidth (HPBW) are calculated as a function of the side lengths of the radiation cell. Calculations show that, when the side lengths are properly chosen, the radiation cell can radiate a tilted wide beam of circular polarization. An array consisting of four radiation cells is also analyzed. The effect of mutual coupling on the radiation characteristics is examined. It is found that the array antenna forms a fan beam with an HPBW of 65¬∞ in the elevation plane with a tilt angle of 46¬∞.</t>
  </si>
  <si>
    <t>60003414;60003414;60030526</t>
  </si>
  <si>
    <t>7403255155;7003388268;55633340100</t>
  </si>
  <si>
    <t>Hirose, Kazuhide;Orihara, Katsuaki;Nakano, Hisamatsu</t>
  </si>
  <si>
    <t>Hosei University;Tokyo Denki University</t>
  </si>
  <si>
    <t>60030526;60003414</t>
  </si>
  <si>
    <t>Hirose K.</t>
  </si>
  <si>
    <t>Formation of a circularly polarized tilted beam using radiation cells of a crank-line antenna</t>
  </si>
  <si>
    <t>10.1002/ecja.1029</t>
  </si>
  <si>
    <t>2-s2.0-0034979946</t>
  </si>
  <si>
    <t>['sinusoidal excitation', 'radiation characteristics', 'input characteristics', 'feed structure', 'feed models', 'fdtd method', 'fdtd analysis', 'experimental results', 'design considering', 'coaxial model', 'characteristic evaluations', 'characteristic evaluation', 'absolute gain', '15 periods']</t>
  </si>
  <si>
    <t>Cavity resonator | FDTD method | Microwave power transmission | Slot antenna | Time domain analysis</t>
  </si>
  <si>
    <t>By applying the FDTD method to the evaluation of the characteristics of a cavity-backed slot antenna, a design considering the feed structure is possible. In this paper, a feed model suitable for the design and analysis of a cavity-backed slot antenna is presented. As feed models, a gap voltage model and a coaxial model are used and results of their analysis are compared. From the analysis of the input characteristics, it is revealed that characteristic evaluation is possible in the coaxial model with fewer time steps than the gap voltage model. In the evaluation of the radiation characteristics, the absolute gain evaluation method is presented with a sinusoidal excitation. From the results of analysis of the absolute gain, the results converge within about 15 periods in the case of the coaxial model. The obtained radiation characteristics agree with the experimental results. In the gap voltage model, undulations of the absolute gain values are observed. From a comparison of these characteristic evaluations, the coaxial model is found to be suitable for FDTD analysis of a cavity-backed slot antenna.</t>
  </si>
  <si>
    <t>70-77</t>
  </si>
  <si>
    <t>6701330770;7004236392;7404897527</t>
  </si>
  <si>
    <t>Hikage, Takashi;Omiya, Manabu;Itoh, Kiyohiko</t>
  </si>
  <si>
    <t>Hikage T.</t>
  </si>
  <si>
    <t>Comparison of analysis methods for performance of cavity-backed slot antennas using the FDTD technique</t>
  </si>
  <si>
    <t>10.1002/ecja.1034</t>
  </si>
  <si>
    <t>2-s2.0-0034985266</t>
  </si>
  <si>
    <t>['university campus', 'tree layer', 'ray model', 'radiated waves', 'quantitative evaluations', 'propagation paths', 'propagation path', 'propagation model', 'propagation loss', 'optimum microcells', 'measured value', 'many trees', 'loss due', 'large buildings', 'hokkaido university', 'hilly terrain', 'campus due', 'antenna installed', '1 db', '09 db']</t>
  </si>
  <si>
    <t>Geometrical optics calculation | Loss layer model | Microcell | Open urban propagation | Tree loss</t>
  </si>
  <si>
    <t>For design of optimum microcells on a university campus, it is necessary to determine the propagation characteristics within a propagation environment represented by a relatively large open space scattered with large buildings and many trees. In this paper, for the radiated waves from seven PHS base sites at 1.9 GHz experimentally installed on the campus of Hokkaido University from 1993 to 1994, a median received signal level measurement method is proposed that can be applied in unpaved garden areas (with glass and pebbles) as well as in areas with woods, vegetation, and hilly terrain, and its effectiveness is discussed. Next, for quantitative evaluations of the increase of the propagation loss due to trees in the propagation paths on the campus, a propagation model is proposed that consists of the loss layer model and the geometrical optics two-ray model. In the loss layer model, the loss due to trees is replaced with a loss per unit length of the propagation path. The estimated median received signal level and the measured value are compared to determine the effectiveness of the model. The increase of the propagation loss on the campus due to trees can be estimated if the loss per unit length of the tree layer by the present loss layer model is chosen to be about 0.1 dB/m for the base site antenna installed on the rooftop of the building and 0.07 to 0.09 dB/m for the antenna installed on the roof of the public phone box.</t>
  </si>
  <si>
    <t>49-61</t>
  </si>
  <si>
    <t>60025555;60025555;60014652;60014652</t>
  </si>
  <si>
    <t>7102629706;35586565700;35516180700;7404897527</t>
  </si>
  <si>
    <t>Taga, Tokio;Ichitsubo, Shinichi;Ogawa, Yasutaka;Itoh, Kiyohiko</t>
  </si>
  <si>
    <t>Tokyo;Sapporo</t>
  </si>
  <si>
    <t>Nippon Telegraph and Telephone Corporation;Hokkaido University</t>
  </si>
  <si>
    <t>60025555;60014652</t>
  </si>
  <si>
    <t>Taga T.</t>
  </si>
  <si>
    <t>1.9-GHz-band radio propagation characteristics in an open urban environment and tree loss prediction using a loss layer model</t>
  </si>
  <si>
    <t>10.1002/ecja.1032</t>
  </si>
  <si>
    <t>2-s2.0-0034991346</t>
  </si>
  <si>
    <t>['spiking ),', 'spike transformation', 'sphinx moth', 'single lns', 'significant depolarization', 'olfactory glomeruli', 'olfactory bulb', 'multifunctional units', 'much larger', 'mostly intra', 'microscopic images', 'manduca sexta', 'lns may', 'ln dendrites', 'injected currents', 'inhibitory synapses', 'help synchronize', 'glomeruli across', 'glomerular representations', 'glomerular processing', 'globally across', 'free state', 'dependent mechanisms', 'deciding factor', 'critical role', 'complex geometry', 'compartmental models', 'coarse neuropil', 'antennal lobe', 'active properties']</t>
  </si>
  <si>
    <t>Glomeruli | Modulation | Odor processing | Olfaction</t>
  </si>
  <si>
    <t>Inhibitory local interneurons (LNs) play a critical role in shaping the output of olfactory glomeruli in both the olfactory bulb of vertebrates and the antennal lobe of insects and other invertebrates. In order to examine how the complex geometry of LNs may affect signaling in the antennal lobe, we constructed detailed multi-compartmental models of single LNs from the sphinx moth, Manduca sexta, using morphometric data from confocal-microscopic images. Simulations clearly revealed a directionality in LNs that impeded the propagation of injected currents from the sub-micron-diameter glomerular dendrites toward the much larger-diameter integrating segment (IS) in the coarse neuropil. Furthermore, the addition of randomly-firing synapses distributed across the LN dendrites (simulating the noisy baseline activity of afferent input recorded from LNs in the odor-free state) led to a significant depolarization of the LN. Thus the background activity typically recorded from LNs in vivo could influence synaptic integration and spike transformation in LNs through voltage-dependent mechanisms. Other model manipulations showed that active currents inserted into the IS can help synchronize the activation of inhibitory synapses in glomeruli across the antennal lobe. These data, therefore, support experimental findings suggesting that spiking inhibitory LNs can operate as multifunctional units under different ambient odor conditions. At low odor intensities, (i.e. subthreshold for IS spiking), they participate in local, mostly intra-glomerular processing. When activated by elevated odor concentrations, however, the same neurons will fire overshooting action potentials, resulting in the spread of inhibition more globally across the antennal lobe. Modulation of the passive and active properties of LNs may, therefore, be a deciding factor in defining the multi-glomerular representations of odors in the brain. Copyright ¬© 2001 Elsevier Science Ireland Ltd.</t>
  </si>
  <si>
    <t>143-153</t>
  </si>
  <si>
    <t>BioSystems</t>
  </si>
  <si>
    <t>60023324;60025225;60010065;60023324</t>
  </si>
  <si>
    <t>57213669759;7004324942;49161103800;7102653635</t>
  </si>
  <si>
    <t>Christensen, Thomas A.;D'Alessandro, Giampaolo;Lega, Joceline;Hildebrand, John G.</t>
  </si>
  <si>
    <t>United Kingdom;United States;United States</t>
  </si>
  <si>
    <t>Southampton;Tucson;Tucson</t>
  </si>
  <si>
    <t>University of Southampton;Arizona Research Laboratories;The University of Arizona</t>
  </si>
  <si>
    <t>60025225;60023324;60010065</t>
  </si>
  <si>
    <t>Christensen T.</t>
  </si>
  <si>
    <t>Morphometric modeling of olfactory circuits in the insect antennal lobe: I. Simulations of spiking local interneurons</t>
  </si>
  <si>
    <t>S0303264701001630</t>
  </si>
  <si>
    <t>10.1016/S0303-2647(01)00163-0</t>
  </si>
  <si>
    <t>2-s2.0-0035827835</t>
  </si>
  <si>
    <t>DE-FG05-89ER14005</t>
  </si>
  <si>
    <t>['xanthophyll pigments', 'wild type', 'well correlated', 'vhlr mutants', 'vhl suggests', 'vhl resistance', 'strongly depressed', 's9 grown', 'reduction state', 'reduced connectivity', 'ps ii', 'photosystem stoichiometries', 'photosystem ii', 'one class', 'nonphotochemical quenching', 'low npq', 'little evidence', 'light stress', 'l *)', 'high npq', 'high light', 'high dps', 'grown air', 'genes may', 'epoxidation state', 'co2 availability', 'chlamydomonas reinhardtii', 'another class', 'although dissipation', 'already present', 'air compared']</t>
  </si>
  <si>
    <t>Chlamydomonas | CO  concentrating mechanism 2 | Nonphotochemical quenching | Photoinhibition | Photoprotection | Photosystem II | Xanthophylls</t>
  </si>
  <si>
    <t>We have isolated very high light resistant nuclear mutants (VHLR) in Chlamydomonas reinhardtii, that grow in 1500-2000 Œºmol photons m-2 s-1 (VHL) lethal to wildtype. Four nonallelic mutants have been characterized in terms of Photosystem II (PS II) function, nonphotochemical quenching (NPQ) and xanthophyll pigments in relation to acclimation and survival under light stress. In one class of VHLR mutants isolated from wild type (S4 and S9), VHL resistance was accompanied by slower PS II electron transfer, reduced connectivity between PS II centers and decreased PS II efficiency. These lesions in PS II function were already present in the herbicide resistant D1 mutant A251L (L*) from which another class of VHLR mutants (L4 and L30) were isolated, confirming that optimal PS II function was not critical for survival in very high light. Survival of all four VHLR mutants was independent of CO2 availability, whereas photoprotective processes were not. The de-epoxidation state (DPS) of the xanthophyll cycle pigments in high light (HL, 600 Œºmol photons m-2 s-1) was strongly depressed when all genotypes were grown in 5% CO2. In S4 and S9 grown in air under HL and VHL, high DPS was well correlated with high NPQ. However when the same genotypes were grown in 5% CO2, high DPS did not result in high NPQ, probably because high photosynthetic rates decreased thylakoid ŒîpH. Although high NPQ lowered the reduction state of PS II in air compared to 5% CO2 at HL in wildtype, S4 and S9, this did not occur during growth of S4 and S9 in VHL. L* and VHLR mutants L4 and L30, also showed high DPS with low NPQ when grown air or 5% CO2, possibly because they were unable to maintain sufficiently high ŒîpH due to constitutively impaired PS II electron transport. Although dissipation of excess photon energy through NPQ may contribute to VHL resistance, there is little evidence that the different genes conferring the VHLR phenotype affect this form of photoprotection. Rather, the decline of chlorophyll per biomass in all VHLR mutants grown under VHL suggests these genes may be involved in regulating antenna components and photosystem stoichiometries.</t>
  </si>
  <si>
    <t>60008724-60159889;60008724-60025472;60008724</t>
  </si>
  <si>
    <t>7103045168;7103383574;7006474625</t>
  </si>
  <si>
    <t>F√∂rster, Britta;Osmond, C. Barry;Boynton, John E.</t>
  </si>
  <si>
    <t>Canberra;Oracle;Durham</t>
  </si>
  <si>
    <t>ANU Research School of Biology;Biosphere 2 Center;Duke University</t>
  </si>
  <si>
    <t>60159889;60025472;60008724</t>
  </si>
  <si>
    <t>F√∂rster B.</t>
  </si>
  <si>
    <t>Very high light resistant mutants of Chlamydomonas reinhardtii: Responses of Photosystem II, nonphotochemical quenching and xanthophyll pigments to light and CO&lt;inf&gt;2&lt;/inf&gt;</t>
  </si>
  <si>
    <t>10.1023/A:1010611509209</t>
  </si>
  <si>
    <t>2-s2.0-0034950375</t>
  </si>
  <si>
    <t>['strong enhancement', 'spot distribution', 'specular directions', 'sized areas', 'possible chirality', 'position dependence', 'polarization state', 'optical responses', 'optical phenomena', 'localized plasmons', 'hot spots', 'fractal morphology', 'dramatic enhancement']</t>
  </si>
  <si>
    <t>It is now known that plasmon oscillations supported by nanostructured metal thin films of fractal morphology, can result in large local fields and strong enhancement of optical phenomena, for example Raman scattering1. The localized plasmons, acting like nano-antennas, can concentrate very large electromagnetic energy in nanometer-sized areas, ‚Äúhot spots‚Äù and provide particularly strong enhancement of optical responses, in a very broad spectral range. Our new experimental results show up position dependence of the hot spots on the polarization state of the light. Moreover, as expected from recent theoretical predictions2, on this kind of thin percolating films, there is a dramatic enhancement of the second harmonic generation (2œâ) out of the specular directions. This unusual diffuse SHG could be connected to possible chirality of the percolating metallic films, which is expected to manifest itself as change in the hot-spot distribution for the left- and right circularly polarized incident light. ¬© 2001 SPIE.</t>
  </si>
  <si>
    <t>288-296</t>
  </si>
  <si>
    <t>60029937;60029937;60029937;60029937;60029937;60105746-60028717;60105746;60105746;60028717;60001422;60002162;60002162</t>
  </si>
  <si>
    <t>7004035007;6507593620;6602299291;55925490300;6602612444;6701619796;6603194220;35563860600;6508094053;7003268302;7005997862;7005627097</t>
  </si>
  <si>
    <t>Gadenne, P.;Berini, B.;Buil, S.;Quelin, X.;Anceau, C.;Gresillon, S.;Ducourtieux, S.;Rivoal, J. C.;Breit, M.;Bourdon, A.;Sarychev, A. K.;Shalaev, V. M.</t>
  </si>
  <si>
    <t>France;France;Germany;United States;France</t>
  </si>
  <si>
    <t>Paris;Versailles;Munich;Las Cruces;Paris</t>
  </si>
  <si>
    <t>Institut Langevin;Universit√© de Versailles Saint-Quentin-en-Yvelines;Ludwig-Maximilians-Universit√§t M√ºnchen;New Mexico State University;Sorbonne Universite</t>
  </si>
  <si>
    <t>60105746;60029937;60028717;60002162;60001422</t>
  </si>
  <si>
    <t>Gadenne P.</t>
  </si>
  <si>
    <t>Localized plasmon enhanced optical response: Harmonic generation and polarization effects</t>
  </si>
  <si>
    <t>10.1117/12.432941</t>
  </si>
  <si>
    <t>2-s2.0-17944374478</t>
  </si>
  <si>
    <t>['¬± 200', 'velocity structure', 'topographic effects', 'synthetic signals', 'space demonstrates', 'source position', 'source location', 'slownesses derived', 'slowness vector', 'slowness analyses', 'probability distributions', 'probabilistic method', 'location method', 'latter model', 'kilauea volcano', 'homogeneous half', 'generated using', 'event azimuths', 'copyright 2001', 'considered including', 'array data', 'actual topography']</t>
  </si>
  <si>
    <t>We present a probabilistic method to locate the source of seismic events using seismic antennas. The method is based on a comparison of the event azimuths and slownesses derived from frequency-slowness analyses of array data, with a slowness vector model. Several slowness vector models are considered including both homogeneous and horizontally layered half-spaces and also a more complex medium representing the actual topography and three-dimensional velocity structure of the region under study. In this latter model the slowness vector is obtained from frequency-slowness analyses of synthetic signals. These signals are generated using the finite difference method and include the effects of topography and velocity structure to reproduce as closely as possible the behavior of the observed wave fields. A comparison of these results with those obtained with a homogeneous half-space demonstrates the importance of structural and topographic effects, which, if ignored, lead to a bias in the source location. We use synthetic seismograms to test the accuracy and stability of the method and to investigate the effect of our choice of probability distributions. We conclude that this location method can provide the source position of shallow events within a complex volcanic structure such as Kilauea Volcano with an error of ¬±200 m. Copyright 2001 by the American Geophysical Union.</t>
  </si>
  <si>
    <t>13565-13580</t>
  </si>
  <si>
    <t>2001JB000310</t>
  </si>
  <si>
    <t>B7</t>
  </si>
  <si>
    <t>Journal of Geophysical Research: Solid Earth</t>
  </si>
  <si>
    <t>60017521;60017521;60017521</t>
  </si>
  <si>
    <t>6701459071;56212651400;35570269800</t>
  </si>
  <si>
    <t>Almendros, Javier;Chouet, Bernard;Dawson, Phillip</t>
  </si>
  <si>
    <t>Menlo Park</t>
  </si>
  <si>
    <t>United States Geological Survey Western Region</t>
  </si>
  <si>
    <t>Almendros J.</t>
  </si>
  <si>
    <t>Spatial extent of a hydrothermal system at Kilauea Volcano, Hawaii, determined from array analyses of shallow long-period seismicity 1. Method</t>
  </si>
  <si>
    <t>10.1029/2001jb000310</t>
  </si>
  <si>
    <t>2-s2.0-0034903692</t>
  </si>
  <si>
    <t>['‚ àº400', 'volcanic tremor', 'two types', 'three small', 'third cluster', 'strong relation', 'source region', 'source locations', 'slowness vectors', 'slowness method', 'second cluster', 'results show', 'probabilistic method', 'northeast quadrant', 'lp seismicity', 'lp events', 'located beneath', 'kilauea volcano', 'hydrothermal origin', 'first arrivals', 'february 1997', 'extends southeastward', 'event azimuths', 'east flank', 'depths shallower', 'copyright 2001', 'caldera floor', 'array data', 'approximately 0', 'active cluster', '5 km', '147 samples', '1129 long']</t>
  </si>
  <si>
    <t>Array data from a seismic experiment carried out at Kilauea Volcano, Hawaii, in February 1997, are analyzed by the frequency-slowness method. The slowness vectors are determined at each of three small-aperture seismic antennas for the first arrivals of 1129 long-period (LP) events and 147 samples of volcanic tremor. The source locations are determined by using a probabilistic method which compares the event azimuths and slownesses with a slowness vector model. The results show that all the LP seismicity, including both discrete LP events and tremor, was generated in the same source region along the east flank of the Halemaumau pit crater, demonstrating the strong relation that exists between the two types of activities. The dimensions of the source region are approximately 0.6 X 1.0 X 0.5 km. For LP events we are able to resolve at least three different clusters of events. The most active cluster is centered ‚àº200 m northeast of Halemaumau at depths shallower than 200 m beneath the caldera floor. A second cluster is located beneath the northeast quadrant of Halemaumau at a depth of ‚àº400 m. The third cluster is &lt;200 m deep and extends southeastward from the northeast quadrant of Halemaumau. Only one source zone is resolved for tremor. This zone is coincident with the most active source zone of LP events, northeast of Halemaumau. The location, depth, and size of the source region suggest a hydrothermal origin for all the analyzed LP seismicity. Copyright 2001 by the American Geophysical Union.</t>
  </si>
  <si>
    <t>13581-13597</t>
  </si>
  <si>
    <t>2001JB000309</t>
  </si>
  <si>
    <t>Spatial extent of a hydrothermal system at Kilauea Volcano, Hawaii, determined from array analyses of shallow long-period seismicity 2. Results</t>
  </si>
  <si>
    <t>10.1029/2001jb000309</t>
  </si>
  <si>
    <t>2-s2.0-0034911090</t>
  </si>
  <si>
    <t>['term position', 'subsurface reflectors', 'soil cores', 'radar interpretations', 'primary objectives', 'permafrost table', 'penetrating radar', 'may 1999', 'ice wedges', 'ice lenses', 'gpr signal', 'gave high', 'frozen soil', 'employing high', 'electrical properties', 'core collection', 'collection parameters', 'approximate long']</t>
  </si>
  <si>
    <t>Active layer | Alaska | Frozen ground | Geophysical techniques | Ground-penetrating radar | Permafrost</t>
  </si>
  <si>
    <t>A ground-penetrating radar (GPR) survey was conducted in May 1999 on the 1 km2 Circumpolar Active Layer Monitoring (CALM) grid 5 km east of Barrow, Alaska. Spatially continuous measurements were collected along established transects while the active layer remained frozen. The primary objectives were to determine the 'long-term' position of the permafrost table, to recognize ice wedges and ice lenses, and to locate the organic-mineral soil interface. GPR signal and core collection were performed in tandem to verify signal interpretation, to calibrate the instrument, and to determine optimal GPR data-collection parameters. Two-way travel times from the antenna to subsurface reflectors were compared with measured depths obtained from soil cores to estimate an average pulse propagation velocity of 0.13 m/ns through the frozen soil. The most conspicuous subsurface reflectors were ice wedges, which gave high-amplitude hyperbolic reflections. Owing to its higher ice content, the approximate long-term position of the permafrost table could be traced laterally across the profile. Radar interpretations were obscured by the effects of cryoturbation, and because some horizons lack sufficient contrast in electrical properties. Highly detailed information can be obtained by collecting radar data at relatively slow speeds of advance, by using faster scanning rates (&gt;32 scans/s), and by employing high-frequency antennas (&gt;400 MHz). Copyright ¬© 2001 John Wiley &amp; Sons, Ltd.</t>
  </si>
  <si>
    <t>179-190</t>
  </si>
  <si>
    <t>Permafrost and Periglacial Processes</t>
  </si>
  <si>
    <t>60025152-60204083-60012213;60032179-60023004;60025152-60204083;60025152-60204083;60025152-60204083;60025152;60025152</t>
  </si>
  <si>
    <t>7003687931;7004454942;7006131392;35597704900;7004129412;7102448726;23107720500</t>
  </si>
  <si>
    <t>Hinkel, K. M.;Doolittle, J. A.;Bockheim, J. G.;Nelson, F. E.;Paetzold, R.;Kimble, J. M.;Travis, R.</t>
  </si>
  <si>
    <t>Washington, D.C.;Madison;Cincinnati;Newark;Stennis Space Center</t>
  </si>
  <si>
    <t>USDA Natural Resources Conservation Service;University of Wisconsin-Madison;University of Cincinnati;University of Delaware;NASA Stennis Space Center</t>
  </si>
  <si>
    <t>60204083;60032179;60025152;60023004;60012213</t>
  </si>
  <si>
    <t>Hinkel K.M.</t>
  </si>
  <si>
    <t>Detection of subsurface permafrost features with ground-penetrating radar, Barrow, Alaska</t>
  </si>
  <si>
    <t>10.1002/ppp.369</t>
  </si>
  <si>
    <t>2-s2.0-0034950188</t>
  </si>
  <si>
    <t>['walterorum overlap', 'two species', 'three species', 'three representatives', 'strongly attracted', 'small portions', 'small amounts', 'single component', 'sex attractant', 'pheromone glands', 'north america', 'ms ),', 'mass spectrometry', 'male moths', 'male antennae', 'geographic distributions', 'flight period', 'field trials', 'electroantennogram detection', 'ead experiments', 'ald alone']</t>
  </si>
  <si>
    <t>(4E,9Z)-Tetradecadienal | (Z)-9-Tetradecenal | Saturnia spp., pheromone</t>
  </si>
  <si>
    <t>The lepidopteran genus Saturnia has three representatives in North America, S. walterorum, S. mendocino, and S. albofasciata. (E4,Z9)-Tetradecadienal (E4,Z9-14:Aid) was identified as a sex pheromone component for all three species by combinations of coupled gas chromatography-electroantennogram detection (GC-EAD), GC-mass spectrometry (MS), and field trials. In field trials, all three species were strongly attracted to (E4,Z9-14:Ald) as a single component, Small amounts of (Z)-9-tetradecenal (Z9-14:Ald) also were found in extracts of all three species, but blends of this compound with E4,Z9-14:Aid were no more attractive to male moths than E4,Z9-14:Ald alone. Extracts of pheromone glands of female S. walterorum occasionally contained a third, trace compound eliciting responses from male antennae in GC-EAD experiments, but this compound was not identified. It is suggested that the three species can use the same, single component as a sex attractant because the flight period of S. albofasciata (fall) is different than that of the other two species (spring), whereas the geographic distributions of S. mendocino and S. walterorum overlap over only small portions of their ranges. Furthermore, the latter two species readily hybridize, so there may be minimal fitness cost to cross-attraction.</t>
  </si>
  <si>
    <t>791-806</t>
  </si>
  <si>
    <t>60029526;60029526;60025038</t>
  </si>
  <si>
    <t>6603356914;7203077089;6602370528</t>
  </si>
  <si>
    <t>Mcelfresh, J. Steven;Millar, Jocelyn G.;Rubinoff, Daniel</t>
  </si>
  <si>
    <t>Riverside;Berkeley</t>
  </si>
  <si>
    <t>University of California, Riverside;University of California, Berkeley</t>
  </si>
  <si>
    <t>60029526;60025038</t>
  </si>
  <si>
    <t>Mcelfresh J.S.</t>
  </si>
  <si>
    <t>(E4,Z9)-Tetradecadienal, a sex pheromone for three North American moth species in the genus Saturnia</t>
  </si>
  <si>
    <t>10.1023/A:1010310204552</t>
  </si>
  <si>
    <t>2-s2.0-0034951906</t>
  </si>
  <si>
    <t>['viterbi algorithm', 'updating method', 'speed transmission', 'received signal', 'metric calculation', 'matched filter', 'delay profile', 'convergence characteristics', 'configurat ion', 'computer simulation', 'array antenna', 'also presented', 'adaptive spatial', 'adaptive controller', '1 ].']</t>
  </si>
  <si>
    <t>Adaptive array antenna | Direction of arrival estimation | Maximum likelihood sequence estimation | Optimum receiver</t>
  </si>
  <si>
    <t>When high-speed transmission is carried out for multimedia mobile communication, it is indispensable to overcome the effect of intersymbol interference due to time-varying multipath propagation. As one of the remedies, the time domain optimum receiver using an adaptive array antenna has been proposed [1]. The time domain optimum receiver consists of three adaptive signal processing sections: an adaptive array antenna, a whitened matched filter, and a maximum likelihood estimator. However, discussions on their adaptive updating methods have not been sufficient. In this paper, centered around adaptive updating, the configuration of the adaptive spatial and temporal optimum receiver and the updating method are discussed. First, by means of the array antenna, the direction of arrival of the received signal is estimated. Separation of the directions of arrival is carried out by adaptive beam forming. By means of the matched filter, the delay profile for each direction of arrival is obtained. Such a configurat ion and an adaptive updating method are described. A method for improving the metric calculation of the propagation path estimator and trellis in the maximum likelihood sequence estimator (MLSE) by Viterbi algorithm is also presented. By computer simulation, improvement of the convergence characteristics of each adaptive controller and bit error rate is shown. ¬© 2001 Scripta Technica.</t>
  </si>
  <si>
    <t>23-32</t>
  </si>
  <si>
    <t>Electronics and Communications in Japan, Part III: Fundamental Electronic Science (English translation of Denshi Tsushin Gakkai Ronbunshi)</t>
  </si>
  <si>
    <t>7003893690;7102287283</t>
  </si>
  <si>
    <t>Yoshii, Isamu;Kohno, Ryuji</t>
  </si>
  <si>
    <t>Yoshii I.</t>
  </si>
  <si>
    <t>Adaptive spatial and temporal optimal receiver using adaptive array antenna</t>
  </si>
  <si>
    <t>10.1002/1520-6440(200105)84:5&lt;23::AID-ECJC3&gt;3.0.CO;2-B</t>
  </si>
  <si>
    <t>2-s2.0-0034962140</t>
  </si>
  <si>
    <t>['using psbz', 'tobacco mutant', 'supramolecular organization', 'psii mutants', 'psii cores', 'psbz copurifies', 'protein product', 'protein controls', 'photoautotrophic conditions', 'orf 62', 'nonphotochemical quenching', 'longer could', 'lhcii supercomplexes', 'lesser extent', 'harvesting antenna', 'growth conditions', 'dependent changes', 'cyanobacterial genomes', 'considerable modifications', 'biochemical nature', 'altered substantially']</t>
  </si>
  <si>
    <t>We have characterized the biochemical nature and the function of PsbZ, the protein product of a ubiquitous open reading frame, which is known as ycf9 in Chlamydomonas and ORF 62 in tobacco, that is present in chloroplast and cyanobacterial genomes. After raising specific antibodies to PsbZ from Chlamydomonas and tobacco, we demonstrated that it is a bona fide photosystem II (PSII) subunit. PsbZ copurifies with PSII cores in Chlamydomonas as well as in tobacco. Accordingly, PSII mutants from Chlamydomonas and tobacco are deficient in PsbZ. Using psbZ-targeted gene inactivation in tobacco and Chlamydomonas, we show that this protein controls the interaction of PSII cores with the light-harvesting antenna; in particular, PSII-LHCII supercomplexes no longer could be isolated from PsbZ-deficient tobacco plants. The content of the minor chlorophyll binding protein CP26, and to a lesser extent that of CP29, also was altered substantially under most growth conditions in the tobacco mutant and in Chlamydomonas mutant cells grown under photoautotrophic conditions. These PsbZ-dependent changes in the supramolecular organization of the PSII cores with their peripheral antennas cause two distinct phenotypes in tobacco and are accompanied by considerable modifications in (1) the pattern of protein phosphorylation within PSII units, (2) the deepoxidation of xanthophylls, and (3) the kinetics and amplitude of nonphotochemical quenching. The role of PsbZ in excitation energy dissipation within PSII is discussed in light of its proximity to CP43, in agreement with the most recent structural data on PSII.</t>
  </si>
  <si>
    <t>1347-1367</t>
  </si>
  <si>
    <t>60014849;60014849;60014849;60014849;60014849;60014849;60014849;60014849;60014849;60014849;60014849;60014849</t>
  </si>
  <si>
    <t>57189308808;6603831726;56044607300;7102307959;7103354748;6701591424;57199792736;35551882100;57202970888;35553979700;56128012800;7006770347</t>
  </si>
  <si>
    <t>Swiatek, M.;Kuras, R.;Sokolenko, A.;Higgs, D.;Olive, J.;Cinque, G.;M√ºller, B.;Eichacker, L. A.;Stern, D. B.;Bassi, R.;Herrmann, R. G.;Wollman, F. A.</t>
  </si>
  <si>
    <t>Institut de Biologie Physico-Chimique</t>
  </si>
  <si>
    <t>Swiatek M.</t>
  </si>
  <si>
    <t>The chloroplast gene ycf9 encodes a photosystem II (PSII) core subunit, PsbZ, that participates in PSII supramolecular architecture</t>
  </si>
  <si>
    <t>10.1105/tpc.13.6.1347</t>
  </si>
  <si>
    <t>2-s2.0-0034955041</t>
  </si>
  <si>
    <t>R01GM053030</t>
  </si>
  <si>
    <t>['solvent gradients', 'sample mixture', 'rights reserved', 'rich detection', 'paper describes', 'observe volume', 'magnetic susceptibility', 'lowest limits', 'line measurement', 'largely due', 'flow nmr', 'flow microprobe', 'first coupling', 'effects enables', 'diode array', 'complementary nature', 'chemical shift', 'capillary hplc', '1 œºl']</t>
  </si>
  <si>
    <t>Capillary liquid chromatography | Detection, LC | Microfluidics | Nuclear magnetic resonance spectroscopy | Terpenoids</t>
  </si>
  <si>
    <t>This paper describes the first coupling of a commercial capillary HPLC system with a diode array spectrophotometric detector and a custom-built nuclear magnetic resonance (NMR) flow microprobe. The eluent from a 3-Œºm diameter C18 HPLC column is linked to a 500 MHz 1H-NMR microcoil probe with an observe volume of 1.1 Œºl. The separation and structurally-rich detection of a mixture of terpenoids under both isocratic and gradient solvent elution conditions is presented. The lowest limits of detection yet reported for capillary HPLC on-line measurement (i.e., 37 ng for Œ±-pinene) are achieved with this system. The complementary nature of diode array and NMR detection allows stopped-flow data collection from analytes which would otherwise go unnoticed in continuous-flow NMR. Moreover, stopped-flow NMR data is presented for the detection of a trace (sub-nmol) impurity in the sample mixture. Since NMR signals degrade and shift during solvent gradients, flow injection analysis studies are conducted with injected solvent plugs differing in mobile phase composition. The NMR signal degradation accompanying these injections is largely due to the variance in chemical shift with the solvent composition rather than to changes in magnetic susceptibility of the solvent. Characterization of such effects enables the development of improved NMR probes for the coupling of capillary HPLC and NMR. ¬© 2001 Elsevier Science B.V. All rights reserved.</t>
  </si>
  <si>
    <t>139-149</t>
  </si>
  <si>
    <t>35584216100;7201598485;57203076538;7102998068</t>
  </si>
  <si>
    <t>Lacey, Michael E.;Tan, Z. Jessica;Webb, Andrew G.;Sweedler, Jonathan V.</t>
  </si>
  <si>
    <t>Lacey M.</t>
  </si>
  <si>
    <t>Union of capillary high-performance liquid chromatography and microcoil nuclear magnetic resonance spectroscopy applied to the separation and identification of terpenoids</t>
  </si>
  <si>
    <t>S0021967301009128</t>
  </si>
  <si>
    <t>10.1016/S0021-9673(01)00912-8</t>
  </si>
  <si>
    <t>2-s2.0-0035854356</t>
  </si>
  <si>
    <t>['slow compared', 'reaction center', 'psii depends', 'psii ),', 'primary photochemistry', 'photosystem ii', 'oxygenic photosynthesis', 'molecular oxygen', 'model shows', 'model predicts', 'kinetic model', 'functional requirement', 'excitation energy', 'established view', 'energy transfer', 'efficient transfer', 'bacterial photosystem', 'antenna chlorophylls', 'allows us', '4 times', '37 antenna']</t>
  </si>
  <si>
    <t>The heart of oxygenic photosynthesis is photosystem II (PSII), a multisubunit protein complex that uses solar energy to drive the splitting of water and production of molecular oxygen. The effectiveness of the photochemical reaction center of PSII depends on the efficient transfer of excitation energy from the surrounding antenna chlorophylls. A kinetic model for PSII, based on the x-ray crystal structure coordinates of 37 antenna and reaction center pigment molecules, allows us to map the major energy transfer routes from the antenna chlorophylls to the reaction center chromophores. The model shows that energy transfer to the reaction center is slow compared with the rate of primary electron transport and depends on a few bridging chlorophyll molecules. This unexpected energetic isolation of the reaction center in PSII is similar to that found in the bacterial photosystem, conflicts with the established view of the photophysics of PSII, and may be a functional requirement for primary photochemistry in photosynthesis. In addition, the model predicts a value for the intrinsic photochemical rate constant that is 4 times that found in bacterial reaction centers.</t>
  </si>
  <si>
    <t>8602-8607</t>
  </si>
  <si>
    <t>60001343;60030718;60011604;60007776;60001343</t>
  </si>
  <si>
    <t>7102292754;7003338179;55925364300;57213437301;7202146710</t>
  </si>
  <si>
    <t>Vasil'ev, Sergej;Orth, Peter;Zouni, Athina;Owens, Thomas G.;Bruce, Doug</t>
  </si>
  <si>
    <t>Germany;Germany;United States;Canada</t>
  </si>
  <si>
    <t>Berlin;Berlin;Ithaca;St. Catharines</t>
  </si>
  <si>
    <t>Freie Universit√§t Berlin;Technical University of Berlin;Cornell University;Brock University</t>
  </si>
  <si>
    <t>60030718;60011604;60007776;60001343</t>
  </si>
  <si>
    <t>Vasil'ev S.</t>
  </si>
  <si>
    <t>Excited-state dynamics in photosystem II: Insights from the x-ray crystal structure</t>
  </si>
  <si>
    <t>10.1073/pnas.141239598</t>
  </si>
  <si>
    <t>2-s2.0-0035902455</t>
  </si>
  <si>
    <t>['used instead', 'ship traffic', 'real time', 'radar measurements', 'optimal interpolation', 'ocean model', 'observing system', 'norway received', 'model system', 'h forecasts', 'forecasting system', 'current measurements', 'coastal currents']</t>
  </si>
  <si>
    <t>Current sensors | Data assimilation | Ocean currents | Ocean modelling</t>
  </si>
  <si>
    <t>A real time assimilation and forecasting system for coastal currents is presented. The purpose of the system is to deliver current analyses and forecasts on based on assimilation of high-frequency radar surface current measurements. The local Vessel Traffic Service monitoring the ship traffic to two oil terminals on the coast of Norway received the analyses and forecasts in real time. A new assimilation method based on optimal interpolation is presented where spatial covariances derived from an ocean model are used instead of simplified mathematical formulations. An array of high frequency radar antennae provides the current measurements. A suite of nested ocean models comprises the model system. The observing system is found to yield good analyses and short range forecasts that are significantly improved compared to a model twin without assimilation. The system is fast, analysis and 6-h forecasts are ready at the Vessel Traffic Service 45 min after acquisition of radar measurements. ¬© 2001 Elsevier Science B.V.</t>
  </si>
  <si>
    <t>161-182</t>
  </si>
  <si>
    <t>Journal of Marine Systems</t>
  </si>
  <si>
    <t>60026154;60019471</t>
  </si>
  <si>
    <t>6506763515;15745740400</t>
  </si>
  <si>
    <t>Breivik, √òyvind;Satra, √òyvind</t>
  </si>
  <si>
    <t>Norway;Norway</t>
  </si>
  <si>
    <t>Bergen;Oslo</t>
  </si>
  <si>
    <t>Nansen Environmental and Remote Sensing Center;Meteorologisk institutt</t>
  </si>
  <si>
    <t>Breivik √ò.</t>
  </si>
  <si>
    <t>Real time assimilation of HF radar currents into a coastal ocean model</t>
  </si>
  <si>
    <t>S0924796301000021</t>
  </si>
  <si>
    <t>10.1016/S0924-7963(01)00002-1</t>
  </si>
  <si>
    <t>2-s2.0-0034938906</t>
  </si>
  <si>
    <t>['vice versa', 'time scale', 'sucrose touched', 'sucrose solutions', 'sucrose concentration', 'several days', 'pollen foragers', 'multiple mechanisms', 'modulating perception', 'measured bees', 'low concentration', 'loaded bees', 'large flight', 'honey bees', 'genotypic differences', 'evolutionary processes', 'empty bees', 'crop filling', 'concentration offered', 'changes occurred', 'antennae elicited']</t>
  </si>
  <si>
    <t>Behavior | Honey bee | Neuroethology | Response thresholds</t>
  </si>
  <si>
    <t>The perception of sugar is important to honey bees for making foraging decisions. We measured bees' perception by determining what concentration of sucrose touched to the antennae elicited the proboscis extension response (response threshold). A low response threshold (extension at low concentration) suggests a high perceptual value of sucrose, and vice versa. Perception of sucrose solutions differed between two artificially selected genotypic strains and was modulated by the bees' recent feeding experiences. Bees offered 10%, 30%, or 50% sucrose solutions in small cages overnight, and in large flight-cages or free-flying in the field for several days, had subsequent response thresholds positively correlated to the concentration offered. Empty bees, whether they were nectar, water or pollen foragers, dancers or non-dancers, had a significantly lower threshold than loaded bees. Crop volume affected response thresholds directly and independently of sucrose concentration. We interpret these findings as multiple mechanisms that operate in different time scales, modulating perception of sucrose. Changes occurred in the time scale of evolutionary processes as demonstrated by genotypic differences. Changes with foraging experience occur in hours or minutes while effects of crop filling are instantaneous.</t>
  </si>
  <si>
    <t>293-301</t>
  </si>
  <si>
    <t>60020547;60029251;60014439</t>
  </si>
  <si>
    <t>7003851404;35612091100;7402110009</t>
  </si>
  <si>
    <t>Pankiw, Tanya;Waddington, Keith D.;Page, Robert E.</t>
  </si>
  <si>
    <t>Coral Gables;College Station;Davis</t>
  </si>
  <si>
    <t>University of Miami;Texas A&amp;M University;University of California, Davis</t>
  </si>
  <si>
    <t>60029251;60020547;60014439</t>
  </si>
  <si>
    <t>Pankiw T.</t>
  </si>
  <si>
    <t>Modulation of sucrose response thresholds in honey bees (Apis mellifera L.): Influence of genotype, feeding, and foraging experience</t>
  </si>
  <si>
    <t>10.1007/s003590100201</t>
  </si>
  <si>
    <t>2-s2.0-0034944410</t>
  </si>
  <si>
    <t>['wire width', 'geometrical parameters']</t>
  </si>
  <si>
    <t>A method to increase the bandwidth of a printed quadrifilar helical antenna is investigated. The wire width is modified all along the antenna without changing the other geometrical parameters. A new broadband tapered printed quadrifilar helical antenna is realised and measured.</t>
  </si>
  <si>
    <t>932-933</t>
  </si>
  <si>
    <t>Broadband tapered printed quadrifilar helical antenna</t>
  </si>
  <si>
    <t>10.1049/el:20010638</t>
  </si>
  <si>
    <t>2-s2.0-0035913069</t>
  </si>
  <si>
    <t>['transmitted power', 'proposed method', 'permutation ambiguity', 'multiple antennas', 'low level', 'intersymbol interference', 'either synchronous', 'carrier transmission']</t>
  </si>
  <si>
    <t>An algorithm was presented for achieving blind mitigation of intersymbol interference (ISI) and multiple access interference (MAI) for multiple transmitters including oversampling and multiple antennas at the receiver by selectively periodically varying the transmitted power of each user. The permutation ambiguity of many source separation algorithms was overcome and a low level of error-probability was achieved. The proposed method was applied in the case when carrier transmission at receiver and transmitter was either synchronous or asynchronous.</t>
  </si>
  <si>
    <t>984-986</t>
  </si>
  <si>
    <t>60017323;60012070</t>
  </si>
  <si>
    <t>6603817881;7003965287</t>
  </si>
  <si>
    <t>Orozco-Lugo, A. G.;McLernon, D. C.</t>
  </si>
  <si>
    <t>Mexico;United Kingdom</t>
  </si>
  <si>
    <t>Mexico City;Leeds</t>
  </si>
  <si>
    <t>Centro de Investigacion y de Estudios Avanzados;University of Leeds</t>
  </si>
  <si>
    <t>Orozco-Lugo A.</t>
  </si>
  <si>
    <t>Blind ISI and MAI cancellation based on periodically time-varying transmitted power</t>
  </si>
  <si>
    <t>10.1049/el:20010646</t>
  </si>
  <si>
    <t>2-s2.0-0035913071</t>
  </si>
  <si>
    <t>['temporal processing', 'main feature', 'array due']</t>
  </si>
  <si>
    <t>The problem of scattered broadband source localisation is addressed. It is shown that an accurate localisation requires both spatial and temporal processing of the array data owing to coherence loss across the array due to the scattering being frequency-selective. A computationally efficient localisation algorithm is then developed, based on applying the covariance matching method to the frequency domain snapshots. The main feature of the algorithm is that no model is required for the spatial coherence loss function.</t>
  </si>
  <si>
    <t>986-987</t>
  </si>
  <si>
    <t>60024724;60024724</t>
  </si>
  <si>
    <t>7004165717;56897622400</t>
  </si>
  <si>
    <t>Ghogho, M.;Durrani, T. S.</t>
  </si>
  <si>
    <t>University of Strathclyde</t>
  </si>
  <si>
    <t>Ghogho M.</t>
  </si>
  <si>
    <t>Broadband direction of arrival estimation in presence of angular spread</t>
  </si>
  <si>
    <t>10.1049/el:20010650</t>
  </si>
  <si>
    <t>2-s2.0-0035913075</t>
  </si>
  <si>
    <t>['space environment', 'recent breakthroughs', 'propagation study', 'information theory', 'experimental verification', 'controlled free']</t>
  </si>
  <si>
    <t>Recent breakthroughs in the application of information theory have demonstrated great increases in capacity by deploying multiple transmitting and multiple receiving antennas compared to conventional single antenna systems. An experimental verification of the theoretical capacity prediction is presented. The propagation study was performed in a controlled free-space environment. The near field capacity was measured and modelled. Measurement results match very well with the theory.</t>
  </si>
  <si>
    <t>936-937</t>
  </si>
  <si>
    <t>55493772400;7006813926;7003808036;7101611306</t>
  </si>
  <si>
    <t>Xu, H.;Gans, M. J.;Amitay, N.;Valenzuela, R. A.</t>
  </si>
  <si>
    <t>Experimental verification of MTMR system capacity in controlled propagation environment</t>
  </si>
  <si>
    <t>10.1049/el:20010660</t>
  </si>
  <si>
    <t>2-s2.0-0035913123</t>
  </si>
  <si>
    <t>['time codes', 'linear space', 'decoder complexity', 'coding gain']</t>
  </si>
  <si>
    <t>Linear space-time codes, based on rings of integers for quadrature phase shift keying (QPSK) constellations were discussed for time varying flat Rayleigh fast fading channels. A comparison between space-time ring TCM codes and space-time codes for time varying channels were presented. It was revealed that space-time ring TCM codes offers a significantly better trade-off between coding gain and decoder complexity.</t>
  </si>
  <si>
    <t>961-962</t>
  </si>
  <si>
    <t>60021219;60021219</t>
  </si>
  <si>
    <t>57199275898;35563381200</t>
  </si>
  <si>
    <t>Pereira, A.;Carrasco, R. A.</t>
  </si>
  <si>
    <t>Stoke-on-Trent</t>
  </si>
  <si>
    <t>Staffordshire University</t>
  </si>
  <si>
    <t>Pereira A.</t>
  </si>
  <si>
    <t>Space-time ring TCM codes for QPSK on time-varying fast fading channels</t>
  </si>
  <si>
    <t>10.1049/el:20010642</t>
  </si>
  <si>
    <t>2-s2.0-0035913124</t>
  </si>
  <si>
    <t>['return loss', 'radiation patterns', 'placed beneath', 'investigated experimentally', 'backing cavity', 'axial ratio', 'antenna gain', 'also presented']</t>
  </si>
  <si>
    <t>The circularly polarised dielectric resonator antenna excited by a perturbed annular slot is investigated experimentally. A backing cavity is placed beneath the slot to block undesirable backside radiation. The effects of varying the slot on the return loss and axial ratio are discussed. The radiation patterns and antenna gain of the configuration are also presented.</t>
  </si>
  <si>
    <t>934-936</t>
  </si>
  <si>
    <t>56415172000;57225384145</t>
  </si>
  <si>
    <t>Leung, K. W.;Mok, S. K.</t>
  </si>
  <si>
    <t>Leung K.W.</t>
  </si>
  <si>
    <t>Circularly polarised dielectric resonator antenna excited by perturbed annular slot with backing cavity</t>
  </si>
  <si>
    <t>10.1049/el:20010658</t>
  </si>
  <si>
    <t>2-s2.0-0035913127</t>
  </si>
  <si>
    <t>['‚ àº1', 'radiation patterns', 'monopole antenna', 'antenna gain', '5 dbi', '29 ghz']</t>
  </si>
  <si>
    <t>A ceramic chip antenna using meander conductor lines has been designed, fabricated, and measured. The measured impedance bandwidth is 9.8% (1.85-2.06 GHz). It is increased to 19.1% (1.89-2.29 GHz) with an adjacent conducting plane. The radiation patterns are similar to that of a monopole antenna. The antenna gain is ‚àº1.5 dBi.</t>
  </si>
  <si>
    <t>933-934</t>
  </si>
  <si>
    <t>60001873;60001873;60001873</t>
  </si>
  <si>
    <t>7402516085;57193398586;7405436619</t>
  </si>
  <si>
    <t>Choi, W.;Kwon, S.;Lee, B.</t>
  </si>
  <si>
    <t>Choi W.</t>
  </si>
  <si>
    <t>Ceramic chip antenna using meander conductor lines</t>
  </si>
  <si>
    <t>10.1049/el:20010645</t>
  </si>
  <si>
    <t>2-s2.0-0035913148</t>
  </si>
  <si>
    <t>['walk around', 'various sizes', 'time required', 'tank away', 'study demonstrates', 'small tank', 'sensory input', 'one place', 'novel territories', 'new setting', 'large tank', 'kept within', 'inner processing', 'individual crayfish', 'individual aquaria', 'familiarity within', 'familiarity ",', 'dark room', 'cave crayfish', 'become familiar', 'authors suggest', '7 days', '5 minutes']</t>
  </si>
  <si>
    <t>This study examined behaviour of cave-adapted blind crayfish to novel territories of various sizes. Cave crayfish, Orconectes australis packardi, were kept within a dark room in individual aquaria for 7 days. They were then placed into a small tank (33 √ó 28 √ó 23 cm, 10-15 cm water depth), and a large tank (54 √ó 37 √ó 30 cm, 10-15 cm water depth). Time, distance of movements, and length of pauses were recorded. Upon initial placement in a new setting, crayfish will walk around the perimeter where their antenna can contact the side of the tank. The animals will subsequently move around the tank away from the perimeter, or they will begin to dig a burrow. Familiarity within the environment for an individual crayfish was defined as when the animal initiates digging or remains in one place for over 5 minutes. The study demonstrates that time required to become familiar to a new setting depends on the size of the setting. The authors suggest that a balance between sensory input and inner processing, termed "familiarity", can be reached.</t>
  </si>
  <si>
    <t>417-433</t>
  </si>
  <si>
    <t>60015941;60015941</t>
  </si>
  <si>
    <t>57191532205;55452951800</t>
  </si>
  <si>
    <t>Li, H.;Cooper, R. L.</t>
  </si>
  <si>
    <t>Lexington</t>
  </si>
  <si>
    <t>University of Kentucky</t>
  </si>
  <si>
    <t>Li H.</t>
  </si>
  <si>
    <t>Spatial familiarity in the blind cave crayfish, Orconectes australis packardi</t>
  </si>
  <si>
    <t>10.1163/156854001750243018</t>
  </si>
  <si>
    <t>2-s2.0-0034946817</t>
  </si>
  <si>
    <t>['wlan dual', 'wlan antennas', 'small area', 'new design', 'microwave substrate', 'band operations', '5 mm2', '2 mm']</t>
  </si>
  <si>
    <t>DCS operation | Dual-band operation | Stacked shorted patch antenna | WLAN operation</t>
  </si>
  <si>
    <t>A new design of two stacked shorted patch antennas integrated on the same microwave substrate for DCS and WLAN dual-band operations is presented. The two antennas together occupy a small area of 19 √ó 28.5 mm2, and the heights for the DCS and WLAN antennas are 10 and 5.2 mm, respectively. Details of the measured antenna performances are presented. ¬© 2001 John Wiley &amp; Sons, Inc.</t>
  </si>
  <si>
    <t>134-136</t>
  </si>
  <si>
    <t>56093321900;35460663000</t>
  </si>
  <si>
    <t>Wu, Jian Yi;Wong, Kin Lu</t>
  </si>
  <si>
    <t>Two integrated stacked shorted patch antennas for DCS/WLAN dual-band operations</t>
  </si>
  <si>
    <t>10.1002/mop.1243</t>
  </si>
  <si>
    <t>2-s2.0-0035919961</t>
  </si>
  <si>
    <t>['wet state', 'three times', 'temperature environments', 'spot size', 'space system', 'small samples', 'readily applicable', 'powders using', 'possible using', 'nonuniform samples', 'noncontact method', 'noncontact measurement', 'noncontact evaluation', 'method available', 'many industries', 'liquid samples', 'lens antennas', 'focused free', 'focused beam', 'characterizing samples', 'already established', '2 cm', '110 ghz', '1 ghz']</t>
  </si>
  <si>
    <t>Complex permittivity measurements | Microwave measurements | Noncontact measurements</t>
  </si>
  <si>
    <t>The noncontact evaluation and characterization of liquids, especially chemically active reagents, is a problem for many industries, and currently there is no method available to characterize such liquid samples. In this paper, we present the results of the noncontact measurement and characterization of liquids and powders using a free-space system. It is already established that the characterization of solids and nonuniform samples is possible using the spot-focused free-space measurement system from 5 to 110 GHz. Since the measured 3 dB spot size of the focused beam is 4.37 cm √ó 3.2 cm at 9.1 GHz, only small samples are required, and the inaccuracies in free-space measurement due to diffraction were minimized for samples of three times the spot size. The far-field focusing ability of the horn-lens antennas is helpful in designing a simple and noncontact wideband measurement system for the characterization of liquids. This noncontact method has the advantage of characterizing samples in high- and low-temperature environments, which should find wide applications in industry for in situ material characterization. This method is readily applicable to monitoring the curing of polymers and gels, as well as thick-film coating characterization in the wet state. ¬© 2001 John Wiley &amp; Sons, Inc.</t>
  </si>
  <si>
    <t>7005956560;36039583900;7202350150</t>
  </si>
  <si>
    <t>Jose, K. A.;Varadan, V. K.;Varadan, V. V.</t>
  </si>
  <si>
    <t>Jose K.</t>
  </si>
  <si>
    <t>Wideband and noncontact characterization of the complex permittivity of liquids</t>
  </si>
  <si>
    <t>10.1002/mop.1225</t>
  </si>
  <si>
    <t>2-s2.0-0035919962</t>
  </si>
  <si>
    <t>['two œª', 'spatial signatures', 'results show', 'relative variation', 'mobile terminal', 'experimentally investigate', 'cp configuration', 'antenna element', '8 ghz']</t>
  </si>
  <si>
    <t>Adaptive antenna arrays | Channel propagation | Spatial signature | Transmit diversity</t>
  </si>
  <si>
    <t>For base-station antenna arrays operating at 1.8 GHz in urban vehicular enrironments, we experimentally investigate the spatial diversity provided by transmitting from the mobile terminal with two Œª / 2 dipole antennas that are separated by Œª / 2 and arranged in copolarized (CP) and cross-polarized (XP) configurations. The results show that, in both configurations, spatial signatures observed at the antenna array associated with each antenna element of the mobile change differently, especially when nonline-of-sight communication exists. The relative variation of spatial signatures is larger in an XP configuration compared to a CP configuration. ¬© 2001 John Wiley &amp; Sons, Inc.</t>
  </si>
  <si>
    <t>100429948;60030003</t>
  </si>
  <si>
    <t>7003901755;7404265004</t>
  </si>
  <si>
    <t>Kavak, Adnan;Xu, Guanghan</t>
  </si>
  <si>
    <t>San Jose;Richardson</t>
  </si>
  <si>
    <t>Cisco Systems;Samsung Telecommunications America</t>
  </si>
  <si>
    <t>60030003;100429948</t>
  </si>
  <si>
    <t>Mobile transmit diversity for base-station antenna arrays</t>
  </si>
  <si>
    <t>10.1002/mop.1230</t>
  </si>
  <si>
    <t>2-s2.0-0035919964</t>
  </si>
  <si>
    <t>['surface modes', 'surface mesh', 'surface connection', 'mom ).', 'geometrical discontinuities', 'even near', 'electromagnetic analysis', 'arbitrary surfaces', 'allowing us']</t>
  </si>
  <si>
    <t>Adaptive meshing | Attachment modes | Method of moments</t>
  </si>
  <si>
    <t>A floating attachment mode is presented here in order to improve the electromagnetic analysis of wire antennas attached to arbitrary surfaces when using the method of moments (MoM). This attachment mode overlaps the surface modes, allowing us to place the wire-to-surface connection at any point, independently of the surface mesh, even near or at geometrical discontinuities. ¬© 2001 John Wiley &amp; Sons, Inc.</t>
  </si>
  <si>
    <t>102-105</t>
  </si>
  <si>
    <t>7006470289;7404696540;7003784434</t>
  </si>
  <si>
    <t>Taboada, J. M.;Rodr√≠guez, J. L.;Obelleiro, F.</t>
  </si>
  <si>
    <t>Taboada J.</t>
  </si>
  <si>
    <t>A floating attachment mode for arbitrary wire-to-surface connections</t>
  </si>
  <si>
    <t>10.1002/mop.1232</t>
  </si>
  <si>
    <t>2-s2.0-0035919965</t>
  </si>
  <si>
    <t>['theoretical results', 'stacked position', 'ring patch', 'resonant frequency', 'polarization levels', 'polarization characteristics', 'parasitic element', 'novel structure', 'input impedance', 'experimental results', 'cross polarization']</t>
  </si>
  <si>
    <t>Broadband microstrip antennas | Conpact microstrip antennas | Electromagnetically coupled stacked microstrip antennas | Shorted microstrip antennas</t>
  </si>
  <si>
    <t>A novel structure to improve the cross-polarization characteristics of the shorted square microstrip antenna is presented. The square-ring patch is used as a parasitic element in the stacked position to tune the input impedance, resonant frequency, cross polarization, and bandwidth of the shorted square microstrip antenna. As a result, 11% bandwidth and better than - 14.5 dB cross-polarization levels have been achieved. The theoretical results are compared with the experimental results. ¬© 2001 John Wiley &amp; Sons, Inc.</t>
  </si>
  <si>
    <t>73-75</t>
  </si>
  <si>
    <t>Stacked shorted microstrip antenna for low cross polarization and wide-band</t>
  </si>
  <si>
    <t>10.1002/mop.1224</t>
  </si>
  <si>
    <t>2-s2.0-0035919968</t>
  </si>
  <si>
    <t>['low cost', 'experimentally investigated', 'circular polarization', 'axial ratio', '64 ghz', '3 db', '160 mhz']</t>
  </si>
  <si>
    <t>Circular polarization (CP) | Parasitic helical strips | Quadrifilar helix antenna (QHA)</t>
  </si>
  <si>
    <t>An omnidirectional quadrifilar helix antenna (QHA) with parasitic helical strips for circular polarization (CP) is proposed and experimentally investigated for handheld mobile terminals. This antenna is small in size, low cost, and lightweight. The mutual coupling effect between the grounded helical strips and the feeding helical arms provides a good impedance match, a smaller axial ratio, and wider hemispherical coverage. The impedance bandwidth corresponding to SWR &lt; 2 and bandwidth with respect to the axial ratio &lt; 3 dB are found to be 39% and 160 MHz at 3.64 GHz, respectictively. ¬© 2001 John Wiley &amp; Sons, Inc.</t>
  </si>
  <si>
    <t>Quadrifilar helix antenna with parasitic helical strips</t>
  </si>
  <si>
    <t>10.1002/mop.1241</t>
  </si>
  <si>
    <t>2-s2.0-0035919988</t>
  </si>
  <si>
    <t>['specified bandwidth', 'selected based', 'return loss', 'genetic algorithm', 'fitness function', 'antenna fabricated']</t>
  </si>
  <si>
    <t>A genetic algorithm was used for the design and optimization of a multilayer slant linear polarizer. The fitness function was selected based on the return loss requirement and a minimum of 10 dB return loss in the specified bandwidth was achieved. The return loss of the biconical antenna without a polarizer and that of the antenna fabricated with a polarizer were calculated.</t>
  </si>
  <si>
    <t>6506794708;6508342111;7201897087</t>
  </si>
  <si>
    <t>Purushottam, Y.;Hara Prasad, R. V.;Misra, V. C.</t>
  </si>
  <si>
    <t>Purushottam Y.</t>
  </si>
  <si>
    <t>Design of ultra-wideband multilayer slant linear polarizer using a genetic algorithm</t>
  </si>
  <si>
    <t>10.1002/mop.1237</t>
  </si>
  <si>
    <t>2-s2.0-0035919998</t>
  </si>
  <si>
    <t>['statistical parameters', 'receiving antenna', 'received power', 'polarization structure', 'optimal polarization', 'necessary ratios', 'arbitrary field']</t>
  </si>
  <si>
    <t>Polarization structure of the receiving antenna | Random media</t>
  </si>
  <si>
    <t>Research on the polarization structure of the receiving antenna excited by an arbitrary field is carried out. The necessary ratios, characterizing the optimal polarization antenna's structure, are determined by the criteria of the maximal and minimal received signal's power. The advantage of the received power is estimated for an optimal polarization. The statistical parameters of the receiving antenna with an optimal polarization structure are investigated. ¬© 2001 John Wiley &amp; Sons, Inc.</t>
  </si>
  <si>
    <t>116-119</t>
  </si>
  <si>
    <t>Protsenko, Mikhail B.</t>
  </si>
  <si>
    <t>Sevastopol</t>
  </si>
  <si>
    <t>Sevastopol State University</t>
  </si>
  <si>
    <t>Protsenko M.</t>
  </si>
  <si>
    <t>Polarization-structure analysis of receiving antennas</t>
  </si>
  <si>
    <t>10.1002/mop.1236</t>
  </si>
  <si>
    <t>2-s2.0-0035920008</t>
  </si>
  <si>
    <t>['transgenic plants', 'successfully achieved', 'results indicated', 'peripheral light', 'least 10', 'largely dependent', 'kda chlorophyll', 'harvesting efficiency', 'harvesting complexes', 'genetic manipulations', 'following observations', 'first report', 'etiolation phase', 'early de', 'drastically decreased', 'cp47 ),', 'chlorophyll b', 'cao ),', 'b ratio', 'arabidopsis thaliana', 'antenna size', '40 %.', '20 %.']</t>
  </si>
  <si>
    <t>Antenna size | Arabidopsis | Chlorophyll a : b ratio | Chlorophyll cycle | Chlorophyllide a oxygenase | LHC</t>
  </si>
  <si>
    <t>The light-harvesting efficiency of a photosystem is thought to be largely dependent on its photosynthetic antenna size. It has been suggested that antenna size is controlled by the biosynthesis of chlorophyll b. To verify this hypothesis, we overexpressed the enzyme for chlorophyll b biosynthesis, chlorophyllide a oxygenase (CAO), in Arabidopsis thaliana by transforming the plant with cDNA for CAO under the control of the 35S cauliflower mosaic virus promoter. In the early de-etiolation phase, when the intrinsic CAO expression is very low, the chlorophyll a : b ratio was drastically decreased from 28 to 7.3, indicating that enhancement of chlorophyll b biosynthesis had been successfully achieved. We made the following observations in full-green rosette leaves of transgenic plants. (1) The chlorophyll a : b ratio was reduced from 2.85 to 2.65. (2) The ratio of the peripheral light-harvesting complexes (LHCII) to the core antenna complex (CPa) resolved with the green-gel system increased by 20%. (3) The ratio of the light-harvesting complex II apoproteins (LHCP) to 47-kDa chlorophyll a protein (CP47), which was estimated by the results of immunoblotting, increased by 40%. These results indicated that the antenna size increased by at least 10-20% in transgenic plants, suggesting that chlorophyll b biosynthesis controls antenna size. To the best of our knowledge, this is the first report on enlargement of the antenna size by genetic manipulations.</t>
  </si>
  <si>
    <t>365-373</t>
  </si>
  <si>
    <t>Plant Journal</t>
  </si>
  <si>
    <t>60014652-60005038-100311254;60014652-60005038-100311254;60014652-60005038-100311254;60014652-60005038-100311254;60014652-60005038-100311254;60014652-60005038-100311254</t>
  </si>
  <si>
    <t>35597170900;18836327200;35561436000;7103046380;57129637500;7404667898</t>
  </si>
  <si>
    <t>Tanaka, Ryouichi;Koshino, Yoshihiro;Sawa, Shinichiro;Ishiguro, Sumie;Okada, Kiyotaka;Tanaka, Ayumi</t>
  </si>
  <si>
    <t>Sapporo;Hachioji;Kyoto</t>
  </si>
  <si>
    <t>Hokkaido University;Tokyo Metropolitan University;Graduate School of Agriculture</t>
  </si>
  <si>
    <t>60014652;60005038;100311254</t>
  </si>
  <si>
    <t>Tanaka R.</t>
  </si>
  <si>
    <t>Overexpression of chlorophyllide a oxygenase (CAO) enlarges the antenna size of photosystem II in Arabidopsis thaliana</t>
  </si>
  <si>
    <t>10.1046/j.1365-313X.2001.01034.x</t>
  </si>
  <si>
    <t>2-s2.0-0034943675</t>
  </si>
  <si>
    <t>R01GM059871</t>
  </si>
  <si>
    <t>['two appendages', 'specific interactions', 'specific genes', 'new york', 'morphological diversification', 'medial domains', 'limb morphology', 'leg may', 'leg differences', 'insect morphology', 'homologous appendages', 'hill ).', 'gain insight', 'fundamental difference', 'extensive coexpression', 'drosophila appendages', 'distal domains', 'crucial aspect', 'book principles', 'arthropod antenna', 'appendages represents', 'antennal morphology', 'antenna leads', 'ancestral structure']</t>
  </si>
  <si>
    <t>Antenna | Dachshund | Decapentaplegic | Distal-less | Drosophila | Hedgehog | Homothorax | Leg | Limb | Teashirt | Wingless</t>
  </si>
  <si>
    <t>The morphological diversification of appendages represents a crucial aspect of animal body plan evolution. The arthropod antenna and leg are homologous appendages, thought to have arisen via duplication and divergence of an ancestral structure (Snodgrass, R. (1935) Book Principles of Insect Morphology. New York: McGraw-Hill). To gain insight into how variations between the antenna and the leg may have arisen, we have compared the epistatic relationships among three major proximodistal patterning genes, Distal-less, dachshund and homothorax, in the antenna and leg of the insect arthropod Drosophila melanogaster. We find that Drosophila appendages are subdivided into different proximodistal domains specified by specific genes, and that limb-specific interactions between genes and the functions of these genes are crucial for antenna-leg differences. In particular, in the leg, but not in the antenna, mutually antagonistic interactions exist between the proximal and medial domains, as well as between medial and distal domains. The lack of such antagonism in the antenna leads to extensive coexpression of Distal-less and homothorax, which in turn is essential for differentiation of antennal morphology. Furthermore, we report that a fundamental difference between the two appendages is the presence in the leg and absence in the antenna of a functional medial domain specified by dachshund. Our results lead us to propose that the acquisition of particular proximodistal subdomains and the evolution of their interactions has been essential for the diversification of limb morphology.</t>
  </si>
  <si>
    <t>2365-2372</t>
  </si>
  <si>
    <t>60032179;60032179;60032179</t>
  </si>
  <si>
    <t>35315649400;7402881237;6701497241</t>
  </si>
  <si>
    <t>Dong, P. D.S.;Chu, J.;Panganiban, G.</t>
  </si>
  <si>
    <t>Madison</t>
  </si>
  <si>
    <t>University of Wisconsin-Madison</t>
  </si>
  <si>
    <t>Dong P.</t>
  </si>
  <si>
    <t>Proximodistal domain specification and interactions in developing Drosophila appendages</t>
  </si>
  <si>
    <t>2-s2.0-0034939547</t>
  </si>
  <si>
    <t>['typical characteristics', 'tutela females', 'significantly greater', 'sensilla present', 'sensilla placodea', 'scolytid systems', 'related volatiles', 'related compounds', 'pteromalid parasitoid', 'possible functions', 'placoid sensilla', 'perceptive functions', 'parasitoid antennae', 'parallel parasitoid', 'oxygenated monoterpenes', 'numerous innervations', 'morphological examinations', 'major importance', 'made using', 'l .)', 'ips typographus', 'infrared thermo', 'infrared receptor', 'hot spots', 'host location', 'first time', 'electroantennographic detector', 'ead ).', 'contradictory results', 'chemoreceptive ability']</t>
  </si>
  <si>
    <t>Possible host location mechanisms in the chalcid wasp Rhopalicus tutela (Walker) (Hym., Pteromalidae), a parasitoid of the eight-spined spruce bark beetle, Ips typographus (L.) (Col., Scolytidae), were examined. This was carried out in order to repeat and complement former studies on parallel parasitoid-scolytid systems that had contradictory results. Morphological examinations of the parasitoid antennae were made using both scanning and transmission electron microscopy. Possible functions of the sensilla placodea (multiporous plate sensillum), and other sensilla present on the antennae, have been indicated. For the first time, the placoid sensilla in a pteromalid parasitoid have shown porous walls and numerous innervations, which are typical characteristics for chemoreceptors. Previously the placoid sensilla have been suggested to be an infrared receptor. In order to test the chemoreceptive ability of R. tutela females and males, a synthetic reference blend was analysed by combined gas chromatography and electroantennographic detector (GC-EAD). Their sensitivity to host-related volatiles (such as certain pheromone components and oxygenated monoterpenes) was significantly greater than that for host-tree-related compounds (monoterpene hydrocarbons). Employing an infrared thermo-scanner, the current study failed to detect 'hot spots' associated with susceptible hosts beneath the bark. Results from electrophysiology and electron microscopy revealed clear odour-perceptive functions of the parasitoid antennae. These results strongly support the major importance of volatiles in host location by the bark beetle parasitoid R. tutela.</t>
  </si>
  <si>
    <t>Journal of Applied Entomology</t>
  </si>
  <si>
    <t>60016437;60029170;60016437</t>
  </si>
  <si>
    <t>7005299607;7006062747;6701852868</t>
  </si>
  <si>
    <t>Pettersson, E. M.;Hallberg, E.;Birgersson, G.</t>
  </si>
  <si>
    <t>Lund;Gothenburg</t>
  </si>
  <si>
    <t>Lunds Universitet;G√∂teborgs Universitet</t>
  </si>
  <si>
    <t>60029170;60016437</t>
  </si>
  <si>
    <t>Pettersson E.</t>
  </si>
  <si>
    <t>Evidence for the importance of odour-perception in the parasitoid Rhopalicus tutela (Walker) (Hym., Pteromalidae)</t>
  </si>
  <si>
    <t>10.1046/j.1439-0418.2001.00550.x</t>
  </si>
  <si>
    <t>2-s2.0-0034940217</t>
  </si>
  <si>
    <t>['simulation engine', 'show promise', 'physical systems', 'multghz bandwidth', 'level simulation', 'inform decisions', 'grating spacing', 'grating position', 'grating placement', 'grating length', 'fibers connected', 'evaluate effects', 'distinct wavelengths', 'connector losses', 'component imperfections', 'channel balancers', 'broadside target', 'beamforming arrays', 'beamformer components', 'beam patterns', 'baseband bandwidth', 'alternative architectures', 'allow beamscanning']</t>
  </si>
  <si>
    <t>Beamformer | Fiber Bragg grating | Simulation | True time delay</t>
  </si>
  <si>
    <t>Binary fiber Bragg grating arrays are capable of providing a true-time-delay capability needed for beamforming. The grating arrays consist of a series of fibers connected by circulators and switches. Each fiber contains two or more fiber Bragg gratings designed to reflect at distinct wavelengths. To realize phased arrays having multGHz bandwidth, the spacing between gratings on a fiber may become smaller than the grating length. Alternative architectures that use ternary switching have been proposed that show promise in reducing the constraints on grating spacing, but require careful control of grating position. Component-level simulation was carried out to compare alternative architectures and to evaluate effects of tolerances in grating placement, component imperfections, connector losses, and similar impairments whose overall consequences are difficult to predict. Fiber Bragg gratings, channel balancers, switches, and other beamformer components were modeled. Beamforming arrays were simulated that focus two antennas, and allow beamscanning over a ¬±70¬∞ angle in thirty-two discrete steps. The baseband bandwidth was assumed to exceed 1 GHz. Binary and ternary array structures were compared. The PHOTOSS‚Ñ¢ photonics system simulator provided the simulation engine. Beam patterns were calculated for a beam sweeping past a broadside target, and for a beam sweeping past targets at other angles. Results of simulation have been used to inform decisions as physical systems are realized.¬© 2001 SPIE.</t>
  </si>
  <si>
    <t>494-499</t>
  </si>
  <si>
    <t>60018625;60018625;60018625;112880546;117637047</t>
  </si>
  <si>
    <t>7202626034;57206417473;6506849656;6603692137;6506559022</t>
  </si>
  <si>
    <t>Black, Bruce A.;Siahmakoun, Azad;Slaybaugh, Laura J.;Chestnut, Jeffrey A.;Thalen, Dean</t>
  </si>
  <si>
    <t>Terre Haute;;Indian Head</t>
  </si>
  <si>
    <t>Rose Hulman Institute Technology;Technology Service Corporation;Naval Surface Warfare Center</t>
  </si>
  <si>
    <t>60018625;117637047;112880546</t>
  </si>
  <si>
    <t>Black B.</t>
  </si>
  <si>
    <t>Component-level simulation of optical beamforming systems</t>
  </si>
  <si>
    <t>10.1117/12.436043</t>
  </si>
  <si>
    <t>2-s2.0-0035166595</t>
  </si>
  <si>
    <t>['uas system', 'type flies', 'situ hybridization', 'recently isolated', 'one member', 'olfactory coding', 'misexpress or43a', 'labeled probe', 'identify ligands', 'identify cyclohexanol', 'electroantennogram recordings', 'drosophila melanogaster', 'distal edge', 'benzyl alcohol']</t>
  </si>
  <si>
    <t>Fifty nine candidate olfactory receptor (Or) genes have recently been identified in Drosophila melanogaster, one of which is Or43a. In wild-type flies, Or43a is expressed at the distal edge of the third antennal segment in about 15 Or neurons. To identify ligands for the receptor we used the Gal4/UAS system to misexpress Or43a in the third antennal segment. Or43a mRNA expression in the antenna of transformed and wild-type flies was visualized by in situ hybridization with a digoxigenin-labeled probe. Electroantennogram recordings from transformed and wild-type flies were used to identify cyclohexanol, cyclohexanone, benzaldehyde, and benzyl alcohol as ligands for the Or43a. This in vivo analysis reveals functional properties of one member of the recently isolated Or family in Drosophila and will provide further insight into our understanding of olfactory coding.</t>
  </si>
  <si>
    <t>9381-9385</t>
  </si>
  <si>
    <t>60005322;60005322</t>
  </si>
  <si>
    <t>6603128580;57225710210</t>
  </si>
  <si>
    <t>St√∂rtkuhl, K. F.;Kettler, R.</t>
  </si>
  <si>
    <t>St√∂rtkuhl K.F.</t>
  </si>
  <si>
    <t>Functional analysis of an olfactory receptor in Drosophila melanogaster</t>
  </si>
  <si>
    <t>10.1073/pnas.151105698</t>
  </si>
  <si>
    <t>2-s2.0-0035979235</t>
  </si>
  <si>
    <t>['simultaneous actions', 'rights reserved', 'results obtained', 'paper deals', 'obtained results', 'mechanical engineering', 'linear interaction', 'introduced substitution', 'exact solution', 'elastic stability', 'effective load', 'critical combination', 'based upon', 'approximate solution', '2 %.']</t>
  </si>
  <si>
    <t>Antenna columns | Critical loads | Diferential equations | Stability</t>
  </si>
  <si>
    <t>This paper deals with the determination of the elastic stability of an antenna column subjected to the simultaneous actions of its own weight and an effective load as an axial compressive force. The determination of the critical combination of the weight of the column and the axial compressive force was based upon the solution to the governing differential equation of the column in the form of a Maclaurin's series with a rapid convergence due to the introduced substitution. The obtained results, with a quality of the exact solution to the governing differential equation, were relevant for the evaluation of the accuracy of the approximate solution which assumed the linear interaction of the weight of the column and the axial compressive force. It has been established that the approximate solution differed from the results obtained in this paper by -2 %. ¬© 2001 Journal of Mechanical Engineering. All rights reserved.</t>
  </si>
  <si>
    <t>Strojniski Vestnik/Journal of Mechanical Engineering</t>
  </si>
  <si>
    <t>60087200;60087200;60087200</t>
  </si>
  <si>
    <t>6602687088;57191286471;8729558900</t>
  </si>
  <si>
    <t>Saucha, J.;Rado≈°, J.;Ivakoviƒá, C.</t>
  </si>
  <si>
    <t>Croatia</t>
  </si>
  <si>
    <t>Zagreb</t>
  </si>
  <si>
    <t>University of Zagreb, Faculty of Mechanical Engineering and Naval Architecture</t>
  </si>
  <si>
    <t>Saucha J.</t>
  </si>
  <si>
    <t>The stability of an antenna column under the simultaneous action of its own weight and an effective load</t>
  </si>
  <si>
    <t>2-s2.0-18344414338</t>
  </si>
  <si>
    <t>['starting gel', 'size range', 'size distribution', 'representative data', 'pore volume', 'luminescent acceptors', 'light harvesting', 'large range', 'large improvement', 'fine tuning', 'energy migration', 'donor molecules', 'crystal ends', 'convenient way', 'available lead', '3000 nm', '30 nm']</t>
  </si>
  <si>
    <t>Fine tuning of the size of zeolite L crystals in a large range is possible by changing the composition of the starting gel for otherwise constant reaction conditions. We describe a convenient way to prepare different crystalline materials in the size range of 30 nm up to 3000 nm. Representative data on the morphology, the pore volume, the size distribution and the optical antenna system behavior for light harvesting and transport are reported. We have extended the investigations on energy migration in pyronine-loaded zeolite L crystals as donor molecules, modified with oxonine as luminescent acceptors (traps) at the crystal ends. The preparation procedure reported and the extended zeolite materials now available lead to a large improvement of the energy migration efficiency.</t>
  </si>
  <si>
    <t>277-286</t>
  </si>
  <si>
    <t>1616301X</t>
  </si>
  <si>
    <t>Advanced Funtional Materials</t>
  </si>
  <si>
    <t>60020486;60020486</t>
  </si>
  <si>
    <t>6507082904;7006817889</t>
  </si>
  <si>
    <t>Megelski, Silke;Calzaferri, Gion</t>
  </si>
  <si>
    <t>University of Bern</t>
  </si>
  <si>
    <t>Megelski S.</t>
  </si>
  <si>
    <t>Tuning the size and shape of zeolite L-based inorganic-organic host-guest composites for optical antenna systems</t>
  </si>
  <si>
    <t>10.1002/1616-3028(200108)11:4&lt;277::AID-ADFM277&gt;3.0.CO;2-2</t>
  </si>
  <si>
    <t>2-s2.0-0035414120</t>
  </si>
  <si>
    <t>['wave spectrums', 'total mass', 'three antennas', 'surface flatness', 'stowage volume', 'spacecraft applications', 'significantly reduce', 'recently developed', 'layer thin', 'launch vehicle', 'inflatable structures', 'inflatable arrays', 'feasible across', 'environment usage', 'diameter x', 'diameter ka', 'deemed necessary', 'band synthetic', 'aperture radar', 'aperture efficiency', 'antennas demonstrated', '80 mhz', '8 kg', '74 %,', '2 kg', '15 kg']</t>
  </si>
  <si>
    <t>Antenna arrays | Antenna mechanical factors | Inflatable antennas | Planar arrays | Reflectarray | Satellite antennas | Satellite communication | Synthetic aperture radar</t>
  </si>
  <si>
    <t>Inflatable array antennas are being developed to significantly reduce the mass, the launch vehicle's stowage volume, and the cost of future spacecraft systems. Three inflatable array antennas, recently developed for spacecraft applications, are a 3.3 m √ó 1.0 m L-band synthetic-aperture radar (SAR) array, a 1.0 m-diameter X-band telecom reflectarray, and a 3 m-diameter Ka-band telecom reflectarray. All three antennas are similar in construction, and each consists of an inflatable tubular frame that supports and tensions a multi-layer thin-membrane RF radiating surface with printed microstrip patches. The L-band SAR array achieved a bandwidth of 80 MHz, an aperture efficiency of 74%, and a total mass of 15 kg. The X-band reflectarray achieved an aperture efficiency of 37%, good radiation patterns, and a total mass of 1.2 kg (excluding the inflation system). The 3 m Ka-band reflectarray achieved a surface flatness of 0.1 mm RMS, good radiation patterns, and a total mass of 12.8 kg (excluding the inflation system). These antennas demonstrated that inflatable arrays are feasible across the microwave and millimeter-wave spectrums. Further developments of these antennas are deemed necessary, in particular, in the area of qualifying the inflatable structures for space-environment usage.</t>
  </si>
  <si>
    <t>44-50</t>
  </si>
  <si>
    <t>Huang, J.</t>
  </si>
  <si>
    <t>Huang J.</t>
  </si>
  <si>
    <t>The development of inflatable array antennas</t>
  </si>
  <si>
    <t>10.1109/74.951558</t>
  </si>
  <si>
    <t>2-s2.0-0035414902</t>
  </si>
  <si>
    <t>National Research Council</t>
  </si>
  <si>
    <t>NRC</t>
  </si>
  <si>
    <t>['wroclaw university', 'terminal antennas', 'station antennas', 'smartantenna technology', 'small antennas', 'signal processing', 'several years', 'processing techniques', 'physical limits', 'important tasks', 'either planar', 'comprehensive research', 'become one', 'allowable dimensions', 'accomplished regardless']</t>
  </si>
  <si>
    <t>Antennas | Base station antennas | Conformal antennas | Cylindrical arrays | Handset antennas | Land mobile radio cellular systems | Land mobile radio equipment | Mobile antennas | Multibeam antennas | Multifrequency antennas | Signal processing antennas | Smart antennas</t>
  </si>
  <si>
    <t>Development of essentially new terminal and base-station antennas has become one of the most important tasks in contemporary antenna engineering. Improvements in antenna technology must be accomplished regardless of progress in signal processing. Comprehensive research on such antennas has been carried on at the Wroclaw University of Technology, Poland, for several years now. There are three major fields of interest: small antennas, base-station antennas, and smartantenna technology. The small antennas investigated-either planar or conformal-approach the physical limits of allowable dimensions. They operate with a number of systems that might involve advanced signal-processing techniques. The scope of the research also includes studies on interactions between terminal antennas and humans.</t>
  </si>
  <si>
    <t>160-169</t>
  </si>
  <si>
    <t>Kabacik, P.</t>
  </si>
  <si>
    <t>Poland</t>
  </si>
  <si>
    <t>Wroclaw</t>
  </si>
  <si>
    <t>Wroc≈Çaw University of Science and Technology</t>
  </si>
  <si>
    <t>Kabacik P.</t>
  </si>
  <si>
    <t>Investigations into advanced concepts of terminal and base-station antennas</t>
  </si>
  <si>
    <t>10.1109/74.951571</t>
  </si>
  <si>
    <t>2-s2.0-0035414919</t>
  </si>
  <si>
    <t>['practical applications', 'optimal antennas', 'mobile applications', 'increased accordingly', 'important part', 'give clues', 'friendly mobile', 'everyday life', 'design small', 'communication devices', 'basic rules']</t>
  </si>
  <si>
    <t>Antenna limitations | Antenna measurements | Antenna theory | Antennas | Conformal antennas | Electrically small antennas | Global Positioning System | Land mobile radio | Land mobile radio cellular systems | Land mobile radio equipment | Loaded antennas | Microstrip antennas | Mobile antennas | Multi-frequency antennas | PCS antennas | PIFA | Slot antennas | SMILA antennas</t>
  </si>
  <si>
    <t>PCS (personal communication system) devices have become an important part of everyday life. The pressure to design small, lightweight, and user-friendly mobile-communication devices has increased accordingly, creating the need for optimal antennas for mobile applications. In this paper, we present some basic rules about electrically small antennas, give clues and guidelines about efficient antenna miniaturization, and, finally, show some examples of miniature antennas developed in our laboratory for practical applications.</t>
  </si>
  <si>
    <t>60028186;60028186;60028186;60028186</t>
  </si>
  <si>
    <t>6701417455;7004724089;35838201000;7006665188</t>
  </si>
  <si>
    <t>Skrivervik, A. K.;Z√ºrcher, J. F.;Staub, O.;Mosig, J. R.</t>
  </si>
  <si>
    <t>Skrivervik A.</t>
  </si>
  <si>
    <t>PCS antenna design: The challenge of miniaturization</t>
  </si>
  <si>
    <t>10.1109/74.951556</t>
  </si>
  <si>
    <t>2-s2.0-0035415126</t>
  </si>
  <si>
    <t>['wideband high', 'wideband double', 'three reflection', 'specific antenna', 'sight ),', 'resolution measurements', 'popular single', 'physical environment', 'obtain superresolution', 'obstructed line', 'mobile station', 'matched precisely', 'link ends', 'lending insight', 'input multiple', 'important parameter', 'geometrical considerations', 'g .,', 'directional evaluation', 'delay domain', 'cross array', 'considerable amount', 'complete method', 'closed courtyard', 'channel characterization', 'base station', 'array ),', 'angular information', 'angular domains']</t>
  </si>
  <si>
    <t>Adaptive arrays | Antenna arrays | Channel sounding | Double-directional | Land mobile radio cellular systems | Land mobile radio diversity systems | Land mobile radio propagation factors | MIMO systems | Multipath channels | Propagation</t>
  </si>
  <si>
    <t>We introduce the concept of the double-directional mobile radio channel. It is called this because it includes angular information at both link ends, e.g., at the base station and at the mobile station. We show that this angular information can be obtained with synchronized antenna arrays at both link ends. In wideband high-resolution measurements, we used a switched linear array at the receiver and a virtual-cross array at the transmitter. We evaluated the raw measurement data with a technique that alternately used estimation and beamforming, and that relied on ESPRIT (Estimation of Signal Parameters via Rotational Invariance Techniques) to obtain superresolution in both angular domains and in the delay domain. In sample microcellular scenarios (open and closed courtyard, line-of-sight and obstructed line-of-sight), up to 50 individual propagation paths were determined. The major multipath components could be matched precisely to the physical environment by geometrical considerations. Up to three reflection/scattering points per propagation path were identified and localized, lending insight into the multipath spreading properties in a microcell. The extracted multipath parameters allow unambiguous scatterer identification and channel characterization, independently of a specific antenna, its configuration (single/array), and its pattern. The measurement results demonstrated a considerable amount of power being carried via multiply reflected components, thus suggesting revisiting the popular single-bounce propagation models. It turned out that the wideband double-directional evaluation is a most complete method for separating multipath components. Due to its excellent spatial resolution, the double-directional concept provides accurate estimates of the channel's multipath-richness, which is the important parameter for the capacity of multiple-input multiple-output (MIMO) channels.</t>
  </si>
  <si>
    <t>51-63</t>
  </si>
  <si>
    <t>60018163;60018163-60009854;60018163-60009854</t>
  </si>
  <si>
    <t>56233820100;7006594890;7007067644</t>
  </si>
  <si>
    <t>Steinbauer, Martin;Molisch, Andreas F.;Bonek, Ernst</t>
  </si>
  <si>
    <t>Steinbauer M.</t>
  </si>
  <si>
    <t>The double-directional radio channel</t>
  </si>
  <si>
    <t>10.1109/74.951559</t>
  </si>
  <si>
    <t>2-s2.0-0035415134</t>
  </si>
  <si>
    <t>['year period', 'unadjusted data', 'two sets', 'system design', 'statistics suggests', 'slope statistics', 'secondary statistics', 'receiving antenna', 'rain events', 'propagation data', 'november 1997', 'nominally 20', 'measured data', 'includes average', 'estimate path', 'differ significantly', 'december 1993', 'conditions similar', 'collected data', 'attenuation data', 'acts path', '27 ghz']</t>
  </si>
  <si>
    <t>Antennas | Propagation statistics | Rain attenuation</t>
  </si>
  <si>
    <t>Wet antenna attenuation during rain events is examined through carrying out simulated rain experiments. These were conducted on the receiving antenna of the Vancouver ACTS terminal under conditions similar to those prevalent when the propagation data on the Vancouver-ACTS path were collected. The findings from these experiments are used to estimate path-attenuation data for that path by adjusting the collected data for wet antenna attenuation via two different models. Primary and secondary statistics of the path attenuation data derived from the models at the two ACTS frequencies, nominally 20 and 27 GHz, are computed and compared with those for the unadjusted, measured data. This was done for the four-year period of December 1993 to November 1997 and includes average and worst month cumulative distribution functions and fade-duration and fade-slope statistics. While the two models yield similar statistics, these differ significantly from those derived from the unadjusted data. The comparison of the two sets of statistics suggests that the use of those of the unadjusted data to represent path attenuation would grossly exaggerate the requirements for system design.</t>
  </si>
  <si>
    <t>1183-1191</t>
  </si>
  <si>
    <t>6603686725;7403242486</t>
  </si>
  <si>
    <t>Kharadly, M. M.Z.;Ross, R.</t>
  </si>
  <si>
    <t>Kharadly M.</t>
  </si>
  <si>
    <t>Effect of wet antenna attenuation on propagation data statistics</t>
  </si>
  <si>
    <t>S0018926X01031787</t>
  </si>
  <si>
    <t>10.1109/8.943313</t>
  </si>
  <si>
    <t>2-s2.0-0035415765</t>
  </si>
  <si>
    <t>['turn one', 'turn antenna', 'salient characteristics', 'results indicate', 'obtained theoretically', 'input impedance', 'impedance bandwidth', 'better performance', 'antenna gain', 'also obtained']</t>
  </si>
  <si>
    <t>Antenna gain | Input impedance | Spherical helical antenna</t>
  </si>
  <si>
    <t>The input impedance and the antenna gain of the spherical helical antenna are obtained theoretically and experimentally. Results indicate the better performance of the 3-turn antenna over the 7-turn one in terms of the impedance bandwidth and the stability of the antenna gain. The theoretical current distribution is also obtained and its salient characteristics are discussed.</t>
  </si>
  <si>
    <t>1235-1237</t>
  </si>
  <si>
    <t>7005913291;7406035710;7101878862</t>
  </si>
  <si>
    <t>Hui, H. T.;Chan, K. Y.;Yung, E. K.N.</t>
  </si>
  <si>
    <t>Hui H.</t>
  </si>
  <si>
    <t>The input impedance and the antenna gain of the spherical helical antenna</t>
  </si>
  <si>
    <t>S0018926X01035931</t>
  </si>
  <si>
    <t>10.1109/8.943319</t>
  </si>
  <si>
    <t>2-s2.0-0035415887</t>
  </si>
  <si>
    <t>['vector potentials', 'spherical coordinates', 'single winding', 'results give', 'numerically integrated', 'loop field', 'given current', 'far fields', 'dipole field']</t>
  </si>
  <si>
    <t>Dipole | Electrically small antenna | Loop | Toroidal helix</t>
  </si>
  <si>
    <t>Exact vector potential integrals are written in spherical coordinates for the CWTHA. From these the far fields are expressed, both for the CWTHA (dipole field) and for a single winding (loop field). The vector potentials are numerically integrated; the results give the dipole field for a given current and ratio of dipole field to loop field.</t>
  </si>
  <si>
    <t>1138-1141</t>
  </si>
  <si>
    <t>60000251-100333806;60002642</t>
  </si>
  <si>
    <t>24512080300;6507262326</t>
  </si>
  <si>
    <t>Hansen, R. C.;Ridgley, Richard D.</t>
  </si>
  <si>
    <t>Arlington;New York;Tarzana</t>
  </si>
  <si>
    <t>Defense Advanced Research Projects Agency;IEEE;R. C. Hansen, Inc.</t>
  </si>
  <si>
    <t>60002642;60000251;100333806</t>
  </si>
  <si>
    <t>Fields of the contrawound toroidal helix antenna</t>
  </si>
  <si>
    <t>S0018926X01056514</t>
  </si>
  <si>
    <t>10.1109/8.943308</t>
  </si>
  <si>
    <t>2-s2.0-0035415902</t>
  </si>
  <si>
    <t>['wide range', 'varactor diode', 'reduced weight', 'method results', 'lower uhf', 'integrated system', 'improved technique', 'ferrite substrate', 'beam steering', '800 mhz']</t>
  </si>
  <si>
    <t>Dynamic scanning | Ferrite based patch array | Magneto optical</t>
  </si>
  <si>
    <t>An improved technique is presented to scan a beam of a phased antenna array on a ferrite substrate through use of time delays instead of phase shifts provided by nonlinear transmission lines coupled to elements of the array. A coplanar transmission line loaded with a varactor diode when subjected to varied optical illumination offers bias dependent time delays to the elements of the arrays over a wide range of tunable operating frequencies at lower UHF without scan blindness effect. This method results in a broadband ferrite based phased antenna array with reduced weight, loss and complexity of the integrated system. This technique has proved to have a special application potential in case of beam steering by ferrite based microstrip antenna arrays at lower UHF (800 MHz-2 GHz).</t>
  </si>
  <si>
    <t>1239-1241</t>
  </si>
  <si>
    <t>60071276;60015465</t>
  </si>
  <si>
    <t>8356522700;57213109771</t>
  </si>
  <si>
    <t>Das, N.;Ray, A. K.</t>
  </si>
  <si>
    <t>Sambalpur;Dehradun</t>
  </si>
  <si>
    <t>VSS University of Technology;Defence Research and Development Organisation India</t>
  </si>
  <si>
    <t>Das N.</t>
  </si>
  <si>
    <t>Magneto optical technique for beam steering by ferrite based patch arrays</t>
  </si>
  <si>
    <t>S0018926X01056381</t>
  </si>
  <si>
    <t>10.1109/8.943321</t>
  </si>
  <si>
    <t>2-s2.0-0035415903</t>
  </si>
  <si>
    <t>DAAH10-01-C-0016</t>
  </si>
  <si>
    <t>['reduce coupling', 'radiation patterns', 'different methods', 'difference time', 'coupling reduction', 'commonly used', 'cbs antennas', 'borne applications', 'backed slot', 'also discussed']</t>
  </si>
  <si>
    <t>Cavity-backed slot antennas | Coupling modeling | Coupling reduction | FDTD</t>
  </si>
  <si>
    <t>Cavity-backed slot (CBS) antennas are commonly used in earth-based and space-borne applications. In this manuscript, the finite-difference time-domain (FDTD) method is used to analyze different antenna characteristics of such elements including input impedance, coupling, and radiation patterns. Emphasis is given on coupling calculations especially on different methods to reduce coupling. Specifically, coupling reduction is attempted using lossy material superstrates or ground plane discontinuities, such as slits. Numerical issues concerning the analysis of CBS antennas in the context of FDTD are also discussed.</t>
  </si>
  <si>
    <t>261-272</t>
  </si>
  <si>
    <t>60000251-60003892;60003892;60000251-60003892</t>
  </si>
  <si>
    <t>6603752478;57208464375;35583458100</t>
  </si>
  <si>
    <t>Georgakopoulos, Stavros V.;Birtcher, Craig R.;Balanis, Constantine A.</t>
  </si>
  <si>
    <t>Georgakopoulos S.</t>
  </si>
  <si>
    <t>Coupling modeling and reduction techniques of cavity-backed slot antennas: FDTD versus measurements</t>
  </si>
  <si>
    <t>S0018937501071423</t>
  </si>
  <si>
    <t>10.1109/15.942599</t>
  </si>
  <si>
    <t>2-s2.0-0035415934</t>
  </si>
  <si>
    <t>['transmission line', 'small loops', 'profile antenna', 'numerical model', 'field radiation', 'design parameters', 'characteristics derivable']</t>
  </si>
  <si>
    <t>Helical antennas</t>
  </si>
  <si>
    <t>The first electromagnetic analysis of the contra-wound toroidal helix antenna (CTHA) is presented. This very-low-profile antenna is seen to have characteristics derivable from a transmission line with a standing current wave and an array of small loops. Formulas for the far-field radiation and efficiency are given. These are used, in conjunction with a numerical model, to develop some trends relating performance and design parameters.</t>
  </si>
  <si>
    <t>1130-1137</t>
  </si>
  <si>
    <t>60000251-100699240</t>
  </si>
  <si>
    <t>Miron, Douglas B.</t>
  </si>
  <si>
    <t>New York;</t>
  </si>
  <si>
    <t>IEEE;Siouxland Science Computing Company</t>
  </si>
  <si>
    <t>60000251;100699240</t>
  </si>
  <si>
    <t>Miron D.B.</t>
  </si>
  <si>
    <t>Study of the CTHA based on analytical models</t>
  </si>
  <si>
    <t>S0018926X01056496</t>
  </si>
  <si>
    <t>10.1109/8.943307</t>
  </si>
  <si>
    <t>2-s2.0-0035415936</t>
  </si>
  <si>
    <t>['unshaped system', 'theory based', 'subreflector well', 'subreflector shape', 'reflector system', 'reflector sizes', 'reflector antenna', 'radio astronomy', 'peak efficiency', 'paraboloid reflectors', 'operating band', 'novel feed', 'near field', 'near distance', 'hyperboloid subreflector', 'frequency limit', 'focal point', 'entire system', 'different sizes', 'cross polarization', 'aperture distribution', 'also studied', '22 ghz', '20 db']</t>
  </si>
  <si>
    <t>Aperture antenna | Nearfield | Radio telescope | Relector antenna</t>
  </si>
  <si>
    <t>A novel Feed-Reflector system for large Cassegrain antennas of radio astronomy and deep-space communication applications is investigated. This Feed-Reflector is used to illuminate a hyperboloid subreflector with a 5-10 m diameter located 500 m above the ground. Because the subreflector is located in the near field of the Feed-Reflector antenna, a theory based on the near field focusing properties of paraboloid reflectors is established. The focusing at near distance is formed by moving the feed horn away from the focal point of the Feed-Reflector. In this theory, the properties of axial defocused paraboloid reflectors at near distance are investigated in more detail. By using equivalence path law, the subreflector shape is obtained. It is found that the hyperbola can approximate the subreflector well. A detailed ray tracing is performed on the entire system which reveals that the feed system uses some part of the subreflector three times. The gain, side lobe level, cross polarization, and aperture distribution are calculated for different feed horn locations and taper at the edge of the Feed-Reflector and also for different sizes and eccentricities of the subreflector. Peak efficiency in excess of 74.8% and side lobe level around -20 dB are obtained for unshaped system. The performance of the system over the operating band (1-22 GHz) is also studied and shown that the lower-frequency limit is dependent on subreflector and Feed-Reflector sizes.</t>
  </si>
  <si>
    <t>1142-1154</t>
  </si>
  <si>
    <t>60089889-60009697;60089889-60009697;60009839;60009839</t>
  </si>
  <si>
    <t>6701535033;8092251400;6603062067;7004094699</t>
  </si>
  <si>
    <t>Mousavi, Pedram;Shafai, Lotfollah;Veidt, Bruce;Dewdney, Peter</t>
  </si>
  <si>
    <t>Dundas;Ottawa ON,;Winnipeg</t>
  </si>
  <si>
    <t>IEEE Canada;National Research Council Canada;University of Manitoba</t>
  </si>
  <si>
    <t>60089889;60009839;60009697</t>
  </si>
  <si>
    <t>Mousavi P.</t>
  </si>
  <si>
    <t>Feed-reflector design for large adaptive reflector antenna (LAR)</t>
  </si>
  <si>
    <t>S0018926X01052528</t>
  </si>
  <si>
    <t>10.1109/8.943309</t>
  </si>
  <si>
    <t>2-s2.0-0035415983</t>
  </si>
  <si>
    <t>Academy of Finland</t>
  </si>
  <si>
    <t>['radio channel', 'pathloss exponents', 'office building', 'non line', 'nlos exponents', 'nlos ).', 'large difference', 'frequency domains', 'different types', 'different setups', 'delay dispersion', 'defined based', 'correlation functions', 'building structures', '9 varied', '3 ghz', '180 ns']</t>
  </si>
  <si>
    <t>Indoor radio communication | Microwave propagation | Mobile antennas | Mobile communication | Wideband radio channel measurements | Wideband radio channel modelling | Wireless LAN</t>
  </si>
  <si>
    <t>Characteristics of wideband indoor radio channel at 5.3 GHz were defined based on an extensive measurement campaign using a wideband channel sounder with 19 ns delay resolution. Pathloss exponents were 1.3-1.5 in LOS and 2.9-4.8 in non line of sight (NLOS). Large difference in NLOS exponents was due to different dominating propagation mechanisms in different types of building structures. The delay dispersion was characterized by cumulative distribution functions (cdf) of the rms delay spreads, the values for cdf = 0.9 varied from 20 to 180 ns in different setups in office building and large hall environments. The correlation functions of the radio channel in spatial and frequency domains were extracted. Small scale models for five typical indoor scenarios were developed using tapped delay lines.</t>
  </si>
  <si>
    <t>1192-1203</t>
  </si>
  <si>
    <t>60103653;60103653;60000251-60103653</t>
  </si>
  <si>
    <t>7003410658;7407575922;7005441452</t>
  </si>
  <si>
    <t>Kivinen, Jarmo;Zhao, Xiongwen;Vainikainen, Pertti</t>
  </si>
  <si>
    <t>Espoo;New York</t>
  </si>
  <si>
    <t>Aalto University;IEEE</t>
  </si>
  <si>
    <t>60103653;60000251</t>
  </si>
  <si>
    <t>Kivinen J.</t>
  </si>
  <si>
    <t>Empirical characterization of wideband indoor radio channel at 5.3 GHz</t>
  </si>
  <si>
    <t>S0018926X01035918</t>
  </si>
  <si>
    <t>10.1109/8.943314</t>
  </si>
  <si>
    <t>2-s2.0-0035415984</t>
  </si>
  <si>
    <t>['specific formulas', 'resonant frequency', 'reasonable accuracy', 'presented showing', 'patch resonance', 'patch antenna', 'particular application', 'gasket material', 'frequency shifts', 'experimental measurements', 'enclosure dimensions', 'emi mechanism', 'electric permittivity', 'dielectrically loading']</t>
  </si>
  <si>
    <t>Electromagnetic interference | Microstrip antenna | Resonance</t>
  </si>
  <si>
    <t>Specific design criteria are proposed to mitigate radiated emissions from a resonant enclosure excited by a heat sink acting as a microstrip patch antenna source. In this particular application, the EMI mechanism is assumed to be due to coupling from the dominant TM 010z mode to one or more resonant modes associated with the enclosure dimensions. The enclosure is then presumed to radiate, at the enclosure resonance frequencies, through one or more apertures, slots, or seams. The EMI-reduction strategy consists of shifting the resonant frequency of the dominant-patch antenna mode by dielectrically loading the patch antenna with thermal-gasket material baying a specified electric permittivity. Specific formulas and graphs will be presented showing how to select the electric permittivity of the thermal-gasket material in order to obtain a given frequency shift. A comparison of experimental measurements with the predictions of the design criteria indicates that frequency shifts of up to approximately three times the bandwidth of the patch resonance can be predicted with reasonable accuracy. In at least two different commercial products that we are aware of, changing the electrically insulating heat sink gasket materials has solved specific radiated EMI problems.</t>
  </si>
  <si>
    <t>254-260</t>
  </si>
  <si>
    <t>60000251-60024728-100978841;60000251-60077470;60000251-60077470;60000251-60024728;60000251-60024728;60000251-60024728;60000251-60024728</t>
  </si>
  <si>
    <t>34770942200;7403925835;55662850200;7004613036;7005230345;7007149908;7004867433</t>
  </si>
  <si>
    <t>Huang, Yu;Butler, Joseph E.;De Sorgo, Miksa;DuBroff, Richard E.;Hubing, Todd H.;Drewniak, James L.;Van Doren, Thomas P.</t>
  </si>
  <si>
    <t>Cleveland;Rolla;New York;Seattle</t>
  </si>
  <si>
    <t>Parker Hannifin Corp.;Missouri University of Science and Technology;IEEE;Tegic Communications</t>
  </si>
  <si>
    <t>60077470;60024728;60000251;100978841</t>
  </si>
  <si>
    <t>EMI considerations in selecting heat-sink-thermal-gasket materials</t>
  </si>
  <si>
    <t>S0018937501071447</t>
  </si>
  <si>
    <t>10.1109/15.942598</t>
  </si>
  <si>
    <t>2-s2.0-0035416227</t>
  </si>
  <si>
    <t>['traced directly', 'statistical properties', 'scattering matrices', 'plane waves', 'physical optics', 'overall procedure', 'output surface', 'natural modes', 'modes individually', 'modal optics', 'geometrical theory', 'gaussian optics', 'fully coherent', 'etc .-', 'considerable value', 'completely uncorrelated']</t>
  </si>
  <si>
    <t>Partial coherence | Submillimeter-wave antennas</t>
  </si>
  <si>
    <t>We describe a procedure for simulating the behavior of partially coherent submillimeter-wave antenna systems. The procedure is based on the principle that the second-order statistical properties of any partially coherent vector field can be decomposed into a sum of fully coherent, but completely uncorrelated, natural modes. Any of the standard electromagnetic analysis techniques-physical optics, geometrical theory of diffraction, etc.-can be used to propagate and scatter the modes individually, and the statistical properties of the total transformed field reconstructed at the output surface by means of superposition. In the case of modal optics-plane waves, Gaussian optics, waveguide mode matching, etc.-the properties of the field can be traced directly by means of scattering matrices. The overall procedure is of considerable value for calculating the behavior of astronomical instruments comprising planar and waveguide multimode bolometers, submillimeter-wave optical components, and large reflecting antennas.</t>
  </si>
  <si>
    <t>1226-1234</t>
  </si>
  <si>
    <t>60000251-60121115;60000251-60121115;60000251-60121115</t>
  </si>
  <si>
    <t>7005097473;6603800286;55587645400</t>
  </si>
  <si>
    <t>Withington, Stafford;Yassin, Ghassan;Murphy, J. Anthony</t>
  </si>
  <si>
    <t>Cambridge;New York</t>
  </si>
  <si>
    <t>Department of Physics;IEEE</t>
  </si>
  <si>
    <t>60121115;60000251</t>
  </si>
  <si>
    <t>Dyadic analysis of partially coherent submillimeter-wave antenna systems</t>
  </si>
  <si>
    <t>S0018926X01063724</t>
  </si>
  <si>
    <t>10.1109/8.943318</t>
  </si>
  <si>
    <t>2-s2.0-0035416236</t>
  </si>
  <si>
    <t>['similar structures', 'reflector iras', 'popular lens', 'optimum aperture', 'nonuniform power', 'loss mechanisms', 'iras ).', 'increasing efficiencies', 'ideal ira', 'horn arrays', 'falls outside', 'equal area', 'boresight compared', 'aperture efficiencies']</t>
  </si>
  <si>
    <t>Antenna transient analysis | Aperture efficiency</t>
  </si>
  <si>
    <t>A concept of prompt aperture efficiency is introduced for the purpose of comparing and optimizing the performance of impulse radiating antennas (IRAs). The aperture efficiencies of popular lens and reflector IRAs are computed as the ratios of peak radiated power densities on boresight compared with that produced by an ideal IRA with an aperture of equal area and equal total input power. Loss of aperture efficiency occurs through two distinct mechanisms: from power that falls outside the aperture and is lost and from nonuniform power and polarization distributions within the aperture. Both loss mechanisms are addressed, and means for increasing efficiencies are identified. The optimum aperture for a given feed structure is derived. Prompt aperture efficiencies approaching 100% are feasible in TEM-horn arrays and similar structures.</t>
  </si>
  <si>
    <t>1155-1165</t>
  </si>
  <si>
    <t>60006164;60000251-60033021;60000251-60022225</t>
  </si>
  <si>
    <t>6601996329;55663513600;7005429037</t>
  </si>
  <si>
    <t>Buchenauer, C. Jerald;Tyo, J. Scott;Schoenberg, Jon S.H.</t>
  </si>
  <si>
    <t>Albuquerque;Colorado Springs;Los Alamos;New York</t>
  </si>
  <si>
    <t>The University of New Mexico;United States Air Force Academy;Los Alamos National Laboratory;IEEE</t>
  </si>
  <si>
    <t>60033021;60022225;60006164;60000251</t>
  </si>
  <si>
    <t>Buchenauer C.</t>
  </si>
  <si>
    <t>Prompt aperture efficiencies of impulse radiating antennas with arrays as an application</t>
  </si>
  <si>
    <t>S0018926X01056484</t>
  </si>
  <si>
    <t>10.1109/8.943310</t>
  </si>
  <si>
    <t>2-s2.0-0035416272</t>
  </si>
  <si>
    <t>['well approximates', 'srsjd ),', 'space instead', 'several orders', 'possibly tail', 'paper proposes', 'interfering signals', 'computational complexity', 'complexity reduction', 'cochannel signals', 'assumed known', 'antenna array']</t>
  </si>
  <si>
    <t>Antenna arrays | Maximum likelihood detection | Multiuser channels | Multiuser detection | Viterbi detection</t>
  </si>
  <si>
    <t>An antenna array is overloaded when the number of cochannel signals in its operating environment exceeds the number of elements. This paper proposes an iterative joint detection technique, spatially reduced search joint detection (SRSJD), that well approximates the joint maximum likelihood (JML) receiver, while reducing its computational complexity by several orders of magnitude. This complexity reduction is achieved by first exploiting spatial separation between interfering signals with a linear preprocessing stage, and second, performing iterative joint detection with a reduced-state trellis formed over space instead of time. These novel joint detection trellises are possibly tail-biting and vary in structure from stage to stage. Through simulation, SRSJD is shown to demodulate over 2M synchronous quaternary phase-shift keying signals of zero excess bandwidth with an M element circular array. The channels of all users are assumed known.</t>
  </si>
  <si>
    <t>1584-1593</t>
  </si>
  <si>
    <t>60000251-60027090;60000251-60027090;60000251-60027090;60000251-60027090;60000251-60027090</t>
  </si>
  <si>
    <t>7202879352;35982441500;7004758203;7202685692;7403641959</t>
  </si>
  <si>
    <t>Hicks, James;Bayram, Saffet;Tranter, William H.;Boyle, Robert J.;Reed, Jeffrey H.</t>
  </si>
  <si>
    <t>Blacksburg;New York</t>
  </si>
  <si>
    <t>Virginia Polytechnic Institute and State University;IEEE</t>
  </si>
  <si>
    <t>60027090;60000251</t>
  </si>
  <si>
    <t>Hicks J.</t>
  </si>
  <si>
    <t>Overloaded array processing with spatially reduced search joint detection</t>
  </si>
  <si>
    <t>S0733871601072250</t>
  </si>
  <si>
    <t>10.1109/49.942519</t>
  </si>
  <si>
    <t>2-s2.0-0035416318</t>
  </si>
  <si>
    <t>['using full', 'three states', 'space antenna', 'six 2', 'results showed', 'projection onto', 'pca ).', 'particular approach', 'paper deals', 'optimised architecture', 'measurement noise', 'measurement errors', 'major obstacle', 'major consideration', 'input data', 'industrial structures', 'improved significantly', 'good accuracy', 'frfs associated', 'detection properties', 'damage detection', 'compressed frfs', 'common occurrence', 'ann ).', 'also found', 'adequate number', 'actual state']</t>
  </si>
  <si>
    <t>Damage detection | Data reduction | FRF technique | Neural network</t>
  </si>
  <si>
    <t>This paper deals with structural damage detection using measured frequency response functions (FRF) as input data to artificial neural networks (ANN). A major obstacle, the impracticality of using full-size FRF data with ANNs, was circumvented by applying a data-reduction technique based on principal component analysis (PCA). The compressed FRFs, represented by their projection onto the most significant principal components, were used as the ANN input variables instead of the raw FRF data. The output is a prediction of the actual state of the specimen, i.e. healthy or damaged. A further advantage of this particular approach is its ability to deal with relatively high measurement noise, which is a common occurrence when dealing with industrial structures. The methodology was applied to detect three different states of a space antenna: reference, slight mass damage and slight stiffness damage. About 600 FRF measurements, each with 1024 spectral points, were included in the analysis. Six 2-hidden layer networks, each with an individually-optimised architecture for a specific FRF reduction level, were used for damage detection. The results showed that it was possible to distinguish between the three states of the antenna with good accuracy, subject to using an adequate number of principal components together with a suitable neural network configuration. It was also found that the quality of the raw FRF data remained a major consideration, though the method was able to filter out some of the measurement noise. The convergence and detection properties of the networks were improved significantly by removing those FRFs associated with measurement errors.</t>
  </si>
  <si>
    <t>Archive of Applied Mechanics</t>
  </si>
  <si>
    <t>60015150;60015150</t>
  </si>
  <si>
    <t>7004216714;7005572523</t>
  </si>
  <si>
    <t>Zang, C.;Imregun, M.</t>
  </si>
  <si>
    <t>Zang C.</t>
  </si>
  <si>
    <t>Combined neural network and reduced FRF techniques for slight damage detection using measured response data</t>
  </si>
  <si>
    <t>10.1007/s004190100154</t>
  </si>
  <si>
    <t>2-s2.0-0035416998</t>
  </si>
  <si>
    <t>CCR-9875314</t>
  </si>
  <si>
    <t>['unknown frequency', 'successively improving', 'significantly reduced', 'proposed receiver', 'posteriori probabilities', 'output algorithm', 'orthogonality property', 'numerically computing', 'multirate mc', 'multicarrier modulation', 'multicarrier code', 'input soft', 'gibbs sampler', 'division multiple', 'different users', 'data symbols', 'computer simulations', 'computational complexity', 'cdma systems', 'bayesian framework', 'antenna ambiguity', 'also discussed']</t>
  </si>
  <si>
    <t>Frequency-selective fading | Gibbs sampler | Monte Carlo signal processing | Multicarrier CDMA (MC-CDMA) | Multiuser detection | Space-time code (STC) | Turbo processing</t>
  </si>
  <si>
    <t>We consider the design of optimal multiuser receivers for space-time block coded (STBC) multicarrier code-division multiple-access (MC-CDMA) systems in unknown frequency-selective fading channels. Under a Bayesian framework, the proposed multiuser receiver is based on the Gibbs sampler, a Markov chain Monte Carlo (MCMC) method for numerically computing the marginal a posteriori probabilities of different users' data symbols. By exploiting the orthogonality property of the STBC and the multicarrier modulation, the computational complexity of the receiver is significantly reduced. Furthermore, being a soft-input soft-output algorithm, the Bayesian Monte Carlo multiuser detector is capable of exchanging the so-called extrinsic information with the maximum a posteriori (MAP) outer channel code decoders of all users, and successively improving the overall receiver performance. Several practical issues, such as testing the convergence of the Gibbs sampler in fading channel applications, resolving the phase amb iguity as well as the antenna ambiguity, and adapting the proposed receiver to multirate MC-CDMA systems, are also discussed. Finally, the performance of the Bayesian Monte Carlo multiuser receiver is demonstrated through computer simulations.</t>
  </si>
  <si>
    <t>1625-1637</t>
  </si>
  <si>
    <t>7405434491;7401752239;55000636900</t>
  </si>
  <si>
    <t>Yang, Z.;Lu, B.;Wang, X.</t>
  </si>
  <si>
    <t>Yang Z.</t>
  </si>
  <si>
    <t>Bayesian Monte Carlo multiuser receiver for space - Time coded multicarrier CDMA systems</t>
  </si>
  <si>
    <t>S0733871601072298</t>
  </si>
  <si>
    <t>10.1109/49.942523</t>
  </si>
  <si>
    <t>2-s2.0-0035417172</t>
  </si>
  <si>
    <t>['vofdm systems', 'two sets', 'systems may', 'spectral nulls', 'simulation results', 'precoding scheme', 'orthogonal frequency', 'ofdm systems', 'may improve', 'many taps', 'isi channels', 'isi channel', 'intersymbol interference', 'insert one', 'general form', 'first propose', 'division multiplexing', 'cyclic prefix', 'coherent modulations', 'blocked together']</t>
  </si>
  <si>
    <t>Differential en/decoding | ISI mitigation | Precoded OFDM | Unitary matrix modulation | Vector OFDM</t>
  </si>
  <si>
    <t>The performance of orthogonal frequency-division multiplexing (OFDM) systems may be degraded when intersymbol interference (ISI) channels have spectral nulls. Also, when ISI channels have many taps, the data rate overhead due to the insertion of the cyclic prefix is high. In this paper, we first propose a precoded OFDM system that may improve the performance of the OFDM systems for spectral null channels. We also propose size K √ó 1 vector OFDM (VOFDM) systems that reduce the cyclic prefix length by K times compared to the conventional OFDM systems. The precoding scheme is simply to insert one or more zeros between each two sets of K consecutive information symbols, although it can be generalized to a general form. This precoding scheme may be able to remove the spectral nulls of an ISI channel without knowing the ISI channel. When no zero is inserted between each two sets of K consecutive information symbols and only each K consecutive symbols are blocked together, we obtain VOFDM systems. Both theoretical performance analysis and simulation results are presented. Finally, in this paper, we compare the combination of the VOFDM systems and the unitary matrix modulation with the conventional OFDM systems and the phase-shift keying modulation, where both differential (noncoherent) and coherent modulations and demodulations are considered.</t>
  </si>
  <si>
    <t>1363-1374</t>
  </si>
  <si>
    <t>60000251-60023004</t>
  </si>
  <si>
    <t>Xia, Xiang Gen</t>
  </si>
  <si>
    <t>Newark;New York</t>
  </si>
  <si>
    <t>University of Delaware;IEEE</t>
  </si>
  <si>
    <t>60023004;60000251</t>
  </si>
  <si>
    <t>Precoded and vector OFDM robust to channel spectral nulls and with reduced cyclic prefix length in single transmit antenna systems</t>
  </si>
  <si>
    <t>S0090677801069343</t>
  </si>
  <si>
    <t>10.1109/26.939855</t>
  </si>
  <si>
    <t>2-s2.0-0035417433</t>
  </si>
  <si>
    <t>['typical conditions', 'pressure due', 'possible result', 'plasma region', 'microelectronics fabrication', 'metal species', 'metal fluxes', 'impvd reactor', 'higher mobility', 'electron temperature', 'dimensional model', 'diffusional transport', 'diffusion barriers', 'deep contacts', 'charge exchange', 'asymmetric excitation', 'asymmetric distribution', 'aspect ratio', 'also investigated']</t>
  </si>
  <si>
    <t>The ionized metal physical vapour deposition (IMPVD) process is being developed to produce metal seed layers and diffusion barriers in deep contacts and vias for microelectronics fabrication. An IMPVD reactor is typically an antenna excited system where transmission line effects may produce asymmetric ion fluxes to the target and hence an asymmetric distribution of sputtered metal species in the reactor. A possible result is a non-uniform metal deposition on the wafer. In this paper, a three-dimensional model for an IMPVD reactor is employed to examine the consequences of asymmetric excitation and irregular sputter tracks on species' densities and fluxes. It was found that for typical conditions for Al IMPVD severe asymmetries in electron temperature and electron density profiles produced by a poorly optimized antenna are not reflected in the metal fluxes to the substrate. The metal species have improved symmetry due to charge exchange of the buffer gas ions to the metal and the higher mobility of the me tal ions relative to the buffer gas ions. The symmetry and uniformity of the metal species above the wafer significantly improve when increasing the aspect ratio of the plasma region or increasing the pressure due to there being more diffusional transport. However, this improvement is accompanied by a decrease in the magnitude of metal fluxes to the wafer. Irregular sputter tracks combined with rotation of the target were also investigated.</t>
  </si>
  <si>
    <t>502-512</t>
  </si>
  <si>
    <t>60000745-111296632;60000745</t>
  </si>
  <si>
    <t>36062880800;7101995586</t>
  </si>
  <si>
    <t>Lu, Junqing;Kushner, Mark J.</t>
  </si>
  <si>
    <t>Urbana;San Jose</t>
  </si>
  <si>
    <t>University of Illinois Urbana-Champaign;Novellus Systems</t>
  </si>
  <si>
    <t>60000745;111296632</t>
  </si>
  <si>
    <t>Sources of azimuthal asymmetries in ionized metal physical vapour deposition processes</t>
  </si>
  <si>
    <t>S0963025201225535</t>
  </si>
  <si>
    <t>10.1088/0963-0252/10/3/315</t>
  </si>
  <si>
    <t>2-s2.0-0035417756</t>
  </si>
  <si>
    <t>['weapon systems', 'undesired effects', 'surrounding environment', 'structures makes', 'structural dynamics', 'smart structures', 'smart materials', "smart ',", 'sensing changes', 'research performed', 'recent years', 'paper begins', 'major emphasis', 'land vehicles', 'individual investigators', 'included multi', 'health monitoring', 'given next', 'external stimuli', 'experimental analysis', 'effective manner', 'dynamics program', 'dynamic response', 'desired effects', 'brief discussion', 'basic research', 'adaptive structures', "adaptive ',", 'actively responding', 'active materials', 'active control', "active ',"]</t>
  </si>
  <si>
    <t>The Army Research Office (ARO) has been supporting projects focusing on basic research in the area of smart materials and adaptive structures over recent years. A major emphasis of the ARO's Structures and Dynamics Program has been on the theoretical, computational, and experimental analysis of smart structures and structural dynamics, damping, active control, and health monitoring as applied to rotorcraft, electromagnetic antenna structures, missiles, land vehicles, and weapon systems. The variety of research projects supported by the program have been primarily directed towards improving the ability to predict, control, and optimize the dynamic response of complex, multi-body deformable structures. The projects in the field of smart materials and adaptive structures have included multi-disciplinary research conducted by teams of several faculty members as well as research performed by individual investigators. This paper begins with a brief discussion of smart or active materials, i.e. materials having capabilities of sensing changes from the surrounding environment and actively responding to those inputs in an effective manner. Integrating these materials in structures makes them 'smart', i.e. it provides them with the capability to respond to the external stimuli to compensate for undesired effects and/or to enhance the desired effects. The terms 'active', 'smart', 'adaptive', and 'intelligent' are frequently used interchangeably in this context. This discussion is followed by illustrations from several current ARO-sponsored research projects related to smart materials and adaptive structures. A summary of significant results based upon these investigations is given next. Finally, directions of potential future research in the smart materials and adaptive structures area are discussed.</t>
  </si>
  <si>
    <t>610-623</t>
  </si>
  <si>
    <t>Smart Materials and Structures</t>
  </si>
  <si>
    <t>60002059-60008724-101347011;101633415-60004923;101347011</t>
  </si>
  <si>
    <t>7102459372;7004703530;57207070994</t>
  </si>
  <si>
    <t>Garg, Devendra P.;Zikry, Mohammed A.;Anderson, Gary L.</t>
  </si>
  <si>
    <t>United States;United States;United States;;</t>
  </si>
  <si>
    <t>Durham;Raleigh;Research Triangle Park;;</t>
  </si>
  <si>
    <t>Duke University;NC State University;U.S. Army Research Office;Solid Mechanics Program;Structures and Dynamics Program</t>
  </si>
  <si>
    <t>60008724;60004923;60002059;101633415;101347011</t>
  </si>
  <si>
    <t>Garg D.</t>
  </si>
  <si>
    <t>Current and potential future research activities in adaptive structures: An ARO perspective</t>
  </si>
  <si>
    <t>S0964172601218576</t>
  </si>
  <si>
    <t>10.1088/0964-1726/10/4/304</t>
  </si>
  <si>
    <t>2-s2.0-0035417935</t>
  </si>
  <si>
    <t>['transition arises', 'radio communication', 'produced using', 'plasmas generated', 'operation window', 'lower frequency', 'highest density', 'helicon plasmas', 'helicon plasma', 'helicon mode', 'cylindrical plasma', 'commonly used', 'central part', 'bright column', 'also observed', '98 mhz', '56 mhz']</t>
  </si>
  <si>
    <t>Helicon plasmas were produced using a very high radio frequency (RF) (98 MHz) source which is commonly used for radio communication. As in the plasmas generated at lower frequency such as 13.56 MHz, E-H-W mode transitions were observed. In the helicon mode, a bright column was produced at the central part of the cylindrical plasma. Experiments using Nagoya type III antennae with different leg lengths showed that the antenna having the shortest legs produced the highest density, which suggests the importance of the antenna ring section. A study of the operation window of the helicon plasma at 98 MHz demonstrated that the H-W mode transition occurs at lower magnetic field at higher gas pressure with the RF power fixed. It was also observed that the transition arises at lower magnetic field at higher RF power with the gas pressure fixed, indicating the correlation between the three important operating parameters on helicon plasma generation and sustainment.</t>
  </si>
  <si>
    <t>417-422</t>
  </si>
  <si>
    <t>60032144;60032144-60003780;60032144;60013682;60032144</t>
  </si>
  <si>
    <t>6701905620;7004882604;7201438084;13308982900;35278139100</t>
  </si>
  <si>
    <t>Eom, G. S.;Bae, I. D.;Cho, G.;Hwang, Y. S.;Choe, W.</t>
  </si>
  <si>
    <t>Daejeon;Seoul;Suwon</t>
  </si>
  <si>
    <t>Korea Advanced Institute of Science and Technology;Seoul National University;Samsung Electronics Co. Ltd.</t>
  </si>
  <si>
    <t>60032144;60013682;60003780</t>
  </si>
  <si>
    <t>Eom G.S.</t>
  </si>
  <si>
    <t>Helicon plasma generation at very high radio frequency</t>
  </si>
  <si>
    <t>S0963025201219574</t>
  </si>
  <si>
    <t>10.1088/0963-0252/10/3/304</t>
  </si>
  <si>
    <t>2-s2.0-0035418085</t>
  </si>
  <si>
    <t>['stochastic method', 'skin depth', 'simple model', 'rf frequencies', 'good approximation', 'functional dependence', 'eœ ∏', 'exponential decay', 'electron densities', 'collisionless heating', 'closely matches']</t>
  </si>
  <si>
    <t>Considering a simple model of a spiral antenna inductive discharge in the collisionless heating regime, the basis of the equivalence of the stochastic and surface impedance methods is demonstrated. Formulae for the power per unit area, for each approach, are obtained in the regime of small normalized RF frequency, œâ, and shown to have the same functional dependence on œâ; the numerical coefficients agree to within a factor of 0.6. A study of the azimuthal electric field, EŒ∏, appropriate to the surface impedance method shows that although generally nonmonotonic, within the vicinity of the coil EŒ∏ falls exponentially. The decay length Œ¥c very closely matches the skin depth of the stochastic method for a range of electron densities and RF frequencies. Thus the assumption that an exponential decay for EŒ∏ in the stochastic method is a very good approximation for the purpose of calculating the collisionless heating is confirmed.</t>
  </si>
  <si>
    <t>440-444</t>
  </si>
  <si>
    <t>Haas, F. A.</t>
  </si>
  <si>
    <t>Milton Keynes</t>
  </si>
  <si>
    <t>The Open University</t>
  </si>
  <si>
    <t>Haas F.</t>
  </si>
  <si>
    <t>Some aspects of collisionless heating in inductive discharges</t>
  </si>
  <si>
    <t>S0963025201173469</t>
  </si>
  <si>
    <t>10.1088/0963-0252/10/3/307</t>
  </si>
  <si>
    <t>2-s2.0-0035418086</t>
  </si>
  <si>
    <t>['specific studies', 'rights reserved', 'results obtained', 'residual effect', 'plasma process', 'latent damage', 'great threat', 'device performance', 'cmos devices', 'charging damage']</t>
  </si>
  <si>
    <t>Device damage due to plasma process-induced charging continues to be a great threat and concern in modern CMOS technologies. This paper investigates NMOS vs. PMOS device sensitivity to plasma charging originating from various processing steps. This dependence is studied with respect to the gate oxide thickness and large antenna devices are used to evaluate device yield, latent damage, and residual effect of charging on device performance and reliability. In addition to results obtained for oxides of 40-90 √Ö, specific studies are performed to explore the resistance to charging damage in CMOS devices with 50 √Ö gate oxide grown with various oxidation processes. ¬© 2001 Elsevier Science Ltd. All rights reserved.</t>
  </si>
  <si>
    <t>1299-1307</t>
  </si>
  <si>
    <t>Solid-State Electronics</t>
  </si>
  <si>
    <t>60024590;60024590;60024590</t>
  </si>
  <si>
    <t>7006743311;7401786530;7101608053</t>
  </si>
  <si>
    <t>Brozek, Tomasz;Huber, John;Walls, James</t>
  </si>
  <si>
    <t>Brozek T.</t>
  </si>
  <si>
    <t>Investigation of plasma damage effects on characteristics and reliability of MOS devices with thin gate dielectrics</t>
  </si>
  <si>
    <t>S0038110100002720</t>
  </si>
  <si>
    <t>10.1016/S0038-1101(00)00272-0</t>
  </si>
  <si>
    <t>2-s2.0-0035418161</t>
  </si>
  <si>
    <t>['surface error', 'study concludes', 'simple illustration', 'runtime costs', 'optimal location', 'observations made', 'genetic algorithm', 'effective option', 'could form', 'based actuator', '2d trusses']</t>
  </si>
  <si>
    <t>In this paper, a methodology to control the surface error on a Doppler antenna using the concept of a variable geometry truss structure is proposed. A genetic algorithm is used to find the optimal location and number of actuators with the objective to minimize the construction and runtime costs. The optimization also takes into account the limitations in actuation. A piezoceramic-based actuator is used to demonstrate the effectiveness of the methodology. A simple illustration of 2D trusses, which could form a part of a Doppler antenna structure, is used to show the efficacy of the method. An analysis of the effectiveness of such a design is presented. The influence of the variables in the problem is examined and observations made. This study concludes that the smart antenna concept is a viable, feasible and effective option in design.</t>
  </si>
  <si>
    <t>60025757;60025757;60025757</t>
  </si>
  <si>
    <t>6506772160;55236809800;7004850448</t>
  </si>
  <si>
    <t>Saravanan, U.;Sivakumar, Srinivasan M.;Kalyanaraman, V.</t>
  </si>
  <si>
    <t>Indian Institute of Technology Madras</t>
  </si>
  <si>
    <t>Saravanan U.</t>
  </si>
  <si>
    <t>A study on the design and behavior of smart antenna</t>
  </si>
  <si>
    <t>S0964172601228171</t>
  </si>
  <si>
    <t>10.1088/0964-1726/10/4/302</t>
  </si>
  <si>
    <t>2-s2.0-0035418234</t>
  </si>
  <si>
    <t>['weighting function', 'tchebycheff system', 'superdirective ratio', 'singular functions', 'quadrature rule', 'pswfs form', 'pswfs ).', 'physical device', 'mathematical abstraction', 'main lobe', 'line source', 'inverse problem', 'functions via', 'framework discussed', 'element positions', 'discrete arrays', 'directivity pattern', 'current distribution', 'beam pattern', 'allows us']</t>
  </si>
  <si>
    <t>We discuss the linear inverse problem of determining the current distribution (weighting function) for a line source antenna from its directivity pattern. The relationship between the two is a finite Fourier transform and we use its singular functions to expand the directivity pattern. These singular functions are the prolate spheroidal wavefunctions (PSWFs). We point out that the truncation of this expansion, advocated by Rhodes to control the superdirective ratio, is a way of regularizing the inverse problem. We discuss the problem of trying to improve the resolution by narrowing the main lobe of the directivity pattern. Given that the line source is a mathematical abstraction, in order to make a physical device with the given directivity pattern one needs to discretize the line source. To do this we show that the PSWFs form a Tchebycheff system, which allows us to calculate exactly integrals involving these functions via a generalized Gaussian quadrature rule. This quadrature rule then gives the appro priate set of element positions and weights for the equivalent discrete array. We show how superdirective arrays fit into the framework discussed in this paper and finally we look at a couple of discrete arrays for which the beam pattern has a narrowed main lobe.</t>
  </si>
  <si>
    <t>1163-1179</t>
  </si>
  <si>
    <t>Inverse Problems</t>
  </si>
  <si>
    <t>60026242;60011520;60011520</t>
  </si>
  <si>
    <t>6701522375;36775353400;23001452700</t>
  </si>
  <si>
    <t>De Villiers, G. D.;Marchand, F. B.T.;Pike, E. R.</t>
  </si>
  <si>
    <t>Salisbury;London</t>
  </si>
  <si>
    <t>Defence Science and Technology Laboratory;King's College London</t>
  </si>
  <si>
    <t>60026242;60011520</t>
  </si>
  <si>
    <t>De Villiers G.</t>
  </si>
  <si>
    <t>Generalized Gaussian quadrature applied to an inverse problem in antenna theory</t>
  </si>
  <si>
    <t>S0266561101179256</t>
  </si>
  <si>
    <t>10.1088/0266-5611/17/4/339</t>
  </si>
  <si>
    <t>2-s2.0-0035420805</t>
  </si>
  <si>
    <t>IST-1999-11114</t>
  </si>
  <si>
    <t>['wireless lan', 'substrate coupling', 'sip integration', 'signal chip', 'rf front', 'power amplifiers', 'paper reports', 'noise coupling', 'loss filters', 'interconnect technology', 'increasing integration', 'impedance matching', 'external components', 'either manifesting', 'digital part', 'chip solutions', 'chip passives', 'bpfs ).', 'best ic', 'bandpass filters', 'antenna switches', 'analog part', 'analog crosstalk']</t>
  </si>
  <si>
    <t>Bandpass filter | Downconverter | Low noise amplifier | MCM | RF front-end | Single-package integration | System-in-a-package | Transceiver | Wireless LAN</t>
  </si>
  <si>
    <t>Transceivers for future digital telecommunications applications (third generation cellular, wireless LAN) need to be portable (compact), battery-powered and wireless. Today's single-chip solutions for RF front-ends do not yield complete system integration. For example, they typically still need external components for impedance matching, for antenna switches, for power amplifiers and for RF bandpass filters (BPFs). Furthermore, problems of substrate coupling (either manifesting as analog crosstalk or as noise coupling from the digital part to the analog part on mixed-signal chip) become more important with increasing integration. A system-in-a-package (SiP) approach can address these problems. High quality components can be integrated in the package, avoiding lower quality on-chip passives or circumventing expensive chip technology adaptations. Virtually all external components can be integrated, as shown in this paper for the case of the bandpass filters and the impedance matching. Even the antenna is a candidate for integration in the package. Further, a clever chip partitioning can reduce the substrate coupling problem. Partitioning also allows using the best IC-technology for each component. This paper reports on a fully integrated single-package RF prototype module for a 5 GHz WLAN receiver front-end, which is intended to demonstrate the concept of SiP integration. The approach, that is illustrated here with prototype RF blocks for a 5 GHz WLAN application, is implemented with a thin film multichip module (MCM-D) interconnect technology. This technology also allows the integration of high quality passive components. With these passives, low-loss filters can be implemented. The use of passives, filters and off-the-shelf, active, bare die components opens the way to successful system integration.</t>
  </si>
  <si>
    <t>384-391</t>
  </si>
  <si>
    <t>IEEE Transactions on Advanced Packaging</t>
  </si>
  <si>
    <t>60000251-60070034;60000251-60070034;60000251-60070034;60000251-60070034;60000251-60070034;60000251-60070034;60000251-60070034</t>
  </si>
  <si>
    <t>6507462883;6603232413;35569567100;7004231458;7004393371;7102990580;7004018831</t>
  </si>
  <si>
    <t>Diels, Wim;Vaesen, Kristof;Wambacq, Piet;Donnay, St√©phane;De Raedt, Walter;Engels, Marc;Bolsens, Ivo</t>
  </si>
  <si>
    <t>Leuven;New York</t>
  </si>
  <si>
    <t>Interuniversity Micro-Electronics Center at Leuven;IEEE</t>
  </si>
  <si>
    <t>60070034;60000251</t>
  </si>
  <si>
    <t>Diels W.</t>
  </si>
  <si>
    <t>Single-package integration of RF blocks for a 5 GHz WLAN application</t>
  </si>
  <si>
    <t>S1521332301060294</t>
  </si>
  <si>
    <t>10.1109/6040.938307</t>
  </si>
  <si>
    <t>2-s2.0-0035421278</t>
  </si>
  <si>
    <t>['simulation results', 'radical resonances', 'potential applications', 'per meter', 'optical response', 'modeling predicts', 'microcellular communications', 'frequencies higher', 'fiber networks', 'fiber antenna', 'element analysis', 'convenient means', 'coating composite', 'achieved using', '8 mhz', '5 mhz', '41 œºv', '2 ghz', '1 mhz']</t>
  </si>
  <si>
    <t>Antennas | Finite-element methods | Mobile communication | Phase modulation | Piezoelectricity | Plastic and optical fiber communication</t>
  </si>
  <si>
    <t>An all-fiber antenna using piezoelectric polymer coated circular core D-fiber has been characterized using finite-element analysis. The response of the D-fiber antenna was determined over a wide frequency range from 1 MHz to 2 GHz. The modeling predicts an electric field induced phase shift of 2.43 √ó 10-5 rad/(V/m) per meter at 5 MHz. At frequencies higher than 8 MHz, the optical response is dominated by radical resonances of the D-fiber/coating composite. Using the simulation results, a minimum detectable electric field of 41 ŒºV/m has been achieved using a 1 km length of coated D-fiber. In addition, a D-fiber antenna network intended for microcellular communications has been analyzed using shot noise limited detection. The D-fiber antenna has potential applications in areas such as electromagnetic compatibility testing and radio-over-fiber networks were it provides a convenient means of optically generating radio signals.</t>
  </si>
  <si>
    <t>970-979</t>
  </si>
  <si>
    <t>IEEE Journal of Quantum Electronics</t>
  </si>
  <si>
    <t>60026638;60000251-60010818;60026638</t>
  </si>
  <si>
    <t>Bhatti, Ajaz;Al-Raweshidy, Hamed S.;Murtaza, G.</t>
  </si>
  <si>
    <t>Finland;United Kingdom;United States</t>
  </si>
  <si>
    <t>Espoo;Canterbury;New York</t>
  </si>
  <si>
    <t>Nokia Corporation;University of Kent;IEEE</t>
  </si>
  <si>
    <t>60026638;60010818;60000251</t>
  </si>
  <si>
    <t>D-fiber antenna characterization using finite-element analysis</t>
  </si>
  <si>
    <t>S0018919701059498</t>
  </si>
  <si>
    <t>10.1109/3.937387</t>
  </si>
  <si>
    <t>2-s2.0-0035422214</t>
  </si>
  <si>
    <t>['wiener beamformer', 'unlike cma', 'noise ratio', 'forcing beamformer', 'direction finding', 'asymptotic properties', 'also sketch']</t>
  </si>
  <si>
    <t>Array signal processing | Blind beamforming | Constant modulus algorithm | Simultaneous diagonalization</t>
  </si>
  <si>
    <t>The algebraic constant modulus algorithm (ACMA) is a noniterative blind source separation algorithm. It computes jointly beamforming vectors for all constant modulus sources as the solution of a joint diagonalization problem. In this paper, we analyze its asymptotic properties and show that (unlike CMA) it converges to the Wiener beamformer when the number of samples or the signal-to-noise ratio (SNR) goes to infinity. We also sketch its connection to the related JADE algorithm and derive a version of ACMA that converges to a zero-forcing beamformer. This gives improved performance in applications that use the estimated mixing matrix, such as in direction finding.</t>
  </si>
  <si>
    <t>1796-1807</t>
  </si>
  <si>
    <t>60000251-60025223</t>
  </si>
  <si>
    <t>Van Der Veen, Alle Jan</t>
  </si>
  <si>
    <t>Delft;New York</t>
  </si>
  <si>
    <t>Delft Institute of Microelectronics and Submicrontechnology - DIMES;IEEE</t>
  </si>
  <si>
    <t>60025223;60000251</t>
  </si>
  <si>
    <t>Van Der Veen A.</t>
  </si>
  <si>
    <t>Asymptotic properties of the algebraic constant modulus algorithm</t>
  </si>
  <si>
    <t>S1053587X01058548</t>
  </si>
  <si>
    <t>10.1109/78.934150</t>
  </si>
  <si>
    <t>2-s2.0-0035423620</t>
  </si>
  <si>
    <t>['negligible loss', 'leakage energy', 'computationally efficient', 'application requires', 'aperture weighting', 'analytic technique']</t>
  </si>
  <si>
    <t>Image enhancement | Radar signal processing | Synthetic aperture radar</t>
  </si>
  <si>
    <t>We propose an analytic technique for reducing sidelobe artifacts in synthetic aperture radar data. The technique, called leakage energy minimization (LEM), uses a spatially varying aperture function, the coefficients of which satisfy a simple optimality condition. The integrated sidelobe energy (or leakage energy) characterizing a given aperture weighting function is used as a metric for determining the likelihood of an aperture weighting. When applied to synthetic aperture radar data, the technique can effectively reduce sidelobe levels with negligible loss of resolution. The algorithm is computationally efficient, and its application requires no restrictions on the data sampling rate.</t>
  </si>
  <si>
    <t>1162-1168</t>
  </si>
  <si>
    <t>Smith, B. H.</t>
  </si>
  <si>
    <t>Veridian Systems Division</t>
  </si>
  <si>
    <t>Smith B.H.</t>
  </si>
  <si>
    <t>An analytic nonlinear approach to sidelobe reduction</t>
  </si>
  <si>
    <t>S1057714901060341</t>
  </si>
  <si>
    <t>10.1109/83.935032</t>
  </si>
  <si>
    <t>2-s2.0-0035423683</t>
  </si>
  <si>
    <t>['typically viewed', 'sensor patterns', 'rights reserved', 'paper presents', 'numerical examples', 'large impact', 'individual sensors', 'free parameters', 'franklin institute', 'array performance', 'array design']</t>
  </si>
  <si>
    <t>Array design | Array manifold | Pattern synthesis | Sensor patterns</t>
  </si>
  <si>
    <t>Each sensor in an array is characterized by a spatial response pattern. Despite the fact that the patterns of individual sensors have a large impact on array performance, these patterns are not typically viewed as "free parameters" during array design. This paper presents a framework that allows explicit consideration of the sensor patterns in the array design process. Procedures are developed for choosing the sensor patterns to achieve a desirable array manifold. Numerical examples are included to illustrate the pattern diversity array design procedures. ¬© The Franklin Institute. Published by Elsevier Science Ltd. All rights reserved.</t>
  </si>
  <si>
    <t>549-570</t>
  </si>
  <si>
    <t>Journal of the Franklin Institute</t>
  </si>
  <si>
    <t>Kozick, Richard J.</t>
  </si>
  <si>
    <t>Lewisburg</t>
  </si>
  <si>
    <t>Bucknell University</t>
  </si>
  <si>
    <t>Kozick R.</t>
  </si>
  <si>
    <t>Pattern diversity for narrowband direction finding with sensor arrays</t>
  </si>
  <si>
    <t>S001600320100028X</t>
  </si>
  <si>
    <t>10.1016/S0016-0032(01)00028-X</t>
  </si>
  <si>
    <t>2-s2.0-0035424524</t>
  </si>
  <si>
    <t>['useful formulas', 'solving maxwell', 'resulting solutions', 'resultant fields', 'novel derivation', 'matrix form', 'far region', 'explicitly written', 'conveniently expressed']</t>
  </si>
  <si>
    <t>Antenna theory | EM waves | Maxwell's equations | Vector analysis</t>
  </si>
  <si>
    <t>A novel derivation of useful formulas for finding electromagnetic fields by solving Maxwell's equations with given current distributions is presented. In these formulas, the complicated vector differential operations are removed and replaced by simple vector algebraic operations. The resulting solutions are exact and can be explicitly written in matrix form. Both the given current sources and resultant fields can also be conveniently expressed in any desired coordinate system. The formulation becomes greatly simplified when the resultant fields are in the far region.</t>
  </si>
  <si>
    <t>195-214</t>
  </si>
  <si>
    <t>Journal of the Chinese Institute of Electrical Engineering, Transactions of the Chinese Institute of Engineers, Series E/Chung KuoTien Chi Kung Chieng Hsueh K'an</t>
  </si>
  <si>
    <t>Chang, F. C.</t>
  </si>
  <si>
    <t>Chang F.C.</t>
  </si>
  <si>
    <t>Formulation of electromagnetic fields from given current distributions</t>
  </si>
  <si>
    <t>2-s2.0-0035425201</t>
  </si>
  <si>
    <t>CCR-0097114</t>
  </si>
  <si>
    <t>['wireless environment', 'wider bandwidth', 'user communications', 'unintentional jamming', 'time modulation', 'time coding', 'temporal diversities', 'still maintaining', 'signals exist', 'recently proposed', 'receive antennas', 'rate dscm', 'potentials offered', 'new coding', 'multiple transmit', 'modulation scheme', 'interference resistant', 'including intentional', 'fully exploiting', 'even break', 'error rate', 'dscm ),', 'differential space', 'code modulation', 'ber ),', 'also presented']</t>
  </si>
  <si>
    <t>Interference suppression | Smart antennas | Space-time coding | Spread spectrum | Wireless communications</t>
  </si>
  <si>
    <t>Space-time coding has been receiving much attention recently due to its potentials offered by fully exploiting the spatial and temporal diversities of multiple transmit and receive antennas. A differential space-time modulation (DSTM) scheme was recently proposed for demodulation without channel state information, which is attractive in fast fading channels where accurate channel estimates are difficult to obtain. However, this technique is sensitive to interference and is likely to deteriorate or even break down in a wireless environment, where interference (including intentional and unintentional jamming) signals exist. We propose a new coding and modulation scheme, referred to as the differential space-code modulation (DSCM), which is interference resistant. Our focus is on single-user communications. We show that DSCM outperforms DSTM significantly when interference is present. This advantage is achieved at the cost of a lower data rate or a wider bandwidth or a combination of both. To alleviate this problem, a high-rate DSCM (HR-DSCM) scheme is also presented, which increases the data rate considerably at the cost of a slightly higher bit-error rate (BER), while still maintaining the interference suppression capability.</t>
  </si>
  <si>
    <t>1786-1795</t>
  </si>
  <si>
    <t>60000251-60013959;60000251-60013959;60000251-60027392;60000251-60013959</t>
  </si>
  <si>
    <t>55706006400;7410065637;21743342100;35555550500</t>
  </si>
  <si>
    <t>Liu, Jianhua;Li, Jian;Li, Hongbin;Larsson, Erik G.</t>
  </si>
  <si>
    <t>Hoboken;Gainesville;New York</t>
  </si>
  <si>
    <t>Stevens Institute of Technology;University of Florida;IEEE</t>
  </si>
  <si>
    <t>60027392;60013959;60000251</t>
  </si>
  <si>
    <t>Liu J.</t>
  </si>
  <si>
    <t>Differential space-code modulation for interference suppression</t>
  </si>
  <si>
    <t>S1053587X01058536</t>
  </si>
  <si>
    <t>10.1109/78.934149</t>
  </si>
  <si>
    <t>2-s2.0-0035425416</t>
  </si>
  <si>
    <t>CCR-99072</t>
  </si>
  <si>
    <t>['two domains', 'time domains', 'spatial structures', 'signal model', 'rights reserved', 'receiver consists', 'rao bound', 'path diversity', 'maximum likelihood', 'main contribution', 'interfering components', 'gaussian term', 'external interference', 'division multiple', 'asynchronous code', 'arbitrary space', 'antenna array', 'also employ', 'achieve synchronization', 'access interference']</t>
  </si>
  <si>
    <t>Antenna arrays | CDMA | Maximum likelihood estimation | Space-time diversity | Synchronization</t>
  </si>
  <si>
    <t>The synchronization of a desired user transmitting a known training sequence in a direct-sequence (DS) asynchronous code-division multiple-access (CDMA) system is addressed. It is assumed that the receiver consists of an arbitrary antenna array and works in a near-far, frequency-nonselective, slowly fading channel. The estimator that we propose is derived by applying the maximum likelihood (ML) principle to a signal model in which the contribution of all the interfering components (e.g., multiple-access interference, external interference and noise) is modeled as a Gaussian term with an unknown and arbitrary space-time correlation matrix. The main contribution of this paper is the fact that the estimator makes efficient use of the structure of the signals in both the space and time domains. Its performance is compared with the Cram√©r-Rao Bound, and with the performance of other methods proposed recently that also employ an antenna array but only exploit the structure of the signals in one of the two domains, while using the other simply as a means of path diversity. It is shown that the use of the temporal and spatial structures is necessary to achieve synchronization in heavily loaded systems or in the presence of directional external interference. ¬© 2001 Elsevier Science B.V. All rights reserved.</t>
  </si>
  <si>
    <t>1581-1602</t>
  </si>
  <si>
    <t>60007592;60007592;60006832</t>
  </si>
  <si>
    <t>17435676500;6602979577;55665154800</t>
  </si>
  <si>
    <t>Seco, Gonzalo;Fern√°ndez-Rubio, Juan A.;Swindlehurst, A. Lee</t>
  </si>
  <si>
    <t>Barcelona;Provo</t>
  </si>
  <si>
    <t>Universitat Polit√®cnica de Catalunya;Brigham Young University</t>
  </si>
  <si>
    <t>60007592;60006832</t>
  </si>
  <si>
    <t>Seco G.</t>
  </si>
  <si>
    <t>Code-timing synchronization in DS-CDMA systems using space-time diversity</t>
  </si>
  <si>
    <t>S0165168401000743</t>
  </si>
  <si>
    <t>10.1016/S0165-1684(01)00074-3</t>
  </si>
  <si>
    <t>2-s2.0-0035426283</t>
  </si>
  <si>
    <t>['time diversity', 'receiver antennas', 'proposed schemes', 'orthogonal designs', 'optimal snr', 'multiple transmitter', 'data rate', 'coding schemes', 'best diversity', 'also provides', 'also mitigate']</t>
  </si>
  <si>
    <t>Amicable orthogonal designs | Orthogonal designs | Space-time diversity</t>
  </si>
  <si>
    <t>In this paper we consider the utilization of multiple transmitter and receiver antennas for space-time diversity. The optimal SNR scheme, which also provides the best diversity, is outlined. This scheme however involves a reduction in the data rate. Coding schemes are then presented which not only achieve the optimal SNR but also mitigate the reduction of data rate. The proposed schemes are based on the theory of Orthogonal Designs and Amicable Orthogonal Designs.</t>
  </si>
  <si>
    <t>165-178</t>
  </si>
  <si>
    <t>Ganesan, Girish;Stoica, Petre</t>
  </si>
  <si>
    <t>Space-time diversity using orthogonal and amicable orthogonal designs</t>
  </si>
  <si>
    <t>10.1023/A:1011290310428</t>
  </si>
  <si>
    <t>2-s2.0-0035426501</t>
  </si>
  <si>
    <t>['wireless communication', 'transmitter knows', 'reasonably high', 'multiple antennas', 'fading channels', 'derive expressions', 'channel estimation']</t>
  </si>
  <si>
    <t>Multiple antennas | SNR maximization | Space-time diversity</t>
  </si>
  <si>
    <t>In this paper we consider the use of multiple antennas for wireless communication over fading channels. The fading we consider is quasi-static flat Rayleigh fading. For such a scenario optimal SNR schemes are derived when the transmitter knows the channel and when the transmitter does not know the channel. But in both cases the receiver has to estimate the channel. When the SNR during channel estimation is reasonably high we derive expressions to show the impact of channel estimation errors on SNR.</t>
  </si>
  <si>
    <t>Utilizing space-time diversity for wireless communications</t>
  </si>
  <si>
    <t>10.1023/A:1011238326358</t>
  </si>
  <si>
    <t>2-s2.0-0035426614</t>
  </si>
  <si>
    <t>['rf model', 'phase noise', 'oscillation frequencies', 'measured results', 'good agreement', 'comprehensive dc', 'active antennas', '67 dbc']</t>
  </si>
  <si>
    <t>Active antenna | Injection locking | RF large signal model | Semiconductor heterostructure | Tunnel diode</t>
  </si>
  <si>
    <t>In this letter, a comprehensive dc and RF model of heterostructure interband tunnel diodes (HITDs) is extracted. Active antennas incorporating tunnel diodes are analyzed in time domain using this tunnel diode model. The simulated and measured results are in good agreement in terms of oscillation frequencies of the active antennas. Phase noise of -114.67 dBc/Hz @ 1.0 MHz offset is achieved for injection-locked active antennas. The simulated injection locking range of a Ka band active antenna array is investigated.</t>
  </si>
  <si>
    <t>331-333</t>
  </si>
  <si>
    <t>60003892;60000251-60003892;60000251-60024590;60024590;60024590;60000251-60024590</t>
  </si>
  <si>
    <t>55619292749;7007040054;57198056018;7202028432;6601974890;7004484686</t>
  </si>
  <si>
    <t>Liu, Kai;El-Ghazaly, Samir M.;Deshpande, Mandar R.;Nair, Vijay;El-Zein, Nada;Goronkin, Herb</t>
  </si>
  <si>
    <t>Schaumburg;Tempe;New York</t>
  </si>
  <si>
    <t>Motorola;Arizona State University;IEEE</t>
  </si>
  <si>
    <t>60024590;60003892;60000251</t>
  </si>
  <si>
    <t>Active antennas incorporating tunnel diodes - Large signal model approach</t>
  </si>
  <si>
    <t>S1531130901079739</t>
  </si>
  <si>
    <t>10.1109/7260.941780</t>
  </si>
  <si>
    <t>2-s2.0-0035428533</t>
  </si>
  <si>
    <t>['wireless lans', 'v single', 'successful use', 'rf performances', 'power amplifier', 'polysilicon capacitors', 'paper describes', 'pa ),', 'noise amplifier', 'lna despite', 'lna ),', 'interdigitated capacitors', 'insertion loss', 'ic consists', 'ic achieves', 'higher gain', 'handling capability', 'fabricated using', 'experimental results', 'design techniques', 'dbm power', 'db isolation', 'db gain', 'conventional polysilicon', 'antenna switch', '8 v', '4 ghz']</t>
  </si>
  <si>
    <t>Front-end | Low-noise amplifier | Monolithic microwave integrated circuit | Power amplifier | Si-CMOS | Switch | Wireless communications</t>
  </si>
  <si>
    <t>This paper describes the design and experimental results of a 1.8-V single-chip CMOS MMIC front-end for 2.4-GHz band short-range wireless communications, such as Bluetooth and wireless LANs. The IC consists of fundamental RF building circuits-a power amplifier (PA), a low-noise amplifier (LNA), and a transmit/receive-antenna switch (SW), including almost all on-chip matching elements. The IC was fabricated using a 0.18-Œºm standard bulk CMOS technology which has no extra processing steps to enhance the RF performances. Two new circuit-design techniques are introduced in the IC in order to minimize the insertion loss of the SW and realize a higher gain for the PA and LNA despite the utilization of the standard bulk CMOS technology. The first is the derivation of an optimum gate width of the SW to minimize the insertion loss based on small-signal equivalent circuit analysis. The other is the revelation of the advantages of interdigitated capacitors (IDCs) over conventional polysilicon to polysilicon capacitors and the successful use of the IDCs in the LNA and PA. The IC achieves the following sufficient characteristics for practical wireless terminals at 2.4 GHz and 1.8 V: a 5-dBm transmit power at a -1-dB gain compression, a 19-dB gain, an 18-mA current for the PA, a 1.5-dB insertion loss, more than 24-dB isolation, an 11-dBm power. handling capability for the SW; a 7.5-dB gain, a 4.5-dB noise figure, and an 8-mA current for the LNA.</t>
  </si>
  <si>
    <t>1186-1197</t>
  </si>
  <si>
    <t>60000251-60101699;60101699;60101699;60000251-60101699;60101699;60000251-60101699;60101699;60000251-60101699;60101699</t>
  </si>
  <si>
    <t>55739365500;6603466917;7103050003;36889445000;7102798332;6601944512;7402105361;7410400016;7403471195</t>
  </si>
  <si>
    <t>Yamamoto, Kazuya;Heima, Tetsuya;Furukawa, Akihiko;Ono, Masayoshi;Hashizume, Yasushi;Komurasaki, Hiroshi;Maeda, Shigenobu;Sato, Hisayasu;Kato, Naoyuki</t>
  </si>
  <si>
    <t>Mitsubishi Electric Corporation;IEEE</t>
  </si>
  <si>
    <t>60101699;60000251</t>
  </si>
  <si>
    <t>Yamamoto K.</t>
  </si>
  <si>
    <t>A 2.4-GHz-band 1.8-V operation single-chip Si-CMOS T/R-MMIC front-end with a low insertion loss switch</t>
  </si>
  <si>
    <t>S0018920001058309</t>
  </si>
  <si>
    <t>10.1109/4.938369</t>
  </si>
  <si>
    <t>2-s2.0-0035429443</t>
  </si>
  <si>
    <t>['‚ äô', 'x 106', 'velocity dispersion', 'precise half', 'outer parts', 'model assumptions', 'mass decreases', 'luminous young', 'like object', 'light ratio', 'light radius', 'hires spectrograph', 'globular cluster', 'general field', 'forming regions', 'extended envelope', 'dynamical mass', 'dispersion spectra', 'density star', 'compact core', 'cluster imply', 'central density', 'also estimate', '7 km', '65 pc', '3 pc', '15 myr']</t>
  </si>
  <si>
    <t>Galaxies: individual (NGC 6946) | Galaxies: star clusters</t>
  </si>
  <si>
    <t>Using the Wide Field Planetary Camera 2 on board the Hubble Space Telescope, we have imaged a luminous young star cluster in the nearby spiral galaxy NGC 6946. Within a radius of 65 pc, the cluster has an absolute visual magnitude, MV = -13.2, comparable to the most luminous young "super star clusters" in the Antennae merger galaxy. UBV colors indicate an age of about 15 Myr. The cluster has a compact core (radius ‚àº1.3 pc) surrounded by an extended envelope with a power-law luminosity profile. The outer parts of the cluster profile gradually merge with the general field, making it difficult to measure a precise half-light radius Re, but we estimate Re ‚àº13 pc. Combined with population synthesis models, the luminosity and age of the cluster imply a mass of 8.2 x 105 M‚äô for a Salpeter initial mass function (IMF) extending down to 0.1 M‚äô. If the IMF is lognormal below 0.4 M‚äô, then the mass decreases to 5.5 x 105 M‚äô. Depending on model assumptions, the central density of the cluster is between 5.3 x 103 and 1.7 x 104 M‚äô pc-3, comparable to other high-density star-forming regions. We also estimate a dynamical mass for the cluster using high-dispersion spectra from the HIRES spectrograph on the Keck I telescope. The HIRES data indicate a velocity dispersion of 10.0 ¬± 2.7 km s-1 and imply a total cluster mass within 65 pc of (1.7 ¬± 0.9) x 106 M‚äô. Comparing the dynamical mass with the mass estimates based on the photometry and population synthesis models, we find that the mass-to-light ratio is at least as high as for a Salpeter IMF extending down to 0.1 M‚äô, although a turnover in the IMF at 0.4 M‚äô is still possible within the ‚àº1 œÉ errors. The cluster will presumably remain bound, evolving into a globular cluster-like object.</t>
  </si>
  <si>
    <t>801-812</t>
  </si>
  <si>
    <t>60024941;60024941;60017366;60007457;60015481;60001282</t>
  </si>
  <si>
    <t>7402297037;57203216421;35563011600;7006562087;7103391767;56225876600</t>
  </si>
  <si>
    <t>Larsen, S√∏ren S.;Brodie, Jean P.;Elmegreen, Bruce G.;Efremov, Yuri N.;Hodge, Paul W.;Richtler, Tom</t>
  </si>
  <si>
    <t>United States;United States;United States;Russian Federation;Chile</t>
  </si>
  <si>
    <t>Santa Cruz;Yorktown Heights;Seattle;Moscow;Biobio</t>
  </si>
  <si>
    <t>University of California, Santa Cruz;IBM Thomas J. Watson Research Center;University of Washington;Lomonosov Moscow State University;Universidad de Concepcion</t>
  </si>
  <si>
    <t>60024941;60017366;60015481;60007457;60001282</t>
  </si>
  <si>
    <t>Larsen S.S.</t>
  </si>
  <si>
    <t>Structure and mass of a young globular cluster in NGC 6946</t>
  </si>
  <si>
    <t>10.1086/321620</t>
  </si>
  <si>
    <t>2-s2.0-0035429568</t>
  </si>
  <si>
    <t>01-02-17476</t>
  </si>
  <si>
    <t>['substantially increased', 'studied experimentally', 'plasma production', 'plasma produced', 'nonuniform fields', 'main plasma', 'magnetic field', 'interperiodica ".', 'helicon waves', 'electron density', 'argon plasma', '600 w', '3 mtorr', '200 g']</t>
  </si>
  <si>
    <t>The distributions of the electron density in a plasma produced by helicon waves and the corresponding wave amplitudes and phases are studied experimentally. The measurements were carried out in an argon plasma at a pressure of 3 mtorr and at an input RF power of up to 600 W. The magnetic field was varied in the range from 0 to 200 G. The efficiency of plasma production in both uniform and nonuniform fields is investigated. It is shown that, in a nonuniform magnetic field, the electron density can be substantially increased (up to 5 √ó 1012 cm-3) by placing an antenna in the region in which the magnetic field is weaker than in the main plasma. ¬© 2001 MAIK "Nauka/Interperiodica".</t>
  </si>
  <si>
    <t>699-707</t>
  </si>
  <si>
    <t>60007457;60007457;60007457</t>
  </si>
  <si>
    <t>6505779094;7005801551;57222996276</t>
  </si>
  <si>
    <t>Braginski«ê, O. V.;Vasil'eva, A. N.;Kovalev, A. S.</t>
  </si>
  <si>
    <t>Braginski«ê O.V.</t>
  </si>
  <si>
    <t>Helicon plasma in a nonuniform magnetic field</t>
  </si>
  <si>
    <t>10.1134/1.1390541</t>
  </si>
  <si>
    <t>2-s2.0-0035430082</t>
  </si>
  <si>
    <t>['single transmitter', 'recent work', 'real aperture', 'proposed implementation', 'novel concept', 'experimental results', 'employing multi', 'contribution presents', "clutter '.", 'buried land']</t>
  </si>
  <si>
    <t>Existing ground penetrating radars (GPR) are limited in their 3-D resolution. For the detection of buried land-mines, their performance is also seriously restricted by 'clutter'. Recent work by the authors has concentrated on removing these limitations by employing multi-static synthetic focusing from a 2-D real aperture. This contribution presents this novel concept, describes the proposed implementation, examines the influence of clutter and of various ground features on the system's performance, and discusses such practicalities as digitisation and time-sharing of a single transmitter and receiver. Experimental results from a variety of scenarios are presented.</t>
  </si>
  <si>
    <t>233-240</t>
  </si>
  <si>
    <t>60020650;60020650;60020650;60020650;60020650;60020650;60020650</t>
  </si>
  <si>
    <t>7202211079;7003625330;7102890409;6507025923;7004178142;6603111339;7006153690</t>
  </si>
  <si>
    <t>Benjamin, R.;Craddock, I. J.;Hilton, G. S.;Litobarski, S.;McCutcheon, E.;Nilavalan, R.;Crisp, G. N.</t>
  </si>
  <si>
    <t>Benjamin R.</t>
  </si>
  <si>
    <t>Microwave detection of buried mines using non-contact, synthetic near-field focusing</t>
  </si>
  <si>
    <t>10.1049/ip-rsn:20010421</t>
  </si>
  <si>
    <t>2-s2.0-0035435604</t>
  </si>
  <si>
    <t>['white noise', 'thus studied', 'strong dependence', 'small number', 'shown recently', 'scattered fields', 'reconstruction errors', 'reconstructed images', 'produced using', 'positions around', 'operating frequency', 'noiseless data', 'noise ratios', 'noise ratio', 'measurement errors', 'measured data', 'inverse problem', 'ground surfaces', 'ground surface', 'electromagnetic radiation', 'different frequencies', 'antennas positioned', '12 db']</t>
  </si>
  <si>
    <t>The ground surface of the Earth is usually mapped using airborne microwave radar. However, it has been shown recently by the author that the Earth's ground surface can also be imaged using radio ground waves with antennas positioned on the ground surface. The image of the surface is obtained by reconstructing the distribution of the normalised surface impedance of the surface from the measurements of the scattered fields at a number of positions around the surface being imaged with electromagnetic radiation from different azimuthal directions. It has also been shown that the inverse problem can be solved iteratively using a conjugate gradient method, and the images of ground surfaces can be produced using the noiseless data of the measured scattered fields at an operating frequency at which the size of the surface is approximately one wavelength. In practice, the image reconstruction depends on the operating frequency, and the measured scattered fields are subject to white noise and measurement errors. The dependence of the image reconstruction using the conjugate gradient method on the operating frequency and noise in the measured data is thus studied and the results of reconstruction errors at different frequencies and signal-to-noise ratios and the reconstructed images are presented. It is shown that the image reconstruction using the conjugate gradient based algorithm has a strong dependence on the operating frequency and noise. However, the algorithm is able to reconstruct the images of ground surfaces in small number of iterations when the signal-to-noise ratio is greater than 12 dB.</t>
  </si>
  <si>
    <t>211-218</t>
  </si>
  <si>
    <t>Frequency and noise dependence of the image reconstruction of ground surfaces using the conjugate gradient based algorithm</t>
  </si>
  <si>
    <t>10.1049/ip-rsn:20010322</t>
  </si>
  <si>
    <t>2-s2.0-0035435641</t>
  </si>
  <si>
    <t>['typical characteristic', 'two jumps', 'reasonable explanation', 'plasma density', 'nearly constant', 'input powers', 'helicon wavelength', 'electron temperature', 'density obtained', 'density jumps', 'comparable pressures', '20 cm']</t>
  </si>
  <si>
    <t>A helicon mode discharge is realized in a newly erected set-up and two jumps are observed in the variation of the plasma density with the controlled magnetic field, which is a typical characteristic of the helicon mode discharge. A reasonable explanation is proposed for the appearance of the density jumps. The helicon wavelength is evaluated to be about 20 cm and it is nearly constant in the helicon mode discharge. The density obtained is nearly up to 3.5√ó1018m-3 with only 0.5 Pa argon pressure and 300 W radio frequency power supply, and it is more than one magnitude higher than that in other discharges at comparable pressures and input powers. The electron temperature is found to increase as the pressure is decreased.</t>
  </si>
  <si>
    <t>1098-1100</t>
  </si>
  <si>
    <t>0256307X</t>
  </si>
  <si>
    <t>Chinese Physics Letters</t>
  </si>
  <si>
    <t>60012820;60012820;60012820;60012820</t>
  </si>
  <si>
    <t>57225760808;57101369200;7401574491;7409201879</t>
  </si>
  <si>
    <t>Fang, Tong Zhen;Wang, Long;Jiang, Di Ming;Zhang, Hou Xian</t>
  </si>
  <si>
    <t>Institute of Physics Chinese Academy of Sciences</t>
  </si>
  <si>
    <t>Fang T.Z.</t>
  </si>
  <si>
    <t>Helicon discharge using a nagoya type III antenna</t>
  </si>
  <si>
    <t>10.1088/0256-307X/18/8/334</t>
  </si>
  <si>
    <t>2-s2.0-0035600019</t>
  </si>
  <si>
    <t>['target characteristics', 'strong influence', 'reciprocity principle', 'propagation effects', 'prediction method', 'phenomena acting', 'new approach', 'naval environment', 'hybridization approach', 'global view', 'developed based', 'coherent one', 'classical approach', 'backseattering process', 'atmospheric refraction', 'antenna pattern', 'account simultaneously']</t>
  </si>
  <si>
    <t>Parabolic equation method | Plane wave spectrum scattering | Radar cross section</t>
  </si>
  <si>
    <t>To perform the apparent radar cross section (RCS) of a target in a naval environment, it is necessary to take into account the phenomena acting on the radio wave propagation between the radar and the target. These effects, like forward scattering on the rough sea surface and atmospheric refraction, can have a strong influence on the backseattering process. To take these propagation effects into account, a prediction method has been developed based on a hybridization between the standard parabolic equation method and the plane wave spectrum scattering technique. The reciprocity principle is used to avoid the return path computation. This new approach is a coherent one, considering the problem in a global view: indeed the propagation effects, the antenna pattern, and the target characteristics are taken into account simultaneously. Numerical results obtained using this hybridization approach are compared with a classical approach and with measurements on a trihedral corner reflector in a naval environment.</t>
  </si>
  <si>
    <t>451-466</t>
  </si>
  <si>
    <t>60106010;60027245;100601915</t>
  </si>
  <si>
    <t>55925590600;8080635300;57212741962</t>
  </si>
  <si>
    <t>Fabbro, Vincent;Combes, Paul Fran√ßois;Douchin, Nicolas</t>
  </si>
  <si>
    <t>Palaiseau;Toulouse;Toulouse</t>
  </si>
  <si>
    <t>ONERA-DEMR - √âlectromagn√©tisme et Radar;Universite Paul Sabatier Toulouse III;CRIL Technology</t>
  </si>
  <si>
    <t>Fabbro V.</t>
  </si>
  <si>
    <t>Three-Dimensional Backscattering by a Target above the Sea Surface</t>
  </si>
  <si>
    <t>10.1080/027263401750399534</t>
  </si>
  <si>
    <t>2-s2.0-0038130082</t>
  </si>
  <si>
    <t>['synthesis method', 'specified pattern', 'phase distribution', 'noticeable changes', 'linear equations', 'functions describing', 'fourier spectra', 'even functions', 'calculated using', 'array elements']</t>
  </si>
  <si>
    <t>A synthesis method is proposed in which functions describing the patterns of the array elements and a specified pattern are transformed into even functions. Then, the Fourier spectra of these functions are calculated using the cosine Fourier transform. The amplitude-phase distribution over the array elements is determined by solving a system of linear equations. It is shown that the amount of calculations in this method can be reduced (in comparison to that required in the approximation synthesis methods) without any noticeable changes in the approximation to the specified pattern. This is accomplished by restricting the number of Fourier harmonics involved in the synthesis.</t>
  </si>
  <si>
    <t>914-918</t>
  </si>
  <si>
    <t>Mishchenko, S. E.</t>
  </si>
  <si>
    <t>Mishchenko S.E.</t>
  </si>
  <si>
    <t>Synthesis of a Two-Dimensional Array Antenna with Elements Arbitrarily Distributed over the Plane Radiating Aperture</t>
  </si>
  <si>
    <t>2-s2.0-0041733254</t>
  </si>
  <si>
    <t>['radiation field', 'phase difference', 'orthogonal components', 'main maximum', 'internal edge', 'dipole feed', 'corner reflector', 'arbitrary direction', 'allows one']</t>
  </si>
  <si>
    <t>The uniform geometrical theory of diffraction is used to analyze the radiation of a finite corner antenna excited by an arbitrarily oriented electric dipole. The amplitudes and phase difference of the orthogonal components of the radiation field are calculated for an arbitrary direction of observation. An algorithm is developed that allows one to determine the conditions for obtaining a circularly polarized radiation in the main maximum. The corner antenna directivity factor depending on the dimensions of the antenna's sides and the distance from the dipole feed to the internal edge is investigated for different flare angles of the corner reflector.</t>
  </si>
  <si>
    <t>891-900</t>
  </si>
  <si>
    <t>Eliseeva, N. P.</t>
  </si>
  <si>
    <t>Eliseeva N.</t>
  </si>
  <si>
    <t>Optimizing the Directivity Factor of a Finite Corner Antenna with a Circularly Polarized Radiation Field</t>
  </si>
  <si>
    <t>2-s2.0-0042233659</t>
  </si>
  <si>
    <t>['type kernel', 'single slot', 'numerical results', 'fourier coefficients']</t>
  </si>
  <si>
    <t>A boundary value problem is considered on the scattering of the field of a radial magnetic dipole by a semi-infinite perfectly conducting cone with periodic longitudinal slots. It is shown that the solution of this problem is equivalent to the solution of a singular integral equation with a Cauchy-type kernel. Numerical results are presented for a cone with a single slot. The Fourier coefficients of electromagnetic field components are investigated as functions of the parameters of a cone.</t>
  </si>
  <si>
    <t>879-885</t>
  </si>
  <si>
    <t>7102624682;16640002500;55943071100</t>
  </si>
  <si>
    <t>Doroshenko, V. A.;Evsyukov, E. K.;Kravchenko, V. F.</t>
  </si>
  <si>
    <t>Doroshenko V.A.</t>
  </si>
  <si>
    <t>Excitation of a Conical Slot Antenna</t>
  </si>
  <si>
    <t>2-s2.0-0042233661</t>
  </si>
  <si>
    <t>['direct measurements']</t>
  </si>
  <si>
    <t>Direct measurements of the increment in the antenna noise temperature due to a framed antenna dome are presented.</t>
  </si>
  <si>
    <t>919-921</t>
  </si>
  <si>
    <t>Shcheglov, K. S.</t>
  </si>
  <si>
    <t>Shcheglov K.</t>
  </si>
  <si>
    <t>The Noise Temperature of a Radiotransparent Antenna Dome</t>
  </si>
  <si>
    <t>2-s2.0-0043235833</t>
  </si>
  <si>
    <t>['order modes', 'h1 mode', 'extremal properties', 'analytical methods']</t>
  </si>
  <si>
    <t>Analytical methods for optimizing the signal-to-interference plus noise ratio in monopulse antenna arrays with simultaneous and separate beamforming based on extremal properties of the Hermitian form ratio are proposed. Boresight stabilization techniques are considered. The effect of higher-order modes on the characteristics of the optimized monopulse antenna array is analyzed by the example of planar waveguide arrays with dielectric plugs excited by the H1 mode.</t>
  </si>
  <si>
    <t>901-908</t>
  </si>
  <si>
    <t>6701692693;7801583654</t>
  </si>
  <si>
    <t>Manuilov, B. D.;Bashly, P. N.</t>
  </si>
  <si>
    <t>Manuilov B.</t>
  </si>
  <si>
    <t>Power Optimization of Monopulse Antenna Arrays</t>
  </si>
  <si>
    <t>2-s2.0-0043235834</t>
  </si>
  <si>
    <t>['exact solution']</t>
  </si>
  <si>
    <t>An exact solution is given to the problem of electromagnetic wave diffraction by a disk in the presence of a sphere by the technique of wave amplitude transformation when shifting the origin of the spherical coordinates system. A versatile software model of a system of bodies up to several wavelengths large, which allows designing spacecraft antennas taking into account the effect of closely spaced obstacles, is created.</t>
  </si>
  <si>
    <t>858-865</t>
  </si>
  <si>
    <t>Kozlov, I. P.</t>
  </si>
  <si>
    <t>Kozlov I.</t>
  </si>
  <si>
    <t>Spaceborne Antenna Design</t>
  </si>
  <si>
    <t>2-s2.0-0043235845</t>
  </si>
  <si>
    <t>['¬© 2001', 'volcanological society', 'vector velocities', 'various velocities', 'tilt angles', 'steady velocities', 'space sciences', 'several studies', 'seismological society', 'rights reserved', 'previous studies', 'polar plot', 'planetary sciences', 'moved eastward', 'move southwestward', 'midnight sector', 'magnetospheric convection', 'japanese society', 'group ii', 'geographic coordinates', 'geodetic society', 'features similar', 'evening sectors', 'eastward axis', 'drift velocities', 'drift region', 'automatically detected', 'absorption peaks', '7 ¬∞']</t>
  </si>
  <si>
    <t>We studied the local time dependence of the direction of cosmic noise absorption drift using a large data set obtained with a 16 √ó 16-antenna imaging riometer inPokerFlat, Alaska (65.1¬∞N, 147.5¬∞ W in geographic coordinates; 65.4¬∞N, 100.7¬∞ in geomagnetic coordinates). The drift velocities were determined using regression lines for the absorption peaks, which were automatically detected. Based on the characteristics of the motion of the drift region, the events were categorized into three magnetic local time (MLT) groups: I (13‚Äî19 MLT), II (21‚Äî01 MLT) and III (01 ‚Äî07 MLT). Most events in group I move southwestward with steady velocities. Events in group II had various velocities and directions. Events in group III also had various velocities, but the tilt angles of their vector velocities from the eastward axis were between ‚Äî90¬∞ and 90¬∞, meaning that they moved eastward. These results are consistent with some found in previous studies. A polar plot of the drift had a pattern with features similar to that of magnetospheric convection, which has been reported on several studies: equatorward in the pre-midnight sector and sunward in the morning and evening sectors. ¬© 2001, The Seismological Society of Japan, Society of Geomagnetism and Earth, Planetary and Space Sciences, The Volcanological Society of Japan, The Geodetic Society of Japan, The Japanese Society for Planetary Sciences. All rights reserved.</t>
  </si>
  <si>
    <t>753-760</t>
  </si>
  <si>
    <t>115585893;60092258;60092258;60092258;60092258;60092258</t>
  </si>
  <si>
    <t>8575155500;15735936400;7202793894;35477153700;7404917226;56188731500</t>
  </si>
  <si>
    <t>Kainuma, Shoji;Ishii, Mamoru;Murayama, Yasuhiro;Kikuchi, Takashi;Mori, Hirotaka;Igarashi, Kiyoshi</t>
  </si>
  <si>
    <t>Koganei;Ibusuki-gun, Kagoshima</t>
  </si>
  <si>
    <t>Ministry of Posts and Telecommunications, Japan;Yamagawa Radio Observatory</t>
  </si>
  <si>
    <t>60092258;115585893</t>
  </si>
  <si>
    <t>Kainuma S.</t>
  </si>
  <si>
    <t>Drift motion of ionospheric arc-like absorption regions observed with a 256-beam imaging riometer in Alaska</t>
  </si>
  <si>
    <t>10.1186/BF03352403</t>
  </si>
  <si>
    <t>2-s2.0-10644286050</t>
  </si>
  <si>
    <t>['testis sheaths', 'testis sheath', 'testis ecdysiotropin', 'target organ', 'synthesize ecdysteroid', 'rhodnius prolixus', 'release ecdysteroid', 'prothoracic glands', 'polyclonal antibody', 'modulating pathway', 'may indicate', 'lte immunoreactivity', 'like peptide', 'like immunoactivity', 'insect biochem', 'induced development', 'heliothis virescens', 'growth factor', 'glycoprotein similar', 'frontal ganglia', 'elongating spermatids', 'dispar pupae', 'developing l', 'brain extracts', 'apparently mediated', 'angiotensin ii', 'also synthesize', 'also seen', 'also detected', '473 daltons']</t>
  </si>
  <si>
    <t>Testes of lepidoptera synthesized ecdysteroid in a somewhat different temporal pattern than the prothoracic glands that release ecdysteroid to the hemolymph. Brain extracts from Heliothis virescens and Lymantria dispar induced testes to synthesize ecdysteroid, but did not affect prothoracic glands. The testis ecdysiotropin (LTE) was isolated from L. dispar pupal brains by a series of high-pressure chromatography steps. Its sequence was Ile-Ser-Asp-Phe-Asp-Glu-Tyr-Glu-Pro-Leu-Asn-Asp-Ala-Asp-Asn-Asn-Glu-Val-Leu-Asp- Phe-OH, of molecular mass 2,473 Daltons. The predominant signaling pathway for LTE was via Gi protein, IP3, diacylglycerol and PKC; a modulating pathway, apparently mediated by an angiotensin Ii-like peptide, was controlled via Gs protein, cAMP, and PKA. Testis ecdysteroid caused isolated testis sheaths to also synthesize a growth factor that induced development of the male genital tract. The growth factor appeared to be a glycoprotein similar to vertebrate Œ±-1-glycoprotein. A polyclonal antibody to LTE indicated LTE-like peptide in L. dispar brain medial neurosecretory cells, the suboesophageal, and other ganglia, and also in its target organ, the testis sheath. LTE immunoreactivity was also seen in testis sheaths of Rhodnius prolixus. LTE-like immunoactivity was also detected in developing optic lobes, antennae, frontal ganglia, and elongating spermatids of developing L. dispar pupae. This may indicate that LTE has a role in development as well as stimulation of testis ecdysteroid synthesis. Arch. Insect Biochem. Physiol. 47:181-188, 2001. Published 2001 Wiley-Liss, Inc.</t>
  </si>
  <si>
    <t>Archives of Insect Biochemistry and Physiology</t>
  </si>
  <si>
    <t>60032280-100373421;123304360;60032280;60012771;60006577;60032280;60032280;123304360;60033420;60033420;60032280;60020304</t>
  </si>
  <si>
    <t>7101938638;7006533496;35587407200;7102883274;35765637700;7003564613;7003496512;57189882662;23378580300;6603575098;7404298633;7202272168</t>
  </si>
  <si>
    <t>Loeb, Marcia J.;De Loof, Arnold;Gelman, Dale B.;Hakim, Raziel S.;Jaffe, Howard;Kochansky, Jan P.;Meola, Shirlee M.;Schoofs, Liliane;Steel, Colin;Vafopoulou, Xanthe;Wagner, Renee M.;Woods, Charles W.</t>
  </si>
  <si>
    <t>Canada;United States;United States;United States;United States;Belgium;United States</t>
  </si>
  <si>
    <t>Toronto;Washington, D.C.;College Park;Washington, D.C.;Bethesda;Leuven;Beltsville</t>
  </si>
  <si>
    <t>York University;United States Department of Agriculture;University of Maryland, College Park;Howard University;National Institutes of Health (NIH);Zoological Institute;Insect Biocontrol Laboratory</t>
  </si>
  <si>
    <t>60033420;60032280;60020304;60012771;60006577;123304360;100373421</t>
  </si>
  <si>
    <t>Loeb M.J.</t>
  </si>
  <si>
    <t>Testis ecdysiotropin, an insect gonadotropin that induces synthesis of ecdysteroid</t>
  </si>
  <si>
    <t>10.1002/arch.1050</t>
  </si>
  <si>
    <t>2-s2.0-18044400121</t>
  </si>
  <si>
    <t>['simple expression', 'iterative methods', 'explicit formulas', 'design parameters']</t>
  </si>
  <si>
    <t>Gain | Microwave antennas | Pyramidal horn | Pyramidal horn design</t>
  </si>
  <si>
    <t>A new, very simple expression for the wide aperture dimension of the horn is presented and used in the optimum-gain pyramidal horn design. The design parameters are determined from the simple and explicit formulas. These formulas do not need the application of the iterative methods and are not restricted to the high-gain horn designs. The gain of a designed pyramidal horn is computed with no path length error approximation. Several design examples are given that illustrate the performance of the proposed design method. This proposed design method is useful for microwave antenna designers and the computer aided design (CAD) of optimum-gain pyramidal horns.</t>
  </si>
  <si>
    <t>A New Design Method for Optimum Gain Pyramidal Horns</t>
  </si>
  <si>
    <t>10.1080/027263401750399561</t>
  </si>
  <si>
    <t>2-s2.0-18044405081</t>
  </si>
  <si>
    <t>['zero spacing', 'tmssa attains', 'structure improved', 'second resonance', 'loss band', 'frl ).', 'first resonance', 'elements reveal', 'angular rotation', 'also observed', '6 mhz', '5 mm', '3 mhz', '14 mhz']</t>
  </si>
  <si>
    <t>Experimental investigations conducted on triangular microstrip stacked antenna (TMSSA) to achieve dual band operation by optimizing the number of elements reveal that TMSSA attains the maximum -10 dB return-loss band of 688.6 MHz for (1+3) structure for second resonance. The air gap spacing of 2.5 mm in (1+1) structure improved -10 dB return-loss (RL) band by 612.14 MHz as compared to 242.3 MHz for zero spacing in first resonance (frl). It is also observed that -10 dB return-loss band depends heavily on the angular rotation (non-alignment) in the (1+1) structure.</t>
  </si>
  <si>
    <t>205-208</t>
  </si>
  <si>
    <t>7801599154;7003714798</t>
  </si>
  <si>
    <t>Vasistha, Prashant;Vishvakarma, Babau R.</t>
  </si>
  <si>
    <t>Vasistha P.</t>
  </si>
  <si>
    <t>Triangular microstrip stacked antenna for dual band operation</t>
  </si>
  <si>
    <t>2-s2.0-33748630252</t>
  </si>
  <si>
    <t>['wave scattering', 'potential accuracy', 'meter wavelengths', 'formulate proposals', 'field reflection', 'direction finder', 'circular array', 'capacitance loads', 'array radius', 'antenna system', 'antenna elements']</t>
  </si>
  <si>
    <t>The influence of the field reflection in an antenna system on the accuracy and resolution of the phase direction finder is studied on the basis of solving the problem of electromagnetic-wave scattering by a circular array of monopoles with capacitance loads in the form of thin metal discs located near an infinite perfectly conducting plane. We formulate proposals on the choice of the number of antenna elements and the array radius, which ensure the potential accuracy and resolution of the direction finder for meter wavelengths.</t>
  </si>
  <si>
    <t>626-631</t>
  </si>
  <si>
    <t>120999632;120999632</t>
  </si>
  <si>
    <t>57203504148;57203497154</t>
  </si>
  <si>
    <t>Ostinskii, O. A.;Razin‚Äôkov, S. N.</t>
  </si>
  <si>
    <t>Voronezh</t>
  </si>
  <si>
    <t>The 5th Central Research and Test Institute of the Ministry of Defense of the Russian Federation</t>
  </si>
  <si>
    <t>Ostinskii O.A.</t>
  </si>
  <si>
    <t>Estimation of the influence of electromagnetic-wave scattering by a circular array of capacitively loaded monopoles on the accuracy and resolution of the phase direction finder</t>
  </si>
  <si>
    <t>10.1023/A:1012525606052</t>
  </si>
  <si>
    <t>2-s2.0-85051927766</t>
  </si>
  <si>
    <t>['smaller antenna', 'slot configuration', 'measured results']</t>
  </si>
  <si>
    <t>A meander-type slot antenna fed by a stripline is proposed for use in miniaturised personal communication systems. By varying the slot configuration of the antenna, a 56% smaller antenna to substitute the conventional slot antenna is achieved. Simulated and measured results are presented.</t>
  </si>
  <si>
    <t>995-996</t>
  </si>
  <si>
    <t>60016912;60016912;60016912;60016912</t>
  </si>
  <si>
    <t>57191685691;7409319783;55921743900;7601569193</t>
  </si>
  <si>
    <t>Kim, J. M.;Kim, K. W.;Yook, J. G.;Park, H. K.</t>
  </si>
  <si>
    <t>Yonsei University</t>
  </si>
  <si>
    <t>Kim J.M.</t>
  </si>
  <si>
    <t>Compact stripline-fed meander slot antenna</t>
  </si>
  <si>
    <t>10.1049/el:20010667</t>
  </si>
  <si>
    <t>2-s2.0-0035797457</t>
  </si>
  <si>
    <t>['shorting pin', 'novel configuration', 'ground plane', 'far end']</t>
  </si>
  <si>
    <t>A novel configuration of a shorted fractal Sierpinski gasket antenna is proposed. Using only half the structure of a conventional Sierpinski gasket, the antenna is folded over to be parallel to the ground plane, to form an element that is, in some ways, similar to the inverted L antenna. A shorting pin is then placed at the far end of the antenna. A quasi log periodic resonance behaviour is observed.</t>
  </si>
  <si>
    <t>1000-1001</t>
  </si>
  <si>
    <t>60019702;60019702;60005510;60014174</t>
  </si>
  <si>
    <t>United Kingdom;United Kingdom;Singapore</t>
  </si>
  <si>
    <t>Birmingham;Ipswich;Singapore City</t>
  </si>
  <si>
    <t>University of Birmingham;British Telecom Research Lab;Nanyang Technological University</t>
  </si>
  <si>
    <t>60019702;60014174;60005510</t>
  </si>
  <si>
    <t>10.1049/el:20010709</t>
  </si>
  <si>
    <t>2-s2.0-0035797460</t>
  </si>
  <si>
    <t>['unknown near', 'suitable functional', 'polar surface', 'field phase', 'field measurements']</t>
  </si>
  <si>
    <t>An integrated probe performing phaseless near-field measurements on a polar surface is presented. The unknown near-field phase is computed by an interferometric technique used in conjunction with the minimisation of a suitable functional. A microstrip patch antenna for synthetic aperture radar (SAR) applications is considered to validate the method.</t>
  </si>
  <si>
    <t>1018-1020</t>
  </si>
  <si>
    <t>60020261;60020261;60017293</t>
  </si>
  <si>
    <t>14029886000;57201738411;55934942300</t>
  </si>
  <si>
    <t>Costanzo, S.;Di Massa, G.;Migliore, M. D.</t>
  </si>
  <si>
    <t>Rende;Naples</t>
  </si>
  <si>
    <t>Universit√† della Calabria;Universit√† degli Studi di Napoli Federico II</t>
  </si>
  <si>
    <t>60020261;60017293</t>
  </si>
  <si>
    <t>Costanzo S.</t>
  </si>
  <si>
    <t>Integrated microstrip probe for phaseless near-field measurements on plane-polar geometry</t>
  </si>
  <si>
    <t>10.1049/el:20010684</t>
  </si>
  <si>
    <t>2-s2.0-0035797464</t>
  </si>
  <si>
    <t>['small antenna', 'ring slot', 'proposed antenna', 'polarisation planes', 'offset open', 'novel dual', 'gain variation', 'frequency operation', 'frequency design', 'frequencies 2', 'experimental results', 'circular patch', 'antenna design', '2 ghz']</t>
  </si>
  <si>
    <t>A novel dual-frequency design of a single-layer, single-feed circular microstrip antenna for dual ISM bands is demonstrated. Due to the embedding of an offset open-ring slot in a circular patch, a novel dual-frequency operation with its two operating modes centred at about frequencies 2.4 and 5.2 GHz has been obtained. The two operating frequencies have similar broadside radiation patterns and same polarisation planes, and small antenna-gain variation. Details of the antenna design and experimental results for the proposed antenna are presented.</t>
  </si>
  <si>
    <t>999-1000</t>
  </si>
  <si>
    <t>Jan, J. Y.</t>
  </si>
  <si>
    <t>Jan J.</t>
  </si>
  <si>
    <t>Low-profile dual-frequency circular microstrip antenna for dual ISM bands</t>
  </si>
  <si>
    <t>10.1049/el:20010686</t>
  </si>
  <si>
    <t>2-s2.0-0035797466</t>
  </si>
  <si>
    <t>['tuning stubs', 'switchable slots', 'experimental results', 'cp performance', 'band operation', 'antenna design']</t>
  </si>
  <si>
    <t>A novel patch antenna with switchable slots is proposed for dual-band circularly polarised (CP) operation. Two diode controlled slots are incorporated into the patch for dual-band operation and a pair of tuning stubs are utilised to tune the CP performance. The antenna design and experimental results are presented.</t>
  </si>
  <si>
    <t>1002-1003</t>
  </si>
  <si>
    <t>57198993246;7102110120</t>
  </si>
  <si>
    <t>Yang, F.;Rahmat-Samii, Y.</t>
  </si>
  <si>
    <t>Switchable dual-band circularly polarised patch antenna with single feed</t>
  </si>
  <si>
    <t>10.1049/el:20010695</t>
  </si>
  <si>
    <t>2-s2.0-0035797482</t>
  </si>
  <si>
    <t>['new york', 'capacity survey', '16 receivers']</t>
  </si>
  <si>
    <t>A multiple transmit multiple receive (MTMR) capacity survey has been performed in Manhattan, New York for mobile and pedestrian wireless services, using 16 transmitters and 16 receivers. Shannon capacities close to the Rayleigh i.i.d. have been measured for 2 Tx 2 Rx, 4 Tx 4 Rx, 16 Tx 16 Rx systems.</t>
  </si>
  <si>
    <t>1041-1042</t>
  </si>
  <si>
    <t>60026638;60026638;60026638;60026638;60031828;60031828</t>
  </si>
  <si>
    <t>35932385400;35584953100;6603174156;7101611306;57198111806;7202143525</t>
  </si>
  <si>
    <t>Ling, J.;Chizhik, D.;Wolniansky, P.;Valenzuela, R.;Costa, N.;Huber, K.</t>
  </si>
  <si>
    <t>Canada;Finland</t>
  </si>
  <si>
    <t>Hamilton;Espoo</t>
  </si>
  <si>
    <t>McMaster University;Nokia Corporation</t>
  </si>
  <si>
    <t>60031828;60026638</t>
  </si>
  <si>
    <t>Ling J.</t>
  </si>
  <si>
    <t>Multiple transmit multiple receive (MTMR) capacity survey in Manhattan</t>
  </si>
  <si>
    <t>10.1049/el:20010693</t>
  </si>
  <si>
    <t>2-s2.0-0035797497</t>
  </si>
  <si>
    <t>['wide range', 'transmission response', 'thin substrates', 'reflection band', 'incidence dependent', 'genetic algorithm', 'crossed dipoles']</t>
  </si>
  <si>
    <t>Crossed dipoles are used as dual polarised elements in frequency selective surface arrays but the transmission response is angle of incidence dependent. A genetic algorithm has been used to minimise the drift of the reflection band, stabilising it for a wide range of angles, to beyond 60¬∞, even on thin substrates.</t>
  </si>
  <si>
    <t>996-997</t>
  </si>
  <si>
    <t>60010818;60010818;60010818;60010818</t>
  </si>
  <si>
    <t>7201840709;6701488061;7102439597;6701407340</t>
  </si>
  <si>
    <t>Parker, E. A.;Chuprin, A. D.;Batchelor, J. C.;Savia, S. B.</t>
  </si>
  <si>
    <t>Parker E.</t>
  </si>
  <si>
    <t>GA optimisation of crossed dipole FSS array geometry</t>
  </si>
  <si>
    <t>10.1049/el:20010713</t>
  </si>
  <si>
    <t>2-s2.0-0035797519</t>
  </si>
  <si>
    <t>['user terminals', 'resonant frequency', 'planar inverted', 'multiband operation', 'low height', 'ground plane', 'f antenna', 'band operation']</t>
  </si>
  <si>
    <t>User terminals of modern mobile communication systems require efficient, low profile antennas, capable of broadband and multiband operation. In that respect, planar inverted-F antenna (PIFA) designs have emerged that explore the trade-off between the height above the ground-plane and the achievable effective bandwidth. Further possible bandwidth enhancements are studied, as is multi-band operation by switching and tuning the resonant frequency of the PIFA, while maintaining a low height above the ground plane.</t>
  </si>
  <si>
    <t>1003-1004</t>
  </si>
  <si>
    <t>60017826;60017826;100617655</t>
  </si>
  <si>
    <t>6603494642;7003347612;6701787604</t>
  </si>
  <si>
    <t>Panayi, P. K.;Al-Nuaimi, M. O.;Ivrissimtzis, L. P.</t>
  </si>
  <si>
    <t>Pontypridd;Ascot</t>
  </si>
  <si>
    <t>University of South Wales;Agere Systems</t>
  </si>
  <si>
    <t>60017826;100617655</t>
  </si>
  <si>
    <t>Panayi P.</t>
  </si>
  <si>
    <t>Tuning techniques for planar inverted-F antenna</t>
  </si>
  <si>
    <t>10.1049/el:20010692</t>
  </si>
  <si>
    <t>2-s2.0-0035797523</t>
  </si>
  <si>
    <t>['unique feature', 'singlet annihilation', 'rhodospirillum molischianum', 'red shift', 'preferentially generates', 'photon density', 'multiple excitation', 'localized excitations', 'localized excitation', 'lh2 complex', 'latter decay', 'four b850s', 'former decay', 'empirically fit', 'e .,', 'car shifts', 'car absorption', 'blue shift', 'b850 ring', '8 ),', '4 ps', '3 ),']</t>
  </si>
  <si>
    <t>Changes in the carotenoid (Car) 1Bu+ absorption upon excitation (using a photon density of 1015 photons cm-2) of bacteriochlorophyll (BChl) in the LH2 complex from Rhodospirillum molischianum were traced with subpicosecond time resolution. The absorption changes could be empirically fit by two components showing a blue shift and a red shift in a ratio of 1:3.6. The shifts of Car absorption were explained in terms of interaction between change in dipole moment upon the 1Bu+ ‚Üê ground transition of Car and that upon the Qy ‚Üê ground transition of BChl. Calculations of the shifts for three different types of excitation in the B850 ring of the LH2 complex, i.e., (i) localized excitation on B850a or B850b, (ii) partially delocalized excitation over four B850s, and (iii) completely delocalized excitation over the B850 ring predicted the Car shifts with direction (relative magnitude), (i) a blue shift (1) or a red shift (3.3), (ii) a red shift (0.8), and (iii) a small red shift (0.2), respectively. Thus, the blue shift and the red shift components were attributed to localized excitations on B850a and B850b, respectively. The B850a excitation decayed rapidly (‚àº 0.1 ps), whereas the B850b excitation decayed more slowly (‚àº 0.4 ps) and then stayed; the former decay was ascribed to singlet-singlet annihilation between B850a and B850b, whereas the latter decay to singlet-singlet annihilation between B850b's. The unique feature of excitation with high photon density, which preferentially generates the localized excitations through multiple excitation, and enhances subsequent singlet-singlet annihilation reactions, is discussed.</t>
  </si>
  <si>
    <t>7312-7322</t>
  </si>
  <si>
    <t>60027395;60013274;60027395;60069419;60027395;60027395;60027395</t>
  </si>
  <si>
    <t>56496820200;7005860940;35922459600;6508172501;7102890783;55710220700;7402471323</t>
  </si>
  <si>
    <t>Zhang, Jian Ping;Nagae, Hiroyoshi;Qian, Pu;Limantara, Leenawaty;Fujii, Ritsuko;Watanabe, Yasutaka;Koyama, Yasushi</t>
  </si>
  <si>
    <t>Indonesia;Japan;Japan</t>
  </si>
  <si>
    <t>Salatiga;Nishinomiya;Kobe</t>
  </si>
  <si>
    <t>Satya Wacana Christian University;Kwansei Gakuin University;Kobe City University of Foreign Studies</t>
  </si>
  <si>
    <t>60069419;60027395;60013274</t>
  </si>
  <si>
    <t>Localized excitations on the B850a and B850b bacteriochlorophylls in the LH2 antenna complex from rhodospirillum molischianum as probed by the shifts of the carotenoid absorption</t>
  </si>
  <si>
    <t>10.1021/jp004360k</t>
  </si>
  <si>
    <t>2-s2.0-0035797739</t>
  </si>
  <si>
    <t>['supramolecular organization', 'red ones', 'radiationless process', 'parallel channels', 'neutral dye', 'emitting dyes', 'blue ones']</t>
  </si>
  <si>
    <t>Dyes/pigments | Energy | Fluorescence spectroscopy | Transfer | Zeolites</t>
  </si>
  <si>
    <t>In a radiationless process, electronic excitation energy can be transported in the photonic antennae presented herein from the borders to the center of cylindrical zeolite L crystals (ca. 2 Œº). These antennae are formed by supramolecular organization (see schematic representation) of a cationic and a neutral dye in the parallel channels of the crystal. The rectangles symbolize adsorption sites, for which the red ones are filled with red-emitting dyes and blue ones with blue-emitting dyes.</t>
  </si>
  <si>
    <t>2839-2842</t>
  </si>
  <si>
    <t>Angewandte Chemie - International Edition</t>
  </si>
  <si>
    <t>60020486;60020486;60105998;60020486;60105998;60020486</t>
  </si>
  <si>
    <t>6603549559;57214031951;23106692900;15072946300;6701738146;7006817889</t>
  </si>
  <si>
    <t>Pauchard, Marc;Huber, Stefan;MeandÃÅallet-Renault, Rachel;Maas, Huub;Pansu, Robert;Calzaferri, Gion</t>
  </si>
  <si>
    <t>France;Switzerland</t>
  </si>
  <si>
    <t>Gif-sur-Yvette;Bern</t>
  </si>
  <si>
    <t>Laboratoire de Photophysique et Photochimie Supramol√©culaires et Maromol√©culaires;University of Bern</t>
  </si>
  <si>
    <t>60105998;60020486</t>
  </si>
  <si>
    <t>Pauchard M.</t>
  </si>
  <si>
    <t>Time- and space-resolved luminescence of a photonic dye - Zeolite antenna</t>
  </si>
  <si>
    <t>10.1002/1521-3773(20010803)40:15&lt;2839::AID-ANIE2839&gt;3.0.CO;2-O</t>
  </si>
  <si>
    <t>2-s2.0-0035800410</t>
  </si>
  <si>
    <t>['shorting pin', 'presented based', 'measured result', 'good agreement', 'difference time', 'chosen independently', 'calculated result', 'approach enables', 'accurate analysis']</t>
  </si>
  <si>
    <t>Conformal FDTD method | Microstrip antennas | Shorted microstrip patch antennas</t>
  </si>
  <si>
    <t>An accurate analysis of shorted microstrip patch antennas is presented based on the use of the locally conformal finite-difference time-domain (CFDTD) method. This approach enables the positions and dimensions of the probe and the shorting pin to be chosen independently. The calculated result is compared with the measured result, and good agreement is observed. ¬© 2001 John Wiley &amp; Sons, Inc. Microwave Opt Technol Lett.</t>
  </si>
  <si>
    <t>216-218</t>
  </si>
  <si>
    <t>Accurate modeling of shorted microstrip patch antennas using the locally conformal FDTD method</t>
  </si>
  <si>
    <t>10.1002/mop.1269</t>
  </si>
  <si>
    <t>2-s2.0-0035812184</t>
  </si>
  <si>
    <t>['physical insight', 'microstrip antenna', 'experimental trial', 'error process', 'attractive solution', 'antenna designers']</t>
  </si>
  <si>
    <t>Broadband techniques | Microstrip antenna design | Stacked microstrip patch antennas</t>
  </si>
  <si>
    <t>A simple network model for the design of an electromagnetically coupled stacked patch (ECSP) configuration of a microstrip antenna was presented. The proposed electrical models are a physical insight into the behavior of the ECSP. Such a simple tool allowed a fast design process, avoiding a full electromagnetic simulation and experimental trial-and-error process. Microstrip patch antennas (MPA) proved to be an attractive solution for antenna designers, especially in areas such as antennas for mobile-communications base stations and antennas for handsets. A coupled RLC resonator network was introduced to model the input impedance behavior of the ECSP.</t>
  </si>
  <si>
    <t>149-151</t>
  </si>
  <si>
    <t>100646442;100646442;100646442</t>
  </si>
  <si>
    <t>35611493500;7006058796;7003915994</t>
  </si>
  <si>
    <t>Anguera, J.;Puente, C.;Borja, C.</t>
  </si>
  <si>
    <t>A procedure to design stacked microstrip patch antennas based on a simple network model</t>
  </si>
  <si>
    <t>10.1002/mop.1248</t>
  </si>
  <si>
    <t>2-s2.0-0035812187</t>
  </si>
  <si>
    <t>['w der', 'supported structure', 'stable across', 'slot patch', 'rectangular patch', 'obtained using', 'impedance bandwidth', 'foam layer', 'field patterns', '0 dbi']</t>
  </si>
  <si>
    <t>Antenna feed | Patch antenna | Wideband antenna</t>
  </si>
  <si>
    <t>An investigation of the L-probe-fed shorted triangular patch antenna was reported. An impedance bandwidth of 61% and a gain of 4.0 dBi was obtained using a foam layer as a supported structure. The impedance bandwidth of the antenna was found to be w der than the rectangular patch, U-slot patch and stacked case types. The far-field patterns were found to be stable across the passband.</t>
  </si>
  <si>
    <t>Small wideband traingular patch antenna with an L-probe feeding</t>
  </si>
  <si>
    <t>10.1002/mop.1270</t>
  </si>
  <si>
    <t>2-s2.0-0035812189</t>
  </si>
  <si>
    <t>['significant improvements', 'photonic bandgap', 'pattern radiation', 'fed annular', 'experimentally demonstrated', 'experimental results', 'antenna studied', 'antenna performances', 'antenna gain', '7 dbi']</t>
  </si>
  <si>
    <t>Annular-ring microstrip antenna | Conical-pattern radiation | Photonic bandgap ground plane</t>
  </si>
  <si>
    <t>A probe-fed annular-ring microstrip antenna with a photonic bandgap (PBG) ground plane operating in the higher order mode of TM21 for conical-pattern radiation is experimentally demonstrated. The antenna studied is printed on a thin FR4 substrate (relative permittivity 4.4) and, owing to the PBG ground plane used, significant improvements in the antenna performances are observed. The obtained impedance bandwidth is doubled, and the antenna gain is enhanced by about 7 dBi. Details of the experimental results are presented and discussed. ¬© 2001 John Wiley &amp; Sons, Inc.</t>
  </si>
  <si>
    <t>159-161</t>
  </si>
  <si>
    <t>A conical-pattern annular-ring microstrip antenna with a photonic bandgap ground plane</t>
  </si>
  <si>
    <t>10.1002/mop.1251</t>
  </si>
  <si>
    <t>2-s2.0-0035812190</t>
  </si>
  <si>
    <t>['shaped spur', 'recent breakthroughs', 'obtain broad', 'novel rectangular', 'new techniques', 'line dual', 'compact integration', 'bandwidth elements']</t>
  </si>
  <si>
    <t>Microstrip antennas | Spur-line filters</t>
  </si>
  <si>
    <t>Recent breakthroughs in mobile phone technology are focusing on new techniques that allow the compact integration of dual-band printed antennas into handsets with an increase in their inherent narrow handwidth. In this letter, novel rectangular, circular, triangular, hexagonal, and bow-tie-shaped spur-line dual-band printed structures have been designed, measured, and compared. Although a second resonant frequency is obtained, it has been clearly made evident that spur-line filter techniques are unable to obtain broad-bandwidth elements, unless they can by combined with other methods. ¬© 2001 John Wiley &amp; Sons, Inc. Microwave Opt Technol Lett.</t>
  </si>
  <si>
    <t>205-207</t>
  </si>
  <si>
    <t>60014907;60014907;60072505;60014907</t>
  </si>
  <si>
    <t>12241914400;23107111800;35608380600;7003359258</t>
  </si>
  <si>
    <t>Mart√≠nez-Gonz√°lez, Antonio;S√°nchez-Aguilar, Ma Angeles;Mart√≠nez-Vazquez, Marta;S√°nchez-Hern√°ndez, David</t>
  </si>
  <si>
    <t>Kamp-Lintfort;Cartagena</t>
  </si>
  <si>
    <t>IMST GmbH;Universidad Politecnica de Cartagena</t>
  </si>
  <si>
    <t>60072505;60014907</t>
  </si>
  <si>
    <t>Mart√≠nez-Gonz√°lez A.</t>
  </si>
  <si>
    <t>A comparison of dual-band spur-line printed antennas for handheld terminals</t>
  </si>
  <si>
    <t>10.1002/mop.1266</t>
  </si>
  <si>
    <t>2-s2.0-0035812193</t>
  </si>
  <si>
    <t>['similar behaviors', 'rectangular waveguides', 'planar arrays', 'phased arrays']</t>
  </si>
  <si>
    <t>Array antennas | Linear arrays | Planar arrays</t>
  </si>
  <si>
    <t>In this paper, the method of moments is employed to analyze both planar and linear finite phased arrays of radiating slots fed by rectangular waveguides. The equivalent magnetic currents and active patterns due to these elements of phased arrays are discussed in detail. The relationship between linear and planar arrays is analyzed, and some similar behaviors are realized. ¬© 2001 John Wiley &amp; Sons, Inc. Microwave Opt Technol Lett.</t>
  </si>
  <si>
    <t>14010585000;7501449136;7202267270;35581072400;7102006113</t>
  </si>
  <si>
    <t>Li, Jian Ying;Li, Le Wei;Ooi, Ban Leong;Kooi, Pang Shyan;Leong, Mook Seng</t>
  </si>
  <si>
    <t>Analysis of similar behaviors of planar and linear arrays</t>
  </si>
  <si>
    <t>10.1002/mop.1263</t>
  </si>
  <si>
    <t>2-s2.0-0035812195</t>
  </si>
  <si>
    <t>['wave antennas', 'wave antenna', 'typical nrd', 'straightforward manner', 'proposed approach', 'pmls ).', 'guide leaky', 'general approach', 'form nrd', 'element method', 'cross section']</t>
  </si>
  <si>
    <t>Finite-element method | Leaky-wave antennas | Nonradiative dielectric guide</t>
  </si>
  <si>
    <t>A convenient and general approach was presented for analysing nonradiative dielctric (NRD)- guide leaky wave antennas using the finite-element method (FEM) and perfectly matched layers (PMLs). A typical NRD-guide leaky-wave antenna was calculated to confirm the validity of the proposed approach. This approach was extended to anlyze other leaky-wave antennas in a straightforward manner. Asymmetry in the cross section of this guide caused strong leakage of the field, and form NRD-guide leaky-wave antennas. The key to characterizing this leaky-wave antenna was to determine its complex propagation constants.</t>
  </si>
  <si>
    <t>173-175</t>
  </si>
  <si>
    <t>7102570487;7006849191</t>
  </si>
  <si>
    <t>Sheng, X. Q.;Yung, K. N.</t>
  </si>
  <si>
    <t>Sheng X.</t>
  </si>
  <si>
    <t>A convenient and general approach for analyzing NRD-guide leaky-wa0ve antennas</t>
  </si>
  <si>
    <t>10.1002/mop.1256</t>
  </si>
  <si>
    <t>2-s2.0-0035812204</t>
  </si>
  <si>
    <t>['wideband double', 'vswr exhibiting', 'shaped microstrip', 'radiation patterns', 'offset parameters', 'measured bandwidth', 'inc ..', 'impedance loci', 'experimental data', 'experimental characteristics', 'broad band', 'approximately 114', '638 ghz', '0 ).']</t>
  </si>
  <si>
    <t>Feedline | Microstrip antennas | Offsets</t>
  </si>
  <si>
    <t>The wideband double-T-shaped microstrip-line-fed slot antenna is studied in this letter. The characteristics of the antenna depended greatly on the offset parameters. The experimental characteristics of the impedance loci and VSWR exhibiting a multiloop and three-resonance are due to the effect of the broad band of the antenna. The measured bandwidth of the antenna is from 1.877 to 5.638 GHz, which is approximately 114% (VSWR ‚â§ 2.0). In addition, the experimental data for the impedance and the radiation patterns of the antenna are described. ¬© 2001 John Wiley &amp; Sons, Inc..</t>
  </si>
  <si>
    <t>Jang, Yong Woong</t>
  </si>
  <si>
    <t>Large-bandwidth double-T-shaped microstrip-fed single-layer single-slot antenna</t>
  </si>
  <si>
    <t>10.1002/mop.1260</t>
  </si>
  <si>
    <t>2-s2.0-0035812206</t>
  </si>
  <si>
    <t>['transfer function', 'spectral bandwidth', 'ringing action', 'radiated pulse', 'numerical time', 'field waveform', 'experimental results', 'domain formulation', 'careful shaping', 'antenna metalization']</t>
  </si>
  <si>
    <t>Geosurvey radar | Near-to far-field transform | Transient antenna radiation</t>
  </si>
  <si>
    <t>Theory and measurements are presented to show that careful shaping of antenna metalization can be used to design TEM horn antennas for ultra-wideband applications involving high-fidelity impulsive electromagnetic fields. The effect on the radiated pulse, spectral bandwidth, and transfer function is discussed. A numerical time-domain formulation is described to compute the impulsive radiated far-field waveform, and some experimental results are included to indicate the usefulness of the technique. The ringing action of the antenna is recognized as the crucial parameter constraining the usefulness of the design. ¬© 2001 John Wiley &amp; Sons, Inc.</t>
  </si>
  <si>
    <t>Morrow, Ivor L.</t>
  </si>
  <si>
    <t>Morrow I.</t>
  </si>
  <si>
    <t>TEM horn optimized for transient radiation</t>
  </si>
  <si>
    <t>10.1002/mop.1252</t>
  </si>
  <si>
    <t>2-s2.0-0035812207</t>
  </si>
  <si>
    <t>['widely adopted', 'secondary patterns', 'proved capable', 'primary patterns', 'paper proposes', 'operational levels', 'operational level', 'multibeam antenna', 'hybrid low', 'high power', 'high gain', 'generated level', 'forming networks', 'forming network', 'feed system', 'feed loss', 'especially effective', 'communications satellites', 'cluster feeds', 'calculated using', 'antenna elements']</t>
  </si>
  <si>
    <t>Beam-forming network | Cluster feed | Multibeam antenna | On-board antenna | Satellite mobile communications</t>
  </si>
  <si>
    <t>Cluster feeds have been widely adopted as multibeam antenna feeds for communications satellites because they can realize high edge levels. A low-level feed system in which amplifiers are connected after beam-forming networks is especially effective in reducing the feed loss. The beam-forming network is not required to withstand high powers. This system is promising as a feed system of a multibeam antenna that needs to transmit high power. However, it is difficult to equalize the operational level of amplifiers in a low-level feed system. This paper proposes a hybrid low-level feed system that can equalize the operational levels of amplifiers in order to use the amplifiers more efficiently. Analysis shows properties of a design of an antenna that adopted this system. Antenna elements and beam-forming networks were produced. The primary patterns were measured, and the secondary patterns were calculated using these results. A comparison of the design with the calculation results shows that a multibeam antenna with high gain and low side lobes is realizable with this system. The components into which high power is input, are proved capable of withstanding high power and verified the generated level of PIM. ¬© 2001 Scripta Technica, Electron Comm Jpn Pt 1.</t>
  </si>
  <si>
    <t>35-43</t>
  </si>
  <si>
    <t>60001271;60001271;60018735;60018735</t>
  </si>
  <si>
    <t>7202638604;7103117186;6505802463;6602770635</t>
  </si>
  <si>
    <t>Tokunaga, Kyoko;Tsunoda, Hiroaki;Yamasa, Yasuhiko;Orikasa, Teruaki</t>
  </si>
  <si>
    <t>Toshiba Corporation;Advanced Telecommunications Research Institute International (ATR)</t>
  </si>
  <si>
    <t>60018735;60001271</t>
  </si>
  <si>
    <t>Study of cluster feed system with hybrid low-level beam-forming network</t>
  </si>
  <si>
    <t>10.1002/ecja.1051</t>
  </si>
  <si>
    <t>2-s2.0-0034911391</t>
  </si>
  <si>
    <t>['tissue temperature', 'tissue parameters', 'statistical fluctuations', 'standard error', 'skull thickness', 'receiving antenna', 'realistic deviations', 'prolonged monitoring', 'numerical simulations', 'newborn infants', 'latter parameters', 'estimated temperature', 'deep brain', 'cooled surface', 'confidence interval']</t>
  </si>
  <si>
    <t>In this study we present a design for a multi-frequency microwave radiometer aimed at prolonged monitoring of deep brain temperature in newborn infants and suitable for use during hypothermic neural rescue therapy. We identify appropriate hardware to measure brightness temperature and evaluate the accuracy of the measurements. We describe a method to estimate the tissue temperature distribution from measured brightness temperatures which uses the results of numerical simulations of the tissue temperature as well as the propagation of the microwaves in a realistic detailed three-dimensional infant head model. The temperature retrieval method is then used to evaluate how the statistical fluctuations in the measured brightness temperatures limit the confidence interval for the estimated temperature: for an 18¬∞C temperature differential between cooled surface and deep brain we found a standard error in the estimated central brain temperature of 0.75¬∞C. Evaluation of the systematic errors arising from inaccuracies in model parameters showed that realistic deviations in tissue parameters have little impact compared to uncertainty in the thickness of the bolus between the receiving antenna and the infant's head or in the skull thickness. This highlights the need to pay particular attention to these latter parameters in future practical implementation of the technique.</t>
  </si>
  <si>
    <t>1885-1903</t>
  </si>
  <si>
    <t>60175990;60175990;100555770;60032724;60103680;60103680;60175990;60175990</t>
  </si>
  <si>
    <t>7102820326;7004064765;56796547400;7003371311;18836734000;7202744310;8065612800;35414766400</t>
  </si>
  <si>
    <t>Hand, J. W.;Van Leeuwen, G. M.J.;Mizushina, S.;Van De Kamer, J. B.;Maruyama, K.;Sugiura, T.;Azzopardi, D. V.;Edwards, A. D.</t>
  </si>
  <si>
    <t>United Kingdom;Japan;Netherlands;Japan</t>
  </si>
  <si>
    <t>London;Shizuoka;Utrecht;Shizuoka</t>
  </si>
  <si>
    <t>Imperial College London School of Medicine;Shizuoka University;University Medical Center Utrecht;TAO Hamamatsu Lifeline Research Cent</t>
  </si>
  <si>
    <t>60175990;60103680;60032724;100555770</t>
  </si>
  <si>
    <t>Hand J.W.</t>
  </si>
  <si>
    <t>Monitoring of deep brain temperature in infants using multi-frequency microwave radiometry and thermal modelling</t>
  </si>
  <si>
    <t>10.1088/0031-9155/46/7/311</t>
  </si>
  <si>
    <t>2-s2.0-0034912785</t>
  </si>
  <si>
    <t>['three types', 'takes account', 'structure higher', 'relative arrangement', 'receive constantly', 'patch shape', 'microstrip antennas', 'desirable ones', 'car position', 'car antennas', 'car antenna', 'beacon antennas', 'beacon antenna']</t>
  </si>
  <si>
    <t>Beacon antenna | Car antenna | Effective directivity | FD-TD | Microstrip antennas | Road vehicle communications</t>
  </si>
  <si>
    <t>Car antennas for road vehicle communications systems should be able to receive constantly the signals of beacon antennas at positions from just below the beacon antenna to a great distance along the road. In this paper, we restrict the discussion to the case of microstrip antennas and investigate what kind of patch shape is suitable for car antennas used in road vehicle communications systems. As a measure for evaluating the receiving power level, we define and use the "effective directivity," which takes account of the distance between the beacon antenna and car antenna and the relative arrangement of both antennas. This effective directivity represents the effective received electric field intensity. We examine various patch shapes from the viewpoint that the desirable ones have constant effective directivity irrespective of car position. As a result, three types of simple-structure higher-order-mode microstrip antennas are proposed. ¬© 2001 Scripta Technica, Electron Comm Jpn Pt 1.</t>
  </si>
  <si>
    <t>54-60</t>
  </si>
  <si>
    <t>60104123;60032407;60025997</t>
  </si>
  <si>
    <t>7006960378;7203027902;7005495467</t>
  </si>
  <si>
    <t>Kazama, Yasuhiro;Morita, Nagayoshi;Tokumaru, Shinobu</t>
  </si>
  <si>
    <t>Mitaka;Narashino;Tokyo</t>
  </si>
  <si>
    <t>Japan Radio Corporation;Chiba Institute of Technology;Keio University</t>
  </si>
  <si>
    <t>Kazama Y.</t>
  </si>
  <si>
    <t>Mobile communications higher-order-mode microstrip antennas for road vehicle communications</t>
  </si>
  <si>
    <t>10.1002/ecja.1053</t>
  </si>
  <si>
    <t>2-s2.0-0034915490</t>
  </si>
  <si>
    <t>['weight calculation', 'used directly', 'transmission characteristics', 'reception mode', 'reception frequencies', 'radiation patterns', 'radiation pattern', 'propagating signals', 'null directions', 'null depths', 'interference signals', 'incident directions', 'form nulls', 'computer simulation', 'communication systems', 'almost identical']</t>
  </si>
  <si>
    <t>Adaptive antenna | Digital beam forming | Frequency-invariant radiation pattern | Multibeam</t>
  </si>
  <si>
    <t>For mobile communication antennas, it is important to form nulls in the radiation pattern so that the antenna does not interfere with other communication systems in transmission. In cases where the frequencies for transmission and reception are different, as in FDD (Frequency Division Duplex) systems, if the weighting in the reception mode is used directly for transmission when forming the radiation pattern adaptively during transmission, the null directions are deviated so that the transmission characteristics are degraded. In this paper, a receiving and transmitting adaptive null beamforming algorithm is proposed in which a digital multibeam forming network for propagating signals with wide fractional bandwidths, having radiation patterns not dependent on the frequency, is used for weight calculation. Since the radiation patterns of multibeams are almost identical at the transmission and reception frequencies, almost identical null depth can be obtained for both transmission and reception after convergence. By means of computer simulation, it is confirmed that the nulls are formed in the incident directions of the interference signals in both transmission and reception and that the null depths are almost identical. ¬© 2001 Scripta Technica, Electron Comm Jpn Pt 1.</t>
  </si>
  <si>
    <t>26-34</t>
  </si>
  <si>
    <t>60101699;60032315</t>
  </si>
  <si>
    <t>55708054200;7102618328</t>
  </si>
  <si>
    <t>Sekiguchi, Takashi;Karasawa, Yoshio</t>
  </si>
  <si>
    <t>Tokyo;Chofu</t>
  </si>
  <si>
    <t>Mitsubishi Electric Corporation;The University of Electro-Communications</t>
  </si>
  <si>
    <t>Sekiguchi T.</t>
  </si>
  <si>
    <t>Frequency-invariant adaptive receiving and transmitting null beamforming</t>
  </si>
  <si>
    <t>10.1002/ecja.1050</t>
  </si>
  <si>
    <t>2-s2.0-0034915831</t>
  </si>
  <si>
    <t>['study investigates', 'several studies', 'sar increase', 'regional hyperthermia', 'positive influence', 'positive effect', 'performance indices', 'pelvic tumours', 'parameter variation', 'operating frequency', 'main parameter', 'external radiotherapy', 'coaxial tem', '7 relative', '150 mhz']</t>
  </si>
  <si>
    <t>Recently published results confirm the positive effect of regional hyperthermia combined with external radiotherapy on pelvic tumours. Several studies have been published on the improvement of RF annular array applicator systems with dipoles and a closed water bolus. This study investigates the performance of a next-generation applicator system for regional hyperthermia with a multiring annular array of antennas and an open water bolus. A cavity slot antenna is introduced to enhance the directivity and reduce mutual coupling between the antennas. Several design parameters, i.e. dimensions, number of antennas and operating frequency, have been evaluated using several patient models. Performance indices have been defined to evaluate the effect of parameter variation on the specific absorption rate (SAR) distribution. The performance of the new applicator type is compared with the Coaxial TEM. Operating frequency appears to be the main parameter with a positive influence on the performance. A SAR increase in tumour of 1.7 relative to the Coaxial TEM system can be obtained with a three-ring, six-antenna per ring cavity slot applicator operating at 150 MHz.</t>
  </si>
  <si>
    <t>1919-1935</t>
  </si>
  <si>
    <t>60032724;60032724;60032724;60032724</t>
  </si>
  <si>
    <t>6602124356;7003371311;6504359314;7007117582</t>
  </si>
  <si>
    <t>Kroeze, H.;Van de Kamer, J. B.;De Leeaw, A. A.C.;Lagendijk, J. J.W.</t>
  </si>
  <si>
    <t>Utrecht</t>
  </si>
  <si>
    <t>University Medical Center Utrecht</t>
  </si>
  <si>
    <t>Kroeze H.</t>
  </si>
  <si>
    <t>Regional hyperthermia applicator design using FDTD modelling</t>
  </si>
  <si>
    <t>10.1088/0031-9155/46/7/313</t>
  </si>
  <si>
    <t>2-s2.0-0034919479</t>
  </si>
  <si>
    <t>['treatment planning', 'thermographic technique', 'sterile saline', 'square array', 'simulation solved', 'sar measurements', 'prostate tissue', 'prostate periphery', 'prostate cancer', 'power deposition', "hydrodissection ',", 'experimental treatment', 'criteria could', 'crescent array', 'array patterns']</t>
  </si>
  <si>
    <t>Interstitial microwave therapy is an experimental treatment for prostate cancer. The objective of this work was to measure the power deposition (specific absorption rate, SAR) patterns of helical microwave antennae both individually and in array patterns that would be useful for clinical treatment protocols. Commercial helical antenna 3D SAR patterns were measured in muscle equivalent phantoms using a thermographic technique. Two array patterns were tested: a 'square' and a 'crescent' array, both surrounding the urethra. To assess the feasibility of pre-treatment planning, the measured SAR patterns were input to a treatment planning computer simulation program based on a series of trans-rectal ultrasound images from a prostate cancer patient. The simulation solved the Pennes linear bioheat heat transfer equation in prostate tissue, with the aim of achieving a target of 55¬∞C at the prostate periphery while not allowing normal surrounding tissues (bladder, urethra, rectum) to rise above 42¬∞C. These criteria could not be met with the square array but they could be met with the crescent array, provided that the prostate was first dissected away from the rectum. This can be done with a procedure such as 'hydrodissection', where sterile saline is injected to separate the prostate and rectum. The results of these SAR measurements and heat transfer simulations indicate that arrays of helical antennae could be used for safe and effective thermal therapy for prostate cancer.</t>
  </si>
  <si>
    <t>1905-1918</t>
  </si>
  <si>
    <t>60008768-60016849;60008768;60008768;60008768-60016849;60008768</t>
  </si>
  <si>
    <t>7004850171;6602662995;57196054830;56602488500;7004886396</t>
  </si>
  <si>
    <t>Sherar, Michael D.;Gladman, Aviv S.;Davidson, Sean R.H.;Trachtenberg, John;Gertner, Mark R.</t>
  </si>
  <si>
    <t>Toronto;Toronto</t>
  </si>
  <si>
    <t>University of Toronto;Ontario Cancer Institute University of Toronto</t>
  </si>
  <si>
    <t>60016849;60008768</t>
  </si>
  <si>
    <t>Sherar M.</t>
  </si>
  <si>
    <t>Helical antenna arrays for interstitial microwave thermal therapy for prostate cancer: Tissue phantom testing and simulations for treatment</t>
  </si>
  <si>
    <t>10.1088/0031-9155/46/7/312</t>
  </si>
  <si>
    <t>2-s2.0-0034925785</t>
  </si>
  <si>
    <t>['suggest advantages', 'significant differences', 'rhodella violacea', 'results suggest', 'rapid acclimation', 'polypeptide pattern', 'phycobiliproteins riii', 'percentage distribution', 'pbslow showed', 'pbs ),', 'one band', 'negative staining', 'molecular masses', 'linker polypeptides', 'harvesting antennae', 'fluorescence spectroscopy', 'ecophysiological function', 'closer packed', 'banded pbs', 'absorption spectra']</t>
  </si>
  <si>
    <t>The phycobilisomes (PBS), the light-harvesting antennae, from the endemic Antarctic red macroalga Palmaria decipiens were isolated on discontinuous sucrose gradients in two discrete bands and not in one as expected. To exclude methodical faults, we also isolated PBS from the temperate Palmaria palmata and the unicellular red algae Porphyridium cruentum and Rhodella violacea. In P. palmata the PBS were separated in two discrete bands, whereas the PBS from Porphyridium and Rhodella were found in one band. The double-banded PBS (PBSup and PBSlow) from P. decipiens were further characterized by absorption and fluorescence spectroscopy, native and SDS-PAGE as well as by negative staining. The phycobiliproteins RIII-phycoerythrin, RI-phycocyanin and allophycocyanin were identified and 3 Œ≥-subunits were described. The PBSup and PBSlow Showed no significant differences in their absorption spectra and phycobiliprotein ratios although the negative stained PBSlow were smaller. Differences were found in their low molecular mass subunit complexes, which are assumed to be r-phycoerythrin. The polypeptide pattern of the PBSup and PBSlow showed no differences in the molecular masses of their subunits and linker polypeptides, but in their percentage distribution. The results suggest that the PBSlow is a closer packed and PBSup a little more loosely aggregated hemiellipsiodal PBS form. We discuss the ecophysiological function of two PBS forms in P. decipiens and suggest advantages in the rapid acclimation to changes in environmental light conditions.</t>
  </si>
  <si>
    <t>572-581</t>
  </si>
  <si>
    <t>Physiologia Plantarum</t>
  </si>
  <si>
    <t>60023131;60008293-60007971;60023131</t>
  </si>
  <si>
    <t>6508094112;6602072663;54899308800</t>
  </si>
  <si>
    <t>L√ºder, Ulrike H.;Knoetzel, J√ºrgen;Wiencke, Christian</t>
  </si>
  <si>
    <t>Germany;Germany;Denmark</t>
  </si>
  <si>
    <t>Bremerhaven;Bremen;Copenhagen</t>
  </si>
  <si>
    <t>Alfred-Wegener-Institut Helmholtz-Zentrum f√ºr Polar- und Meeresforschung;Universit√§t Bremen;University of Copenhagen, Faculty of Life Sciences</t>
  </si>
  <si>
    <t>60023131;60008293;60007971</t>
  </si>
  <si>
    <t>L√ºder U.</t>
  </si>
  <si>
    <t>Two forms of phycobilisomes in the antarctic red macroalga palmaria decipiens (palmariales, florideophyceae)</t>
  </si>
  <si>
    <t>10.1034/j.1399-3054.2001.1120416.x</t>
  </si>
  <si>
    <t>2-s2.0-0034925978</t>
  </si>
  <si>
    <t>['resulting ps', 'relevant p700', 'previously estimated', 'lies toward', 'latter step', 'kinetic model', 'cyanobacterial photosystem', 'blue edge', 'appreciably faster', 'absorption spectra', '660 nm']</t>
  </si>
  <si>
    <t>The charge separation P700*A0 ‚Üí P700+A0- and the subsequent electron transfer from the primary to secondary electron acceptor have been studied by subtracting absorption difference profiles for cyanobacterial photosystem I (PS I) complexes with open and closed reaction centers. Samples were excited at 660 nm, which lies toward the blue edge of the core antenna absorption spectrum. The resulting PS I kinetics were analyzed in terms of the relevant P700, P700+, A0, and A0- absorption spectra. In our kinetic model, the radical pair P700+A0- forms with 1.3 ps rise kinetics after creation of electronically excited P700*. The formation of A1- via electron transfer from A0- requires ‚àº 13 ps. The kinetics of the latter step are appreciably faster than previously estimated by other groups (20-50 ps).</t>
  </si>
  <si>
    <t>9282-9290</t>
  </si>
  <si>
    <t>60008023;60004354;60004354;60008023-60004354;60008023-60004354</t>
  </si>
  <si>
    <t>6701607000;56173244900;57200811996;7005050242;57193129444</t>
  </si>
  <si>
    <t>Savikhin, S.;Xu, W.;Martinsson, P.;Chitnis, P. R.;Struve, W. S.</t>
  </si>
  <si>
    <t>Kinetics of charge separation and A&lt;inf&gt;0&lt;/inf&gt;&lt;sup&gt;-&lt;/sup&gt; ‚Üí A&lt;inf&gt;1&lt;/inf&gt; electron transfer in photosystem I reaction centers</t>
  </si>
  <si>
    <t>10.1021/bi0104165</t>
  </si>
  <si>
    <t>2-s2.0-0035822680</t>
  </si>
  <si>
    <t>['successively switching', 'observation sequence', 'elevation direction', 'conducting observations', 'azimuth direction', 'ambiguity ratio']</t>
  </si>
  <si>
    <t>Imaging radar | S/A ratio | Scan SAR | Swath | Synthetic aperture radar</t>
  </si>
  <si>
    <t>Scan synthetic aperture radar (SAR) is a synthetic aperture radar technique that observes a wide elevation width by conducting observations while successively switching the antenna orientation direction in the elevation direction. In this paper, we propose a method to increase the signal-to-ambiguity ratio (S/A ratio) in the azimuth direction of the image by adjusting the Scan SAR observation sequence. In addition, the procedure for planning the observation sequence by this method is presented and its effects are evaluated.</t>
  </si>
  <si>
    <t>7402584036;6603525697;7003883695;7006380481</t>
  </si>
  <si>
    <t>Iwamoto, Masafumi;Fujisaka, Takahiko;Kirimoto, Tetsuo;Mano, Seiji</t>
  </si>
  <si>
    <t>Iwamoto M.</t>
  </si>
  <si>
    <t>A design method to increase the signal-to-ambiguity ratio of scan SAR</t>
  </si>
  <si>
    <t>10.1002/ecja.1058</t>
  </si>
  <si>
    <t>2-s2.0-0034914430</t>
  </si>
  <si>
    <t>['urban areas', 'statistical methods', 'sight locations', 'propagation paths', 'propagation mechanism', 'propagation characteristics', 'highly dependent', 'compared based', 'calculated results', 'arrived waves', 'accurately estimate']</t>
  </si>
  <si>
    <t>Arrival direction | Geometric optical model | Low antenna height propagation | Propagation delay time | Propagation mechanism</t>
  </si>
  <si>
    <t>The delay spread characteristics in low antenna height propagation in urban areas are difficult to accurately estimate by statistical methods that are highly dependent on the location. To understand how the road system affects the propagation characteristics, the propagation mechanism was analyzed. In practice, the identification of the propagation paths has been attempted by measuring the direction of arrived waves and the delay propagation time (propagation path length) at line-of-sight and non-line-of-sight locations. The results clearly showed that many arrived waves are propagated by geometric optical reflections by the walls of buildings, diffractions at the corners of intersections, and their combinations. Furthermore, the calculated results and measurements were compared based on geometric optical methods and wedge diffraction theory to demonstrate the usefulness of geometric optical computational methods.</t>
  </si>
  <si>
    <t>41-51</t>
  </si>
  <si>
    <t>7004509352;7102629706</t>
  </si>
  <si>
    <t>Furuno, Tatsuo;Taga, Tokio</t>
  </si>
  <si>
    <t>Furuno T.</t>
  </si>
  <si>
    <t>Identification of propagation path from low antenna height base station in urban area</t>
  </si>
  <si>
    <t>10.1002/ecja.1059</t>
  </si>
  <si>
    <t>2-s2.0-0034916904</t>
  </si>
  <si>
    <t>['structural restriction', 'paper presents', 'many reflectors', 'general cross', 'especially important', 'design example', 'derived condition', 'broadband design']</t>
  </si>
  <si>
    <t>Beam mode analysis | Broadband characteristic condition | Cross-polarization elimination condition | Four-reflector offset antennas</t>
  </si>
  <si>
    <t>This paper presents the general cross-polarization elimination condition for multireflector offset antennas consisting of one primary horn and many reflectors. It clarifies that the derived condition is a frequency-independent geometrical relationship. We apply this condition to an offset parabolic antenna, a dual reflector offset antenna, a trireflector offset antenna, and a four-reflector offset antenna, and show that a trireflector offset antenna is consistent with the already derived relationship. Furthermore, the configurations for the reflector system obtained by applying this condition to a four-reflector beam waveguide feed are shown, and the general broadband characteristic condition is derived, which is especially important for the broadband design. To determine the validity of the theory, a design example is presented for a beam waveguide feed satisfying the cross-polarization elimination condition and the broadband characteristic condition, and minimizing the spillover loss within the structural restriction of using a four-reflector beam waveguide feed.</t>
  </si>
  <si>
    <t>60101699;60101699;60006838;60021120</t>
  </si>
  <si>
    <t>7004509347;7003628822;7004304668;7005013387</t>
  </si>
  <si>
    <t>Furuno, Takayoshi;Urasaki, Shuji;Katagi, Takashi;Ikuno, Hiroyoshi</t>
  </si>
  <si>
    <t>Tokyo;Kumamoto;</t>
  </si>
  <si>
    <t>Mitsubishi Electric Corporation;Kumamoto University;Kanazawa Institute of Technology</t>
  </si>
  <si>
    <t>60101699;60021120;60006838</t>
  </si>
  <si>
    <t>Multireflector offset antennas eliminating cross-polarization component based on beam mode analysis</t>
  </si>
  <si>
    <t>10.1002/ecja.1055</t>
  </si>
  <si>
    <t>2-s2.0-0034921981</t>
  </si>
  <si>
    <t>['temporal profile', 'spectral response', 'photocarriers injected', 'pc antenna', 'frequency region', 'broadband detection', '40 thz']</t>
  </si>
  <si>
    <t>The spectral response of a low-temperature-grown GaAs photoconductive (PC) antenna is compared with that of the electro-optic sampling technique for the frequency region up to 40 THz. The spectral response of the PC antenna for broadband detection is found to be determined by the temporal profile of the number of photocarriers injected by ultrashort optical gate pulses. ¬© 2001 American Institute of Physics.</t>
  </si>
  <si>
    <t>898-900</t>
  </si>
  <si>
    <t>60032325-60031293;60032325;60032325</t>
  </si>
  <si>
    <t>7201774143;7202550229;7404662230</t>
  </si>
  <si>
    <t>Kono, Shunsuke;Tani, Masahiko;Sakai, Kiyomi</t>
  </si>
  <si>
    <t>Koganei;Tokyo</t>
  </si>
  <si>
    <t>Japan National Institute of Information and Communications Technology;NEC Corporation</t>
  </si>
  <si>
    <t>60032325;60031293</t>
  </si>
  <si>
    <t>Kono S.</t>
  </si>
  <si>
    <t>Ultrabroadband photoconductive detection: Comparison with free-space electro-optic sampling</t>
  </si>
  <si>
    <t>10.1063/1.1394719</t>
  </si>
  <si>
    <t>2-s2.0-0035855098</t>
  </si>
  <si>
    <t>['well understood', 'well studied', 'unique type', 'type mouthparts', 'transform antenna', 'sal expression', 'sal ).', 'results suggests', 'proboscis constitutes', 'patterning appendages', 'observation explains', 'maxillary palp', 'limb genes', 'limb development', 'labial discs', 'labial disc', 'give rise', 'drosophila melanogaster', 'downregulates dll', 'discs mutant', 'developmental system', 'complete antennae']</t>
  </si>
  <si>
    <t>Dachshund | Distal-less | Drosophila | Extradenticle | Homeotic | Labial disc | Probocis | Proboscipedia | Sex combs reduced | Spalt</t>
  </si>
  <si>
    <t>The proboscis is one of the most highly modified appendages in Drosophila melanogaster. However, the phenotypes of proboscipedia (pb) mutants, which transform the proboscis into leg or antenna, indicate a basic homology among these limbs. Recent genetic studies have revealed a developmental system for patterning appendages and identified several genes required for limb development. Among these are: extradenticle (exd), homothorax (hth), dachshund (dac), Distal-less (Dll) and spalt (sal). These limb genes have not been well studied in wild-type mouthparts and their role if any in this appendage is not well understood. Here we demonstrate that the homeotic gene products Proboscipedia (Pb) and Sex combs reduced (Scr) regulate the limb genes in the labial disc to give rise to a unique type of appendage, the proboscis. Pb inhibits exd, dac and sal expression and downregulates Dll. This observation explains the ability of Pb to inhibit the effects of ectopically expressed trunk Hox genes in the proboscis, to suppress leg identity in the trunk and to transform antenna to maxillary palp. Scr suppresses sal expression and also downregulates Dll in the labial discs; discs mutant for both pb and Scr give rise to complete antennae, further demonstrating appendage homology. In the labial disc, Pb positively regulates transcription of Scr, whereas in the embryo, Scr positively regulates pb. Additionally, our results suggests a revised fate map of the labial disc. We conclude that the proboscis constitutes a genetically distinct type of appendage whose morphogenesis does not require several important components of leg and/or antennal patterning systems, but retains distal segmental homology with these appendages.</t>
  </si>
  <si>
    <t>2803-2814</t>
  </si>
  <si>
    <t>60021121;60021121;60021121</t>
  </si>
  <si>
    <t>6602719803;7101820398;35396515200</t>
  </si>
  <si>
    <t>Abzhanov, A.;Holtzman, S.;Kaufman, T. C.</t>
  </si>
  <si>
    <t>Bloomington</t>
  </si>
  <si>
    <t>Indiana University Bloomington</t>
  </si>
  <si>
    <t>Abzhanov A.</t>
  </si>
  <si>
    <t>The Drosophila proboscis is specified by two Hox genes, proboscipedia and Sex combs reduced, via repression of leg and antennal appendage genes</t>
  </si>
  <si>
    <t>2-s2.0-0034923729</t>
  </si>
  <si>
    <t>['wrong direction', 'vertical component', 'small amounts', 'significant improvements', 'relative size', 'reflector iras', 'recent results', 'improved control', 'feed arms', 'eliminate portions', 'electric field', 'aperture trimming', 'aperture fields', '30 ¬∞']</t>
  </si>
  <si>
    <t>Aperture antenna design | Impulse radiating antennas | UWB antennas</t>
  </si>
  <si>
    <t>Recent results are reported that improve the prompt radiated response from reflector and lens impulse radiating antennas (IRAs) by improved control of the aperture fields of the TEM mode distribution. Both reflector and lens IRAs benefit from trimming the aperture to eliminate portions where the vertical component of the electric field is oriented in the wrong direction. Reflector IRAs can further benefit from reorientation of the TEM feed arm angles as well as the relative size of the feed arms to the maximum aperture radius. Significant improvements over 45¬∞ feed arms can be realized by making 200Œ© reflector IRAs with feed arms at 30¬∞ from the vertical with the circle of symmetry slightly inside the aperture outer boundary and small amounts of aperture trimming. ¬© 2001 SPIE.</t>
  </si>
  <si>
    <t>60033012;60033012;60006164;100423761;100423761</t>
  </si>
  <si>
    <t>55663513600;7801529909;6601996329;7007161237;6603844288</t>
  </si>
  <si>
    <t>Tyo, J. Scott;Baretela, Michael J.;Buchenauer, C. Jerald;Bowen, Leland H.;Farr, Everett G.</t>
  </si>
  <si>
    <t>Monterey;Los Alamos;Albuquerque</t>
  </si>
  <si>
    <t>Naval Postgraduate School;Los Alamos National Laboratory;Farr Research, Inc.</t>
  </si>
  <si>
    <t>60033012;60006164;100423761</t>
  </si>
  <si>
    <t>Increase in the prompt radiated field from an IRA by aperture design techniques</t>
  </si>
  <si>
    <t>10.1117/12.436931</t>
  </si>
  <si>
    <t>2-s2.0-0034769971</t>
  </si>
  <si>
    <t>['universities throughout', 'technical improvements', 'scientific research', 'paper concludes', 'improved materials', 'hpm research', 'brief discussion', 'air force', 'active research']</t>
  </si>
  <si>
    <t>High power microwaves | Impulse radiating antennas | RF breakdown | RF effects | Ultra-wideband sources</t>
  </si>
  <si>
    <t>This paper describes current projects in High Power Microwave (HPM) source development within the Air Force's basic research program managed by the Air Force Office of Scientific Research and conducted at the Air Force Research Laboratory's Directed Energy Directorate and at universities throughout the U.S. and the world. Studies are proceeding along two separate paths: narrow band high power microwave tubes and ultra-wide band sources. While these two paths invoke drastically different physical mechanisms that produce microwave radiation qualitatively distinct from each other, there are many common technical challenges. The focus of this report will be the active research in the Air Force ultra-wide band program, but many of the technical improvements being sought for improved materials, high voltage breakdown mitigation, and advanced design techniques will help the entire high power microwave program. The paper concludes with a brief discussion of the future of HPM research. ¬© 2001 SPIE.</t>
  </si>
  <si>
    <t>60011390;60015710;60015710</t>
  </si>
  <si>
    <t>7003722654;7004483010;7003360912</t>
  </si>
  <si>
    <t>Agee, Forrest J.;Gaudet, John A.;Prather, William D.</t>
  </si>
  <si>
    <t>Kirtland;Arlington</t>
  </si>
  <si>
    <t>Kirtland Air Force Base;Air Force Office of Scientific Research</t>
  </si>
  <si>
    <t>60015710;60011390</t>
  </si>
  <si>
    <t>Agee F.J.</t>
  </si>
  <si>
    <t>Focus on current topics in air force high power microwave (HPM) research</t>
  </si>
  <si>
    <t>10.1117/12.436921</t>
  </si>
  <si>
    <t>2-s2.0-0034775588</t>
  </si>
  <si>
    <t>Carl Tryggers Stiftelse f√∂r Vetenskaplig Forskning</t>
  </si>
  <si>
    <t>SLU</t>
  </si>
  <si>
    <t>['stereoisomers shown', 'significant effect', 'sex pheromone', 'sensilla trichodea', 'sensilla involved', 'sensilla coeloconica', 'sensilla circumfila', 'seems likely', 'response curves', 'pheromone components', 'pheromone component', 'male behavior', 'male attraction', 'male antennae', 'inhibitory stereoisomers', 'inhibitory effect', 'five cells', 'electroantennographic recordings', 'corresponding stereoisomers', 'blank traps', 'also shown', '11r )-']</t>
  </si>
  <si>
    <t>(2S,11S)-diacetoxytridecane | (2S,12S)-diacetoxytridecane | Antennal morphology | Cecidomyiidae | Contarinia pisi | Diptera | EAG recordings | Inhibition | Sex pheromone | Stereoisomers</t>
  </si>
  <si>
    <t>The sex pheromone of the pea midge consists of 2-acetoxytridecane, (2S,11S)-diacetoxytridecane and (2S,12S)-diacetoxytridecane. The responses of male pea midges to the corresponding stereoisomers of (2S,11S)-diacetoxytridecane and (2S,12S)-diacetoxytridecane were tested in field trapping experiments and by electroantennographic recordings. When added at 20% of the pheromone component to the sex pheromone blend, the (2S,11R)- and (2R,11S)-stereoisomers of (2S,11S)-diacetoxytridecane, were shown to have a strong inhibitory effect on male attraction in the field. At the same dose, (2R,11R)-diacetoxytridecane, (2R,12R)-diacetoxytridecane, and meso-2,12-diacetoxytridecane, did not have a significant effect on male behavior. It was also shown that substitution of either (2S,11S)-diacetoxytridecane or (2S,12S)-diacetoxytridecane with the related stereoisomers reduced trap catches to the level of blank traps. The electroantennographic recordings showed similar dose-response curves for the pheromone components and the stereoisomers shown to have an inhibitory effect. It seems likely that male antennae have receptors for both pheromone components and for inhibitory stereoisomers. Scanning electron microscopy and transmission electron microscopy of the antennae revealed three types of sensilla involved in chemoreception: sensilla circumfila, sensilla trichodea, and sensilla coeloconica. The sensilla circumfila and trichodea are both innervated by two sensory cells, whereas the sensilla coeloconica are innervated by four to five cells.</t>
  </si>
  <si>
    <t>1391-1407</t>
  </si>
  <si>
    <t>60027152;60027152;60027152;100340061;101205660;60028229;60028229;60029170</t>
  </si>
  <si>
    <t>6508173544;35579647600;7004376332;7003782694;15919756000;6603276778;7006506442;7006062747</t>
  </si>
  <si>
    <t>Hillbur, Ylva;Bengtsson, Marie;L√∂fqvist, Jan;Biddle, Anthony;Pillon, Olivier;Plass, Ernst;Francke, Wittko;Hallberg, Eric</t>
  </si>
  <si>
    <t>Sweden;Germany;Sweden;France;United Kingdom</t>
  </si>
  <si>
    <t>Lund;Hamburg;Uppsala;Angers;Peterborough</t>
  </si>
  <si>
    <t>Lunds Universitet;Universit√§t Hamburg;Sveriges lantbruksuniversitet;Service R√©gional de la Protection des V√©g√©taux;Processors Growers Res. Organisation</t>
  </si>
  <si>
    <t>60029170;60028229;60027152;101205660;100340061</t>
  </si>
  <si>
    <t>Hillbur Y.</t>
  </si>
  <si>
    <t>A chiral sex pheromone system in the pea midge, Contarinia pisi</t>
  </si>
  <si>
    <t>10.1023/A:1010317310027</t>
  </si>
  <si>
    <t>2-s2.0-0034902949</t>
  </si>
  <si>
    <t>['variable extent', 'v glomerulus', 'v ).', 'taken advantage', 'synapse number', 'sensory transduction', 'sensory neurons', 'results demonstrate', 'one antenna', 'olfactory glomeruli', 'odorant tests', 'odorant perception', 'mutant input', 'mutant antenna', 'mosaic adults', 'internal control', 'increased twofold', 'higher sensitivity', 'dna replication', 'core vesicle', 'containing terminals', 'behavioral response', 'additional rounds', '7 v']</t>
  </si>
  <si>
    <t>Drosophila | Gigas | Olfaction | Olfactory glomerulli | Sensory perception | Synapse number</t>
  </si>
  <si>
    <t>The Drosophila mutant gigas produces an enlargement of postmitotic cells caused by additional rounds of DNA replication. In neurons, the mutant cell establishes more synapses than normal. We have taken advantage of this feature to study the effect of synapse number on odorant perception. Mosaic adults were generated in which one antenna was homozygous for gigas, whereas the contralateral side served as an internal control. Morphological analysis indicates that the number and type of sensory afferents forming the mutant antenna, as well as their projection to the olfactory glomeruli, are normal. In contrast, the volume of identified glomeruli increases to a variable extent, and mutant sensory neurons branch profusely. The number of synapses, estimated in the ventral (V) glomerulus that receives ipsilateral afferents only, is increased twofold to threefold. Large-dense-core vesicle-containing terminals that probably modulate olfactory centers are identified in the V glomerulus. Their number and size are not modified by the mutant input. Sensory transduction, measured by electroantennograms, is normal in amplitude and kinetics. In odorant tests, however, the profile of the behavioral response to ethyl acetate shows attractive responses to concentrations to which sibling controls remain indifferent (10-8 and 10-7 v/v). In addition, the intensity of the response is augmented both at attractive and repulsive odorant concentrations with respect to that of controls. These results demonstrate that increased synapse number in the sensory neurons can modify the behavior of the organism, allowing a higher sensitivity of perception.</t>
  </si>
  <si>
    <t>6264-6273</t>
  </si>
  <si>
    <t>Journal of Neuroscience</t>
  </si>
  <si>
    <t>60022146;60022146</t>
  </si>
  <si>
    <t>6603248438;7004706990</t>
  </si>
  <si>
    <t>Acebes, Angel;Ferr√∫s, Alberto</t>
  </si>
  <si>
    <t>CSIC - Instituto Cajal (IC)</t>
  </si>
  <si>
    <t>Acebes A.</t>
  </si>
  <si>
    <t>Increasing the number of synapses modifies olfactory perception in Drosophila</t>
  </si>
  <si>
    <t>10.1523/jneurosci.21-16-06264.2001</t>
  </si>
  <si>
    <t>2-s2.0-0035882393</t>
  </si>
  <si>
    <t>['smart actuators', 'single embodiment', 'response time', 'preliminary design', 'power failure', 'power allocation', 'pci board', 'pad circuitry', 'pad circuit', 'nodal elements', 'networked actuators', 'membrane flexibility', 'laboratory testing', 'dc power', 'complexity associated', 'best option', 'actuator array']</t>
  </si>
  <si>
    <t>Power allocation and distribution | Rectenna | Smart actuators</t>
  </si>
  <si>
    <t>The concept of microwave-driven smart material actuators is envisioned as the best option to alleviate the complexity associated with hard-wired control circuitry. Networked rectenna patch array receives and converts microwave power into a DC power for an array of smart actuators. To use microwave power effectively, the concept of a power allocation and distribution (PAD) circuit is adopted for networking a rectenna/actuator patch array. The PAD circuit is imbedded into a single embodiment of rectenna and actuator array. The thin-film microcircuit embodiment of PAD circuit adds insignificant amount of rigidity to membrane flexibility. Preliminary design and fabrication of PAD circuitry that consists of a few nodal elements were made for laboratory testing. The networked actuators were tested to correlate the network coupling effect, power allocation and distribution, and response time. The features of preliminary design are 16-channel computer control of actuators by a PCI board and the compensator for a power failure or leakage of one or more rectennas. ¬© 2001 SPIE.</t>
  </si>
  <si>
    <t>372-381</t>
  </si>
  <si>
    <t>60000854;60003595;60003595;60000854</t>
  </si>
  <si>
    <t>36144960500;6507280474;7401740274;57203056871</t>
  </si>
  <si>
    <t>Choi, Sang H.;Golembiewski, Walter T.;Song, Kyo D.;Bryant, Robert G.</t>
  </si>
  <si>
    <t>Norfolk;Hampton</t>
  </si>
  <si>
    <t>Norfolk State University;NASA Langley Research Center</t>
  </si>
  <si>
    <t>60003595;60000854</t>
  </si>
  <si>
    <t>Choi S.</t>
  </si>
  <si>
    <t>Networked smart material actuators with rectenna array</t>
  </si>
  <si>
    <t>10.1117/12.436623</t>
  </si>
  <si>
    <t>2-s2.0-0035148858</t>
  </si>
  <si>
    <t>['new approach', 'implemented antenna', 'bias conditions', 'basic concept', '700 mhz']</t>
  </si>
  <si>
    <t>Broadband wireless communications | Electronic tuning | Reconfigurable antenna | Switches</t>
  </si>
  <si>
    <t>A new approach for implementing electronically tunable antennas is presented in this paper. The basic concept is to vary the effective electrical length of the antenna by controlling the bias conditions of solid state switches mounted on the slot. The implemented antenna is resonating at three different frequencies spanning the range of 550 to 700 MHz with no matching networks required. ¬© 2001 SPIE.</t>
  </si>
  <si>
    <t>184-188</t>
  </si>
  <si>
    <t>60025778;60025778;60025778;60008809</t>
  </si>
  <si>
    <t>6602824141;35585913500;56246062600;57224606397</t>
  </si>
  <si>
    <t>Peroulis, Dimitrios;Sarabandi, Kamal;Katehi, Linda P.B.;Perlman, Bary S.</t>
  </si>
  <si>
    <t>Ann Arbor;</t>
  </si>
  <si>
    <t>University of Michigan, Ann Arbor;United States Army</t>
  </si>
  <si>
    <t>60025778;60008809</t>
  </si>
  <si>
    <t>Peroulis D.</t>
  </si>
  <si>
    <t>Planar reconfigurable slot antenna for communications</t>
  </si>
  <si>
    <t>10.1117/12.436600</t>
  </si>
  <si>
    <t>2-s2.0-0035152889</t>
  </si>
  <si>
    <t>['stacked layers', 'simulated results', 'rollable substrate', 'r functions', 'profile radiator', 'packaging techniques', 'mems switches', 'least 25', 'instantaneous bandwidth', 'ground plane', 'free operation', 'flexible substrate', 'challenges presented', 'associated electronics', 'array design', 'antenna foldable', 'antenna elements', 'advanced mems']</t>
  </si>
  <si>
    <t>Broadband | Reconfigurable antenna | RF MEMS</t>
  </si>
  <si>
    <t>The University of Illinois and Northrop Grumman Corporation have teamed to integrate a wide band reconfigurable aperture array with associated wide band T/R functions on a flexible and foldable/rollable substrate for space based radar applications. Advanced MEMS and packaging techniques are used to make the antenna array lightweight, reliable, and reproducible. Soft flexible substrates make the antenna foldable/rollable with the associated electronics below the ground plane of the antenna elements. The individually reconfigurable antenna element uses MEMS switches to select between two broad frequency bands of operation. These MEMS switches have low actuation voltages and stress-free operation, improving the array's reliability. The reconfigurable antenna element is based on a low-profile radiator that provides greatly increased instantaneous bandwidth over microstrip patch antennas currently in place for phased array applications. Voltage-controlled MEMS switches are utilized to switch between stacked layers of elements that operate in the S- and X-bands. In each band, the antenna elements provide at least 25% instantaneous bandwidth. The challenges presented by the flexible substrate and the array design as well as experimental and simulated results for the antenna elements and switches are discussed. ¬© 2001 SPIE.</t>
  </si>
  <si>
    <t>60000745;60000745;60000745;60000745;60000745;60000745;60000745;60000745;60025209</t>
  </si>
  <si>
    <t>7101803680;7401912255;55473931700;24355301600;36659482400;7006767012;7005196479;57219036190;6506755016</t>
  </si>
  <si>
    <t>Bernhard, J. T.;Chen, N.;Clark, R.;Feng, M.;Liu, C.;Mayes, P.;Michielssen, E.;Wang, R.;Chorosinski, L. G.</t>
  </si>
  <si>
    <t>Northrop Grumman corporation;University of Illinois Urbana-Champaign</t>
  </si>
  <si>
    <t>60025209;60000745</t>
  </si>
  <si>
    <t>Electronically reconfigurable and mechanically conformal apertures using low-voltage MEMS and flexible membranes for space-based radar applications</t>
  </si>
  <si>
    <t>10.1117/12.436592</t>
  </si>
  <si>
    <t>2-s2.0-0035156974</t>
  </si>
  <si>
    <t>['system including', 'signal sources', 'holographic measurements', 'determine deviations', 'ad hoc', '5 ghz']</t>
  </si>
  <si>
    <t>Holographic measurements to determine deviations of the 32m Noto antenna with respect to an ideal parabolic surface have been performed at 11.5 GHz. An 'ad hoc' system including a reference secondary antenna was built, and digital beacons coming from commercial TV satellites were used as signal sources. Results clearly showed significant deformations of the dish.</t>
  </si>
  <si>
    <t>1060-1062</t>
  </si>
  <si>
    <t>60021199;60021199;60021199</t>
  </si>
  <si>
    <t>7004479944;6507963236;36730541700</t>
  </si>
  <si>
    <t>Tuccari, G.;Buttaccio, S.;Nicotra, G.</t>
  </si>
  <si>
    <t>Consiglio Nazionale delle Ricerche</t>
  </si>
  <si>
    <t>Tuccari G.</t>
  </si>
  <si>
    <t>Phase reference holography of the Noto 32m VLBI antenna</t>
  </si>
  <si>
    <t>10.1049/el:20010727</t>
  </si>
  <si>
    <t>2-s2.0-0035899214</t>
  </si>
  <si>
    <t>['performance comparable', 'multimode fibre', 'high frequency', 'cost lasers']</t>
  </si>
  <si>
    <t>High frequency, narrowband radio transmission over multimode fibre is shown to be possible with performance comparable to singlemode fibre using low-cost lasers and photodiodes. This allows the use of existing fibre cable infrastructures within buildings for the realisation of cost effective distributed antenna systems.</t>
  </si>
  <si>
    <t>1087-1089</t>
  </si>
  <si>
    <t>23023532000;7007183879;6506245186;7005683967;7005382423</t>
  </si>
  <si>
    <t>Wake, D.;Dupont, S.;Lethien, C.;Vilcot, J. P.;Decoster, D.</t>
  </si>
  <si>
    <t>Wake D.</t>
  </si>
  <si>
    <t>Radiofrequency transmission of 32-QAM signals over multimode fibre for distributed antenna system applications</t>
  </si>
  <si>
    <t>10.1049/el:20010748</t>
  </si>
  <si>
    <t>2-s2.0-0035899216</t>
  </si>
  <si>
    <t>['receiving antennas', 'distance criterion', 'also good']</t>
  </si>
  <si>
    <t>It is shown that when the number of receiving antennas is large, space-time codes designed under a Euclidean-distance criterion are also good for quasi-static Rayleigh fading channels.</t>
  </si>
  <si>
    <t>1073-1074</t>
  </si>
  <si>
    <t>60012162;60004300</t>
  </si>
  <si>
    <t>7102451112;6701582212</t>
  </si>
  <si>
    <t>Biglieri, E.;Tulino, A. M.</t>
  </si>
  <si>
    <t>Turin;Benevento</t>
  </si>
  <si>
    <t>Politecnico di Torino;Universit√† degli Studi del Sannio</t>
  </si>
  <si>
    <t>Designing space-time codes for large number of receiving antennas</t>
  </si>
  <si>
    <t>10.1049/el:20010722</t>
  </si>
  <si>
    <t>2-s2.0-0035899242</t>
  </si>
  <si>
    <t>['microstrip antenna', 'grid integrated', 'common aperture', '900 mhz']</t>
  </si>
  <si>
    <t>The combination of a microstrip patch antenna at 900 MHz and a folded reflector antenna in the 60 GHz frequency range integrated in a common aperture is described. The 60 GHz antenna radiates through a grid integrated in the patch of the microstrip antenna.</t>
  </si>
  <si>
    <t>1059-1060</t>
  </si>
  <si>
    <t>60010586;60010586;60010586</t>
  </si>
  <si>
    <t>7102063968;7003310137;6503977376</t>
  </si>
  <si>
    <t>Menzel, W.;Al-Tikriti, M.;Espadas Lopez, M. B.</t>
  </si>
  <si>
    <t>Ulm</t>
  </si>
  <si>
    <t>Universit√§t Ulm</t>
  </si>
  <si>
    <t>Common aperture, dual frequency printed antenna (900 MHz and 60 GHz)</t>
  </si>
  <si>
    <t>10.1049/el:20010739</t>
  </si>
  <si>
    <t>2-s2.0-0035899243</t>
  </si>
  <si>
    <t>['water bodies', 'two membrane', 'supercomplex consists', 'structural characterization', 'specific psi', 'psii ),', 'phycobilisomes act', 'photosystem ii', 'oxygenic photosynthesis', 'limiting factor', 'isia supercomplex', 'iron limitation', 'iron deficiency', 'internal antenna', 'integral antenna', 'harvesting systems', 'excessive light', 'energy absorption', 'cyanobacterial photosystem', 'cyanobacterial growth', 'contribute significantly', 'contain chlorophyll', 'closed ring', 'chlorophyll storage', 'aquatic ecosystems', 'although isia', 'additional proteins', 'additional light', 'additional chlorophyll', 'abundant throughout', '3 ).']</t>
  </si>
  <si>
    <t>Cyanobacteria are abundant throughout most of the world's water bodies and contribute significantly to global primary productivity through oxygenic photosynthesis. This reaction is catalysed by two membrane-bound protein complexes, photosystem I (PSI) and photosystem II (PSII), which both contain chlorophyll-binding subunits functioning as an internal antenna. In addition, phycobilisomes act as peripheral antenna systems, but no additional light-harvesting systems have been found under normal growth conditions. Iron deficiency, which is often the limiting factor for cyanobacterial growth in aquatic ecosystems, leads to the induction of additional proteins such as IsiA (ref. 3). Although IsiA has been implicated in chlorophyll storage, energy absorption and protection against excessive light, its precise molecular function and association to other proteins is unknown. Here we report the purification of a specific PSI-IsiA supercomplex, which is abundant under conditions of iron limitation. Electron microscopy shows that this supercomplex consists of trimeric PSI surrounded by a closed ring of 18 IsiA proteins binding around 180 chlorophyll molecules. We provide a structural characterization of an additional chlorophyll-containing, membrane-integral antenna in a cyanobacterial photosystem.</t>
  </si>
  <si>
    <t>745-748</t>
  </si>
  <si>
    <t>60085410;60015595;60085410;60005322;60085410;60005322;60015595;60015595;60005322</t>
  </si>
  <si>
    <t>7007149974;22947645100;6506427726;7006930270;6603806774;7201835966;35554932100;7003749224;6701913675</t>
  </si>
  <si>
    <t>Boekema, E. J.;Hifney, A.;Yakushevska, A. E.;Piotrowski, M.;Keegstra, W.;Berry, S.;Michel, K. P.;Pistorius, E. K.;Kruip, J.</t>
  </si>
  <si>
    <t>Netherlands;Germany;Germany</t>
  </si>
  <si>
    <t>Groningen;Bielefeld;Bochum</t>
  </si>
  <si>
    <t>University of Groningen, Groningen Biomolecular Sciences and Biotechnology Institute (GBB);Universit√§t Bielefeld;Ruhr-Universitat Bochum</t>
  </si>
  <si>
    <t>60085410;60015595;60005322</t>
  </si>
  <si>
    <t>Boekema E.</t>
  </si>
  <si>
    <t>A giant chlorophyll-protein complex induced by iron deficiency in cyanobacteria</t>
  </si>
  <si>
    <t>10.1038/35089104</t>
  </si>
  <si>
    <t>2-s2.0-0035899411</t>
  </si>
  <si>
    <t>['sufficiently low', 'significantly increases', 'psii ).', 'psi trimer', 'psi levels', 'psi emphasises', 'protein encoded', 'precise function', 'phytoplankton growth', 'photosystem ii', 'open oceans', 'many suggestions', 'major class', 'like protein', 'iron deficiency', 'harvesting systems', 'harvesting system', 'extra antenna', 'cyanobacterial light', 'binding proteins', 'aquatic ecosystems', 'although iron', 'acid sequence', 'abundant element', '3 ).']</t>
  </si>
  <si>
    <t>Although iron is the fourth most abundant element in the Earth's crust, its concentration in the aquatic ecosystems - particularly the open oceans - is sufficiently low to limit photosynthetic activity and phytoplankton growth. Cyanobacteria, a major class of phytoplankton, respond to iron deficiency by expressing the 'iron-stress-induced' gene, isiA(ref. 3). The protein encoded by this gene has an amino-acid sequence that shows significant homology with one of the chlorophyll a-binding proteins (CP43) of photosystem II (PSII). The precise function of the CP43-like protein, here called CP43‚Ä≤, has not been elucidated, although there have been many suggestions. Here we show that CP43‚Ä≤ associates with photosystem I (PSI) to form a complex that consists of a ring of 18 CP43‚Ä≤ molecules around a PSI trimer. This significantly increases the size of the light-harvesting system of PSI. The utilization of a PSII-like protein as an extra antenna for PSI emphasises the flexibility of cyanobacterial light-harvesting systems, and seems to be a strategy which compensates for the lowering of phycobilisome and PSI levels in response to iron deficiency.</t>
  </si>
  <si>
    <t>743-745</t>
  </si>
  <si>
    <t>60015150;60015150;60015150</t>
  </si>
  <si>
    <t>6701537962;6603851229;7402350514</t>
  </si>
  <si>
    <t>Bibby, T. S.;Nield, J.;Barber, J.</t>
  </si>
  <si>
    <t>Bibby T.</t>
  </si>
  <si>
    <t>Iron deficiency induces the formation of an antenna ring around trimeric photosystem I in cyanobacteria</t>
  </si>
  <si>
    <t>10.1038/35089098</t>
  </si>
  <si>
    <t>2-s2.0-0035899432</t>
  </si>
  <si>
    <t>['performance enhancement', 'paper presents', 'gain enhancements', '1 dbi']</t>
  </si>
  <si>
    <t>Dual-band microstrip antenna | Photonic bandgap ground plane</t>
  </si>
  <si>
    <t>This paper presents a novel photonic bandgap (PBG) structure of unequal orthogonal periods and its application to a dual-band rectangular microstrip antenna for performance enhancement. The two operating frequencies of the dual-band microstrip antenna studied have orthogonal polarization planes, and by using the proposed PBG ground plane with its periods in orthogonal directions determined from the two separate operating frequencies, gain enhancements of 1.7 and 1.1 dBi have been obtained for the lower and upper operating frequencies, respectively. Details of the PBG structure studied are described, and the obtained experimental results are presented.</t>
  </si>
  <si>
    <t>280-283</t>
  </si>
  <si>
    <t>60011357;60011357;60011357</t>
  </si>
  <si>
    <t>36815519800;7102866407;35460663000</t>
  </si>
  <si>
    <t>Kuo, Yen Liang;Chiou, Tzung Wern;Wong, Kin Lu</t>
  </si>
  <si>
    <t>Kuo Y.</t>
  </si>
  <si>
    <t>A dual-band rectangular microstrip antenna using a novel photonic bandgap ground plane of unequal orthogonal periods</t>
  </si>
  <si>
    <t>10.1002/mop.1290</t>
  </si>
  <si>
    <t>2-s2.0-0035921024</t>
  </si>
  <si>
    <t>['‚ àº', 'proposed antenna', 'polarization level', 'cavity backing', '17 db', '1 %.']</t>
  </si>
  <si>
    <t>Antenna feed | Cavity-backed antenna | Microstrip antenna</t>
  </si>
  <si>
    <t>A novel, folded, capacitance-fed microstrip antenna with a length of Œª/3 and placed over a cavity backing is proposed. Compared to the small rectangular patch antenna of Luk, our proposed antenna has a large impedance bandwidth of 20.1%. The cross-polarization level is ‚àº -17 dB.</t>
  </si>
  <si>
    <t>240-241</t>
  </si>
  <si>
    <t>Ooi, B. L.</t>
  </si>
  <si>
    <t>Ooi B.</t>
  </si>
  <si>
    <t>A double-folded, capacitive-fed, cavity-backed microstrip antenna</t>
  </si>
  <si>
    <t>10.1002/mop.1278</t>
  </si>
  <si>
    <t>2-s2.0-0035921036</t>
  </si>
  <si>
    <t>['resonant frequency', 'present paper', 'numerical results', 'infinite 2', 'including temperature', 'experimental data', 'efficient evaluation', 'domain method']</t>
  </si>
  <si>
    <t>Microstrip antennas | Parametric study | Spectral-domain method | Temperature sensitivity</t>
  </si>
  <si>
    <t>In the present paper, a study is carried out to visualize the effects of various design parameters, including temperature, on the resonant frequency of a microstrip patch antenna. The analysis is carried out using the spectral-domain method with efficient evaluation of infinite 2-D reaction integrals improving the rate of convergence. Some of the numerical results are compared with the experimental data.</t>
  </si>
  <si>
    <t>60029284;60029284;60029284;60009615</t>
  </si>
  <si>
    <t>7003656269;57202146098;16470169900;7005875852</t>
  </si>
  <si>
    <t>Kedar, Ashutosh;Gupta, K. K.;Srivastava, G. P.;Kataria, N. D.</t>
  </si>
  <si>
    <t>University of Delhi;National Physical Laboratory India</t>
  </si>
  <si>
    <t>60029284;60009615</t>
  </si>
  <si>
    <t>Kedar A.</t>
  </si>
  <si>
    <t>Parametric and temperature-sensitivity study of resonance frequency of microstrip antennas using spectral-domain method</t>
  </si>
  <si>
    <t>10.1002/mop.1289</t>
  </si>
  <si>
    <t>2-s2.0-0035921069</t>
  </si>
  <si>
    <t>['wide region', 'special attention', 'radiation characteristics', 'quadrifilar truncated', 'proposed antennas', 'multiarm structure', 'feeding geometry', 'fdtd method', 'circularly polarized', 'analyzed using']</t>
  </si>
  <si>
    <t>Antenna design | FDTD | Helical antennas</t>
  </si>
  <si>
    <t>The radiation characteristics of bifilar and quadrifilar truncated-spherical helix antennas are analyzed using the FDTD method. Special attention is paid to the generation of a circularly polarized wave over a wide region above the antenna. By introducing the multiarm structure and changing the feeding geometry, the proposed antennas are capable of providing a symmetric, circularly polarized, broad-beam radiation pattern, as well as a conical radiation pattern.</t>
  </si>
  <si>
    <t>10339818700;7403366748;36930605500</t>
  </si>
  <si>
    <t>Yang, Shiwen;Tan, Soon Hie;Xia, Jun</t>
  </si>
  <si>
    <t>Yang S.</t>
  </si>
  <si>
    <t>FDTD design of bifilar and quadrifilar truncated spherical helical antennas</t>
  </si>
  <si>
    <t>10.1002/mop.1280</t>
  </si>
  <si>
    <t>2-s2.0-0035921079</t>
  </si>
  <si>
    <t>['wideband characteristic', 'parasitic element', 'loss characteristic', 'foam materials', 'coupling slots']</t>
  </si>
  <si>
    <t>Multilayered structure | PCS and IMT-2000 service | Wideband microstrip array</t>
  </si>
  <si>
    <t>In this letter, a wideband microstrip array antenna for a PCS and IMT-2000 base station is designed. To obtain the wideband characteristic, we utilized a multilayered structure composed of foam materials and a parasitic element with an aperture-coupled feeding network. The return-loss characteristic is improved by placing the gaps between coupling slots.</t>
  </si>
  <si>
    <t>261-265</t>
  </si>
  <si>
    <t>60024872;60024872;106454365</t>
  </si>
  <si>
    <t>55696547700;56535582400;7202412057</t>
  </si>
  <si>
    <t>Kim, Taewoo;Choi, Jaehoon;Jeon, Joo Seong</t>
  </si>
  <si>
    <t>Hanyang University;KT M.com Network Division</t>
  </si>
  <si>
    <t>60024872;106454365</t>
  </si>
  <si>
    <t>Design of a wideband microstrip array antenna for PCS and IMT-2000 service</t>
  </si>
  <si>
    <t>10.1002/mop.1285</t>
  </si>
  <si>
    <t>2-s2.0-0035921093</t>
  </si>
  <si>
    <t>['distorted meshes', 'deliberately designed', 'contribution presents', 'absorbing boundaries']</t>
  </si>
  <si>
    <t>Conformal array | FDTD | Nonorthogonal</t>
  </si>
  <si>
    <t>This contribution presents a locally nonorthogonal FDTD analysis of a class of conformal antenna arrays. A complex test structure is considered, containing two patches, dielectrics, absorbing boundaries, and a heavily distorted mesh region. This structure is deliberately designed to determined whether inaccuracy is introduced by the use of distorted meshes.</t>
  </si>
  <si>
    <t>238-240</t>
  </si>
  <si>
    <t>60020650;60020650;60020650;60020650</t>
  </si>
  <si>
    <t>6603111339;7003625330;7401666872;35516118400</t>
  </si>
  <si>
    <t>Nilavalan, R.;Craddock, I. J.;Paul, D. L.;Railton, C. J.</t>
  </si>
  <si>
    <t>Nilavalan R.</t>
  </si>
  <si>
    <t>Conformal antenna array modeling using a locally nonorthogonal FDTD</t>
  </si>
  <si>
    <t>10.1002/mop.1277</t>
  </si>
  <si>
    <t>2-s2.0-0035921121</t>
  </si>
  <si>
    <t>['significantly smaller', 'proposed antenna', 'integrated version', 'also presented']</t>
  </si>
  <si>
    <t>Mobile communications | Small printed antennas</t>
  </si>
  <si>
    <t>A novel, small winged microstrip patch antenna incorporating a single shorting post is introduced. The proposed antenna is significantly smaller than a conventional shorted patch antenna, and is therefore very suited to wireless communication handsets where limited antenna size is a premium. Importantly, the antenna is easy to develop. An integrated version of the proposed antenna on a standard communication handset chassisep is also presented, and its performance is compliant with most cordless systems requirements.</t>
  </si>
  <si>
    <t>226-229</t>
  </si>
  <si>
    <t>Small printed-wing antenna suitable for wireless handset terminals</t>
  </si>
  <si>
    <t>10.1002/mop.1272</t>
  </si>
  <si>
    <t>2-s2.0-0035921122</t>
  </si>
  <si>
    <t>['planar geometry', 'impedance bandwidth', 'good control', 'feed probe']</t>
  </si>
  <si>
    <t>Impedance bandwidth enhancement | Planar monopole | Wideband antenna</t>
  </si>
  <si>
    <t>Wideband planar monopole antennas have recently been proposed for use on digital mobile terminals. The square planar monopole is the simplest to analyze, and suffers little degradation of radiation pattern within the impedance bandwidth. The addition of a bevel on one or both sides of the feed probe is shown to increase the bandwidth with good control of the upper edge frequency. The impedance bandwidth ratio for this antenna is shown to vary from 2:1 to 6:1, which can be controlled by beveling the planar geometry.</t>
  </si>
  <si>
    <t>Ammann, M. J.</t>
  </si>
  <si>
    <t>Ireland</t>
  </si>
  <si>
    <t>Dublin</t>
  </si>
  <si>
    <t>Technological University Dublin</t>
  </si>
  <si>
    <t>Control of the impedance bandwidth of wideband planar monopole antennas using a beveling technique</t>
  </si>
  <si>
    <t>10.1002/mop.1273</t>
  </si>
  <si>
    <t>2-s2.0-0035921124</t>
  </si>
  <si>
    <t>Whitehall Foundation</t>
  </si>
  <si>
    <t>['wing ),', 'type songs', 'song production', 'sine song', 'sensory feedback', 'results indicate', 'relative amplitude', 'pulse interval', 'pulse duration', 'normal songs', 'mutant flies', 'important role', 'courtship songs', 'courtship song', 'chordotonal organs', 'carrier frequency']</t>
  </si>
  <si>
    <t>Chordotonal organs | Courtship song | Drosophila melanogaster Auditory mutants | Sensory feedback</t>
  </si>
  <si>
    <t>To test the role of sensory feedback in song production, we analyzed the courtship songs of Drosophila males expressing auditory mutations. We compared the courtship songs of atonal (ato), beethoven (btv) and touch-insensitive-larva-B (tilB) to wild-type songs. These mutations have in common the fact that the chordotonal organs are disrupted. Since chordotonal organs subserve both hearing (in the antenna) and proprioception (from the wing), these two potential routes for sensory feedback are defective in the mutant flies. We measured six song characters: Pulse number within a train, inter-pulse interval, pulse duration, sine burst duration, the carrier frequency of the sine song and the relative amplitude of the sine song. Using multivariate analysis, we found significant differences between mutant and normal songs. In addition many mutant flies exhibit an unusual wing position during singing. The results indicate that sensory feedback plays an important role in shaping the courtship song of Drosophila.</t>
  </si>
  <si>
    <t>60024324-60033125;60024324</t>
  </si>
  <si>
    <t>7003959043;7004945066</t>
  </si>
  <si>
    <t>Tauber, Eran;Eberl, Daniel F.</t>
  </si>
  <si>
    <t>Leicester;Iowa City</t>
  </si>
  <si>
    <t>University of Leicester;University of Iowa</t>
  </si>
  <si>
    <t>60033125;60024324</t>
  </si>
  <si>
    <t>Tauber E.</t>
  </si>
  <si>
    <t>Song production in auditory mutants of drosophila: The role of sensory feedback</t>
  </si>
  <si>
    <t>10.1007/s003590100206</t>
  </si>
  <si>
    <t>2-s2.0-0034903552</t>
  </si>
  <si>
    <t>['winter may', 'winter cultivars', 'whereas spring', 'temperature stay', 'subsequent weeks', 'rights reserved', 'prolonged low', 'present investigation', 'possible relationships', 'photosynthetic apparatus', 'photosynthetic activity', 'oilseed rape', 'maximal resistance', 'growth rate', 'gradual loss', 'frost resistance', 'even observed', 'cultivars acclimated', 'co2 exchange', 'also observed', '7th week', '70th day', '6 weeks', '10 weeks']</t>
  </si>
  <si>
    <t>Brassica napus var. oleifera f. annua | Chlorophyll fluorescence | Cold acclimation | Growth rate | Photosynthesis | Prehardening | Water status</t>
  </si>
  <si>
    <t>The aim of the present investigation was to determine if the loss of frost resistance observed in spring-type oilseed rape during winter may be the effect of the tendency to start elongation growth during the prolonged low-temperature stay. Interactions between elongation growth rate, properties of photosynthetic apparatus and frost resistance were studied under these conditions in spring and winter cultivars of oilseed rape. Both spring and winter cultivars of oilseed rape reached the maximal frost resistance after 6 weeks at + 5¬∞C. Photosynthetic apparatus of both cultivars acclimated to functioning in cold. The resistance of winter type plants remained unchanged at the end of the experiment (10 weeks) whereas spring-type plants lost the maximal resistance in subsequent weeks. It was preceded in the 7th week of low-temperature stay by acceleration of elongation growth without an increase in dry matter accumulation. A gradual loss of photosynthetic activity was also observed during this period. It was manifested as a decrease in antenna trapping efficiency, photochemical and non-photochemical fluorescence quenching and actual quantum yield of PSII without affecting apparent quantum yield of PSII. At the 70th day of the experiment, a decrease in CO2 exchange and dry matter accumulation were even observed. The possible relationships between growth rate and functioning of photosynthetic apparatus are discussed. ¬© 2001 Elsevier Science Ireland Ltd. All rights reserved.</t>
  </si>
  <si>
    <t>221-230</t>
  </si>
  <si>
    <t>Plant Science</t>
  </si>
  <si>
    <t>60017750;60017750;60085688</t>
  </si>
  <si>
    <t>6701746627;22136895700;6602977548</t>
  </si>
  <si>
    <t>Rapacz, Marcin;Tokarz, Krzysztof;Janowiak, Franciszek</t>
  </si>
  <si>
    <t>Poland;Poland</t>
  </si>
  <si>
    <t>Krakow;Krakow</t>
  </si>
  <si>
    <t>Franciszek G√≥rski Institute of Plant Physiology of the Polish Academy of Sciences;Uniwersytet Rolniczy im. Hugona Kollataja w Krakowie</t>
  </si>
  <si>
    <t>60085688;60017750</t>
  </si>
  <si>
    <t>Rapacz M.</t>
  </si>
  <si>
    <t>The initiation of elongation growth during long-term low-temperature stay of spring-type oilseed rape may trigger loss of frost resistance and changes in photosynthetic apparatus</t>
  </si>
  <si>
    <t>S0168945200003411</t>
  </si>
  <si>
    <t>10.1016/S0168-9452(00)00341-1</t>
  </si>
  <si>
    <t>2-s2.0-0034903837</t>
  </si>
  <si>
    <t>European Geosciences Union</t>
  </si>
  <si>
    <t>CE94-0015</t>
  </si>
  <si>
    <t>EGU</t>
  </si>
  <si>
    <t>['reception level', 'olfactory reception', 'olfactory perception', 'olfactory function', 'olfactory coding', 'observed specifically', 'mutants compared', 'inositol 1', 'functional meaning', 'electroantennogram kinetics', 'dunce genes', 'differential activation', 'adenylyl cyclase']</t>
  </si>
  <si>
    <t>Drosophila | Dunce | Olfaction | Olfactory reception | Rutabaga</t>
  </si>
  <si>
    <t>The rutabaga and dunce genes, encode two enzymes of the cyclic adenosine monophosphate transduction pathway in Drosophila, adenylyl cyclase and cyclic adenosine monophosphate phosphodiesterase, respectively. Two main second messenger systems, depending on inositol 1,4,5-triphosphate and cyclic adenosine monophosphate, have been associated with olfaction in vertebrates as well as invertebrates. A relationship between the cyclic adenosine monophosphate signaling pathway and olfactory reception in Drosophila is suggested by the presence of cyclic nucleotide gated channels and cyclic-nucleotide modulated K+ channels in the antennae, the main olfactory organs. In this report, molecular, electrophysiological and behavioral data support the role of cyclic adenosine monophosphate in olfactory function for this species. Expression of both genes in the antennae has been shown by messenger ribonucleic acid analysis. Changes in the electroantennogram kinetics have been observed specifically on the slope of the initial rising phase, as predicted for processes that affect cyclic adenosine monophosphate concentration. Olfactory behavior changes due to both mutations were coherent with a functional meaning of the reported electrophysiological phenotype in olfactory perception. Sensitivity level increases or decreases for the mutants compared to the control line depending on the odorant. These results are compatible with some olfactory coding at the reception level by differential activation of a dual transduction system involving the inositol 1,4,5-triphosphate and cyclic adenosine monophosphate cascades.</t>
  </si>
  <si>
    <t>359-370</t>
  </si>
  <si>
    <t>60004623;60004623;60004623</t>
  </si>
  <si>
    <t>7403519239;6507441476;6602075982</t>
  </si>
  <si>
    <t>Mart√≠n, Fernando;Charro, Mar√≠a;Alcorta, Esther</t>
  </si>
  <si>
    <t>Oviedo</t>
  </si>
  <si>
    <t>Facultad de Medicina y Ciencias de la Salud</t>
  </si>
  <si>
    <t>Mart√≠n F.</t>
  </si>
  <si>
    <t>Mutations affecting the cAMP transduction pathway modify olfaction in Drosophila</t>
  </si>
  <si>
    <t>10.1007/s003590100208</t>
  </si>
  <si>
    <t>2-s2.0-0034904858</t>
  </si>
  <si>
    <t>['unsaturated aldehydes', 'tineidae ),', 'synthetic compounds', 'saturated hydrocarbons', 'saturated aldehydes', 'saturated alcohols', 'porapak q', 'mediate attraction', 'mass spectrometry', 'larval parasitoid', 'horseshoe crab', 'habitat cues', 'female wcm', 'female antennae', 'electroantennographic detection', 'early response', 'ead analyses', 'derived semiochemicals', 'component blend', 'comparative gc', 'blend attractiveness', 'attractive aldehyde', 'apanteles carpatus', 'adult wcm', 'active volatiles']</t>
  </si>
  <si>
    <t>Coupled gas chromatographic-electroantennographic detection | GC-EAD | Geranylacetone | Host-habitat location | Larval-habitat location | Lepidoptera | Nonanal | Semiochemicals | Tineidae | Tineola bisselliella</t>
  </si>
  <si>
    <t>Our objective was to identify the semiochemicals that mediate attraction of the webbing clothes moth (WCM), Tineola bisselliella (Lepidoptera: Tineidae), to suitable larval habitat. Coupled gas chromatographic-electroantennographic detection (GC-EAD) analyses of Porapak Q-captured bioactive volatiles from horseshoe crab, and dried but untanned vertebrate pelts revealed numerous EAD-active volatiles. These volatiles were identified by comparative GC-mass spectrometry and GC-EAD analyses of natural and synthetic compounds. A blend of 28 synthetic candidate semiochemicals attracted both male and female WCM. Experiments deleting various components determined that saturated aldehydes - but not unsaturated aldehydes, saturated hydrocarbons, saturated alcohols, or ketones - were essential for blend attractiveness. A blend of nonanal, the single most attractive aldehyde, in combination with geranylacetone was more attractive to WCM than the 28-component blend or dried, untanned animal pelt. Selection of larval habitat resides more with male than female WCM, as indicated by stronger EAD responses from male than female antennae to habitat-derived semiochemicals, and more selective and early response to habitat cues by males than females. Exploitation of nonanal and geranylacetone as resource-derived semiochemicals by both adult WCM and its larval parasitoid, Apanteles carpatus, is an example of convergent semiochemical parsimony.</t>
  </si>
  <si>
    <t>1547-1560</t>
  </si>
  <si>
    <t>60018491;60018491;60018491</t>
  </si>
  <si>
    <t>7006723723;7006196798;7006335669</t>
  </si>
  <si>
    <t>Tak√°cs, Stephen;Gries, Gerhard;Gries, Regine</t>
  </si>
  <si>
    <t>Tak√°cs S.</t>
  </si>
  <si>
    <t>Communication ecology of webbing clothes moth: 2. Identification of semiochemicals mediating attraction of adults to larval habitat</t>
  </si>
  <si>
    <t>10.1023/A:1010497922448</t>
  </si>
  <si>
    <t>2-s2.0-0034908307</t>
  </si>
  <si>
    <t>['well matched', 'time constant', 'synchronous detection', 'single frame', 'ring antennas', 'resonant slot', 'optical coupling', 'large advantage', 'human body', 'gated integration', 'equivalent power', 'coupling signals', 'assumed range', 'also described', '175 ns', '100 pw']</t>
  </si>
  <si>
    <t>Array | Bolometer | Concealed weapons | Imaging | Millimeter-wave</t>
  </si>
  <si>
    <t>We describe a system for detection of concealed weapons based on imaging the millimeter-wave reflectance contrast between the weapon and the human body. An architecture based upon pulsed illumination and gated integration has a large advantage in sensitivity over chopped CW illumination and synchronous detection. A simple sensitivity estimate based on an assumed range of 8 m, a 30 Hz frame rate, a primary collection area of 30 cm diameter, and an overall optical efficiency of 50 %, yields a noise-equivalent reflectance difference of 0.66 % in a single frame. The uncooled niobium microbolometers provide a (measured) noise-equivalent power of 100 pW/Hz1/2 and a time constant of 175 ns, well matched to the source pulse width and the system sensitivity requirements. Optical coupling is provided by resonant slot-ring antennas, distributed in a focal plane array covering a single 75 mm diameter wafer. The optical and electrical systems used for coupling signals into and out of the focal plane array are also described. ¬© 2001 SPIE.</t>
  </si>
  <si>
    <t>56034208100;7004179559;7004130177;7004638382</t>
  </si>
  <si>
    <t>Grossman, E. N.;Nolen, S.;Paulter, N. G.;Reintsema, C. D.</t>
  </si>
  <si>
    <t>Grossman E.</t>
  </si>
  <si>
    <t>Concealed weapons detection system using uncooled, pulsed, imaging arrays of millimeter-wave bolometers</t>
  </si>
  <si>
    <t>10.1117/12.438138</t>
  </si>
  <si>
    <t>2-s2.0-0035158372</t>
  </si>
  <si>
    <t>['research effort', 'radarometer mode', 'mode integrates', 'engineering model']</t>
  </si>
  <si>
    <t>Imaging | Millimeter wave | Radar | Radarometer | Radiometer | Sensor data fusion</t>
  </si>
  <si>
    <t>An imaging "radarometer"mode integrates a radar with a radiometer in a manner which allows simultaneous use of a common imaging antenna. The goal of this research effort was the design of a MMW camera capable of obtaining simultaneous passive and active airborne images, in the radarometer mode. An Engineering Test Unit (ETU) was assembled to verify the design of an Engineering Model and to determine if any significant design changes were needed. ETU flight test data is presented and discussed in terms of sensor system capabilities and the Engineering Model design approach. ¬© 2001 SPIE.</t>
  </si>
  <si>
    <t>24-34</t>
  </si>
  <si>
    <t>100381599;60019228;60019228;60019228</t>
  </si>
  <si>
    <t>6602544165;7003970674;57197526571;6601974542</t>
  </si>
  <si>
    <t>Ewen, Doc;Huddleston, Darryl;Smith, Roger;Belcher, Byron</t>
  </si>
  <si>
    <t>Air Force Research Laboratory;Telaxis Communications Corporation</t>
  </si>
  <si>
    <t>60019228;100381599</t>
  </si>
  <si>
    <t>Ewen D.</t>
  </si>
  <si>
    <t>Flight test of a MMW imaging radarometer</t>
  </si>
  <si>
    <t>10.1117/12.438140</t>
  </si>
  <si>
    <t>2-s2.0-0035166382</t>
  </si>
  <si>
    <t>['upon de', 'thylakoid œîph', 'suppressed quenching', 'sigmoidal relationship', 'rate constant', 'quenching enhancer', 'proton binding', 'photosystem ii', 'parameters changed', 'order kinetics', 'nonphotochemical quenching', 'major fraction', 'isolated chloroplasts', 'illumination time', 'hill coefficient', 'harvesting complexes', 'harvesting antenna', 'epoxidation state', 'enzyme kinetics', 'dependent upon', 'conformational transition', 'chlorophyll fluorescence', 'basic principles']</t>
  </si>
  <si>
    <t>Nonphotochemical quenching of chlorophyll fluorescence in plants is indicative of a process that dissipates excess excitation energy from the light-harvesting antenna of photosystem II. The major fraction of quenching is obligatorily dependent upon the thylakoid ŒîPh and is regulated by the de-epoxidation state of the xanthophyll cycle carotenoids associated with the light-harvesting complexes. Basic principles of enzyme kinetics have been used to investigate this process in isolated chloroplasts. The extent of quenching was titrated against the estimated thylakoid lumen Ph, and a sigmoidal relationship was obtained with a Hill coefficient of 4.5 and a pŒö of 4.7. Upon de-epoxidation, these parameters changed to 1.6 and 5.7, respectively. Antimycin A suppressed quenching, increasing the Hill coefficient and reducing the PŒö. The rate of induction of quenching fitted second-order kinetics with respect to illumination time, and the rate constant was dependent upon the ŒîPh, the de-epoxidation state, the presence of antimycin, and also the presence of dibucaine, a quenching enhancer. All these data are consistent with the notion that quenching is caused by a conformational transition in a chloroplast thylakoid protein; this transition shows cooperativity with respect to proton binding, and is controlled by de-epoxidation state and various exogenous reagents.</t>
  </si>
  <si>
    <t>9896-9901</t>
  </si>
  <si>
    <t>60001881;60001881;60001881</t>
  </si>
  <si>
    <t>7102944615;6602538294;57203184101</t>
  </si>
  <si>
    <t>Ruban, A. V.;Wentworth, M.;Horton, P.</t>
  </si>
  <si>
    <t>Ruban A.</t>
  </si>
  <si>
    <t>Kinetic analysis of nonphotochemical quenching of chlorophyll fluorescence. 1. Isolated chloroplasts</t>
  </si>
  <si>
    <t>10.1021/bi010370f</t>
  </si>
  <si>
    <t>2-s2.0-0035928785</t>
  </si>
  <si>
    <t>['secretory epithelium', 'secretory cells', 'produces electron', 'ovipositing females', 'lucid vesicles', 'lipid similarly', 'gland secretion', 'egg masses', 'dense vesicles', 'contain electron', 'common oviducts', 'common oviduct', 'accessory gland']</t>
  </si>
  <si>
    <t>Dufour's gland | Egg parasitoid | Female reproductive system | Parasitoid | Trissolcus basalis | Ultrastructure</t>
  </si>
  <si>
    <t>After oviposition, Trissolcus basalis females always mark the host's surface, depositing host marking substances for herself and to warn other ovipositing females. The perception of these host marking substances, probably through the antennae, can induce the female to leave and seek healthy hosts. Parasitoid females exposed to conspecific parasitized egg masses left the host egg masses significantly more often than when exposed to non-parasitized egg masses. More egg mass leaving behavior also was observed when the egg masses were treated with Dufour's gland secretion but not when treated with secretion from the common oviducts. The common oviduct has a secretory epithelium that produces electron-dense vesicles, probably containing proteinaceous substances. The secretory cells of the accessory gland, Dufour's gland, contain electron-lucid vesicles, whose secretion appears to be a lipid similarly to that found in pheromone secreting glands. Ultrastructural and behavioral evidence suggests that Dufour's gland is the host marking pheromone source. ¬© 2001 Elsevier Science Ltd.</t>
  </si>
  <si>
    <t>989-995</t>
  </si>
  <si>
    <t>60021859;60031624;60017697;60003003</t>
  </si>
  <si>
    <t>24822838200;6602746609;6603941097;7003961743</t>
  </si>
  <si>
    <t>Rosi, M. C.;Isidoro, N.;Colazza, S.;Bin, F.</t>
  </si>
  <si>
    <t>Ancona;Florence;Palermo;Perugia</t>
  </si>
  <si>
    <t>Universit√† Politecnica delle Marche;Universit√† degli Studi di Firenze;Universit√† degli Studi di Palermo;Universit√† degli Studi di Perugia</t>
  </si>
  <si>
    <t>60031624;60021859;60017697;60003003</t>
  </si>
  <si>
    <t>Rosi M.</t>
  </si>
  <si>
    <t>Source of the host marking pheromone in the egg parasitoid Trissolcus basalis (Hymenoptera: Scelionidae)</t>
  </si>
  <si>
    <t>S0022191001000737</t>
  </si>
  <si>
    <t>10.1016/S0022-1910(01)00073-7</t>
  </si>
  <si>
    <t>2-s2.0-0034904382</t>
  </si>
  <si>
    <t>R01GM058575</t>
  </si>
  <si>
    <t>['ventral appendages', 'ventral appendage', 'unique identities', 'structures implies', 'results raise', 'proximal segment', 'drosophila melanogaster', 'diversity among', 'distal tarsus', 'distal axis', 'analia make']</t>
  </si>
  <si>
    <t>In Drosophila melanogaster, the antennae, legs, genitalia, and analia make up a serially homologous set of ventral appendages that depend on different selector genes for their unique identities. The diversity among these structures implies that there is a common ground state that selector genes modify to generate these different appendage morphologies. Here we show that the ventral appendage that forms in the absence of selector gene activity is leglike but consists of only two segments along its proximo-distal axis: A proximal segment and a distal tarsus. These results raise the possibility that, during evolution, leglike appendages could have developed without selector gene activity.</t>
  </si>
  <si>
    <t>1477-1480</t>
  </si>
  <si>
    <t>60004346;60004346</t>
  </si>
  <si>
    <t>7004567891;7401908142</t>
  </si>
  <si>
    <t>Casares, F.;Mann, R. S.</t>
  </si>
  <si>
    <t>Porto</t>
  </si>
  <si>
    <t>Instituto de Biologia Molecular e Celular, Porto</t>
  </si>
  <si>
    <t>Casares F.</t>
  </si>
  <si>
    <t>The ground state of the ventral appendage in Drosophila</t>
  </si>
  <si>
    <t>10.1126/science.1062542</t>
  </si>
  <si>
    <t>2-s2.0-0035943440</t>
  </si>
  <si>
    <t>['voltage spectrum', 'surrounding medium', 'sensor platform', 'resonant frequency', 'presented capable', 'platform enables', 'planar two', 'performance limitations', 'paper describes', 'operational principles', 'loop antennas', 'lc sensor', 'illustrative applications', 'environmental parameters', 'environmental conditions', 'dimensional inductor', 'detected remotely', 'design criteria', 'dependent upon', 'complex permittivity', 'characteristic frequency', 'capacitor circuit']</t>
  </si>
  <si>
    <t>Bacteria | Complex permittivity | Inductance coupling | Remote query | Sensor | Wireless</t>
  </si>
  <si>
    <t>A wireless, passive, remote query sensor platform is presented capable of monitoring the complex permittivity of a surrounding medium. temperature, humidity, and pressure. The sensor is a planar two-dimensional inductor-capacitor circuit, of scaleable-size, that resonates at a characteristic frequency the value of which is dependent upon the parameters of interest. The resonant frequency of the sensor is detected remotely with one or a pair of loop antennas by measuring the impedance or voltage spectrum of the antenna(s), with the environmental parameters of interest then calculated from the measured resonant frequency. The wireless, remote query nature of the platform enables the LC sensor to monitor the environmental conditions from within sealed opaque containers. The paper describes the operational principles, design criteria, illustrative applications, and performance limitations of the sensor platform.</t>
  </si>
  <si>
    <t>7102309054;7102762205;15746680900;55613239824</t>
  </si>
  <si>
    <t>Ong, K. G.;Grimes, C. A.;Robbins, C. L.;Singh, R. S.</t>
  </si>
  <si>
    <t>Design and application of a wireless, passive, resonant-circuit environmental monitoring sensor</t>
  </si>
  <si>
    <t>S0924424701006240</t>
  </si>
  <si>
    <t>10.1016/S0924-4247(01)00624-0</t>
  </si>
  <si>
    <t>2-s2.0-0035948958</t>
  </si>
  <si>
    <t>['varying amounts', 'state dependent', 'scatterers present', 'rotating dihedral', 'receiver characteristics', 'properly calibrated', 'polsar system', 'polsar data', 'paper addresses', 'new approaches', 'like scatterers', 'imbalances exist', 'four channels', 'crosstalk removal', 'based upon', 'band sar', 'band data', 'antenna elements', 'also discussed', 'additional information']</t>
  </si>
  <si>
    <t>Calibration | Polarimetric decomposition | Polarimetry | SAR</t>
  </si>
  <si>
    <t>Polarimetric synthetic aperture radar (POLSAR) provides additional information about the scatterers and clutter in a scene over that of single-band SAR. A fully polarimetric sensor contains four imaging channels that, when properly calibrated, can indicate the type of scatterers present. For example, it is possible to discriminate between trihedral-, dihehdral-, and dipole-like scatterers. The orientation of the scatterers can also be extracted. Based upon this additional information, hypotheses can be generated about the objects in the scene that are richer than those generated from single-band data. Combinations of transmission and reception with antennae that ideally represent orthogonal, balanced polarimetric states generate the four channels of the POLSAR system. In practice, the antenna elements are not perfect; crosstalk and imbalances exist between them, so that calibration is necessary. This paper addresses the calibration of POLSAR data, and introduces some new approaches to this problem. These include a novel gradient descent algorithm for crosstalk removal and the application of a rotating dihedral to the calibration of a sensor with receiver characteristics that are transmit-state dependent. The sensitivity of the Cloude1 polarimetric decomposition to varying amounts of crosstalk and imbalance in an imperfectly calibrated data set is also discussed. ¬© 2001 SPIE.</t>
  </si>
  <si>
    <t>264-275</t>
  </si>
  <si>
    <t>60015916;60015916;60026242;60026242</t>
  </si>
  <si>
    <t>7406474140;6603289514;7402332487;57225346574</t>
  </si>
  <si>
    <t>Smith, Warren E.;Filiberti, Daniel;Bennett, Andrew J.;Currie, Anthony</t>
  </si>
  <si>
    <t>Salisbury;San Diego</t>
  </si>
  <si>
    <t>Defence Science and Technology Laboratory;SAIC</t>
  </si>
  <si>
    <t>60026242;60015916</t>
  </si>
  <si>
    <t>Smith W.E.</t>
  </si>
  <si>
    <t>Calibration of polarimetric SAR and sensitivity to calibration error</t>
  </si>
  <si>
    <t>10.1117/12.438219</t>
  </si>
  <si>
    <t>2-s2.0-0035154104</t>
  </si>
  <si>
    <t>['vast majority', 'uniglomerular pns', 'two calyces', 'tracts 2', 'three subtracts', 't4 regions', 't1 region', 'subsequently labeled', 'suboesophageal ganglion', 'single glomerulus', 'sensory cells', 'protocerebral lobe', 'projection neurons', 'physiological properties', 'parallel pathways', 'olfactory interneurons', 'odor information', 'neuropil around', 'neurons respond', 'neurons projecting', 'mushroom bodies', 'multiglomerular neurons', 'lip region', 'lip neuropil', 'like processes', 'lateral pl', 'lateral horn', 'l -,', 'ipsilateral protocerebrum', 'intracellularly recorded', 'individual neurons', 'higher incidence', 'general odors', 'five tracts', 'distinguished according', 'different regions', 'densely within', 'connect glomeruli', 'broader region', 'bilateral interneurons', 'basal ring', 'apis mellifera', 'antennal lobe', 'antennae ).', 'analyze morphologic', 'acts projecting', 'act neurons', 'act leave', 'act innervate', 'act 1', '3 ).']</t>
  </si>
  <si>
    <t>Antennal lobe | Bilateral neurons | Fluorescent dextrans | Insects | Neuroanatomy | Neurobiotin | Projection neurons</t>
  </si>
  <si>
    <t>To analyze morphologic and physiological properties of olfactory interneurons in the honeybee, Apis mellifera, antennal lobe (AL) neurons were intracellularly recorded and subsequently labeled with Neurobiotin. Additional focal injections were carried out with cobalt hexamine chloride and dextran fluorescent markers. Olfactory interneurons (projection neurons, PNs) project by means of five tracts, the lateral, the median, and three mediolateral antennocerebral tracts (l-, m-, and ml-ACT, respectively) to the mushroom bodies (MBs) and the protocerebral lobe (PL) of the ipsilateral protocerebrum. Uniglomerular PNs of the m- and l-ACT receiving input from a single glomerulus of the AL also arborize in different regions of the AL. The vast majority of l-ACT innervate the T1 region, whereas m-ACT neurons arborize exclusively in the T2, T3, and T4 regions (T1-4: AL projection area of sensory cells from the antennae). In the calyces of the MB, uniglomerular PNs form varicosities in the basal ring and the lip region. Individual neurons of both types exhibit unequal innervation within and between the two calyces. In addition, m-ACT fibers ramify more densely within the lip neuropil and show a higher incidence of spine-like processes than l-ACTs. In the PL, l-ACTs arborize exclusively within the lateral horn, whereas some m-ACT neurons innervate a broader region. Multiglomerular neurons of the ml-ACT leave the AL by means of three subtracts (ml-ACT 1-3). Two different types can be distinguished according to their protocerebral target areas: ml-ACTs projecting to the lateral PL (LPL) and to the neuropil around the Œ±-lobe (tracts 2 and 3) and neurons projecting only to the LPL (tract 1). Intracellular recordings indicate that both l- and m-ACT neurons respond to general odors but with different response properties, indicating that odor information is processed in parallel pathways with different functional characteristics. Just like m-ACT neurons, ml-ACT neurons respond to odors with complex activity patterns. Bilateral interneurons, originating in the suboesophageal ganglion, connect glomeruli of both AL, and send an axon through the m-ACT in each hemisphere of the brain, terminating in the lip region of the calyces. These neurons respond to contact chemical stimuli. ¬© 2001 Wiley-Liss, Inc.</t>
  </si>
  <si>
    <t>363-383</t>
  </si>
  <si>
    <t>60030718;60030718;60030718</t>
  </si>
  <si>
    <t>57197514972;7006538464;7102000725</t>
  </si>
  <si>
    <t>Abel, Regina;Rybak, Jrgen;Menzel, Randolf</t>
  </si>
  <si>
    <t>Freie Universit√§t Berlin</t>
  </si>
  <si>
    <t>Abel R.</t>
  </si>
  <si>
    <t>Structure and response patterns of olfactory interneurons in the honeybee, Apis mellifera</t>
  </si>
  <si>
    <t>10.1002/cne.1289</t>
  </si>
  <si>
    <t>2-s2.0-0035959483</t>
  </si>
  <si>
    <t>R01DC000588</t>
  </si>
  <si>
    <t>['specific protein', 'specific expression', 'snmps play', 'snmp1 proteins', 'snmp sequences', 'sequence identity', 'sequence difference', 'receptor membranes', 'previously identified', 'partially sequenced', 'osns ).', 'olfactory function', 'odor detection', 'occurs simultaneously', 'msex expression', 'manduca sexta', 'invertebrate lineages', 'identify 14', 'heliothis virescens', 'gene family', 'fully sequenced', 'findings suggest', 'drosophila melanogaster', 'developmental time', 'current study', 'central role', 'cd36 family', 'behavioral action', 'apparent homology', 'apol homologues', 'abundantly expressed', '80 %;']</t>
  </si>
  <si>
    <t>CD36 | Manduca | Membrane | Olfaction | Pheromone</t>
  </si>
  <si>
    <t>SNMP1-Apol is an antennal-specific protein of the wild silk moth Antheraea polyphemus; the protein is abundantly expressed and localized to the receptor membranes of sex-pheromone specific olfactory sensory neurons (OSNs). SNMP1-Apol is thought to function in odor detection based on its olfactory-specific expression, localization within OSNs, developmental time of expression, and apparent homology to the CD36 family of membrane-bound receptor proteins. In the current study, SNMP1-Apol homologues were identified from the moths Bombyx mori, Heliothis virescens, and Manduca sexta. These species posses antennal mRNAs encoding proteins with amino acid sequence identities ranging from 75-80%; these proteins are collectively designated SNMP1. A second M. sexta SNMP homologue, previously identified and partially sequenced [Robertson et al.: Insect Mol Biol 8:501-518, 1999] was fully sequenced and characterized. The encoded protein shares only 26-27% sequence identity with the SNMP1 proteins, and is thus designated SNMP2-Msex. The SNMP sequences were used to identify 14 and four possible homologues in Drosophila melanogaster and Caenorhabditis elegans genome databases, respectively; thus, greatly expanding CD36 family membership among the invertebrate lineages. Despite their sequence difference, SNMP1-Msex and SNMP2-Msex expression is localized to OSNs and occurs simultaneously with the onset of olfactory function. These findings suggest that SNMPs play a central role in odor detection in insects, and that the CD36 gene family is widely represented among animal phyla. The SNMPs are the only identified neuronal members of the CD36 family, and as such expand the activities of this gene family into roles influencing brain function and behavioral action. ¬© 2001 John Wiley &amp; Sons. Inc.</t>
  </si>
  <si>
    <t>47-61</t>
  </si>
  <si>
    <t>60018179-60030162;60018373;60018179</t>
  </si>
  <si>
    <t>57214090596;7201508329;7202412220</t>
  </si>
  <si>
    <t>Rogers, Matthew E.;Krieger, J√ºrgen;Vogt, Richard G.</t>
  </si>
  <si>
    <t>United States;Germany;United States</t>
  </si>
  <si>
    <t>New York;Stuttgart;Columbia</t>
  </si>
  <si>
    <t>Columbia University;Universit√§t Hohenheim;University of South Carolina</t>
  </si>
  <si>
    <t>60030162;60018373;60018179</t>
  </si>
  <si>
    <t>Antennal SNMPS (sensory neuron membrane proteins) of lepidoptera define a unique family of invertebrate CD36-like proteins</t>
  </si>
  <si>
    <t>10.1002/neu.1065</t>
  </si>
  <si>
    <t>2-s2.0-0034844692</t>
  </si>
  <si>
    <t>['wave band', 'signal processing', 'radar sensor', 'promising features', 'performed successfully', 'paper reports', 'optical engineering', 'modern traffic', 'international society', 'independent operation', 'image presentation', 'high resolution', 'ground tests', 'germany gmbh', 'following features', 'flight test', 'enhanced vision', 'effective operation', 'close co', 'air delivery']</t>
  </si>
  <si>
    <t>Automatic runway detection | Autonomous landing | Enhanced Vision System | FMCW | Frequency scanning antenna | High Vision Radar | Imaging sensor | Millimeter-wave radar | Obstacle avoidance | Situation awareness</t>
  </si>
  <si>
    <t>The increase in modern traffic, the demand for economic and cost-effective operation and more stringent safety demands require the weather- and daylight-independent operation of aircraft. There is a need for imaging sensor support, especially for landing and taxiing. In addition, military transport aircraft need sensor support for navigation, air delivery and landing during extended military tasks and operations. Compared to other sensors and systems, the radar sensor described, which is embedded into an Enhanced Vision System, has the most promising features and performance. This paper reports on the development and flight test of an FM-CW radar sensor operating in the mm-wave band at EADS, Germany GmbH. In close co-operation with the DLR (German Aerospace Center), multiple flights and ground tests have been performed successfully with the demonstrator. The results presented prove the effectiveness of the radar sensor in support of Enhanced Vision. The following features of the radar sensor and the Signal Processing are presented: frequency-scanning, high information renewal rate, high resolution, image presentation and automatic runway detection. ¬© 2001 SPIE - The International Society for Optical Engineering.</t>
  </si>
  <si>
    <t>60002286;60002286</t>
  </si>
  <si>
    <t>24316011600;6507778013</t>
  </si>
  <si>
    <t>Compans, Elmar;Hellemann, Karlheinz</t>
  </si>
  <si>
    <t>Leiden</t>
  </si>
  <si>
    <t>Airbus Group SE</t>
  </si>
  <si>
    <t>Compans E.</t>
  </si>
  <si>
    <t>A MM-wave radar-sensor with proven capabilities of enhanced vision</t>
  </si>
  <si>
    <t>10.1117/12.438011</t>
  </si>
  <si>
    <t>2-s2.0-0035156992</t>
  </si>
  <si>
    <t>['maximin algorithm', 'interference sources', 'digital implementation', 'antenna array']</t>
  </si>
  <si>
    <t>Adaptive array | Frequency hopping | Maximin algorithm</t>
  </si>
  <si>
    <t>The maximin algorithm adapts the weights of an antenna array to provide simultaneous interference suppression and beamforming in a frequency-hopping communication system. The algorithm is derived and a digital implementation is presented. Simulation experiments illustrate the ability of the maximin algorithm to rapidly form deep nulls in the directions of interference sources. ¬© 2001 SPIE.</t>
  </si>
  <si>
    <t>119-136</t>
  </si>
  <si>
    <t>60033252;100343433</t>
  </si>
  <si>
    <t>7003426663;6602724688</t>
  </si>
  <si>
    <t>Torrieri, Don;Bakhru, Kesh</t>
  </si>
  <si>
    <t>Adelphi;San Diego</t>
  </si>
  <si>
    <t>U.S. Army Research Laboratory;Cubic Defense Systems</t>
  </si>
  <si>
    <t>Torrieri D.</t>
  </si>
  <si>
    <t>The maximin algorithm for adaptive arrays and frequency-hopping systems</t>
  </si>
  <si>
    <t>10.1117/12.438279</t>
  </si>
  <si>
    <t>2-s2.0-0035180154</t>
  </si>
  <si>
    <t>['repeater design', 'optical engineering', 'international society', 'interfering signal', 'gsc ).', 'desired signal', 'data generated', 'computer simulation', 'cdma test', 'built w', 'array error', 'array calibration', 'array antenna']</t>
  </si>
  <si>
    <t>Beamforming | Generalized sidelobe canceller | Projection | Repeater</t>
  </si>
  <si>
    <t>In this paper, we study the possibility of applying the smart antenna technology to repeater design. The difficulties of using an array antenna in a repeater have to do with the coherence of the desired signal and the interfering signal as well as the sensitivity to the array calibration. To cope with the difficulties, we propose a robust beamforming algorithm which uses a interference projection matrix in Generalized Sidelobe Canceller (GSC). The matrix is designed to prevent the desired signal cancellation caused by array error. To verify the algorithm, we use the data generated by computer simulation and the field data measured through a custom-built W-CDMA test-bed. ¬© 2001 SPIE - The International Society for Optical Engineering.</t>
  </si>
  <si>
    <t>84-92</t>
  </si>
  <si>
    <t>60032144;60032144-60001558;60032144;101025513</t>
  </si>
  <si>
    <t>8927219500;6506367683;7202588575;24830759400</t>
  </si>
  <si>
    <t>Lee, Chong Hyun;Jwa, Hye Kyung;Chun, Joohwan;Kim, Joo Wan</t>
  </si>
  <si>
    <t>Daejeon;Daejeon;Seongnam</t>
  </si>
  <si>
    <t>Korea Advanced Institute of Science and Technology;Electronics and Telecommunications Research Institute;KM Telecomm, Inc.</t>
  </si>
  <si>
    <t>60032144;60001558;101025513</t>
  </si>
  <si>
    <t>Lee C.H.</t>
  </si>
  <si>
    <t>On the use of minimum-variance beamforming algorithms for a smart antenna applied to a repeater</t>
  </si>
  <si>
    <t>10.1117/12.438298</t>
  </si>
  <si>
    <t>2-s2.0-0035183268</t>
  </si>
  <si>
    <t>['wide range', 'various users', 'various types', 'timely manner', 'significant reduction', 'readily switched', 'rapid expansion', 'radiating element', 'provide operation', 'provide information', 'piezoelectric transducer', 'pet );', 'paper describes', 'novel ideas', 'multifrequency diplexer', 'interference among', 'insertion loss', 'infrared sensors', 'highly mobile', 'frequency utilization', 'existing technologies', 'either ku', 'directional antennas', 'design incorporates', 'cost reduction', 'broad bandwidth', 'bandwidth expansion', 'band without', 'band frequency', 'band frequencies', 'also reduce', 'also discussed']</t>
  </si>
  <si>
    <t>Diplexer | Electronic beam steering | Low loss phase shifter | Low noise amplifier | Microwave integrated circuits | MMIC-chips | Multi-band radiating elements | Multi-band transmitter | Phased array antenna | Piezoelectric transducers</t>
  </si>
  <si>
    <t>Need for exchanging a wide range of information among many users in a timely manner, has resulted in a rapid expansion of frequency utilization, in addition to bandwidth expansion. High resolution video, infrared sensors, and various types of radars now are expected to be readily exchanged among users, and these users can be located on the surface, in the air and these users can be expected to be not only mobile, but highly mobile. To exchange this high volume information reliably among these many users requires a high data rate and the use of directional antennas. The use of directional antennas would also tend to reduce the possibility of interference among the users and also reduce the RF terminal power consumption requirements. This paper describes a multi-functional phased array antenna design, which can operate at either Ku-Band or Ka-Band without the need for switching or reconfiguration; and can be readily switched to provide information in a timely manner to the various users. The design incorporates a number of novel ideas, including a phase shifter design which uses a piezoelectric transducer (PET); a multifrequency diplexer which incorporates two diplexers, one for Ku-Band and one for Ka-Band; and a radiating element which can operate at either the Ka-Band frequency or the Ku-Band frequency. The novel piezoelectric transducer design provides a significant reduction in insertion loss over existing technologies. In addition to a broad bandwidth and a cost reduction in the design, the dual diplexer design allows the system to readily switch operation between the Ku-Band and Ka-Band frequencies; and two different radiating elements designs (Vivaldi and LTSA) are being evaluated to provide operation at either Ku-Band or Ka-Band. The results of ongoing development activities of these technologies are also discussed in the paper.¬© 2001 SPIE.</t>
  </si>
  <si>
    <t>108-118</t>
  </si>
  <si>
    <t>60019228;100429005;60020547</t>
  </si>
  <si>
    <t>College Station;Dayton;Anaheim</t>
  </si>
  <si>
    <t>Texas A&amp;M University;Air Force Research Laboratory;RST Scientific Research, Inc.</t>
  </si>
  <si>
    <t>60020547;60019228;100429005</t>
  </si>
  <si>
    <t>Multi-band phased array antennas for wireless communications</t>
  </si>
  <si>
    <t>10.1117/12.438278</t>
  </si>
  <si>
    <t>2-s2.0-0035184741</t>
  </si>
  <si>
    <t>['vinylidene fluoride', 'two types', 'two chains', 'room temperature', 'rights reserved', 'random sequences', 'parallel packing', 'orientational disorder', 'molecular dynamics', 'lower temperature', 'low temperature', 'five vdf', 'domains consisting', 'domain walls', 'domain boundary', 'dipole packing', 'cf2 dipoles', 'b axis', 'also found', '500 k', '450 k']</t>
  </si>
  <si>
    <t>Disorder of dipole moment | Ferroelectric phase transition | Vinylidene fluoride copolymer</t>
  </si>
  <si>
    <t>Molecular dynamics (MD) simulations have been performed in order to clarify the mechanism of ferroelectric phase transition in vinylidene fluoride-trifluoroethylene (VDF-TrFE) copolymers. Influence of orientational disorder of CF2 dipoles and domain walls on the ferroelectric phase transition behavior has been investigated for VDF 50 mol.% copolymer system. Two types of MD unit cells were constructed by packing the 36 and 16 infinitely long chains, each of which consisted of random sequences of five VDF and five TrFE monomer units under the 3D periodic boundary conditions. For the models with all the CF2 dipoles arrayed in parallel, the trans-to-gauche conformational change occurred at 450-500 K. Introduction of orientational disorder of one or two chains to the model, in which the dipoles are oriented into the opposite direction along the b axis, caused the reorientation of these dipoles to the original parallel direction at low temperature and the trans-to-gauche conformational change at 450 K. However, by making the dipole packing more irregular, the trans-to-gauche conformational change was found to occur quite easily even below the room temperature. An existence of the domain boundary, which was made in-between the domains consisting of the parallel packing of dipoles, was also found to cause similar structural changes. In this way, the irregular dipole array and/or the domain boundary were found to induce the trans-gauche structural transformation more easily at lower temperature, different from the models of regular dipole arrangements. ¬© 2001 Elsevier Science Ltd. All rights reserved.</t>
  </si>
  <si>
    <t>9671-9678</t>
  </si>
  <si>
    <t>Polymer</t>
  </si>
  <si>
    <t>60084720;60024322</t>
  </si>
  <si>
    <t>57224658003;7202069373</t>
  </si>
  <si>
    <t>Abe, Y.;Tashiro, K.</t>
  </si>
  <si>
    <t>Osaka;Suita</t>
  </si>
  <si>
    <t>Toyobo Co., Ltd.;Osaka University</t>
  </si>
  <si>
    <t>Abe Y.</t>
  </si>
  <si>
    <t>Computer simulation of structure and ferroelectric phase transition of vinylidene fluoride copolymers. 5. Influence of orientational disorder of dipole moments and domain walls on phase transitional behavior</t>
  </si>
  <si>
    <t>S0032386101005389</t>
  </si>
  <si>
    <t>10.1016/S0032-3861(01)00538-9</t>
  </si>
  <si>
    <t>2-s2.0-0035964416</t>
  </si>
  <si>
    <t>National Institute of Mental Health</t>
  </si>
  <si>
    <t>K05MH001148</t>
  </si>
  <si>
    <t>NIMH</t>
  </si>
  <si>
    <t>['subordinate wasps', 'spring alone', 'single foundresses', 'significant increase', 'significant differences', 'reproductive output', 'potential indicator', 'mushroom body', 'major share', 'latter case', 'karger ag', 'individual wasp', 'foundress association', 'found nests', 'established among', 'dominant queen', 'dominance hierarchy', 'differential use', 'brain structures', 'antennal lobe']</t>
  </si>
  <si>
    <t>Antennal lobe | Insects | Mushroom body | Nest founding | Structural plasticity</t>
  </si>
  <si>
    <t>Queens of the paper wasp Polistes dominulus have the option to found nests in spring alone or together with other queens. In the latter case a dominance hierarchy is established among the cofoundresses with the dominant wasp getting the major share of the reproductive output of the nest. The different reproductive strategies of an individual wasp will necessitate different behaviors. We measured the volumes of brain structures as a potential indicator of differential use and elaboration of a number of brain structures. We found a significant increase in the volume of the antennal lobe in members of multiple foundress associations in comparison to single foundresses. The volume of the collar, a substructure of the calyx of the mushroom body, was also significantly larger, especially in the dominant queen of a foundress association. No significant differences between dominant or subordinate wasps in regard to volume of the measured brain substructures were found. Copyright ¬© 2001 S. Karger AG, Basel.</t>
  </si>
  <si>
    <t>161-168</t>
  </si>
  <si>
    <t>60007776-60010065;60007776;60007776</t>
  </si>
  <si>
    <t>6701791774;7005099456;7004669666</t>
  </si>
  <si>
    <t>Ehmer, Birgit;Reeve, H. Kern;Hoy, Ron R.</t>
  </si>
  <si>
    <t>Tucson;Ithaca</t>
  </si>
  <si>
    <t>The University of Arizona;Cornell University</t>
  </si>
  <si>
    <t>60010065;60007776</t>
  </si>
  <si>
    <t>Ehmer B.</t>
  </si>
  <si>
    <t>Comparison of brain volumes between single and multiple foundresses in the paper wasp Polistes dominulus</t>
  </si>
  <si>
    <t>10.1159/000047234</t>
  </si>
  <si>
    <t>2-s2.0-0034891811</t>
  </si>
  <si>
    <t>['wide bandwidth', 'square patch', 'shaped apertures', 'polarised aperture', 'polarisation levels', 'low cross', 'high isolation', 'back ratio', '22 db']</t>
  </si>
  <si>
    <t>A dual-polarised aperture-coupled microstrip antenna with a wide bandwidth, a high isolation, low cross-polarisation levels and low backward radiation levels is presented. The square patch is fed at two comers via H-shaped apertures. The measured return loss exhibits a bandwidth of over 24.4% and the isolation is better than 30dB over the bandwidth. The cross-polarisation levels and the front-to-back ratio are better than -23 and 22 dB, respectively.</t>
  </si>
  <si>
    <t>1106-1107</t>
  </si>
  <si>
    <t>60019702;60017161;60019702;60019702</t>
  </si>
  <si>
    <t>7403257414;7501449136;7201658579;57213425197</t>
  </si>
  <si>
    <t>Gao, S. C.;Li, L. W.;Gardner, P.;Hall, P. S.</t>
  </si>
  <si>
    <t>United Kingdom;Singapore</t>
  </si>
  <si>
    <t>Birmingham;Singapore City</t>
  </si>
  <si>
    <t>University of Birmingham;National University of Singapore</t>
  </si>
  <si>
    <t>60019702;60017161</t>
  </si>
  <si>
    <t>Dual-polarised wideband microstrip antenna</t>
  </si>
  <si>
    <t>10.1049/el:20010760</t>
  </si>
  <si>
    <t>2-s2.0-0035974638</t>
  </si>
  <si>
    <t>['primary patterns', 'ocean sat', 'microwave radiometer', 'groove discontinuity', 'corrugated horn']</t>
  </si>
  <si>
    <t>The design of a multifrequency feed system for the microwave radiometer for Ocean Sat-II satellite covering 18.7, 23.8 and 36.5 GHz frequency bands is reported. A groove discontinuity is introduced at the input of the corrugated horn to optimise amplitude taper and the symmetry of primary patterns at the highest frequency without affecting the performance at lower frequency bands. Computed and measured radiation patterns are compared at all the frequencies.</t>
  </si>
  <si>
    <t>1121-1122</t>
  </si>
  <si>
    <t>60023345;60023345</t>
  </si>
  <si>
    <t>55491681600;57199964751</t>
  </si>
  <si>
    <t>Sharma, S. B.;Singh, V. K.</t>
  </si>
  <si>
    <t>Sharma S.B.</t>
  </si>
  <si>
    <t>Multifrequency corrugated feed with groove discontinuity at input</t>
  </si>
  <si>
    <t>10.1049/el:20010677</t>
  </si>
  <si>
    <t>2-s2.0-0035974641</t>
  </si>
  <si>
    <t>['shorted patch', 'radiation patterns', 'parasitic patch', 'new compact', 'input impedance', 'compact dimensions', 'antenna prototype', 'antenna bandwidth']</t>
  </si>
  <si>
    <t>A new compact but wideband patch antenna is presented. Compact dimensions are obtained by using a shorted patch. The antenna bandwidth is increased by using a stacked patch configuration. Further increase in bandwidth is obtained by tilting the parasitic patch. The antenna prototype is fabricated and its input impedance and radiation patterns are measured.</t>
  </si>
  <si>
    <t>1109-1110</t>
  </si>
  <si>
    <t>60159855;60159855;60159855</t>
  </si>
  <si>
    <t>6602371741;35618374900;6504786418</t>
  </si>
  <si>
    <t>Bonefaƒçiƒá, D.;Bartoliƒá, J.;Kocen, D.</t>
  </si>
  <si>
    <t>University of Zagreb, Faculty of Electrical Engineering and Computing</t>
  </si>
  <si>
    <t>Bonefaƒçiƒá D.</t>
  </si>
  <si>
    <t>Stacked shorted patch antenna with tilted parasitic radiator</t>
  </si>
  <si>
    <t>10.1049/el:20010772</t>
  </si>
  <si>
    <t>2-s2.0-0035974690</t>
  </si>
  <si>
    <t>['circular polarization', 'broad range', 'analyzed via']</t>
  </si>
  <si>
    <t>A cross-shaped dielectric resonator antenna (DRA), designed for circular polarization was analyzed via the finite difference time domain technique. The technique, which can handle canted surfaces was used to generate accurate results with a relatively coarse mesh. The DRA has a broad range of application in mobile satellite communication.</t>
  </si>
  <si>
    <t>1105-1106</t>
  </si>
  <si>
    <t>Farahat, N.;Yu, W.;Mittra, R.;Koleck, T.</t>
  </si>
  <si>
    <t>Cross-shaped dielectric resonator antenna analysis using conformal finite difference time domain method</t>
  </si>
  <si>
    <t>10.1049/el:20010765</t>
  </si>
  <si>
    <t>2-s2.0-0035974696</t>
  </si>
  <si>
    <t>['printed circuit', 'improved design', 'experimental results', 'direct connection', 'coaxial sources', 'antenna prototype']</t>
  </si>
  <si>
    <t>An improved design of the longitudinal tapered slot antenna is presented which incorporates a tapered coaxial line balun. This transformer type offers large bandwidth, allows for the direct connection of coaxial sources and reduces the complexity of the printed circuit. Experimental results for an antenna prototype are presented.</t>
  </si>
  <si>
    <t>1103-1104</t>
  </si>
  <si>
    <t>60109826;60109826</t>
  </si>
  <si>
    <t>7007145690;57198661073</t>
  </si>
  <si>
    <t>Knott, P.;Bell, A.</t>
  </si>
  <si>
    <t>Fraunhofer Institute for High Frequency Physics and Radar Techniques FHR</t>
  </si>
  <si>
    <t>Knott P.</t>
  </si>
  <si>
    <t>Coaxially-fed tapered slot antenna</t>
  </si>
  <si>
    <t>10.1049/el:20010761</t>
  </si>
  <si>
    <t>2-s2.0-0035974731</t>
  </si>
  <si>
    <t>['uniplanar yagi', 'uda antenna', 'results revealed', 'output power', 'millimeter waves', 'frequency region', 'fast photodiode', 'emitter uses', '100 ghz']</t>
  </si>
  <si>
    <t>A monolithically integrated photonic emitter using a uniplanar Yagi-Uda antenna was discussed. The emitter uses a uni-traveling carrier photodiode (UTC-PD) fabricated by a conventional photodiode process. The UTC-PD is a very fast photodiode which emits a high output power in the millimeter waves (MMW) frequency region. The results revealed that the output power of the monolithically integrated photonic emitter is detected at a frequency of over 100 GHz.</t>
  </si>
  <si>
    <t>1107-1109</t>
  </si>
  <si>
    <t>7202188531;35428373800;7006744896</t>
  </si>
  <si>
    <t>Hirata, A.;Furuta, T.;Nagatsuma, T.</t>
  </si>
  <si>
    <t>Hirata A.</t>
  </si>
  <si>
    <t>Monolithically integrated Yagi-Uda antenna for photonic emitter operating at 120 GHz</t>
  </si>
  <si>
    <t>10.1049/el:20010758</t>
  </si>
  <si>
    <t>2-s2.0-0035974732</t>
  </si>
  <si>
    <t>['simulated results', 'considerably reduce', 'antenna size', 'air substrate']</t>
  </si>
  <si>
    <t>An investigation into the novel dielectric loading technique for reducing the size of low profile microstrip antennas is presented. Inserting or loading discrete dielectrics into the air substrate of a microstrip patch antenna can considerably reduce the antenna size while at the same time achieve good bandwidth and excellent axial ratio performance. Experimental and simulated results at L-band frequencies demonstrate the effectiveness of this approach.</t>
  </si>
  <si>
    <t>1104-1105</t>
  </si>
  <si>
    <t>102031101;60026338;60018714;60018714</t>
  </si>
  <si>
    <t>7004329276;35566584200;7003819332;57027512900</t>
  </si>
  <si>
    <t>Currie, C. J.;Antar, Y. M.M.;Petosa, A.;Ittipiboon, A.</t>
  </si>
  <si>
    <t>Kingston;Ottawa;</t>
  </si>
  <si>
    <t>Royal Military College of Canada;Communications Research Centre;Station Forces Cold Lake</t>
  </si>
  <si>
    <t>60026338;60018714;102031101</t>
  </si>
  <si>
    <t>Currie C.</t>
  </si>
  <si>
    <t>Compact dielectric loaded circularly polarised microstrip antenna</t>
  </si>
  <si>
    <t>10.1049/el:20010768</t>
  </si>
  <si>
    <t>2-s2.0-0035974754</t>
  </si>
  <si>
    <t>Bundesministerium f√ºr Bildung und Forschung</t>
  </si>
  <si>
    <t>BMBF</t>
  </si>
  <si>
    <t>['rights reserved', 'ppb range', 'odour concentrations', 'like 1', 'insect antennae', 'effect transistor', 'early stage', 'different kinds']</t>
  </si>
  <si>
    <t>BioFET | Biosensor | Insect antenna | Odour detection | Potato beetle | Steelblue jewel beetle</t>
  </si>
  <si>
    <t>Because of their remarkable sensory abilities, insect antennae are very suitable for the construction of highly sensitive biosensors. Odour concentrations down to the low ppb range can easily be detected by means of an antenna/field-effect transistor (FET) junction. In this work, we present measurements performed with different kinds of beetles, namely the Colorado potato beetle (Leptinotarsa decemlineata Say) and the steelblue jewel beetle (Phaenops cyanea). Their ability to specifically detect organic odour molecules, like 1-octen or guaiacol, at concentrations down to the ppb range can lead to interesting applications like the detection of different kinds of fires at an early stage. ¬© 2001 Elsevier Science B.V. All rights reserved.</t>
  </si>
  <si>
    <t>Sensors and Actuators, B: Chemical</t>
  </si>
  <si>
    <t>60007774;60007774-60033331;60007774;60017134;60017134;60017134</t>
  </si>
  <si>
    <t>7004050492;7006423416;55536935700;6603201554;7006267970;7005940238</t>
  </si>
  <si>
    <t>Schroth, P.;Sch√∂ning, M. J.;L√ºth, H.;Wei√übecker, B.;Hummel, H. E.;Sch√ºtz, S.</t>
  </si>
  <si>
    <t>Aachen;Giessen;J√ºlich</t>
  </si>
  <si>
    <t>Fachhochschule Aachen;Justus-Liebig-Universit√§t Gie√üen;Forschungszentrum J√ºlich (FZJ)</t>
  </si>
  <si>
    <t>60033331;60017134;60007774</t>
  </si>
  <si>
    <t>Schroth P.</t>
  </si>
  <si>
    <t>Extending the capabilities of an antenna/chip biosensor by employing various insect species</t>
  </si>
  <si>
    <t>S0925400501007833</t>
  </si>
  <si>
    <t>10.1016/S0925-4005(01)00783-3</t>
  </si>
  <si>
    <t>2-s2.0-0035975084</t>
  </si>
  <si>
    <t>['time evolution', 'spreading dissipation', 'reaction center', 'quantum yield', 'purple bacteria', 'protein complexes', 'primary photoreaction', 'photosynthetic apparatus', 'overall architecture', 'master equation', 'light conditions', 'light anywhere', 'lh3 complexes', 'lh2 complexes', 'lh1 increases', 'intracomplex excitations', 'harvest sunlight', 'four types', 'following absorption', 'feature permits', 'excitation reservoir', 'excitation migration', 'excitation funnel', 'evenly distributed', 'established previously', 'electronic excitation', 'efficient apparatus', 'effective hamiltonian', 'apparatus consists', 'also protects', '89 %,']</t>
  </si>
  <si>
    <t>Purple bacteria have developed an efficient apparatus to harvest sunlight. The apparatus consists of up to four types of pigment-protein complexes: (i) the photosynthetic reaction center surrounded by (ii) the light-harvesting complex LH1, (iii) antenna complexes LH2, which are replaced under low-light conditions by (iv) antenna complexes LH3 with a higher absorption maximum. Following absorption of light anywhere in the apparatus, electronic excitation is transferred between the pigment-protein complexes until it is used for the primary photoreaction in the reaction center. We calculate, using F√∂rster theory, all rates for the inter-complex excitation transfer processes on the basis of the atomic level structures of the pigment-protein complexes and of an effective Hamiltonian, established previously, for intracomplex excitations. The kinetics of excitation migration in the photosynthetic apparatus is described through a master equation which connects the calculated transfer rates to the overall architecture of the apparatus. For two exemplary architectures the efficiency, distribution of dissipation, and time evolution of excitation migration are determined. Pigment-protein complexes are found to form an excitation reservoir, in which excitation is spread over many chromophores rather than forming an excitation funnel in which excitation is transferred without detours from the periphery to the RC. This feature permits a high quantum yield of 83% to 89%, but also protects the apparatus from overheating by spreading dissipation over all complexes. Substitution of LH2 complexes by LH3 complexes or changing an architecture in which few LH2 (LH3) complexes are in contact with LH1 to an architecture in which all LH2 (LH3) complexes are in contact with LH1 increases the quantum yield up to 94% and decreases the degree to which dissipation is evenly distributed.</t>
  </si>
  <si>
    <t>8259-8267</t>
  </si>
  <si>
    <t>7004193882;55717276000;7102415947</t>
  </si>
  <si>
    <t>Ritz, Thorsten;Park, Sanghyun;Schulten, Klaus</t>
  </si>
  <si>
    <t>Ritz T.</t>
  </si>
  <si>
    <t>Kinetics of excitation migration and trapping in the photosynthetic unit of purple bacteria</t>
  </si>
  <si>
    <t>10.1021/jp011032r</t>
  </si>
  <si>
    <t>2-s2.0-0035975465</t>
  </si>
  <si>
    <t>['wireless technologies', 'system 1', 'passive integration', 'next generation', 'multiphase glass', 'microwave frequencies', 'ic packaging', 'frequencies 1', 'exceptionally interesting', 'dielectric properties', 'dense composite', 'crystalline microstructure', 'ceramic system', 'ceramic composites', 'boron oxide', 'advanced materials', '6 ghz', '4 bao']</t>
  </si>
  <si>
    <t>Dielectrical properties | Glass ceramics | LTCC | Microwave processing</t>
  </si>
  <si>
    <t>Advanced materials of rare earth derived glass-and reactive bonded glass-ceramic composites are exceptionally interesting for IC packaging, radar, antennas and wireless technologies for the next generation of miniature electronic devices. Glass-ceramic composites in the system 1:1:4 BaO-Nd2O3-TiO2 and modified rare earth glasses based on boron oxide for passive integration in LTCC demonstrate excellent dielectric properties in the middle permittivity Œµ range of 20-70 with high quality factor Q and low temperature coefficient TCf at microwave frequencies. Depending on the glass-ceramic system, concentration, significant processing parameters e.g. powder preparation techniques and sintering of dense composite at temperatures &lt;900¬∞C were achieved. Dielectric properties were studied by a cavity resonator method at frequencies 1-6 GHz in correlation of the crystalline microstructure. This work was supported by tridimensional modeling systems to estimate dielectric behavior of multiphase glass-ceramic composites. ¬© 2001 Elsevier Science Ltd.</t>
  </si>
  <si>
    <t>1693-1697</t>
  </si>
  <si>
    <t>60028673;;;;60072294;60072294</t>
  </si>
  <si>
    <t>6507516469;37026848800;6505980316;7003350419;6602506240;56352037000</t>
  </si>
  <si>
    <t>Dernovsek, O.;Naeini, A.;Preu, G.;Wersing, W.;Eberstein, M.;Schiller, W. A.</t>
  </si>
  <si>
    <t>Berlin;Munich</t>
  </si>
  <si>
    <t>Federal Institute for Materials Research and Testing Berlin;Siemens AG</t>
  </si>
  <si>
    <t>60072294;60028673</t>
  </si>
  <si>
    <t>Dernovsek O.</t>
  </si>
  <si>
    <t>LTCC glass-ceramic composites for microwave application</t>
  </si>
  <si>
    <t>S0955221901000966</t>
  </si>
  <si>
    <t>10.1016/S0955-2219(01)00096-6</t>
  </si>
  <si>
    <t>2-s2.0-0034883034</t>
  </si>
  <si>
    <t>['vice versa', 'used instead', 'theoretically predicted', 'several reflectors', 'sensing system', 'passive time', 'hold devices', 'get multi', 'experimentally verified', 'electromagnetic wave']</t>
  </si>
  <si>
    <t>Referring to the technology of SAW wireless identification systems, a multi-resolution wireless force sensing system, including a passive time-delay SAW device and a specific interrogation unit, is introduced in this paper. Using an IDT, which connects with an antenna, as the force sensing element is a design to transduce the electromagnetic wave into surface acoustic wave and vice versa. Several reflectors are designed to get multi-resolution. Sample/hold devices are used instead of high-speed A/D converter to construct a low-cost interrogation system. Properties of the sensing system are theoretically predicted and experimentally verified.</t>
  </si>
  <si>
    <t>1438-1441</t>
  </si>
  <si>
    <t>54786307700;7403390885;7401642001</t>
  </si>
  <si>
    <t>Cheng, W.;Dong, Y.;Feng, G.</t>
  </si>
  <si>
    <t>Cheng W.</t>
  </si>
  <si>
    <t>A multi-resolution wireless force sensing system based upon a passive SAW device</t>
  </si>
  <si>
    <t>10.1109/58.949754</t>
  </si>
  <si>
    <t>2-s2.0-0035437743</t>
  </si>
  <si>
    <t>['taken place', 'solid dielectrics', 'pwp method', 'pulse electro', 'pea ).', 'methods include', 'measurement methods', 'acoustic method']</t>
  </si>
  <si>
    <t>Œ≥-irradiation | Dielectric plate antenna | Electrets | LIMM | PEA | PWP</t>
  </si>
  <si>
    <t>Measurement methods for the space charge distribution in solid dielectrics are reviewed. These methods include the laser intensity modulation method (LIMM), pressure wave propagation method (PWP), Piezo-PWP method, and pulse electro-acoustic method (PEA). The review is followed by the description of the studies of ageing and breakdown in polymers that has taken place in China.</t>
  </si>
  <si>
    <t>25-30</t>
  </si>
  <si>
    <t>IEEE Electrical Insulation Magazine</t>
  </si>
  <si>
    <t>60073652-60018308;60073652;60018308;60073652;60073652</t>
  </si>
  <si>
    <t>9840169600;7410071064;7401791131;7202154861;7402151582</t>
  </si>
  <si>
    <t>Zhang, Yewen;Li, Jixiao;Peng, Zongren;Qin, Xiaoqui;Xia, Zhongfu</t>
  </si>
  <si>
    <t>Shanghai;Xi'an</t>
  </si>
  <si>
    <t>Tongji University;Xi'an Jiaotong University</t>
  </si>
  <si>
    <t>60073652;60018308</t>
  </si>
  <si>
    <t>Research of space charge in solid dielectrics in China</t>
  </si>
  <si>
    <t>10.1109/57.954575</t>
  </si>
  <si>
    <t>2-s2.0-0035438672</t>
  </si>
  <si>
    <t>['wireless communications', 'substantial degradation', 'snr ).', 'recently emerged', 'noise ratio', 'new paradigm', 'mimo architecture', 'db decrease', 'conventional techniques', 'communication architecture', 'channel capacity']</t>
  </si>
  <si>
    <t>Channel capacity | Correlation | MIMO</t>
  </si>
  <si>
    <t>Multiple-input multiple output (MIMO) communication architecture has recently emerged as a new paradigm for wireless communications in rich multipath environment, which has spectral efficiencies far beyond those offered by conventional techniques. Channel capacity of the MIMO architecture in independent Rayleigh channels scales linearly as the number of antennas. However, the correlation of a real-world wireless channel may result in a substantial degradation of the MIMO architecture performance. In this letter, we investigate the MIMO channel capacity in correlated channels using the exponential correlation matrix model. We prove that, for this model, increase in correlation is equivalent to decrease in signal-to-noise ratio (SNR). For example, r = 0.7 is the same as 3-dB decrease in SNR.</t>
  </si>
  <si>
    <t>369-371</t>
  </si>
  <si>
    <t>60089889-60026786</t>
  </si>
  <si>
    <t>Loyka, Sergey L.</t>
  </si>
  <si>
    <t>Dundas;Montreal</t>
  </si>
  <si>
    <t>IEEE Canada;√âcole de Technologie Sup√©rieure</t>
  </si>
  <si>
    <t>60089889;60026786</t>
  </si>
  <si>
    <t>Loyka S.</t>
  </si>
  <si>
    <t>Channel capacity of MIMO architecture using the exponential correlation matrix</t>
  </si>
  <si>
    <t>S1089779801084587</t>
  </si>
  <si>
    <t>10.1109/4234.951380</t>
  </si>
  <si>
    <t>2-s2.0-0035438889</t>
  </si>
  <si>
    <t>['receiver processing', 'received substreams', 'operations performed', 'gdfe ).']</t>
  </si>
  <si>
    <t>Antenna arrays | Decision feedback equalizers | Interference suppression | MIMO systems</t>
  </si>
  <si>
    <t>The receiver processing of Vertical Bell Labs Layered Space-Time (V-BLAST) architecture was proved to be equivalent to the operations of the generalized decision feedback equalizer (GDFE). The equivalence was demonstrated by proving that the operations performed are identical and assuming that the ordering of the received substreams is same for both algorithms. The proofs differed depending on whether the zero-forcing (ZF) or the minimum-mean-square-error (MMSE) criterion was used.</t>
  </si>
  <si>
    <t>364-366</t>
  </si>
  <si>
    <t>60000251-60091252;60000251-60091252</t>
  </si>
  <si>
    <t>6602089684;7102640968</t>
  </si>
  <si>
    <t>Ginis, George;Cioffi, John M.</t>
  </si>
  <si>
    <t>Stanford;New York</t>
  </si>
  <si>
    <t>STAR Lab;IEEE</t>
  </si>
  <si>
    <t>60091252;60000251</t>
  </si>
  <si>
    <t>Ginis G.</t>
  </si>
  <si>
    <t>On the relation between V-BLAST and the GDFE</t>
  </si>
  <si>
    <t>S1089779801084599</t>
  </si>
  <si>
    <t>10.1109/4234.951378</t>
  </si>
  <si>
    <t>2-s2.0-0035438981</t>
  </si>
  <si>
    <t>CCR-9805117</t>
  </si>
  <si>
    <t>['without estimating', 'time codes', 'system performance', 'resulting transceiver', 'receive antennas', 'low complexity', 'less effective', 'information symbols', 'frequency offsets', 'existing space', 'arbitrary number', 'also designed']</t>
  </si>
  <si>
    <t>Differential encoding | Diversity methods | Group codes | Space-time codes | Transmit antennas</t>
  </si>
  <si>
    <t>Most existing space-time coding schemes assume time-invariant fading channels and offer antenna diversity gains relying on accurate channel estimates at the receiver. Recent single differential space-time block coding schemes forego channel estimation but are less effective in rapidly fading environments. Based on a diagonal unitary matrix group, a novel double differential space-time block coding approach is derived in this paper for time-selective fading channels. Without estimating the channels at the receiver, information symbols are recovered with antenna diversity gains regardless of frequency offsets. The resulting transceiver has very low complexity and is applicable to an arbitrary number of transmit and receive antennas. Approximately optimal space-time codes are also designed to minimize bit error rate. System performance is evaluated both analytically and with simulations.</t>
  </si>
  <si>
    <t>1529-1539</t>
  </si>
  <si>
    <t>60029445;60000251-60029445;60000251-60004923</t>
  </si>
  <si>
    <t>56373660100;36049280600;7201973784</t>
  </si>
  <si>
    <t>Liu, Zhiqiang;Giannakis, Georgios B.;Hughes, Brian L.</t>
  </si>
  <si>
    <t>Minneapolis;Raleigh;New York</t>
  </si>
  <si>
    <t>University of Minnesota Twin Cities;NC State University;IEEE</t>
  </si>
  <si>
    <t>60029445;60004923;60000251</t>
  </si>
  <si>
    <t>Double differential space-time block coding for time-selective fading channels</t>
  </si>
  <si>
    <t>S0090677801081715</t>
  </si>
  <si>
    <t>10.1109/26.950340</t>
  </si>
  <si>
    <t>2-s2.0-0035439616</t>
  </si>
  <si>
    <t>['weak signal', 'varied independently', 'small contribution', 'single branch', 'reliability level', 'power imbalance', 'pattern diversity', 'paper examines', 'obstructed outdoor', 'noise ratio', 'los channels', 'improving snr', 'improve performance', 'handheld radios', 'extent possible', 'envelope correlation', 'diversity performance', 'diversity gain', 'diversity combiner', 'combined signal', 'antenna separation', '9 db']</t>
  </si>
  <si>
    <t>Antenna diversity | Handheld wireless communication</t>
  </si>
  <si>
    <t>This paper examines the antenna diversity configurations that improve performance in handheld radios. Experiments using spatial, polarization, and pattern diversity were conducted for both line-of-sight (LOS) and obstructed outdoor and indoor multipath channels that experienced Ricean fading. Antenna separation, polarization, and pattern were varied independently to the extent possible. Envelope correlation, power imbalance, and diversity gain were calculated from the measurements. Diversity performance is measured by diversity gain, which is the difference in signal-to-noise ratio (SNR) between the output of a diversity combiner and the signal on a single branch, measured at a given probability level. Diversity gain increases with decreasing envelope correlation between the antenna diversity branches. However, diversity gain decreases as power imbalance between diversity branches increases because a branch that has a weak signal has only a small contribution to the combined signal. Diversity gain values of 7-9 dB at the 99% reliability level were achieved in non-line-of-sight (NLOS) channels for all diversity configurations even with very small antenna spacings. The use of polarization diversity reduced polarization mismatches, improving SNR by up to 12 dB even in LOS channels.</t>
  </si>
  <si>
    <t>1271-1281</t>
  </si>
  <si>
    <t>60000251-60027090;60027090;60027090;60000251-60027090</t>
  </si>
  <si>
    <t>7201791618;6602468210;7003299824;7006247497</t>
  </si>
  <si>
    <t>Dietrich, Carl B.;Dietze, Kai;Nealy, J. Randall;Stutzman, Warren L.</t>
  </si>
  <si>
    <t>Dietrich C.</t>
  </si>
  <si>
    <t>Spatial, polarization, and pattern diversity for wireless handheld terminals</t>
  </si>
  <si>
    <t>S0018926X01063748</t>
  </si>
  <si>
    <t>10.1109/8.947018</t>
  </si>
  <si>
    <t>2-s2.0-0035439658</t>
  </si>
  <si>
    <t>['wave components', 'reflected components', 'proposed technique', 'powerful tool', 'ogt allows', 'measurements performed', 'application considered', 'anechoic chamber']</t>
  </si>
  <si>
    <t>Anechoic chambers (electromagnetic) | Antenna measurements</t>
  </si>
  <si>
    <t>The oversampled Gabor transform (OGT) is proposed as a powerful tool for analyzing antenna measurements in amplitude and phase. The OGT allows to perform a high resolution analysis of the measured signal leading to the identification and the separation of its wave components. The proposed technique is applied to measurements performed in a semi-anechoic chamber to remove the reflected components and to retrieve the results one would have measured in a perfect anechoic chamber. In the application considered, the superiority of the OGT over the matrix pencil method is illustrated.</t>
  </si>
  <si>
    <t>1245-1253</t>
  </si>
  <si>
    <t>113983709;60000251-113983709</t>
  </si>
  <si>
    <t>6602376704;56028199700</t>
  </si>
  <si>
    <t>Fouresti√©, Beno√Æt;Altman, Zwi</t>
  </si>
  <si>
    <t>New York;Issy-les-Moulineaux</t>
  </si>
  <si>
    <t>IEEE;Telecom Research and Development</t>
  </si>
  <si>
    <t>60000251;113983709</t>
  </si>
  <si>
    <t>Fouresti√© B.</t>
  </si>
  <si>
    <t>Gabor schemes for analyzing antenna measurements</t>
  </si>
  <si>
    <t>S0018926X01031891</t>
  </si>
  <si>
    <t>10.1109/8.947015</t>
  </si>
  <si>
    <t>2-s2.0-0035439699</t>
  </si>
  <si>
    <t>['zone fields', 'zone field', 'successfully used', 'odin spacedraft', 'measurement results', 'measured quiet', 'hologram parts', 'hologram catr', 'good agreement', 'development work', 'aperture field', 'analysis method']</t>
  </si>
  <si>
    <t>Holographic interferometry | Millimeter wave antennas | Radio astronomy | Submillimeter wave antennas</t>
  </si>
  <si>
    <t>Development work of a 119 GHz compact antenna test range (CATR), based on a 2.4 m √ó 2.0 m hologram and its application on the Odin telescope tests are described. The hologram element comprises seven parts, which are fabricated using silk-screen printing techniques. Comparison between the theoretical and the measured quiet-zone fields of the hologram CATR is made, which demonstrates the correctness of the analysis method and also the importance of high quality physical joints between the hologram parts. The CATR has been successfully used in the measurement of a 1.1-m offset reflector antenna onboard the Odin spacedraft. The measured and calculated antenna radiation patterns are in good agreement in the main beam region. The effects of the imperfections in the quiet-zone field and in the aperture field of the antenna on the measurement results are simulated.</t>
  </si>
  <si>
    <t>1264-1270</t>
  </si>
  <si>
    <t>60103653;101793762;60103653;60103653;60103653;60000251-60103653;60011614</t>
  </si>
  <si>
    <t>6603392769;7006083859;6603753480;7003817193;7006775375;35809669200;8966521600</t>
  </si>
  <si>
    <t>Ala-Laurinaho, Juha;Hirvonen, Taavi;Piironen, Petri;Lehto, Arto;Tuovinen, Jussi;R√§is√§nen, Antti V.;Frisk, Urban</t>
  </si>
  <si>
    <t>Finland;Sweden;United States;Finland</t>
  </si>
  <si>
    <t>Espoo;Solna;New York;Oulu</t>
  </si>
  <si>
    <t>Aalto University;Swedish Space Corporation;IEEE;PJ Microwave Ltd.</t>
  </si>
  <si>
    <t>60103653;60011614;60000251;101793762</t>
  </si>
  <si>
    <t>Ala-Laurinaho J.</t>
  </si>
  <si>
    <t>Measurement of the Odin telescope at 119 GHz with a hologram-type CATR</t>
  </si>
  <si>
    <t>S0018926X01063700</t>
  </si>
  <si>
    <t>10.1109/8.947017</t>
  </si>
  <si>
    <t>2-s2.0-0035439726</t>
  </si>
  <si>
    <t>['surface impedance', 'slot antenna', 'produce large', 'periodic grooves', 'metal walls', 'discharge power', 'discharge performance', 'density plasmas', 'antenna even']</t>
  </si>
  <si>
    <t>A comparision of experiments for microwave plasma production by a slot antenna under conventional dielectric wall, flat metal wall, and grooved metal wall were presented. The metal wall generated low-density plasmas localized near the antenna even at the high power incidence, while dielectric wall gave uniformly spread high-density plasmas at the same discharge power. Periodic grooves were formed in flat metal wall improved the discharge performance, surface wave propagation was analyzed and found that surface impedance was high in metal walls. The grooved metal surface or the corrugated metal surface enabled to produce large-area high density surface wave plasmas in a full metal vessel.</t>
  </si>
  <si>
    <t>2433-2440</t>
  </si>
  <si>
    <t>60018735;60018735;60018735;60000264</t>
  </si>
  <si>
    <t>55197653700;7403644234;7005173972;7101665824</t>
  </si>
  <si>
    <t>Yamauchi, T.;Aoki, K.;Kanoh, M.;Sugai, H.</t>
  </si>
  <si>
    <t>Tokyo;Nagoya</t>
  </si>
  <si>
    <t>Toshiba Corporation;Nagoya University</t>
  </si>
  <si>
    <t>60018735;60000264</t>
  </si>
  <si>
    <t>Yamauchi T.</t>
  </si>
  <si>
    <t>Large-area plasma produced by surface waves on a metal wall with periodic grooves</t>
  </si>
  <si>
    <t>10.1116/1.1387077</t>
  </si>
  <si>
    <t>2-s2.0-0035440288</t>
  </si>
  <si>
    <t>Consejo Nacional de Ciencia y Tecnolog√≠a</t>
  </si>
  <si>
    <t>CONACYT</t>
  </si>
  <si>
    <t>['theoretical model', 'specific conditions', 'signal reception', 'several works', 'separate users', 'research community', 'recently attracted', 'high traffic', 'cell system', 'blocking probability', 'antenna arrays']</t>
  </si>
  <si>
    <t>Antenna arrays | Blocking probability | Multiple access | Space division multiple access (SDMA)</t>
  </si>
  <si>
    <t>Antenna array technology has recently attracted the attention of the research community as a means to increase system capacity and improve the signal reception. Space division multiple access (SDMA) is a multi-access scheme based on the use of antenna arrays to separate users by exploiting their positions in space. Several works have been carried out to examine the improvement in the system capacity provided by SDMA. In this paper, a theoretical model to determine the blocking probability for SDMA is derived. A closed-form linear system of equations is obtained whose numerical solution gives the blocking probability. The formulation is employed to assess the capacity gain improvement of a single-cell system under specific conditions. It is found from the results that SDMA is not efficient for low traffic loads, whereas it is so for high traffic.</t>
  </si>
  <si>
    <t>1279-1288</t>
  </si>
  <si>
    <t>60098242-60017323;60098242-60008524</t>
  </si>
  <si>
    <t>6507946509;7202268164</t>
  </si>
  <si>
    <t>Galvan-Tejada, Giselle M.;Gardiner, John G.</t>
  </si>
  <si>
    <t>Mexico;Mexico;United Kingdom</t>
  </si>
  <si>
    <t>Culiacan;Mexico City;Bradford</t>
  </si>
  <si>
    <t>IEEE Seccion Mexico;Centro de Investigacion y de Estudios Avanzados;University of Bradford</t>
  </si>
  <si>
    <t>60098242;60017323;60008524</t>
  </si>
  <si>
    <t>Galvan-Tejada G.</t>
  </si>
  <si>
    <t>Theoretical model to determine the blocking probability for SDMA systems</t>
  </si>
  <si>
    <t>S0018954501082512</t>
  </si>
  <si>
    <t>10.1109/25.950329</t>
  </si>
  <si>
    <t>2-s2.0-0035440303</t>
  </si>
  <si>
    <t>ECS-9979448</t>
  </si>
  <si>
    <t>['transmit antennas', 'special cases', 'loop transmit', 'loop schemes', 'longer true', 'kept constant', 'form expressions', 'feedback delay', 'fading rate', 'derive closed', 'comparing closed', 'bpsk signaling', 'average ber', 'also show']</t>
  </si>
  <si>
    <t>Feedback delay | RAKE receiver | Space-time diversity methods | Time-varying channels | Transmit beamforming</t>
  </si>
  <si>
    <t>In this paper, a bit-error-rate (BER) analysis for closed-loop transmit diversity in a time-selective Rayleigh fading channel containing feedback delay is presented. In the absence of feedback delay, closed-loop transmit diversity always outperforms open-loop transmit for a given transmitted signal energy. This is no longer true in the presence of feedback delay. We derive closed-form expressions of the average BER for this case assuming QPSK and BPSK signaling. The results of the analysis are instrumental for comparing closed-loop with open-loop schemes under given operating conditions. In particular, we demonstrate that, for a given transmitted energy and number of transmit antennas, open-loop outperforms closed-loop at sufficiently fast channel fading. We also show that, for a given transmitted signal energy and fading rate, closed-loop outperforms open-loop for sufficiently large numbers of transmit antennas while the total average transmitted signal energy is kept constant. For some special cases, closed-form expressions for the fading rate at which the performance of open-loop is equal to closed-loop are obtained.</t>
  </si>
  <si>
    <t>1618-1630</t>
  </si>
  <si>
    <t>60015272;60015272;60015272;60015272</t>
  </si>
  <si>
    <t>6603548095;7003362265;6701779742;6601959009</t>
  </si>
  <si>
    <t>Onggosanusi, E. N.;Gatherer, A.;Dabak, A. G.;Hosur, S.</t>
  </si>
  <si>
    <t>Texas Instruments</t>
  </si>
  <si>
    <t>Onggosanusi E.</t>
  </si>
  <si>
    <t>Performance analysis of closed-loop transmit diversity in the presence of feedback delay</t>
  </si>
  <si>
    <t>S0090677801081685</t>
  </si>
  <si>
    <t>10.1109/26.950348</t>
  </si>
  <si>
    <t>2-s2.0-0035440376</t>
  </si>
  <si>
    <t>['waisted fd', 'time domain', 'td results', 'td ).', 'results confirm', 'representing two', 'remains intact', 'pulse excitation', 'pb ).', 'parameterized via', 'modulated pulses', 'linear delay', 'latter accommodate', 'important case', 'high frequencies', 'gb propagators', 'gb algorithm', 'gaussian envelopes', 'fourier inversion', 'evaluated asymptotically', 'distributed apertures', 'based narrow', 'aperture distribution', '1 ].']</t>
  </si>
  <si>
    <t>Gabor lattice representations | Gaussian beams (GBs) | Pulsed beam wavepackets</t>
  </si>
  <si>
    <t>In this paper, we develop a Gabor-based Gaussian Beam (GB) algorithm for representing two-dimensional (2-D) radiation from finite aperture distributions with short-pulse excitation in the time domain (TD). The work extends previous results using 2-D frequency-domain (FD) narrow-waisted Gaussian beams [1]. The FD algorithm evolves from the rigorous Kirchhoff integration over the aperture distribution, which is then parameterized via the discrete Gabor basis and evaluated asymptotically for high frequencies to furnish the GB propagators to the observer. The TD results are obtained by Fourier inversion from the FD and yield pulsed beams (PB). We describe the resulting TD algorithm for several aperture distributions, ranging from simple linearly phased (linear delay) to arbitrary time delay profiles; the latter accommodate the important case of focusing TD aperture fields. For modulated pulses with Gaussian envelopes, we compute accurate closed form analytic solutions, which have been calibrated against numerical reference data. Our results confirm that the previously established utility of the Gabor-based narrow-waisted FD-GB algorithm for radiation from distributed apertures [1] remains intact in the TD.</t>
  </si>
  <si>
    <t>1322-1332</t>
  </si>
  <si>
    <t>60000251-60019674-60004300;60000251-60108318;60000251-60019674</t>
  </si>
  <si>
    <t>7004403725;56883021600;7006485786</t>
  </si>
  <si>
    <t>Galdi, Vincenzo;Felsen, Leopold B.;Casta√±on, David A.</t>
  </si>
  <si>
    <t>New York;Boston;Benevento;New York</t>
  </si>
  <si>
    <t>NYU Tandon School of Engineering;Boston University;Universit√† degli Studi del Sannio;IEEE</t>
  </si>
  <si>
    <t>60108318;60019674;60004300;60000251</t>
  </si>
  <si>
    <t>Galdi V.</t>
  </si>
  <si>
    <t>Narrow-waisted Gaussian beam discretization for short-pulse radiation from one-dimensional large apertures</t>
  </si>
  <si>
    <t>S0018926X01076438</t>
  </si>
  <si>
    <t>10.1109/8.947024</t>
  </si>
  <si>
    <t>2-s2.0-0035440407</t>
  </si>
  <si>
    <t>['surface clutter', 'spaceborne radar', 'radar antenna', 'pulse observing', 'problem even', 'looking radars', 'includes effects', 'existing radars', 'doppler shifting', 'curved earth', 'computing clutter', 'antenna sidelobes', 'also contribute']</t>
  </si>
  <si>
    <t>Clouds | Clutter | Precipitation | Radar | Sidelobes</t>
  </si>
  <si>
    <t>A spaceborne radar for atmospheric observation must be able to detect atmospheric backscatter in the presence of clutter from the surface, due to antenna sidelobes. Such clutter can come from the same pulse as that observing the atmosphere if the radar antenna is pointed off-nadir. However, pulses both prior and subsequent to the pulse observing the atmosphere can also contribute to clutter, and surface clutter can be a problem even for nadir-looking radars. Here, the problem is analyzed by deriving a method for computing clutter which includes effects of all contributing transmit pulses, Doppler shifting, finite receiver bandwidth, and curved earth's surface. The results are applied to analysis of existing radars and design of future radar systems.</t>
  </si>
  <si>
    <t>1916-1921</t>
  </si>
  <si>
    <t>60000251-60009037;60000251-60009037;60000251-60009037;60007248;60009037</t>
  </si>
  <si>
    <t>7005890897;7006718891;7406055960;7102606968;7102341264</t>
  </si>
  <si>
    <t>Durden, Stephen L.;Im, Eastwood;Li, Fuk K.;Girard, Ralph;Pak, Kyung S.</t>
  </si>
  <si>
    <t>Pasadena;Longueuil;New York</t>
  </si>
  <si>
    <t>Jet Propulsion Laboratory;Canadian Space Agency;IEEE</t>
  </si>
  <si>
    <t>60009037;60007248;60000251</t>
  </si>
  <si>
    <t>Durden S.</t>
  </si>
  <si>
    <t>Surface clutter due to antenna sidelobes for spaceborne atmospheric radar</t>
  </si>
  <si>
    <t>S0196289201076239</t>
  </si>
  <si>
    <t>10.1109/36.951082</t>
  </si>
  <si>
    <t>2-s2.0-0035440470</t>
  </si>
  <si>
    <t>930 923</t>
  </si>
  <si>
    <t>['trefoil knots', 'toroidal knot', 'rotational symmetry', 'related unknot', 'physics underlying', 'numerical noise', 'intermediate class', 'induced moments', 'geometrical bridge', 'depolarization associated', 'cross polarized', 'capolarized backscatter', 'backscattering along', 'backscattered field', 'asymmetric objects', 'also study']</t>
  </si>
  <si>
    <t>Electromagnetic scattering | Knots | Symmetry | Topology</t>
  </si>
  <si>
    <t>We investigate the physics underlying the scattering of circularly polarized plane waves from a toroidal knot and related unknot. We find that backscattering along the axis of rotational symmetry from trefoil knots is cross polarized; capolarized backscatter is in the numerical noise. In contrast, untrefoils give appreciable backscattering cross sections for both polarizations. We also study an intermediate class of structure: morphs, which provides a geometrical bridge between trefoil and untrefoil. We pursue physical insight for the depolarization associated with asymmetric objects, tracing the connection from the induced charge distribution, to the induced moments, to the polarization of the backscattered field.</t>
  </si>
  <si>
    <t>1299-1304</t>
  </si>
  <si>
    <t>60006297;60000251-60006297</t>
  </si>
  <si>
    <t>6602806555;7006013598</t>
  </si>
  <si>
    <t>Manuar, Omar;Jaggard, Dwight L.</t>
  </si>
  <si>
    <t>Philadelphia;New York</t>
  </si>
  <si>
    <t>University of Pennsylvania;IEEE</t>
  </si>
  <si>
    <t>60006297;60000251</t>
  </si>
  <si>
    <t>Manuar O.</t>
  </si>
  <si>
    <t>Knots, symmetry, and scattering</t>
  </si>
  <si>
    <t>S0018926X01052590</t>
  </si>
  <si>
    <t>10.1109/8.947021</t>
  </si>
  <si>
    <t>2-s2.0-0035440589</t>
  </si>
  <si>
    <t>CDA-92-14296</t>
  </si>
  <si>
    <t>['wave antennas', 'surface waves', 'silicon substrate', 'silicon micromachining', 'selectively removed', 'performance improvements', 'patch element', 'patch area', 'patch antennas', 'patch antenna', 'mutual coupling', 'accurate design']</t>
  </si>
  <si>
    <t>Microstrip patch antenna | Parallel finite element method | Silicon micromachining | Surface waves</t>
  </si>
  <si>
    <t>In this paper, silicon micromachining has been used to demonstrate the possibility of building high performance microwave and millimeter-wave antennas. To suppress higher order substrate modes and increase the bandwidth of a patch antenna, silicon substrate has been used and material has been selectively removed under the patch area. In addition, the effect of etched grooves around a patch element has been studied for performance improvements. It has been shown that micromachined substrate structure can effectively suppress unwanted surface wave modes resulting in improved radiation efficiency. Moreover, effective dielectric constant curves for the shielded micromachined substrates are provided for accurate design of patch antennas. We have demonstrated that mutual coupling between the radiating patch elements due to surface waves can be controlled using various micromachined substrate configurations.</t>
  </si>
  <si>
    <t>1282-1289</t>
  </si>
  <si>
    <t>60000251-60016912;60025778</t>
  </si>
  <si>
    <t>55921743900;56246062600</t>
  </si>
  <si>
    <t>Yook, Jong Gwan;Katehi, Linda P.B.</t>
  </si>
  <si>
    <t>United States;South Korea;United States</t>
  </si>
  <si>
    <t>Ann Arbor;Seoul;New York</t>
  </si>
  <si>
    <t>University of Michigan, Ann Arbor;Yonsei University;IEEE</t>
  </si>
  <si>
    <t>60025778;60016912;60000251</t>
  </si>
  <si>
    <t>Yook J.</t>
  </si>
  <si>
    <t>Micromachined microstrip patch antenna with controlled mutual coupling and surface waves</t>
  </si>
  <si>
    <t>S0018926X01031751</t>
  </si>
  <si>
    <t>10.1109/8.947019</t>
  </si>
  <si>
    <t>2-s2.0-0035440699</t>
  </si>
  <si>
    <t>['wide bandwidth', 'total loss', 'power divider', 'piezoelectric transducer', 'k bands', 'four e', 'developed using', '480 ¬∞.', '40 ghz', '4 db', '2 db']</t>
  </si>
  <si>
    <t>Phase shifter | Phased array | Piezoelectric transducer (PET) | Wideband phased array</t>
  </si>
  <si>
    <t>A new phased array antenna of wide bandwidth and good beam scanning angle has been developed using a low cost multiline phase shifter controlled by a piezoelectric transducer (PET) and a stripline fed Vivaldi antenna array. The multiline progressive PET phase shifter has a low perturbation loss of less than 2 dB and a total loss of less than 4 dB up to 40 GHz with a maximum phase shift of 480¬∞. The proposed phased array antenna consists of four E- or H-plane Vivaldi antennas, a PET phase shifter, and a power divider. The phased array shows a wide beam scanning capability of ¬±27¬∞ over a wide bandwidth from 8 to 26.5 GHz covering X, Ku, and K bands.</t>
  </si>
  <si>
    <t>1290-1298</t>
  </si>
  <si>
    <t>60000251-60020547;60000251-60020547</t>
  </si>
  <si>
    <t>7005282116;7404879378</t>
  </si>
  <si>
    <t>Yun, Tae Yeoul;Chang, Kai</t>
  </si>
  <si>
    <t>Yun T.</t>
  </si>
  <si>
    <t>A low-cost 8 to 26.5 GHz phased array antenna using a piezoelectric transducer controlled phase shifter</t>
  </si>
  <si>
    <t>S0018926X01063670</t>
  </si>
  <si>
    <t>10.1109/8.947020</t>
  </si>
  <si>
    <t>2-s2.0-0035441177</t>
  </si>
  <si>
    <t>['vector potential', 'vector function', 'two theorems', 'three corollaries', 'scalar potentials', 'scalar function', 'present discussion', 'necessary conditions', 'magnetic induction', 'jeans presents', 'general expressions', 'first presented', 'erroneous discussion', 'discussion breaks', 'classical textbook', 'bounded region']</t>
  </si>
  <si>
    <t>Antenna theory | Potential | Scalar potential | Vector potential</t>
  </si>
  <si>
    <t>This paper derives general expressions for the vector and scalar potentials in a bounded region. The necessary conditions for a vector function to be, respectively, the curl of another vector function and the gradient of a scalar function are first presented. Then with the help of Helmholtz's Theorem, general expressions for the vector and scalar potentials are derived. The results are summarized in two theorems. Three corollaries are presented. The first one indicates that a vector function in a simply bounded space is the curl of another vector function, if and only if, its divergence is equal to zero. The second one indicates that a vector function in a simply connected space is the gradient of a scalar function, if and only if, its curl is equal to zero. The last one indicates that the magnetic induction is the curl of a vector potential. The classical textbook by Jeans presents the same conclusion about the magnetic induction using an erroneous discussion. The point where the discussion breaks down in indicated. Applications to Antenna. Theory as well as four simple examples are shown to facilitate the understandings of the present discussion.</t>
  </si>
  <si>
    <t>1315-1321</t>
  </si>
  <si>
    <t>Kurokawa, K.</t>
  </si>
  <si>
    <t>Kurokawa K.</t>
  </si>
  <si>
    <t>General expressions for vector and scalar potentials</t>
  </si>
  <si>
    <t>S0018926X01063578</t>
  </si>
  <si>
    <t>10.1109/8.947023</t>
  </si>
  <si>
    <t>2-s2.0-0035441178</t>
  </si>
  <si>
    <t>['temporal processing', 'temporal equalization', 'spatial processing', 'spatial equalization', 'simultaneously utilizes', 'quite important', 'proposed system', 'paper process', 'new spatio', 'incoming signals', 'equalization methods', 'effective spatio', 'doa ).', 'dfe ).', 'computational complexity']</t>
  </si>
  <si>
    <t>Adaptive arrays | Array signal processing | Decision feedback equalizers | Equalization | Wireless LAN</t>
  </si>
  <si>
    <t>This paper process a new spatio-temporal equalization method, which simultaneously utilizes an adaptive antenna array and a decision feedback equalizer (DFE). For effective spatio-temporal equalization with less computational cost, how to split equalization functionality into spatial processing, and temporal processing is quite important. One of the answers which we have given is "incoming signals with larger time delays should be cancelled at the spatial equalization part." The weights of both adaptive antenna array elements and taps of DFE are calculated only using estimated channel impulse response, therefore, it requires no information on direction of arrival (DoA). We show the performance of the proposed system in multipath fading channels often encountered in indoor wireless environments and discuss the attainable bit error rate (BER), antenna patterns, and the computational complexity in comparison with other equalization methods such as spatial equalization and temporal equalization.</t>
  </si>
  <si>
    <t>1250-1259</t>
  </si>
  <si>
    <t>60000251-60024322;60000251-60024322</t>
  </si>
  <si>
    <t>57199646261;7401708096</t>
  </si>
  <si>
    <t>Hayashi, Kazunori;Hara, Shinsuke</t>
  </si>
  <si>
    <t>Suita;New York</t>
  </si>
  <si>
    <t>Osaka University;IEEE</t>
  </si>
  <si>
    <t>60024322;60000251</t>
  </si>
  <si>
    <t>Hayashi K.</t>
  </si>
  <si>
    <t>A new spatio-temporal equalization method based on estimated channel response</t>
  </si>
  <si>
    <t>S0018954501082500</t>
  </si>
  <si>
    <t>10.1109/25.950326</t>
  </si>
  <si>
    <t>2-s2.0-0035441373</t>
  </si>
  <si>
    <t>['provide future', 'new technologies', 'key developments', 'involves assessing', 'frequency bands', 'form part', 'exciting time', 'communications environment', 'article predicts', 'architecture implies', '60 ghz']</t>
  </si>
  <si>
    <t>It is an exciting time for broadband fixed wireless with key developments in frequency bands from 1 to 60 GHz and a range of new technologies being developed. While working on these new technologies, it is easy to forget that fixed wireless access will form part of an integrated communications environment of the future where users will have one communications device working in the home, at the office, and outdoors. This article predicts the communications environment of the next 20 years and looks at the role of fixed access within the environment. This involves assessing how fixed access systems will interface and integrate with in-home wireless networks, how their architecture will enable multiservice operators to utilize the same core network across a range of different access technologies, and how they will act as a channel to carry mobile traffic originating within the building. Based on the requirements this vision and architecture implies, this article critically assesses the different fixed wireless technologies available to date and compares their capabilities to provide future-proof broadband fixed wireless platforms.</t>
  </si>
  <si>
    <t>115-121</t>
  </si>
  <si>
    <t>Webb, William</t>
  </si>
  <si>
    <t>Webb W.</t>
  </si>
  <si>
    <t>Broadband fixed wireless access as a key component of the future integrated communications environment</t>
  </si>
  <si>
    <t>10.1109/35.948404</t>
  </si>
  <si>
    <t>2-s2.0-0035441830</t>
  </si>
  <si>
    <t>['topological approach', 'successfully employed', 'simulation software', 'design techniques', 'alenia spazio']</t>
  </si>
  <si>
    <t>A topological approach for redundant network analysis and design techniques is described. The tool is intended for highly complex redundant networks, such as those planned for future satellite payloads. The simulation software has been successfully employed for the design of SATELCOM, AMOS and EXPRESS AM payloads at Alenia Spazio.</t>
  </si>
  <si>
    <t>Applied Microwave and Wireless</t>
  </si>
  <si>
    <t>7004104303;6506307387</t>
  </si>
  <si>
    <t>Simone, L.;Pensa, E.</t>
  </si>
  <si>
    <t>Simone L.</t>
  </si>
  <si>
    <t>Analysis and design of redundant networks for satellite payloads</t>
  </si>
  <si>
    <t>2-s2.0-0035441831</t>
  </si>
  <si>
    <t>['œ ©', 'two types', 'theoretical prediction', 'successfully avoided', 'power threshold', 'power level', 'nœ ©', 'main features', 'higher œâ', 'effectively reduced', 'edge density', 'antenna position', 'also observed', '70 kw', '7 tokamak', '300 kw']</t>
  </si>
  <si>
    <t>The parametric decay processes with a power threshold of 70 kW have been observed on the HT-7 tokamak. Two types of parametric decay instabilities have been identified. The pump wave decays into an ion cyclotron quasi-mode and an ion Bernstein wave, or decays into a low-frequency electron Landau damped quasi-mode and an ion Bernstein wave. The experimental observation shows good agreement with theoretical prediction. Other peaks at a frequency of nŒ©D are also observed. The main features of the observed radiofrequency spectra is due to the parametric decay instability of the launched slow electron plasma pump wave into an ion cyclotron quasi-mode and an electron plasma wave, dominated by plasma inhomogeneity convective loss. As the plasma displacement shifts towards the antenna, a higher œâ/Œ© value at the antenna position and a higher wave frequency are used to reduce the possibility of parametric decay instability (PDI) production. The experimental evidence clearly shows that a higher wave frequency, edge density and value of œâ/Œ© in the scrap-off layer are favourable to prevent the production of PDIs. The PDI was effectively reduced and successfully avoided with a power level up to 300 kW.</t>
  </si>
  <si>
    <t>1227-1238</t>
  </si>
  <si>
    <t>60019499;60019499;60019499;60019499;60019499;60019499;60019499;60019499;60015970</t>
  </si>
  <si>
    <t>57214207311;36119807300;8060486400;7404182649;34881074400;57033178100;55478170600;7402417149;7005809565</t>
  </si>
  <si>
    <t>Li, J.;Bao, Y.;Zhao, Y. P.;Luo, J. R.;Wan, B. N.;Gao, X.;Xie, J. K.;Wan, Y. X.;Toi, K.</t>
  </si>
  <si>
    <t>China;Japan</t>
  </si>
  <si>
    <t>Beijing;Toki</t>
  </si>
  <si>
    <t>Chinese Academy of Sciences;National Institutes of Natural Sciences - National Institute for Fusion Science</t>
  </si>
  <si>
    <t>60019499;60015970</t>
  </si>
  <si>
    <t>Observation of parametric decay instability during ion Bernstein wave heating experiments on HT-7</t>
  </si>
  <si>
    <t>S0741333501198234</t>
  </si>
  <si>
    <t>10.1088/0741-3335/43/9/305</t>
  </si>
  <si>
    <t>2-s2.0-0035442344</t>
  </si>
  <si>
    <t>['wireless systems', 'various techniques', 'time systems', 'time architecture', 'threaded space', 'theoretic capacity', 'simulation results', 'significantly higher', 'receiver complexity', 'power efficiency', 'lower bound', 'layered space', 'generalized framework', 'fresh look', 'foschini proposed', 'fading channels', 'designing multiple', 'channel codes', 'bandwidth efficiency', 'asymptotically achieve', 'another line', 'also allows', '4 ].', '3 ].', '2 ],']</t>
  </si>
  <si>
    <t>Array processing | Fading channels | Multiple transmit and receive antennas | Multiuser detection | Space-time coding</t>
  </si>
  <si>
    <t>The information-theoretic capacity of multiple antenna systems was shown to be significantly higher than that of single antenna systems in Rayleigh-fading channels. In an attempt to realize this capacity, Foschini proposed the layered space-time architecture. This scheme was argued to asymptotically achieve a lower bound on the capacity. Another line of work has focused on the design of channel codes that exploit the spatial diversity provided by multiple transmit antennas [2], [3]. In this paper, we take a fresh look at the problem of designing multiple-input-multiple-output (MIMO) wireless systems. First, we develop a generalized framework for the design of layered space-time systems. Then, we present a novel layered architecture that combines efficient algebraic code design with iterative signal processing techniques. This novel layered system is referred to as the threaded space-time (TST) architecture. The TST architecture provides more flexibility in the tradeoff between power efficiency, bandwidth efficiency, and receiver complexity. It also allows for exploiting the temporal diversity provided by time-varying fading channels. Simulation results are provided for the various techniques that demonstrate the superiority of the proposed TST architecture over both the diagonal layered space-time architecture in [1] and the recently proposed multilayering approach [4].</t>
  </si>
  <si>
    <t>2321-2334</t>
  </si>
  <si>
    <t>60000251-60003500;60000251-112908473</t>
  </si>
  <si>
    <t>7005365875;6701853292</t>
  </si>
  <si>
    <t>El Gamal, Hesham;Hammons, A. Roger</t>
  </si>
  <si>
    <t>Columbus;New York;Columbia</t>
  </si>
  <si>
    <t>The Ohio State University;IEEE;Corvis Cooperation</t>
  </si>
  <si>
    <t>60003500;60000251;112908473</t>
  </si>
  <si>
    <t>El Gamal H.</t>
  </si>
  <si>
    <t>A new approach to layered space-time coding and signal processing</t>
  </si>
  <si>
    <t>S0018944801062149</t>
  </si>
  <si>
    <t>10.1109/18.945250</t>
  </si>
  <si>
    <t>2-s2.0-0035442498</t>
  </si>
  <si>
    <t>['numerical analysis', 'mirror fields', 'electron temperature', 'electron density', 'electron behaviour', 'density distributions', 'chamber walls', 'antenna position', 'analyzed taking']</t>
  </si>
  <si>
    <t>The numerical analysis of electron temperature and density distributions in a magnetic neutral loop discharge plasma (NLD) was carried out. The electron behaviour was analyzed taking into consideration several factors like magnetic field, antenna position and chamber walls. It was found that electrons were trapped in the region towards neutral discharge (NL) due to mirror fields and caused a peak in electron density.</t>
  </si>
  <si>
    <t>2590-2595</t>
  </si>
  <si>
    <t>60001580;60001580;60001580;60001580;60028493</t>
  </si>
  <si>
    <t>7801689987;36829017700;7007144960;7007169362;7006424425</t>
  </si>
  <si>
    <t>Okraku-Yirenkyi, Yaw;Sung, Youl Moon;Otsubo, Masahisa;Honda, Chikahisa;Sakoda, Tatsuya</t>
  </si>
  <si>
    <t>Kumamoto;Miyazaki</t>
  </si>
  <si>
    <t>Sojo University;University of Miyazaki</t>
  </si>
  <si>
    <t>60028493;60001580</t>
  </si>
  <si>
    <t>Okraku-Yirenkyi Y.</t>
  </si>
  <si>
    <t>Experimental and numerical analyses of electron temperature and density distributions in a magnetic neutral loop discharge plasma</t>
  </si>
  <si>
    <t>10.1116/1.1397467</t>
  </si>
  <si>
    <t>2-s2.0-0035442508</t>
  </si>
  <si>
    <t>['wireless internet', 'wireless industry', 'well suited', 'terminal arrays', 'simultaneous deployment', 'short messaging', 'portability characteristic', 'multimedia services', 'low speeds', 'increased use', 'explosive growth', 'demanding requirements', 'data rates', 'cellular systems', 'capacities needed', 'becoming universal', 'base station', 'already available']</t>
  </si>
  <si>
    <t>The explosive growth of both the wireless industry and the Internet is creating a huge market opportunity for wireless data access. Limited Internet access, at very low speeds, is already available as an enhancement to some existing cellular systems. However, those systems were designed with the purpose of providing voice services and - at most - short messaging, but not fast data transfers. In fact, as shown in this article, traditional wireless technologies are not very well suited to meet the demanding requirements of providing very high data rates with the ubiquity, mobility, and portability characteristic of cellular systems. Increased use of antenna arrays appears to be the only means of enabling the types of data rates and capacities needed for wireless Internet and multimedia services. While the deployment of base station arrays is becoming universal, it is really the simultaneous deployment of base station and terminal arrays that can unleash unprecedented levels of performance by opening up multiple spatial signaling dimensions.</t>
  </si>
  <si>
    <t>156-162</t>
  </si>
  <si>
    <t>24781002200;6602664809;7101611306</t>
  </si>
  <si>
    <t>Lozano, Angel;Farrokhi, Farrokh R.;Valenzuela, Reinaldo A.</t>
  </si>
  <si>
    <t>Lozano A.</t>
  </si>
  <si>
    <t>Lifting the limits on high-speed wireless data access using antenna arrays</t>
  </si>
  <si>
    <t>10.1109/35.948420</t>
  </si>
  <si>
    <t>2-s2.0-0035442569</t>
  </si>
  <si>
    <t>ARO DAAH04-96-1-0337</t>
  </si>
  <si>
    <t>['transmit power', 'transmit antennas', 'time samples', 'temporal channel', 'sufficient conditions', 'specified threshold', 'single antenna', 'signal probabilities', 'signal matrices', 'signal design', 'receiver know', 'receive antennas', 'rank one', 'power constraint', 'positive set', 'optimal rate', 'optimal constellation', 'number n', 'noise ratio', 'neither transmitter', 'nearly rate', 'interesting characterizations', 'integral representation', 'increasing function', 'feasible set', 'fading spatio', 'equalizer distribution', 'e .,', 'dimensional sets', 'cutoff rate', 'complex quasi', 'channel matrix', 'average distance']</t>
  </si>
  <si>
    <t>Flat Rayleigh fading | Minima-distance codes | Optimal signal design | Peak-power constraints | Space-time coding | Spatial diversity | Unitary constellations</t>
  </si>
  <si>
    <t>We consider the computational cuttoff rate and its implications on signal design for the complex quasi-static Rayleigh flat-fading spatio-temporal channel under a peak-power constraint where neither transmitter nor receiver know the channel matrix. The cutoff rate has an integral representation which is an increasing function of the distance between pairs of complex signal matrices. When the analysis is restricted to finite-dimensional sets of signals, interesting characterizations of the optimal rate-achieving signal constellation can be obtained. For an arbitrary finite dimension, the rate-optimal constellation must admit an equalizer distribution, i.e., a positive set of signal probabilities which equalizes the average distance between signal matrices in the constellation. When the number N of receive antennas is large, the distance-optimal constellation is nearly rate-optimal. When the number of matrices in the constellation is less than the ratio of the number of time samples to the number of transmit antennas, the rate-optimal cutoff rate attaining constellation is a set of equiprobable mutually orthogonal unitary matrices. When the signal-to-noise ratio (SNR) is below a specified threshold, the matrices in the constellation are rank one and the cutoff rate is achieved by applying all transmit power to a single antenna and using orthogonal signaling. Finally, we derive recursive necessary conditions and sufficient conditions for a constellation to lie in the feasible set.</t>
  </si>
  <si>
    <t>2400-2416</t>
  </si>
  <si>
    <t>60000251-60025778;60000251-60021378</t>
  </si>
  <si>
    <t>7006898506;7003696826</t>
  </si>
  <si>
    <t>Hero, Alfred O.;Marzetta, Thomas L.</t>
  </si>
  <si>
    <t>Ann Arbor;Murray;New York</t>
  </si>
  <si>
    <t>University of Michigan, Ann Arbor;Nokia Bell Labs;IEEE</t>
  </si>
  <si>
    <t>60025778;60021378;60000251</t>
  </si>
  <si>
    <t>Hero A.</t>
  </si>
  <si>
    <t>Cutoff rate and signal design for the quasi-static Rayleigh-fading space-time channel</t>
  </si>
  <si>
    <t>S0018944801062162</t>
  </si>
  <si>
    <t>10.1109/18.945254</t>
  </si>
  <si>
    <t>2-s2.0-0035442584</t>
  </si>
  <si>
    <t>DADD19-99-1-0291</t>
  </si>
  <si>
    <t>['unitary signals', 'time receivers', 'signal constellations', 'receive antennas', 'quadratic receivers', 'previously considered', 'noncoherent communications', 'multiple transmit', 'multipath rayleigh', 'identically distributed', 'high signal', 'fading processes', 'fading channels', 'easy recipe', 'channel models', 'also reveals']</t>
  </si>
  <si>
    <t>Asymptotics | Error analysis | Fading channels | Maximum-likelihood (ML) receivers | Space-time modulation</t>
  </si>
  <si>
    <t>A general, asymptotic (high signal-to-noise (SNR)) error analysis is introduced for quadratic receivers in frequency-flat and multipath Rayleigh-fading channels with multiple transmit and receive antennas. Asymptotically tight expressions for the pairwise error probabilities are obtained for coherent, noncoherent, and differentially coherent space-time receivers. Not only is our unified analysis applicable to more general modulation schemes and/or channel models than previously considered, but it also reveals a hitherto unrecognized eigenvalue structure that is common to all of these problems. In addition to providing an easy recipe for computing the asymptotic pairwise error rates, we make some conclusions regarding criteria for the design of signal constellations and codes such as a) the same design criteria apply for both correlated and independent and identically distributed (i.i.d.) fading processes and b) for noncoherent communications, unitary signals are optimal in the sense that they minimize the asymptotic union bound.</t>
  </si>
  <si>
    <t>2383-2399</t>
  </si>
  <si>
    <t>60000251-60000221;60000251-60000221</t>
  </si>
  <si>
    <t>6602636224;7005070484</t>
  </si>
  <si>
    <t>Brehler, Matthias;Varanasi, Mahesh K.</t>
  </si>
  <si>
    <t>New York;Boulder</t>
  </si>
  <si>
    <t>IEEE;University of Colorado Boulder</t>
  </si>
  <si>
    <t>60000251;60000221</t>
  </si>
  <si>
    <t>Brehler M.</t>
  </si>
  <si>
    <t>Asymptotic error probability analysis of quadratic receivers in Rayleigh-fading channels with applications to a unified analysis of coherent and noncoherent space-time receivers</t>
  </si>
  <si>
    <t>S0018944801062186</t>
  </si>
  <si>
    <t>10.1109/18.945253</t>
  </si>
  <si>
    <t>2-s2.0-0035443222</t>
  </si>
  <si>
    <t>['transmitter antennas', 'time constellations', 'thereby classify', 'rate space', 'rate constellations', 'practical success', 'powerful theory', 'nonzero determinant', 'multiple antennas', 'low encoding', 'greatly increase', 'good performance', 'full diversity', 'free groups', 'fading environment', 'diversity constellations', 'differential modulation', 'desirable property', 'design high', 'decoding complexity', 'data rate', 'constellation designs']</t>
  </si>
  <si>
    <t>Fading channels | Receive diversity | Space-time coding | Transmit diversity | Wireless communications</t>
  </si>
  <si>
    <t>Multiple antennas can greatly increase the data rate and reliability of a wireless communication link in a fading environment, but the practical success of using multiple antennas depends crucially on our ability to design high-rate space-time constellations with low encoding and decoding complexity. It has been shown that full transmitter diversity, where the constellation is a set of unitary matrices whose differences have nonzero determinant, is a desirable property for good performance. We use the powerful theory of fixed-point-free groups and their representations to design high-rate constellations with full diversity. Furthermore, we thereby classify all full-diversity constellations that form a group, for all rates and numbers of transmitter antennas. The group structure makes the constellations especially suitable for differential modulation and low-complexity decoding algorithms. The classification also reveals that the number of different group structures with full diversity is very limited when the number of transmitter antennas is large and odd. We, therefore, also consider extensions of the constellation designs to nongroups. We conclude by showing that many of our designed constellations perform excellently on both simulated and real wireless channels.</t>
  </si>
  <si>
    <t>2335-2367</t>
  </si>
  <si>
    <t>60102803;60031581;60021378;60021378</t>
  </si>
  <si>
    <t>57026415900;7006111389;35499388800;7003890464</t>
  </si>
  <si>
    <t>Shokrollahi, Amin;Hassibi, Babak;Hochwald, Bertrand M.;Sweldens, Wim</t>
  </si>
  <si>
    <t>Fremont;Pasadena;Murray</t>
  </si>
  <si>
    <t>Digital Fountain, Inc;California Institute of Technology;Nokia Bell Labs</t>
  </si>
  <si>
    <t>60102803;60031581;60021378</t>
  </si>
  <si>
    <t>Shokrollahi A.</t>
  </si>
  <si>
    <t>Representation theory for high-rate multiple-antenna code design</t>
  </si>
  <si>
    <t>S0018944801070109</t>
  </si>
  <si>
    <t>10.1109/18.945251</t>
  </si>
  <si>
    <t>2-s2.0-0035443283</t>
  </si>
  <si>
    <t>NAG5‚Äì6494</t>
  </si>
  <si>
    <t>['spatial scale', 'situ point', 'situ field', 'scanning characteristics', 'scale sampling', 'scale retrieval', 'scale measurements', 'rms differences', 'results within', 'processes represented', 'numerical modelling', 'lsmem ),', 'km grid', 'fundamental inconsistency', 'fixed 25', 'explicit simulation', 'e sensor', 'e ),', '75 kg', '030 cmwater3', '017 cmwater3']</t>
  </si>
  <si>
    <t>Antenna gain function | Hydrological modelling | Passive microwave remote sensing | Soil moisture</t>
  </si>
  <si>
    <t>Using a high-resolution hydrologic model, a land surface microwave emission model (LSMEM), and an explicit simulation of the orbital and scanning characteristics for the advanced microwave sensing radiometer (AMSR-E), an observing system simulation experiment (OSSE) is carded out to assess the impact of land surface heterogeneity on large-scale retrieval and validation of soil moisture products over the U.S. Southern Great Plains using the 6.925 GHz channel on the AMSR-E sensor. Land surface heterogeneity impacts soil moisture products through the presence of nonlinearities in processes represented by the LSMEM, as well as the fundamental inconsistency in spatial scale between gridded soil moisture imagery derived from in situ point-scale sampling, numerical modelling, and microwave remote sensing sources. Results within the 575000 km2 Red-Arkansas River basin show that, for surfaces with vegetation water contents below 0.75 kg/m2, these two scale effects induce root mean squared errors (RMSEs) of 1.7% volumetric (0.017 cmwater3/cmsoil3) into daily 60 km AMSR-E soil moisture products and RMS differences of 3.0% (0.030 cmwater3/cmsoil3) into 60 km comparisons of AMSR-E soil moisture products and in situ field-scale measurements of soil moisture sampled on a fixed 25-km grid.</t>
  </si>
  <si>
    <t>1622-1631</t>
  </si>
  <si>
    <t>60003269;60007493;60003269</t>
  </si>
  <si>
    <t>7005371840;6603357562;35495958000</t>
  </si>
  <si>
    <t>Crow, Wade T.;Drusch, Matthias;Wood, Eric F.</t>
  </si>
  <si>
    <t>Bonn;Princeton</t>
  </si>
  <si>
    <t>Universit√§t Bonn;Princeton University</t>
  </si>
  <si>
    <t>60007493;60003269</t>
  </si>
  <si>
    <t>Crow W.</t>
  </si>
  <si>
    <t>An observation system simulation experiment for the impact of land surface heterogeneity on AMSR-E soil moisture retrieval</t>
  </si>
  <si>
    <t>S0196289201066785</t>
  </si>
  <si>
    <t>10.1109/36.942540</t>
  </si>
  <si>
    <t>2-s2.0-0035444720</t>
  </si>
  <si>
    <t>['tentative launch', 'suitable sensitivity', 'soil moisture', 'smos mission', 'smos data', 'several meters', 'ocean surfaces', 'ocean salinity', 'multiangular acquisitions', 'microwave radiometry', 'main objective', 'main aspects', 'low frequencies', 'large antennas', 'land surfaces', 'ground resolution', 'global coverage', 'established technique', 'enable frequent', 'deployable structure', 'baseline mission1', '50 km', '4 ghz', '21 cm']</t>
  </si>
  <si>
    <t>2-D interferometry | Passive microwaves | Soil moisture retrievals</t>
  </si>
  <si>
    <t>Microwave radiometry at low frequencies (L-band: 1.4 GHz, 21 cm) is an established technique for estimating surface soil moisture and sea surface salinity with a suitable sensitivity. However, from space, large antennas (several meters) are required to achieve an adequate spatial resolution at L-band. So as to reduce the problem of putting into orbit a large filled antenna, the possibility of using antenna synthesis methods has been investigated. Such a system, relying on a deployable structure, has now proved to be feasible and has led to the Soil Moisture and Ocean Salinity (SMOS) mission, which is described in this paper. The main objective of the SMOS mission is to deliver key variables of the land surfaces (soil moisture fields), and of ocean surfaces (sea surface salinity fields). The SMOS mission is based on a dual polarized L-band radiometer using aperture synthesis (two-dimensional [2-D] interferometer) so as to achieve a ground resolution of 50 km at the swath edges coupled with multiangular acquisitions. The radiometer will enable frequent and global coverage of the globe and deliver surface soil moisture fields over land and sea surface salinity over the oceans. The SMOS mission was proposed to the European Space Agency (ESA) in the framework of the Earth Explorer Opportunity Missions. It was selected for a tentative launch in 2005. The goal of this paper is to present the main aspects of the baseline mission1 and describe how soil moisture will be retrieved from SMOS data.</t>
  </si>
  <si>
    <t>1729-1735</t>
  </si>
  <si>
    <t>60024767;60019908;60112203;60017694;60007870;60031159</t>
  </si>
  <si>
    <t>26643081200;7004221658;7005692975;6506458016;7201620951;57205555576</t>
  </si>
  <si>
    <t>Kerr, Yann H.;Waldteufel, Philippe;Wigneron, Jean Pierre;Martinuzzi, Jean Michel;Font, Jordi;Berger, Michael</t>
  </si>
  <si>
    <t>France;Netherlands;France;France;France;Spain</t>
  </si>
  <si>
    <t>Avignon;Noordwijk aan Zee;Toulouse;Guyancourt;Paris;Barcelona</t>
  </si>
  <si>
    <t>INRAE ‚Äã‚ÄãProvence-Alpes-C√¥te d¬¥Azur Research Centre;ESTEC - European Space Research and Technology Centre;Centre d'Etudes Spatiales de la Biosph√®re (CESBIO);Institut Pierre Simon Laplace;CNES Centre National d'Etudes Spatiales;CSIC - Instituto de Ciencias del Mar (ICM)</t>
  </si>
  <si>
    <t>60112203;60031159;60024767;60019908;60017694;60007870</t>
  </si>
  <si>
    <t>Kerr Y.H.</t>
  </si>
  <si>
    <t>Soil moisture retrieval from space: The Soil Moisture and Ocean Salinity (SMOS) mission</t>
  </si>
  <si>
    <t>S0196289201066736</t>
  </si>
  <si>
    <t>10.1109/36.942551</t>
  </si>
  <si>
    <t>2-s2.0-0035444829</t>
  </si>
  <si>
    <t>DAAH04-96-1-0005</t>
  </si>
  <si>
    <t>['whole system', 'undesired signals', 'source location', 'single substrate', 'simplified binary', 'remote tagging', 'remote site', 'recovered successfully', 'received signal', 'phase conjugator', 'outgoing signals', 'microstrip antenna', 'conversion gain', 'conjugating mixer', 'circuit size', 'card system']</t>
  </si>
  <si>
    <t>Active integrated antenna | Mobile communications | Phase conjugator | Retrodirective array | Transponder</t>
  </si>
  <si>
    <t>A retrodirective transponder based on a novel compact phase- conjugating mixer with conversion gain has been developed. The active circuit uses one port for both incoming and outgoing signals, enabling a reduction of circuit size, and the balanced structure provides suppression of undesired signals. By using a modulated local oscillator, the circuit can modulate the received signal in order to retransmit local information to the remote site. A microstrip antenna is integrated with the phase conjugator and the whole system was fabricated on a single substrate, enabling a one-card system. A four-element prototype array with 0.5Œª0 array spacing demonstrated excellent measured retrodirectivity. Additionally, a simplified binary.phase-shift-keying signal transmitted by the array is recovered successfully at the source location, demonstrating great potential for remote tagging and wireless sensor applications.</t>
  </si>
  <si>
    <t>1658-1662</t>
  </si>
  <si>
    <t>60027550;60027550;60027550</t>
  </si>
  <si>
    <t>7102921390;7402872518;36041035600</t>
  </si>
  <si>
    <t>Miyamoto, R. Y.;Qian, Y.;Itoh, T.</t>
  </si>
  <si>
    <t>Miyamoto R.</t>
  </si>
  <si>
    <t>An active integrated retrodirective transponder for remote information retrieval-on-demand</t>
  </si>
  <si>
    <t>S0018948001075937</t>
  </si>
  <si>
    <t>10.1109/22.942580</t>
  </si>
  <si>
    <t>2-s2.0-0035446319</t>
  </si>
  <si>
    <t>['œ ¥', 'tie antennas', 'rights reserved', 'results suggest', 'observed regardless', 'mgo bicrystals', 'laser powers', 'junctions coupled', 'junction voltage', 'josephson junctions', 'femtosecond laser', 'emission properties', 'bias currents', '250 mw']</t>
  </si>
  <si>
    <t>Femtosecond laser pulse | Josephson junction | Terahertz radiation | YBa Cu O 2 3 7-Œ¥</t>
  </si>
  <si>
    <t>We examine both power and bias current dependence of terahertz (THz) emission properties from YBa2Cu3O7-Œ¥ (YBCO) Josephson junctions. The junctions coupled to bow-tie antennas are fabricated by Ar ion milling from YBCO thin films grown on MgO bicrystals. We observe the radiation at bias currents from 0 to 50 mA, laser powers from 0 to 250 mW. The radiation amplitude increases with increasing laser power, and the frequency at which the radiation has a maximum amplitude decreases with increasing laser power. These trends are observed regardless of junction voltage. The results suggest that the voltage of the Josephson junction plays a less important role in the THz radiation excited by a femtosecond laser. ¬© 2001 Elsevier Science B.V. All rights reserved.</t>
  </si>
  <si>
    <t>329-332</t>
  </si>
  <si>
    <t>60024322;60024322-60015682;60024322-60015682</t>
  </si>
  <si>
    <t>7402914773;6603908017;7006497099</t>
  </si>
  <si>
    <t>Yoshimura, Takahiro;Kiwa, Toshihiko;Tonouchi, Masayoshi</t>
  </si>
  <si>
    <t>Yoshimura T.</t>
  </si>
  <si>
    <t>Terahertz emission from YBa&lt;inf&gt;2&lt;/inf&gt;Cu&lt;inf&gt;3&lt;/inf&gt;O&lt;inf&gt;7-Œ¥&lt;/inf&gt; Josephson junctions excited by femtosecond laser</t>
  </si>
  <si>
    <t>S0921453401006980</t>
  </si>
  <si>
    <t>10.1016/S0921-4534(01)00698-0</t>
  </si>
  <si>
    <t>2-s2.0-0035447180</t>
  </si>
  <si>
    <t>['unlike low', 'unique low', 'resulting bounds', 'respective crbs', 'rao bound', 'rank three', 'rank greater', 'rank decomposition', 'parallel factor', 'generically nonunique', 'correct number', 'commonly used', 'common name', 'certain bound', 'array rank', 'also provided']</t>
  </si>
  <si>
    <t>Cram√©r-Rao bound | Least squares method | Matrix decomposition | Multidimensional signal processing</t>
  </si>
  <si>
    <t>Unlike low-rank matrix decomposition, which is generically nonunique for rank greater than one, low-rank three-and higher dimensional array decomposition is unique, provided that the array rank is lower than a certain bound, and the correct number of components (equal to array rank) is sought in the decomposition. Parallel factor (PARAFAC) analysis is a common name for low-rank decomposition of higher dimensional arrays. This paper develops Cram√©r-Rao Bound (CRB) results for low-rank decomposition of three-and four-dimensional (3-D and 4-D) arrays, illustrates the behavior of the resulting bounds, and compares alternating least squares algorithms that are commonly used to compute such decompositions with the respective CRBs. Simple-to-check necessary conditions for a unique low-rank decomposition are also provided.</t>
  </si>
  <si>
    <t>2074-2086</t>
  </si>
  <si>
    <t>10043223200;35555347100</t>
  </si>
  <si>
    <t>Liu, Xiangqian;Sidiropoulos, Nicholas D.</t>
  </si>
  <si>
    <t>Liu X.</t>
  </si>
  <si>
    <t>Cram√©r-Rao lower bounds for low-rank decomposition of multidimensional arrays</t>
  </si>
  <si>
    <t>S1053587X0107057X</t>
  </si>
  <si>
    <t>10.1109/78.942635</t>
  </si>
  <si>
    <t>2-s2.0-0035447407</t>
  </si>
  <si>
    <t>['tailed noise', 'spherically symmetric', 'spatial sign', 'signals may', 'robust estimator', 'results show', 'resolution direction', 'rank concepts', 'proposed techniques', 'nominal conditions', 'noise subspaces', 'highly reliably', 'gaussian noise', 'estimation methods', 'determined using', 'coherent sources', 'c ase']</t>
  </si>
  <si>
    <t>Angle of arrival | Array signal processing | Covariance matrix | Non-Gaussian noise | Nonparametric statistics | Robust estimation</t>
  </si>
  <si>
    <t>In this paper, the problem of subspace estimation using multivariate nonparametric statistics is addressed. We introduce new high-resolution direction-of-arrival (DOA) estimation methods that have almost optimal performance in nominal conditions and are robust in the face of heavy-tailed noise. The extensions of the techniques for the case of coherent sources are considered as well. The proposed techniques are based on spatial sign and rank concepts. We show that spatial sign and rank covariance matrices can be used to obtain convergent estimates of the signal and noise subspaces. In the proofs, the noise is assumed to be spherically symmetric. Moreover, we illustrate how the number of signals may be determined using the proposed covariance matrix estimates and a robust estimator of variance. The performance of the algorithms is studied using simulations in a variety of noise conditions including noise that is not spherically symmetric. The results show that the algorithms perform near optimally in the c ase of Gaussian noise and highly reliably if the noise is non-Gaussian.</t>
  </si>
  <si>
    <t>2060-2073</t>
  </si>
  <si>
    <t>60103653;60032398;60000251-60103653</t>
  </si>
  <si>
    <t>6701704816;55837900900;7004671823</t>
  </si>
  <si>
    <t>Visuri, Samuli;Oja, Hannu;Koivunen, Visa</t>
  </si>
  <si>
    <t>Finland;Finland;United States</t>
  </si>
  <si>
    <t>Espoo;Jyvaskyla;New York</t>
  </si>
  <si>
    <t>Aalto University;University of Jyv√§skyl√§;IEEE</t>
  </si>
  <si>
    <t>60103653;60032398;60000251</t>
  </si>
  <si>
    <t>Visuri S.</t>
  </si>
  <si>
    <t>Subspace-based direction-of-arrival estimation using nonparametric statistics</t>
  </si>
  <si>
    <t>S1053587X01070659</t>
  </si>
  <si>
    <t>10.1109/78.942634</t>
  </si>
  <si>
    <t>2-s2.0-0035447436</t>
  </si>
  <si>
    <t>['three phases', 'tabu search', 'selected site', 'proposed approach', 'processing phase', 'paper presents', 'optimization phase', 'imperative constraints', 'heuristic approach', 'computational results', 'based pre', 'bad configurations', 'associated values', 'antenna parameters']</t>
  </si>
  <si>
    <t>Large scale combinatorial optimization | Radio network planning | Tabu search</t>
  </si>
  <si>
    <t>The antenna-positioning problem concerns finding a set of sites for antennas from a set of pre-defined candidate sites, and for each selected site, to determine the number and types of antennas, as well as the associated values for each of the antenna parameters. All these choices must satisfy a set of imperative constraints and optimize a set of objectives. This paper presents a heuristic approach for tackling this complex and highly combinatorial problem. The proposed approach is composed of three phases: a constraint-based pre-processing phase to filter out bad configurations, an optimization phase using tabu search, and a post-optimization phase to improve solutions given by tabu search. To validate the approach, computational results are presented using large and realistic data sets.</t>
  </si>
  <si>
    <t>443-472</t>
  </si>
  <si>
    <t>Journal of Heuristics</t>
  </si>
  <si>
    <t>60012033;60012772</t>
  </si>
  <si>
    <t>7102216006;7202839437</t>
  </si>
  <si>
    <t>Vasquez, Michel;Hao, Jin Kao</t>
  </si>
  <si>
    <t>Angers;Occitanie</t>
  </si>
  <si>
    <t>Universite d'Angers;IMT Mines Al√®s</t>
  </si>
  <si>
    <t>60012772;60012033</t>
  </si>
  <si>
    <t>Vasquez M.</t>
  </si>
  <si>
    <t>A heuristic approach for antenna positioning in cellular networks</t>
  </si>
  <si>
    <t>10.1023/A:1011373828276</t>
  </si>
  <si>
    <t>2-s2.0-0035448085</t>
  </si>
  <si>
    <t>['zugspitzplatt ).', 'zones overdeepened', 'two sites', 'thinner layer', 'thereby acquire', 'talus volume', 'talus surface', 'subsurface stratigraphy', 'study areas', 'six profiles', 'shaped furrows', 'results match', 'recent rockfall', 'quick survey', 'profile surveyed', 'previous measurements', 'penetrating radar', 'ohmic substrate', 'loose debris', 'karstic bedrock', 'ice action', 'gpr system', 'geological structures', 'exposed sites', 'drainage systems', 'distinct reflection', 'detrital formation', 'depending upon', 'deliver information', 'debris layer', 'calculated backweathering', 'buried features', 'boundary line', 'bedrock interface', 'backweathering rates', 'austrian border', 'adjacent rockwalls', '730 mm', '300 mm', '100 mm']</t>
  </si>
  <si>
    <t>Alpine | GPR | Talus | Weathering rates</t>
  </si>
  <si>
    <t>The applicability of ground-penetrating radar (GPR) for the investigation of loose debris was tested at two sites (Viererkar and Zugspitzplatt). A pulseEKKO 100 GPR system equipped with 25 MHz antennae was utilized. The aim of the investigation was to record the base of the debris layer, and thereby acquire an estimation of the backweathering rates of the adjacent rockwalls. The study areas are situated in the Northern Alps near the German-Austrian border. The sites are characterized by steep limestone rockwalls and extensive talus accumulations. A total of six profiles was surveyed. The method is suitable and effective for a quick survey in this dry, high-ohmic substrate. The GPR system was able to deliver information about the subsurface stratigraphy to c. 70 m depth. The boundary line to the bedrock was discovered - depending upon the profile surveyed - 5 to 25 m below the surface. The base of the debris material sometimes shows no distinct reflection. Buried features (V-shaped furrows, zones overdeepened by ice action, geological structures) could be detected. Arched structures well below the talus-bedrock interface can be interpreted as drainage systems in the karstic bedrock. A thick scree layer of Late Glacial age was separated from a thinner layer on the talus surface, which was related to the Holocene. The backweathering rates were fixed by a calculation of talus volume to c. 100 mm/103 a during the Holocene (Viererkar) and 150-300 mm/103 a (Zugspitzplatt). The detrital formation in north-exposed sites is twice as intense as in south-exposed sites. These results match the rates of recent rockfall in the same area of investigation. The calculated backweathering for the late glacial period is 150-730 mm/103 a. The magnitude of the calculated rockwall retreat lies well within the range of previous measurements. The discrepancy between some weathering rates highlights the fact that recent and past relief formation must be differentiated. Otherwise recent removal rates may be overstimated. Copyright ¬© 2001 John Wiley and Sons, Ltd.</t>
  </si>
  <si>
    <t>1071-1086</t>
  </si>
  <si>
    <t>Earth Surface Processes and Landforms</t>
  </si>
  <si>
    <t>60016060;60028717</t>
  </si>
  <si>
    <t>56035711500;57225272504</t>
  </si>
  <si>
    <t>Sass, Oliver;Wollny, Klaus</t>
  </si>
  <si>
    <t>Munich;Augsburg</t>
  </si>
  <si>
    <t>Ludwig-Maximilians-Universit√§t M√ºnchen;Universit√§t Augsburg</t>
  </si>
  <si>
    <t>60028717;60016060</t>
  </si>
  <si>
    <t>Sass O.</t>
  </si>
  <si>
    <t>Investigations regarding alpine talus slopes using ground-penetrating radar (GPR) in the Bavarian Alps, Germany</t>
  </si>
  <si>
    <t>10.1002/esp.254</t>
  </si>
  <si>
    <t>2-s2.0-0035448177</t>
  </si>
  <si>
    <t>['thz beam', 'three sets', 'study terahertz', 'rights reserved', 'radiation properties', 'polarized radiation', 'polarization patterns', 'periodic antennas', 'frequencies corresponding', 'dependent polarization', 'clear resonance', 'antenna structures']</t>
  </si>
  <si>
    <t>Femtosecond laser | Log-periodic antenna | Polarization | Terahertz radiation | YBa Cu O 2 3 7-Œ¥</t>
  </si>
  <si>
    <t>We study terahertz (THz) radiation properties from high-Tc superconductor thin film log-periodic antennas. Three sets of wire grid polarizers are employed to characterize the frequency-dependent polarization of the THz beam. The polarized radiation has clear resonance at frequencies corresponding to the antenna structures. The polarization patterns are thus well explained by the antenna structures. ¬© 2001 Elsevier Science B.V. All rights reserved.</t>
  </si>
  <si>
    <t>319-323</t>
  </si>
  <si>
    <t>60024322;60024322;60024322-60015682;60024322-60015682</t>
  </si>
  <si>
    <t>7006254245;7202520872;6603908017;7006497099</t>
  </si>
  <si>
    <t>Saijo, Hitoshi;Morimoto, Masahiko;Kiwa, Toshihiko;Tonouchi, Masayoshi</t>
  </si>
  <si>
    <t>Saijo H.</t>
  </si>
  <si>
    <t>Terahertz emission properties from YBCO thin film log-periodic antennas</t>
  </si>
  <si>
    <t>S0921453401006967</t>
  </si>
  <si>
    <t>10.1016/S0921-4534(01)00696-7</t>
  </si>
  <si>
    <t>2-s2.0-0035448444</t>
  </si>
  <si>
    <t>['type switches', 'shaping capabilities', 'rf switches', 'reconfigurable vee', 'radiation patterns', 'radiation beam', 'new architectures', 'microwave cae', 'microelectromechanical system', 'dynamically reconfigured', 'controlled microactuators', 'beam steering', 'antenna impedance', 'also investigated']</t>
  </si>
  <si>
    <t>MEMS | Reconfigurable antennas | RF switches</t>
  </si>
  <si>
    <t>New architectures for microelectromechanical system (MEMS) reconfigurable Vee-antennas and RF switches are presented. The planar antenna structure can be dynamically reconfigured to steer the radiation beam or change the shape of the beam using electrically-controlled microactuators. The radiation patterns and antenna impedance were investigated with a 17.5 GHz MEMS Vee-antenna for proof-of-concept. The beam steering and shaping capabilities have been demonstrated. A derrick-type RF switch, suitable for T / R module applications, was also investigated. The derrick-type switches have potentials to provide high isolation and low insertion losses. ¬© 2001 John Wiley &amp; Sons, Inc. Int J RF and Microwave CAE.</t>
  </si>
  <si>
    <t>301-309</t>
  </si>
  <si>
    <t>100332884-60013791;60013791;60013791;60032179;122327670;60013791</t>
  </si>
  <si>
    <t>35195416000;7404685218;56143328000;7801457075;56423930500;6506565742</t>
  </si>
  <si>
    <t>Chiao, Jung Chih;Cheng, Sheng Yong;Chang, Jeff J.L.;Chio, Iao Mak;Kang, Yoosin;Hayasaka, Junichi</t>
  </si>
  <si>
    <t>Madison;Honolulu;;Richardson</t>
  </si>
  <si>
    <t>University of Wisconsin-Madison;University of Hawai ªi at MƒÅnoa;Raytheon Systems;Chorum Technologies</t>
  </si>
  <si>
    <t>60032179;60013791;122327670;100332884</t>
  </si>
  <si>
    <t>Chiao J.C.</t>
  </si>
  <si>
    <t>MEMS reconfigurable antennas</t>
  </si>
  <si>
    <t>10.1002/mmce.1038</t>
  </si>
  <si>
    <t>2-s2.0-0035448826</t>
  </si>
  <si>
    <t>['vliw cores', 'smart antenna', 'scheduler engine', 'rights reserved', 'made reads', 'g .,', 'forming processing', 'first members', 'customized assembler', 'core processor', 'computing power', 'arithmetic operators', 'adaptive beam', '40 mm2']</t>
  </si>
  <si>
    <t>Architectural description languages | Configurable cores | Embedded processing | Floating-point computation | Instruction level parallelism | VLIW architectures</t>
  </si>
  <si>
    <t>mAgic-FPU is the architecture of a family of VLIW cores for configurable system level integration of floating and fixed point computing power. MAgic customization permits the designer to tune basic parameters, such as the computing power/memory access ratio of the core processor, the number of available arithmetic operation per cycle, the register file size and number of port, as well as of the number of arithmetic operators. The reconfiguration (e.g., of register file size and number of port, as well as of the number of arithmetic operators) is supported by the software environment MADE (Modular VLIW processor Architecture and Assembler Description Environment). MADE reads an architecture description file and produces a customized assembler-scheduler for the target VLIW architecture, configuring a general purpose VLIW optimizer-scheduler engine. The mAgic-FPU core architecture satisfies the requisite of portability among silicon foundries. The first members of the mAgic FPU core family architecture fit the requirements of 'Smart Antenna for Adaptive Beam-Forming processing' and 'Physical Sound Synthesis'. The first 1 GigaFlops mAgic core will run at 100 MHz within an area of 40 mm2 in 0.25 Œºm ATMEL CMOS technology in first half 2002. ¬© 2001 Elsevier Science B.V. All rights reserved.</t>
  </si>
  <si>
    <t>132-143</t>
  </si>
  <si>
    <t>Computer Physics Communications</t>
  </si>
  <si>
    <t>101511891-60032350;60019269;60019269;60019269;60019269;101511891;101511891;100321045;102080847</t>
  </si>
  <si>
    <t>55324291700;6602638552;24587017200;6508145391;20435854400;15735112800;15734994000;15734859300;15734732800</t>
  </si>
  <si>
    <t>Paolucci, Pier S.;Kajfasz, Philippe;Bonnot, Philippe;Candaele, Bernard;Maufroid, Daniel;Pastorelli, Elena;Ricciardi, Andrea;Fusella, Yves;Guarino, Eugenio</t>
  </si>
  <si>
    <t>Italy;France;Italy;Italy;France</t>
  </si>
  <si>
    <t>Rome;Puteaux;Colleferro;Rome;Rousset</t>
  </si>
  <si>
    <t>Sapienza Universit√† di Roma;Thales Group;IRIS Srl;IPITEC;ATMEL</t>
  </si>
  <si>
    <t>60032350;60019269;102080847;101511891;100321045</t>
  </si>
  <si>
    <t>Paolucci P.</t>
  </si>
  <si>
    <t>mAgic-FPU and MADE: A customizable VLIW core and the modular VLIW processor architecture description environment</t>
  </si>
  <si>
    <t>S0010465501002351</t>
  </si>
  <si>
    <t>10.1016/S0010-4655(01)00235-1</t>
  </si>
  <si>
    <t>2-s2.0-0035448937</t>
  </si>
  <si>
    <t>['two resins', 'thermally stable', 'thermal conductivity', 'produces laminates', 'make radomes', 'layer radomes', 'flight tested', 'ceramic materials', 'also offer', '100 resin']</t>
  </si>
  <si>
    <t>Textron Systems Corporation has developed a family of inorganic, silicon based polymers with unique high temperature properties and low dielectric constants. These materials produce composite structures that are thermally stable to temperature over 538¬∞C, are very low in thermal conductivity, have excellent thermal shock resistance, and good ablation performance. Two resins are presently being used to make dielectric composites. DI-100 resin is presently used primarily to impregnate 3D quartz fiber composites for use in re-entry vehicle antenna window applications and has been flight tested. DI-200 was developed for use with 2D quartz fabric to make radomes. It has a higher interlaminar shear strength than DI-100 and produces laminates with superior structural performance. Both of these resins can be used to make a low dielectric constant syntactic foam for use in multi-layer radomes. Both also offer the ease of fabrication of conventional thermosetting resins with the performance formally attainable only with metal or ceramic materials.</t>
  </si>
  <si>
    <t>SAMPE Journal</t>
  </si>
  <si>
    <t>Marshall, D. W.</t>
  </si>
  <si>
    <t>Textron Defense Systems</t>
  </si>
  <si>
    <t>Marshall D.</t>
  </si>
  <si>
    <t>Radomes based on novel inorganic polymer composites</t>
  </si>
  <si>
    <t>2-s2.0-0035449499</t>
  </si>
  <si>
    <t>['sensory abilities', 'rights reserved', 'receptor part', 'reacts actively', 'ppt range', 'odour concentration', 'measurements based', 'like cis', 'insect antenna', 'impedance spectroscopy', 'applied odour']</t>
  </si>
  <si>
    <t>Bioelectronic interface | BioFET | Biosensor | Impedance spectroscopy | Insect antenna</t>
  </si>
  <si>
    <t>The sensory abilities of insects are of great scientific interest. As an example, a biosensor on the basis of an insect antenna has been developed. With this sensor, organic odour molecules, like cis-3-hexen-1-ol, can be detected in concentrations down to the ppt range. To characterise the insect antenna as the receptor part of the biosensor in more detail, measurements based on impedance spectroscopy have been performed in this work, employing various conditions: the impedance of the antenna was observed to vary with the age, the applied bias voltage and the amount of applied odour. Hence, it could be shown that the antenna is not just a passive electronic device, but reacts actively to some parameters such as voltage or odour concentration. ¬© 2001 Elsevier Science Ltd. All rights reserved.</t>
  </si>
  <si>
    <t>293-297</t>
  </si>
  <si>
    <t>Electrochimica Acta</t>
  </si>
  <si>
    <t>60007774;60007774;60017134;60017134;60007774-60033331</t>
  </si>
  <si>
    <t>7004050492;55536935700;7006267970;7005940238;7006423416</t>
  </si>
  <si>
    <t>Schroth, P.;L√ºth, H.;Hummel, H. E.;Sch√ºtz, S.;Sch√∂ning, M. J.</t>
  </si>
  <si>
    <t>Characterising an insect antenna as a receptor for a biosensor by means of impedance spectroscopy</t>
  </si>
  <si>
    <t>S0013468601005680</t>
  </si>
  <si>
    <t>10.1016/S0013-4686(01)00568-0</t>
  </si>
  <si>
    <t>2-s2.0-0035450289</t>
  </si>
  <si>
    <t>['valuable assets', 'resultant flashovers', 'protection schemes', 'proper design', 'overhead lines', 'operational conditions', 'minimize exposure', 'induced transients', 'excellent communications', 'entire facility', 'electric utility', 'damaging effects', 'cogeneration facility', 'close cooperation', 'careful attention', 'also essential']</t>
  </si>
  <si>
    <t>To reduce the damaging effects of lightning-induced transients in a cogeneration facility, it is important that the cogenerator fully understands the internal as well as the external systems involved. Proper design and installation of overhead lines is required to minimize exposure to strikes and resultant flashovers. It is also essential that careful attention be paid to the protection schemes and to the operational conditions of the entire facility. Overall, close cooperation, excellent communications, and common goals toward excellence between the cogenerator and the electric utility are valuable assets.</t>
  </si>
  <si>
    <t>20-28</t>
  </si>
  <si>
    <t>IEEE Industry Applications Magazine</t>
  </si>
  <si>
    <t>60031460-60000251;60031460-60000251</t>
  </si>
  <si>
    <t>56187896700;55722628800</t>
  </si>
  <si>
    <t>Holmquist, John R.;Jones, Roger W.</t>
  </si>
  <si>
    <t>Federal Way;New York</t>
  </si>
  <si>
    <t>Weyerhaeuser Company;IEEE</t>
  </si>
  <si>
    <t>60031460;60000251</t>
  </si>
  <si>
    <t>Holmquist J.</t>
  </si>
  <si>
    <t>Reducing the effects of lightning in cogeneration plants</t>
  </si>
  <si>
    <t>10.1109/2943.948528</t>
  </si>
  <si>
    <t>2-s2.0-0035450433</t>
  </si>
  <si>
    <t>['symmetry condition', 'rigorous investigation', 'radiation properties', 'radiation problem', 'power radiated', 'perfect mirror', 'patch antenna', 'mathematical justification', 'incidence angle', 'driving frequency', 'crystal satisfies', 'corresponding green', 'band gap', 'asymptotic behaviour', 'also provide']</t>
  </si>
  <si>
    <t>Dielectric reflectors | Green's functions | Integral equations | Patch antennas | Perfect mirrors | Photonic crystals</t>
  </si>
  <si>
    <t>This paper is concerned with the rigorous investigation of the radiation properties of a planar patch antenna on a photonic crystal substrate. Under the assumptions that the driving frequency of the antenna lies within the band gap of the photonic crystal substrate and that the crystal satisfies a symmetry condition, we prove that the power radiated into the substrate decays exponentially. To do this, we reduce the radiation problem to the study of the well-posedness of a weakly singular integral equation on the patch antenna, and to the study of the asymptotic behaviour of the corresponding Green's function. We also provide a mathematical justification of the use of a photonic crystal substrate as a perfect mirror at any incidence angle.</t>
  </si>
  <si>
    <t>1021-1042</t>
  </si>
  <si>
    <t>Mathematical Methods in the Applied Sciences</t>
  </si>
  <si>
    <t>60105987;60105987;60105987</t>
  </si>
  <si>
    <t>7006738187;6507685474;6602393566</t>
  </si>
  <si>
    <t>Ammari, Habib;B√©reux, Natacha;Bonnetier, Eric</t>
  </si>
  <si>
    <t>Centre de Math√©matiques Appliqu√©es</t>
  </si>
  <si>
    <t>Ammari H.</t>
  </si>
  <si>
    <t>Analysis of the radiation properties of a planar antenna on a photonic crystal substrate</t>
  </si>
  <si>
    <t>10.1002/mma.254</t>
  </si>
  <si>
    <t>2-s2.0-0035450561</t>
  </si>
  <si>
    <t>['third generation', 'standardization activities', 'service negotiation', 'satisfy demands', 'increased mobility', 'hierarchical cells', 'global roaming', 'global interworking', 'different applications', 'common platform', 'common ip', 'cell size', 'band terminals']</t>
  </si>
  <si>
    <t>Common IP-based platform | Fourth generation mobile | Software radio | UMTS | Wireless communications</t>
  </si>
  <si>
    <t>In this paper, we develop a vision for the future of wireless communications beyond the third generation, which consists of a combination of several optimized access systems on a common IP-based medium access and core network platform. Different access systems interwork via horizontal (intra-system) and vertical (inter-system) handover, service negotiation, and global roaming. These complementary access systems are optimized for different applications and environments. They are allocated to different cell layers in the sense of hierarchical cells with respect to cell size, coverage, and mobility to provide globally optimized seamless services for all users. New air interfaces can also be incorporated to satisfy demands for higher data rates, increased mobility, and reduced cost per bit. This vision requires international research and standardization activities to solve many technical challenges. Key issues include the global interworking of different access systems on a common platform, advanced antenna concepts, and the implementation of multi-mode and multi-band terminals as well as base stations via software-defined radio concepts. ¬© 2001 Published by Elsevier Science B.V.</t>
  </si>
  <si>
    <t>83-92</t>
  </si>
  <si>
    <t>Computer Networks</t>
  </si>
  <si>
    <t>60028673;60028673;60028673;60028673</t>
  </si>
  <si>
    <t>57194933458;7005894536;6507349065;7201861317</t>
  </si>
  <si>
    <t>Aretz, Kurt;Haardt, Martin;Konh√§user, Walter;Mohr, Werner</t>
  </si>
  <si>
    <t>Aretz K.</t>
  </si>
  <si>
    <t>The future of wireless communications beyond the third generation</t>
  </si>
  <si>
    <t>S1389128601002018</t>
  </si>
  <si>
    <t>10.1016/S1389-1286(01)00201-8</t>
  </si>
  <si>
    <t>2-s2.0-0035451560</t>
  </si>
  <si>
    <t>['receive data', 'open ground', 'decoder pair', 'communication distance', 'code encoder', 'add security', '50 metres', '150 metres']</t>
  </si>
  <si>
    <t>The design of Microchip's Keeloq hopping code system was proposed. The proposed design used a hopping-code encoder and decoder pair and had a communication distance of 150 metres over open ground and 50 metres in building. A UHF FM radio link from Radiometrix was used to transmit and receive data. A key generation algorithm was used to process the codes to create the 64-bit encoder key. The decoder also featured a complex synchronization technique to add security.</t>
  </si>
  <si>
    <t>672-678</t>
  </si>
  <si>
    <t>Electronics World</t>
  </si>
  <si>
    <t>Code-hopping remote control</t>
  </si>
  <si>
    <t>2-s2.0-0035451952</t>
  </si>
  <si>
    <t>['two boreholes', 'taking measurements', 'steps along', 'moisture content', 'materials studied', '9 mm', '5 ghz', '12 mm']</t>
  </si>
  <si>
    <t>Concrete | Construction materials | Microwaves | Moisture meter | Moisture transport | Sand | Wood</t>
  </si>
  <si>
    <t>The method requires two parallel boreholes in the specimen in which two microwave antennae can be moved. The moisture content in the material can be calculated from the microwave intensity transmitted between the two boreholes. Moisture profiles along the boreholes can be obtained by moving the antennae in steps along the length of the boreholes and taking measurements at each step. The microwave frequencies used in the laboratory measurements ranged from 8 to 16.5 GHz in steps of 0.5 GHz. The diameters of the antennae were between 7 and 9 mm, and of the boreholes between 8 and 12 mm. The microwave method produced measurement uncertainties between 0 and 2% by volume for all the materials studied in this report. ¬© 2001 Published by Elsevier Science Ltd.</t>
  </si>
  <si>
    <t>389-394</t>
  </si>
  <si>
    <t>60033191;101919345;101919345;60033191;101919345</t>
  </si>
  <si>
    <t>7005218389;7102832701;56369110000;15746023900;6603785189</t>
  </si>
  <si>
    <t>K√§√§ri√§inen, H.;Rudolph, M.;Schaurich, D.;Tulla, K.;Wiggenhauser, H.</t>
  </si>
  <si>
    <t>Finland;Germany</t>
  </si>
  <si>
    <t>Espoo;</t>
  </si>
  <si>
    <t>VTT Technical Research Centre of Finland;Abteilung VII Bauwerkssicherheit</t>
  </si>
  <si>
    <t>60033191;101919345</t>
  </si>
  <si>
    <t>K√§√§ri√§inen H.</t>
  </si>
  <si>
    <t>Moisture measurements in building materials with microwaves</t>
  </si>
  <si>
    <t>S0963869501000056</t>
  </si>
  <si>
    <t>10.1016/S0963-8695(01)00005-6</t>
  </si>
  <si>
    <t>2-s2.0-0035452750</t>
  </si>
  <si>
    <t>['printed altsa', 'good agreement', 'fdtd computation', 'experimental measurements', 'difference time', 'antipodal linearly', '35 ghz']</t>
  </si>
  <si>
    <t>ALSTA | Antipodal linearly-tapered slot | FDTD | Ka-band antenna</t>
  </si>
  <si>
    <t>Three-dimensional (3-D) finite-difference time-domain (FDTD) simulation of a planar broadband Ka-band (25-35 GHz) antipodal linearly-tapered slot antenna (ALTSA) and the experimental measurements are presented. The Berenger perfectly matched layer (PML) absorbing boundary condition is used for the FDTD computation. A printed ALTSA has been realized by using the RT/Duroid PCB substrate. Good agreement between simulation and measurement were achieved.</t>
  </si>
  <si>
    <t>382-384</t>
  </si>
  <si>
    <t>60000251-60014982;60000251-60014982;60000251-60014982</t>
  </si>
  <si>
    <t>7101601941;24078030800;7103110709</t>
  </si>
  <si>
    <t>Kuo, Liang Chen;Tsai, Meng Chung;Chuang, Huey Ru</t>
  </si>
  <si>
    <t>Tainan;New York</t>
  </si>
  <si>
    <t>National Cheng Kung University;IEEE</t>
  </si>
  <si>
    <t>60014982;60000251</t>
  </si>
  <si>
    <t>Kuo L.</t>
  </si>
  <si>
    <t>3-D FDTD design simulation and experimental measurement of a Ka-band planar antipodal linearly-tapered slot antenna (ALTSA)</t>
  </si>
  <si>
    <t>S1531130901080813</t>
  </si>
  <si>
    <t>10.1109/7260.950768</t>
  </si>
  <si>
    <t>2-s2.0-0035454432</t>
  </si>
  <si>
    <t>['œ ∏', 'zenith beams', 'visa versa', 'spaced antenna', 'sa data', 'power method', 'main aim', 'isotropic values', 'fca velocities', 'fca data', 'dbs data', 'dbs analysis', '8 ¬∞.', '2 ¬∞,']</t>
  </si>
  <si>
    <t>Tropospheric VHF radar data collected using both spaced antenna (SA) and Doppler beam steering (DBS) methods are presented. The SA data are analyzed using full correlation analysis (FCA) on vertical beam data, while DBS analysis is applied to vertical beam data and off-zenith beam data at 3.6¬∞, 7.2¬∞, and 10.8¬∞. A comparison of meridional velocities using SA FCA and DBS analysis is presented. These results indicate good agreement between the DBS and FCA velocities on all off-zenith beams, particularly at 10.8¬∞. The main aim of the study is to compare the aspect sensitivity parameter Œ∏s, using the spatial correlation method for the FCA data [e.g., Lesicar and Hocking, 1992] and the power method of Hocking et al. [1986] for the DBS data. This comparison reveals good general agreement between isotropic values of Œ∏s with both methods, and aspect sensitive values of Œ∏s values with both methods, although there are times when one method produces isotropic values and the other produces aspect sensitive values and visa versa. During aspect sensitive periods the FCA values agree best with the DBS method using the 0.0¬∞-3.6¬∞ beam combination.</t>
  </si>
  <si>
    <t>955-964</t>
  </si>
  <si>
    <t>100331894;100331894;100331894</t>
  </si>
  <si>
    <t>7102351091;7402194289;7102342671</t>
  </si>
  <si>
    <t>Hobbs, B. G.;Reid, I. M.;Holdsworth, D. A.</t>
  </si>
  <si>
    <t>Surveillance Systems Division</t>
  </si>
  <si>
    <t>Hobbs B.</t>
  </si>
  <si>
    <t>A comparison of tropospheric VHF Doppler beam steering and full correlation analysis measurements of aspect sensitivity</t>
  </si>
  <si>
    <t>10.1029/2000RS002360</t>
  </si>
  <si>
    <t>2-s2.0-0035455802</t>
  </si>
  <si>
    <t>['particle method', 'numerical resolution', 'magnetized plasma', 'iterative procedure', 'element method', 'electromagnetic field']</t>
  </si>
  <si>
    <t>Finite element method | Ion cyclotron resonance heating | Isotope separation | Particle method | Vlasov-Maxwell equations</t>
  </si>
  <si>
    <t>A self-consistent nonlinear model of an isotope separation process based on selective ion cyclotron resonance heating in a magnetized plasma is presented, and its numerical resolution is described. The response of the electrons to the electromagnetic field is modeled by a cold and linear conductivity tensor, while a particle method is used to solve nonlinear Vlasov equations for the ions. The resolution of the time-harmonic Maxwell equations is achieved by a finite-element method. Both steps are coupled by an iterative procedure, which shows fast convergence. Results are presented for the case of a solenoidal launching antenna. ¬© 2001 Academic Press.</t>
  </si>
  <si>
    <t>326-347</t>
  </si>
  <si>
    <t>Journal of Computational Physics</t>
  </si>
  <si>
    <t>60007816;60007816</t>
  </si>
  <si>
    <t>16177807100;6602241510</t>
  </si>
  <si>
    <t>Omnes, P.;Louvet, P.</t>
  </si>
  <si>
    <t>Commissariat a L'Energie Atomique CEA</t>
  </si>
  <si>
    <t>Omnes P.</t>
  </si>
  <si>
    <t>Self-consistent numerical simulation of isotope separation by selective ion cyclotron resonance heating in a magnetically confined plasma</t>
  </si>
  <si>
    <t>S0021999101968263</t>
  </si>
  <si>
    <t>10.1006/jcph.2001.6826</t>
  </si>
  <si>
    <t>2-s2.0-0035455906</t>
  </si>
  <si>
    <t>['œªd ).', 'spheric probe', 'probe radius', 'poorly studied', 'plasma coupling', 'particles trapped', 'numerical results', 'main attention', 'low probe', 'isotropic plasma', 'impedance dependence', 'high voltage', 'harmonic magnitudes', 'electric capacitance', 'effective increase', 'debye length', 'charged particles', 'antenna surface', 'absorbing probe']</t>
  </si>
  <si>
    <t>Recent studies emphasize the significance of antenna-plasma coupling consideration when analyzing the results of space plasma measurements, obtained with the Langmuir probe technique. We investigate the current-voltage (I - V) and charge-voltage (Q - V) curves characterizing antenna-plasma coupling and calculate probe impedance and harmonic magnitudes under different physical conditions. The effects of absorption or reflection of charged particles by the antenna surface are taken into account. Impedance dependence on the bias probe voltage V0 and the RF signal amplitude V1 is studied. We give simple analytical formulas and numerical results for either a big or a small (with respect to the Debye length) spheric probe in isotropic plasma. I - V curve nonlinearities due to electron current exponential growth and saturation and photoelectron current contribution are considered. The main attention is paid to Q - V curve calculation: a problem which is poorly studied up to now. It is shown, in particular, that the electric capacitance of the absorbing spheric probe at low probe-plasma voltage equals C = 1.25a(a/ŒªD)2/3 (where a and ŒªD are the probe radius and Debye length, respectively) instead of the commonly used expression C = a(a/ŒªD). Q - V curve nonlinearity due to the complicated space charge distribution around the absorbing probe (which could be described as an effective increase of the probe sheath thickness at high voltage) is investigated. It is shown that the role of particles trapped by the probe near field can be substantial for a small-probe capacitance estimation.</t>
  </si>
  <si>
    <t>1083-1091</t>
  </si>
  <si>
    <t>60011774;60011774</t>
  </si>
  <si>
    <t>7004417147;35606965700</t>
  </si>
  <si>
    <t>Chugunov, Y. V.;Mareev, E. A.</t>
  </si>
  <si>
    <t>Physical processes responsible for the nonlinearities of probe characteristics and their implications in space plasma measurements</t>
  </si>
  <si>
    <t>10.1029/2000RS002341</t>
  </si>
  <si>
    <t>2-s2.0-0035456216</t>
  </si>
  <si>
    <t>['suppressing cross', 'stable across', 'slot shape', 'rectangular plate', 'radiation characteristics', 'proper selections', 'polarization levels', 'layer single', 'impedance bandwidth', 'high cross', 'ground plane', 'experimentally conducted', 'coaxial probe', 'basically suspended', 'aspect ratio', '1 reach']</t>
  </si>
  <si>
    <t>In this paper, a single-layer single-element plate antenna with an Œ©-shaped slot is presented for broadening impedance bandwidth and suppressing cross-polarization levels. The plate is basically suspended above a ground plane and fed by a coaxial probe. A thin Œ©-shaped slot is cut at the middle of the plate. The investigations on impedance and radiation characteristics are experimentally conducted. The measured results show that the achieved impedance bandwidths for VSWR = 2.1 reach up to the order of 20% and the improved radiation patterns are stable across the bandwidths. The studies have demonstrated three important points. The first is that the spacing of ‚àº 0.1 operating wavelength between the plate and the ground plane is essential to broaden the impedance bandwidth. The second is that the slot effectively compensates for the large inductance arising from the long feeding probe. The last is that the proper selections of the slot shape and the aspect ratio of the rectangular plate are important to depress the high cross-polarization levels.</t>
  </si>
  <si>
    <t>833-839</t>
  </si>
  <si>
    <t>Chen, Z. N.</t>
  </si>
  <si>
    <t>Experimental investigation on rectangular plate antenna with Œ©-shaped slot</t>
  </si>
  <si>
    <t>10.1029/2000RS002320</t>
  </si>
  <si>
    <t>2-s2.0-0035456219</t>
  </si>
  <si>
    <t>['western blot', 'type cells', 'red chl', 'previously suggested', 'pcc 7942', 'notable increase', 'nonradiative dissipator', 'light energy', 'isiaoe cells', 'isia gene', 'increased capacity', 'functional role', 'excessive excitation', 'deficient conditions', 'decreased yields', 'characteristic blueshift', 'absorption peak', '685 nm']</t>
  </si>
  <si>
    <t>Under conditions of iron deficiency certain cyanobacteria induce a chlorophyll (Chl)-binding protein, CP43‚Ä≤, which is encoded by the isiA gene. We have previously suggested that CP43‚Ä≤ functions as a nonradiative dissipator of light energy. To further substantiate its functional role an isiA overexpression construct was introduced into the genome of a cyanobacterium Synechococcus sp. PCC 7942 (giving isiAoe cells). The presence of functional CP43‚Ä≤ in isiAoe cells was confirmed by Western blot as well as by the presence of a characteristic blueshift of the red Chl a absorption peak and a notable increase in the 77 K fluorescence peak at 685 nm. Compared to wildtype cells isiAoe cells, with induced CP43‚Ä≤, had both smaller functional antenna size and decreased yields of room temperature Chl fluorescence at various light irradiances. These observations strongly suggest that isiAoe cells, with induced CP43‚Ä≤, have an increased capacity for dissipating light energy as heat. In agreement with this hypothesis isiAoe cells were also more resistant to photoinhibition of photosynthesis than wild-type cells. Based on these results we have further strengthened the hypothesis that CP43‚Ä≤ functions as a nonradiative dissipator of light energy, thus protecting photosystem II from excessive excitation under iron-deficient conditions.</t>
  </si>
  <si>
    <t>431-437</t>
  </si>
  <si>
    <t>60031040;60022417;60031040;60031040</t>
  </si>
  <si>
    <t>7003443175;7405372282;56212852200;7005371473</t>
  </si>
  <si>
    <t>Sandstr√∂m, Stefan;Park, Youn II;√ñquist, Gunnar;Gustafsson, Petter</t>
  </si>
  <si>
    <t>Sweden;South Korea</t>
  </si>
  <si>
    <t>Umea;Daejeon</t>
  </si>
  <si>
    <t>Ume√• Universitet;Chungnam National University</t>
  </si>
  <si>
    <t>60031040;60022417</t>
  </si>
  <si>
    <t>Sandstr√∂m S.</t>
  </si>
  <si>
    <t>CP43‚Ä≤, the isiA gene product, functions as an excitation energy dissipator in the cyanobacterium Synechococcus sp. PCC 7942</t>
  </si>
  <si>
    <t>10.1562/0031-8655(2001)074&lt;0431:CTIGPF&gt;2.0.CO;2</t>
  </si>
  <si>
    <t>2-s2.0-0035459614</t>
  </si>
  <si>
    <t>['subjective nature', 'statistical variation', 'receiving system', 'picture quality', 'noise limitation', 'marketing purposes', 'line loss', 'format suitable', 'field strength', 'fcc including', 'easy understanding', 'catv systems', 'assumed values', 'antenna gain', 'administrative purposes']</t>
  </si>
  <si>
    <t>The Grade A and Grade B service contours of a television broadcast station are used for a host of administrative purposes by the FCC including the regulation of CATV systems. Additionally, the contours are used by most stations for promotional and marketing purposes. The numerical values associated with these contours represent levels of field strength; consequently, assumptions were made in their determination as to noise limitation, the antenna gain, and transmission-line loss of the receiving system. Also, consideration was given to the subjective nature of picture quality and the statistical variation of field strength with time and location. The nature of these variables is discussed and the assumed values are tabulated in a format suitable for easy understanding and for analysis of possible future changes.</t>
  </si>
  <si>
    <t>309-314</t>
  </si>
  <si>
    <t>60000251-60002236</t>
  </si>
  <si>
    <t>O'Connor, Robert A.</t>
  </si>
  <si>
    <t>New York;New York</t>
  </si>
  <si>
    <t>CBS;IEEE</t>
  </si>
  <si>
    <t>60002236;60000251</t>
  </si>
  <si>
    <t>O'Connor R.</t>
  </si>
  <si>
    <t>Understanding television's Grade A and Grade B service contours</t>
  </si>
  <si>
    <t>S0018931601100326</t>
  </si>
  <si>
    <t>10.1109/11.969381</t>
  </si>
  <si>
    <t>2-s2.0-0035465778</t>
  </si>
  <si>
    <t>['virgo antenna', 'transfer functions', 'super attenuator', 'steering filter', 'simulation parameters', 'resulting motion', 'regressive model', 'quite effective', 'qualitative behavior', 'optical elements', 'mirror control', 'measuring devices', 'measurements taken', 'linear relation', 'later found', 'input forces', 'experimental data', 'experimental behavior', 'dynamical properties', 'control strategy', 'contaminating noise', 'clear indication', '20 hz']</t>
  </si>
  <si>
    <t>The optical elements of the Virgo antenna are supported and isolated from seismic noise disturbances by super attenuator (SA) suspensions. The steering filter (SF) is a component of the SA, designed for the mirror control. The dynamical properties of the SF are described by transfer functions, which have been measured in order to define the control strategy; the results have made it possible to set and tune the parameters of a simulation of the SA. The measuring devices were linear voltage differential transducers: they were found to be quite effective and flexible in usage. An auto-regressive model was used to fit the experimental data, implementing the linear relation between the input forces and the resulting motion. The ability of the model to reproduce the experimental behavior was a clear indication of the good data quality, showing that the contaminating noise was under control. The simulation was able to reproduce the qualitative behavior, and the simulation parameters were estimated, with 10% and 20% accuracy. The estimations were later found to be consistent with the measurements taken on a full SA equipped with the same steering filter. Unknown spectral structures were found only above 20 Hz. ¬© 2001 American Institute of Physics.</t>
  </si>
  <si>
    <t>3635-3642</t>
  </si>
  <si>
    <t>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60113665-60028868;60113678-60021859;60113678-60021859;60018029;60018029;60018029</t>
  </si>
  <si>
    <t>35226924900;35225713700;35227009000;6701827917;8731742800;9333843900;6602384133;8731743800;7004046447;35227185800;7005683393;7004685937;7006238449;7004316945;22943966700;35225772100;36123479900;35277425100;6602110784;35227729800;7003569996;22035952900;6602144239;7003843703;35315212300;56231989000;7006390922;22976841500;37099371900;36122568200</t>
  </si>
  <si>
    <t>Ballardin, G.;Braccini, S.;Bradaschia, C.;Casciano, C.;Cavalieri, R.;Cecchi, R.;Chickarmane, V.;Dattilo, V.;Di Virgilio, A.;Ferrante, I.;Fidecaro, F.;Frasconi, F.;Gaddi, A.;Gennai, A.;Giazotto, A.;Holloway, L.;Lomtazde, T.;Paoletti, F.;Pasqualetti, A.;Passaquieti, R.;Passuello, D.;Poggiani, R.;Taddei, R.;Vicer√©, A.;Zhang, Z.;Cuoco, E.;Losurdo, G.;Ni, Wei Tou;Wu, Jeah Sheng;Chang, Chun Hsiung</t>
  </si>
  <si>
    <t>Italy;Italy;Italy;Italy;Taiwan</t>
  </si>
  <si>
    <t>Sesto Fiorentino;Pisa;Pisa;Florence;Hsinchu</t>
  </si>
  <si>
    <t>Istituto Nazionale di Fisica Nucleare, Sezione di Firenze;Istituto Nazionale di Fisica Nucleare, Sezione di Pisa;Universit√† di Pisa;Universit√† degli Studi di Firenze;National Tsing Hua University</t>
  </si>
  <si>
    <t>60113678;60113665;60028868;60021859;60018029</t>
  </si>
  <si>
    <t>Ballardin G.</t>
  </si>
  <si>
    <t>Measurement of the transfer function of the steering filter of the Virgo super attenuator suspension</t>
  </si>
  <si>
    <t>10.1063/1.1384426</t>
  </si>
  <si>
    <t>2-s2.0-0035465790</t>
  </si>
  <si>
    <t>['wave tower', 'radiation efficiency', 'insulated quarter', 'input impedance', 'grounded quarter', 'elevation height', 'conventional base', 'amplitude modulated', 'also discussed']</t>
  </si>
  <si>
    <t>AM-broadcast | Antenna | Efficiency | Elevated radials | Grounded tower</t>
  </si>
  <si>
    <t>The use of elevated horizontal radials in combination with a grounded quarter-wave tower to construct an amplitude modulated (AM) broadcast transmit antenna was discussed. A software package EZNECpro was used to perform computer modeling to determine the radiation efficiency of the antennas. The impact of variation in the number of radial, elevation height of radials and the length of ground tower rod on attenuated field strength and input impedance were also discussed. The simulation results predicted radiation efficiency within one decibel of a conventional base-insulated quarter-wave tower with 120 buried radials.</t>
  </si>
  <si>
    <t>292-296</t>
  </si>
  <si>
    <t>Christman, A. M.</t>
  </si>
  <si>
    <t>Grove City</t>
  </si>
  <si>
    <t>Grove City College</t>
  </si>
  <si>
    <t>Christman A.</t>
  </si>
  <si>
    <t>Using elevated radials with grounded towers</t>
  </si>
  <si>
    <t>S0018931601106001</t>
  </si>
  <si>
    <t>10.1109/11.969378</t>
  </si>
  <si>
    <t>2-s2.0-0035465827</t>
  </si>
  <si>
    <t>['trusted method', 'specified patterns', 'radiation pattern', 'medium frequency', 'many options', 'major characteristics', 'great interest', 'broadcast antennas', 'antenna system', 'always possible']</t>
  </si>
  <si>
    <t>MF AM antennas | Near field measurements | Radiation pattern verification</t>
  </si>
  <si>
    <t>No other component of a broadcast system offers as many options in terms of performance and efficiency as the antenna system. The radiation pattern of a MF (medium frequency) antenna is one of the major characteristics to describe the performance of the system. To optimize the reach and effectiveness of broadcast antennas and to prove regulatory compliance it is essential to know their radiation pattern for a given operating environment. Consequently it is of great interest for the broadcaster to verify the specified patterns on the installed antenna system. A tried and trusted method is to fly a helicopter or a plane carrying special recording equipment to perform far field measurements over the site. Besides being costly, this is not always possible. In this article, ground based methods where the calculated radiation patterns are verified by near field measurements are presented. This method provides good results with less expenditure compared to the above mentioned airborne far field measurements.</t>
  </si>
  <si>
    <t>285-291</t>
  </si>
  <si>
    <t>Stangl, N.</t>
  </si>
  <si>
    <t>Mannheim</t>
  </si>
  <si>
    <t>THOMCAST GmbH</t>
  </si>
  <si>
    <t>Stangl N.</t>
  </si>
  <si>
    <t>MF AM antenna radiation pattern verification method by near field measurements</t>
  </si>
  <si>
    <t>S0018931601106025</t>
  </si>
  <si>
    <t>10.1109/11.969377</t>
  </si>
  <si>
    <t>2-s2.0-0035465831</t>
  </si>
  <si>
    <t>['vsb pulse', 'vertical obstruction', 'tapered section', 'reradiation takes', 'reradiation combines', 'reflection coefficient', 'multipath distortion', 'elevation pattern', 'directed either', 'direct radiation', 'broadcast antenna', 'azimuth pattern']</t>
  </si>
  <si>
    <t>Antenna azimuth pattern | Antenna beam tilt | Antenna elevation pattern | Bessel function | Digital television | Echo cancellation | Equalizer tap energy | Hankel function | Reflection coefficient | Reradiation | Vestigial sideband modulation | VSB | White noise enhancement</t>
  </si>
  <si>
    <t>Reradiation from a non-vertical obstruction such as a tapered section of a broadcast antenna supporting tower is analyzed. The reradiation takes on the form of a cone, which is symmetrical about the tower leg axis, modified by the reflection coefficient that varies with azimuth. The reradiation is directed either above the horizon where it is lost or below the horizon where it interferes as an echo with the direct radiation. The reradiation has an elevation pattern which is a replica of the transmitting antenna elevation pattern, but is redirected by the nonvertical tower leg. The reradiation combines with the direct radiation to form an azimuth pattern which varies with distance from the broadcast antenna. The reradiation, being an echo, is analyzed for multipath distortion of the VSB pulse. It is shown that the impact on DTV receiver threshold is minimal.</t>
  </si>
  <si>
    <t>249-258</t>
  </si>
  <si>
    <t>60074719;60074719</t>
  </si>
  <si>
    <t>6603861481;6603450855</t>
  </si>
  <si>
    <t>Eilers, C. G.;Sgrignoli, G.</t>
  </si>
  <si>
    <t>Lincolnshire</t>
  </si>
  <si>
    <t>Zenith Electronics Corporation</t>
  </si>
  <si>
    <t>Eilers C.</t>
  </si>
  <si>
    <t>Reradiation (echo) analysis of a tapered tower section supporting a side-mounted DTV broadcast antenna and the corresponding azimuth pattern</t>
  </si>
  <si>
    <t>S0018931601105974</t>
  </si>
  <si>
    <t>10.1109/11.969374</t>
  </si>
  <si>
    <t>2-s2.0-0035465897</t>
  </si>
  <si>
    <t>['vertical dipole', 'used since', 'used even', 'twenty years', 'telegraphic transmissions', 'short monopoles', 'short dipoles', 'short antennas', 'practically achieved', 'practical point', 'optimum monopoles', 'new application', 'maximum gain', 'maximum efficiency', 'lowest frequencies', 'logical antenna', 'exhaustive studies', 'efficient model', 'building tops', 'broadcast use', 'antifading properties']</t>
  </si>
  <si>
    <t>MF AM folded monopole | MF AM transmitting antenna | MF broadcast transmitting antennas</t>
  </si>
  <si>
    <t>Lately short antennas have again attracted broadcaster attention. These kinds of antennas have been used since the 1920s. At that time it was the logical antenna as a new application of this service after more than twenty years of telegraphic transmissions. Telegraphic transmissions were the most important radio communication service at that time, and because of the long range needed the lowest frequencies as possible were employed. For this reason very short antennas were used even if their size was enormous. Top loaded monopoles were very popular and this technique was employed for broadcast use before the vertical transmitting mast exhaustive study was carried on in the thirties. Nowadays a short antenna would be useful for low power applications and specially to be mounted on building tops. Of course this kind of antennas is not intended to replace the optimum monopoles or vertical dipole where maximum efficiency, maximum gain and antifading properties were achieved after exhaustive studies and after long experience theoretically and practically achieved. CFAs, short monopoles, short dipoles and short folded monopoles have been analyzed from the theoretical and practical point of view in order to choose the simplest and most efficient model to fulfill downtown stringent requirements.</t>
  </si>
  <si>
    <t>263-284</t>
  </si>
  <si>
    <t>60000251-60004827</t>
  </si>
  <si>
    <t>Trainotti, Valentin</t>
  </si>
  <si>
    <t>Villa Martelli;New York</t>
  </si>
  <si>
    <t>Instituto de Investigaciones Cientificas y Tecnicas de Las Fuerzas Armadas;IEEE</t>
  </si>
  <si>
    <t>60004827;60000251</t>
  </si>
  <si>
    <t>Trainotti V.</t>
  </si>
  <si>
    <t>Short medium frequency AM antennas</t>
  </si>
  <si>
    <t>S0018931601105937</t>
  </si>
  <si>
    <t>10.1109/11.969376</t>
  </si>
  <si>
    <t>2-s2.0-0035465901</t>
  </si>
  <si>
    <t>Wellcome Trust</t>
  </si>
  <si>
    <t>WT</t>
  </si>
  <si>
    <t>['sialyl lewisx', 'reductive elimination', 'pseudomonas aeruginosa', 'potential ligands', 'polylactosamine antennae', 'large body', 'heavily infected', 'glycans obtained', 'examined mucins', 'direct effect', 'differ significantly', 'data show', 'cystic fibrosis', 'chronic bronchitis', 'cf patients', 'cf defect', 'cb mucins', 'bronchial mucins', 'bacterial adhesins', 'airway mucins', 'acetyllactosamine antennae', '8 cf']</t>
  </si>
  <si>
    <t>Airway infection | Cystic fibrosis | FAB-MS | Human airway mucin | Polylactosamine | Sialyl Lewis x</t>
  </si>
  <si>
    <t>Although a large body of structural data exists for bronchial mucins from cystic fibrosis (CF) and chronic bronchitis (CB) patients, little is known about terminal structures carried on poly-N-acetyllactosamine antennae. Such structures are of interest because they are potential ligands for bacterial adhesins and other lectins. In this study, we have used fast atom bombardment mass spectrometry (FAB-MS) to examine terminal sequences released by endo-Œ≤-galactosidase from O-glycans obtained by reductive elimination of bronchial mucins purified from the sputum of 8 CF and 8 CB patients. Our data show that, although the polylactosamine antennae of CF and CB mucins have several terminal sequences in common, they differ significantly in their sialyl Lewisx (NeuAcŒ±2-3GalŒ≤1-4[FucŒ±1-3]GIcNAcŒ≤1-) content. Thus all examined mucins from CF patients carry sialyl Lewisx on their polylactosamine antennae, whereas this type of epitope is present on only three out of the eight CB mucins examined, notably in the airways of one CB patient which were heavily infected by Pseudomonas aeruginosa as are the airways of all the CF patients. This suggests that, in airway mucins, the expression of sialyl Lewisx on polylactosamine antennae is probably more related to inflammation and infection than to a direct effect of the CF defect.</t>
  </si>
  <si>
    <t>699-708</t>
  </si>
  <si>
    <t>Glycoconjugate Journal</t>
  </si>
  <si>
    <t>60015150;60015150;60015150;60000905;60000905;60015150</t>
  </si>
  <si>
    <t>6603580946;6602722994;7401534652;7003594686;7102444099;7103412653</t>
  </si>
  <si>
    <t>Morelle, Willy;Sutton-Smith, Mark;Morris, Howard R.;Davril, Monique;Roussel, Philippe;Dell, Anne</t>
  </si>
  <si>
    <t>London;Paris</t>
  </si>
  <si>
    <t>Imperial College London;Inserm</t>
  </si>
  <si>
    <t>60015150;60000905</t>
  </si>
  <si>
    <t>Morelle W.</t>
  </si>
  <si>
    <t>FAB-MS characterization of sialyl Lewis&lt;sup&gt;x&lt;/sup&gt; determinants on polylactosamine chains of human airway mucins secreted by patients suffering from cystic fibrosis or chronic bronchitis</t>
  </si>
  <si>
    <t>10.1023/A:1020871322769</t>
  </si>
  <si>
    <t>2-s2.0-0035470199</t>
  </si>
  <si>
    <t>['rhodobium marinum', 'reaction center', 'mass spectrometry', 'dependent changes', 'carotenoid composition']</t>
  </si>
  <si>
    <t>Carotenoids were isolated from the cells of Rhodobium marinum, and their structures were determined by mass spectrometry and 1H nuclear magnetic resonance spectroscopy; the carotenoids include lycopene, rhodopin, anhydrorhodovibrin, rhodovibrin and spirilloxanthin. Time-dependent changes in the carotenoid composition in the reaction center (RC) and the light-harvesting complex 1 (LH1) were traced by high-performance liquid chromatography analysis of the extracts. The carotenoid composition changed according to the spirilloxanthin biosynthetic pathway. However, spirilloxanthin having the longest conjugated chain was always preferentially bound to the RC, and anhydrorhodovibrin and other precursors to the LH1.</t>
  </si>
  <si>
    <t>444-452</t>
  </si>
  <si>
    <t>60027395;60031582;60027395;60027395;60027395;60027395;60027395</t>
  </si>
  <si>
    <t>35922459600;7101873230;55697286000;7402928906;57225296845;7102890783;7402471323</t>
  </si>
  <si>
    <t>Qian, Pu;Saiki, Kayoko;Mizoguchi, Tadashi;Hara, Kazukimi;Sashima, Tokutake;Fujii, Ritsuko;Koyama, Yasushi</t>
  </si>
  <si>
    <t>Kobe;Nishinomiya</t>
  </si>
  <si>
    <t>Kobe Pharmaceutical University;Kwansei Gakuin University</t>
  </si>
  <si>
    <t>60031582;60027395</t>
  </si>
  <si>
    <t>Qian P.</t>
  </si>
  <si>
    <t>Time-dependent changes in the carotenoid composition and preferential binding of spirilloxanthin to the reaction center and anhydrorhodovibrin to the LH1 antenna complex in Rhodobium marinum</t>
  </si>
  <si>
    <t>10.1562/0031-8655(2001)0740444TDCITC2.0.CO2</t>
  </si>
  <si>
    <t>2-s2.0-0035470680</t>
  </si>
  <si>
    <t>00-02-16438</t>
  </si>
  <si>
    <t>['technique reconstructs', 'shallow sea', 'position relative', 'interperiodica ".', 'frequency source', 'diagnostic technique', 'array profile']</t>
  </si>
  <si>
    <t>A diagnostic technique for receiving hydroacoustic antenna arrays operating in a shallow sea is presented. The technique reconstructs the hydrophone transfer coefficients, the array profile, and its position relative to the surface and the bottom. A stepped-frequency source and a special receiving element with a known transfer coefficient are used. The technique is illustrated by experimental hydroacoustic data, and the error in reconstructing each of the parameters is estimated. ¬© 2001 MAIK "Nauka/Interperiodica".</t>
  </si>
  <si>
    <t>611-617</t>
  </si>
  <si>
    <t>Acoustical Physics</t>
  </si>
  <si>
    <t>7005092945;55354871700</t>
  </si>
  <si>
    <t>Orlov, D. A.;Turchin, V. I.</t>
  </si>
  <si>
    <t>Orlov D.A.</t>
  </si>
  <si>
    <t>Characteristics of receiving antenna arrays measured in a shallow sea</t>
  </si>
  <si>
    <t>10.1134/1.1403553</t>
  </si>
  <si>
    <t>2-s2.0-0035537772</t>
  </si>
  <si>
    <t>647-650</t>
  </si>
  <si>
    <t>The synthesis of signal-correcting systems for antennas of ultrashort pulses</t>
  </si>
  <si>
    <t>10.1134/1.1408994</t>
  </si>
  <si>
    <t>2-s2.0-0035539079</t>
  </si>
  <si>
    <t>['left hand', 'good agreement', 'gain procedure', 'gain measurement', 'experimental results', 'determine theoretically', 'circularly antennae', 'approximate accounts', 'accurate method']</t>
  </si>
  <si>
    <t>A simple and accurate method for determining the gain of an elliptically or circularly polarized antenna has been presented. The gain procedure uses ordinary polarized standard gain antennae in conjunction with the rotating source antenna, direct comparison method of gain measurement. Attempts are made to determine theoretically, the approximate accounts on the antenna under several simplifying assumptions. The gain procedure is valid for right and left hand, circularly or elliptically polarized antenna. A good agreement with experimental results for an elliptically or circularly antennae is obtained.</t>
  </si>
  <si>
    <t>603-606</t>
  </si>
  <si>
    <t>Indian Journal of Pure and Applied Physics</t>
  </si>
  <si>
    <t>Roy, Surendra Kumar</t>
  </si>
  <si>
    <t>Darbhanga</t>
  </si>
  <si>
    <t>Government Polytechnic</t>
  </si>
  <si>
    <t>Roy S.</t>
  </si>
  <si>
    <t>Study of the gain of circularly or elliptically polarized antennae</t>
  </si>
  <si>
    <t>2-s2.0-0035540243</t>
  </si>
  <si>
    <t>['zone lying', 'wave beam', 'unperturbed atmosphere', 'turbulent inhomogeneities', 'receiving antennas', 'receiver sensitivity', 'radiation patterns', 'parabolic antenna', 'huygens source', 'fresnel zones', 'free space', 'energy potentials', 'elementary area', 'dielectric permittivity', 'complex amplitude', 'cloudless atmosphere', 'bounded opening', 'angular spectrum']</t>
  </si>
  <si>
    <t>The amplitude and phase of a millimeter-wave beam are investigated in the transition (Fresnel) zone lying between the geometrical-optic and the far-field (wave) zones. The investigations are carried out with the use of the angular spectrum of the complex amplitude of a field over a bounded opening of a parabolic antenna and the angular frequency characteristic of free space of an unperturbed atmosphere in the Fresnel (quasioptical) approximation. Relations and estimates for the energy potentials of transceivers for atmospheric radio links of visual-range telecommunication systems are obtained with regard to the radiation patterns of the elementary area of a Huygens source and transmitting and receiving antennas in the wave and Fresnel zones, as well as in the zone of deep geometrical shadow cast by a half-plane and in the region of scattering by turbulent inhomogeneities of the dielectric permittivity of a cloudless atmosphere. The necessary transmitter power and receiver sensitivity are determined for such atmospheric radio links.</t>
  </si>
  <si>
    <t>1022-1031</t>
  </si>
  <si>
    <t>Andreev, G. A.</t>
  </si>
  <si>
    <t>Andreev G.A.</t>
  </si>
  <si>
    <t>Millimeter-Wave Beams in Ground-Based Telecommunication Systems</t>
  </si>
  <si>
    <t>2-s2.0-0042888638</t>
  </si>
  <si>
    <t>['wkb solutions', 'wkb model', 'wave damping', 'vãñe -.', 'parallel gradient', 'model results', 'los angeles', 'local ion', 'landau damping', 'electron skin', 'disk antenna', 'cyclotron frequency', 'approximately equal', 'also observed', '1991 )]']</t>
  </si>
  <si>
    <t>Experiments are performed in the Large Plasma Device (LaPD) [Gekelman et al., Rev. Sci. Instrum. 62, 2875 (1991)] at the University of California, Los Angeles to study the propagation of the shear Alfv√©n wave in a parallel gradient of the background magnetic field. The waves are excited by modulating a field-aligned electron current drawn to a disk antenna with a radius on the order of the electron skin-depth. Œ¥=c/œâpe. The resulting shear waves have a nonzero parallel electric field and propagate both parallel and perpendicular to the background magnetic field. In this experiment, the wave is launched in a region where its frequency, w equals one-half the local ion-cyclotron frequency, œâci and the local Alfv√©n speed, vA, is approximately equal to the electron thermal speed, vÃÑe-. The wave propagates along a slowly decreasing background field to where œâ=œâci and vA ‚âàvÃÑe/2. The wave thus propagates from a region where Landau damping is significant to where ion-cyclotron damping dominates. Detailed two dimensional measurements of the wave magnetic field morphology are presented. The measured wavelength decreases in accord with WKB solutions of a modified wave equation. Wave damping is also observed and dissipation by both ions and electrons is required in the WKB model to fit the data. Suppression of the damping via electrons in the model results in a predicted wave magnetic field amplitude twenty times larger at the ion-cyclotron resonance point than observed. ¬© 2001 American Institute of Physics.</t>
  </si>
  <si>
    <t>3884-3896</t>
  </si>
  <si>
    <t>6603446846;6701748977;7005855506</t>
  </si>
  <si>
    <t>Vincena, S.;Gekelman, W.;Maggs, J.</t>
  </si>
  <si>
    <t>Vincena S.</t>
  </si>
  <si>
    <t>Shear Alfv√©n waves in a magnetic beach and the roles of electron and ion damping</t>
  </si>
  <si>
    <t>10.1063/1.1389092</t>
  </si>
  <si>
    <t>2-s2.0-0442291837</t>
  </si>
  <si>
    <t>['vertical resolution', 'spoofing mode', 'specific humidity', 'last kilometer', 'high accuracy', 'gps system', 'february 11', 'even less', 'dry temperature', 'atmospheric sounding', 'april 2001', 'altitude interval', 'activated anti', '5 k', '3000 occultations', '20 km', '1 k']</t>
  </si>
  <si>
    <t>The first radio occultation measurements of the CHAMP (CHAllenging Minisatellite Payload) satellite using Global Positioning System (GPS) signals have been performed on February 11, 2001. By the end of April 2001 more than 3000 occultations were recorded. Globally distributed vertical profiles of dry temperature and specific humidity are derived, of which a set of 438 vertical dry temperature profiles is compared with corresponding global weather analyses. The observed temperature bias is less than ~1 K above the tropopause and even less than 0.5 K in the altitude interval from 12 to 20 km at latitudes &gt;30¬∞N. About 55% of the compared profiles reached the last kilometer above the Earth's surface. In spite of the activated anti-spoofing mode of the GPS system the state-of-the-art GPS flight receiver aboard CHAMP combined with favorable antenna characteristics allows for atmospheric sounding with high accuracy and vertical resolution.</t>
  </si>
  <si>
    <t>3263-3266</t>
  </si>
  <si>
    <t>60030245;60030245;60030245;60030245;60030245;60030245;60030245;60030245;60009037;60009037;60032325</t>
  </si>
  <si>
    <t>7004427005;7003271895;7004461406;7102083334;35264812100;7402839597;22947210900;6602222092;7006484732;7005927438;57205984068</t>
  </si>
  <si>
    <t>Wickert, Jens;Reigber, Christoph;Beyerle, Georg;K√∂nig, Rolf;Marquardt, Christian;Schmidt, Torsten;Grunwaldt, Ludwig;Galas, Roman;Meehan, Thomas K.;Melbourne, William G.;Hocke, Klemens</t>
  </si>
  <si>
    <t>Japan;Germany;United States</t>
  </si>
  <si>
    <t>Koganei;Potsdam;Pasadena</t>
  </si>
  <si>
    <t>Japan National Institute of Information and Communications Technology;Deutsches GeoForschungsZentrum (GFZ);Jet Propulsion Laboratory</t>
  </si>
  <si>
    <t>60032325;60030245;60009037</t>
  </si>
  <si>
    <t>Wickert J.</t>
  </si>
  <si>
    <t>Atmosphere sounding by GPS radio occultation: First results from CHAMP</t>
  </si>
  <si>
    <t>10.1029/2001GL013117</t>
  </si>
  <si>
    <t>2-s2.0-17944368520</t>
  </si>
  <si>
    <t>['wind spacecraft', 'solar wind', 'simple formulas', 'results imply', 'plasma resistance', 'inversely proportional', 'frequency measurements', 'electric fields', 'copyright 2001', 'base resistance', 'antenna length']</t>
  </si>
  <si>
    <t>Measurements have been made of the resistance of three different electric field sensing antennas on the Wind spacecraft in the solar wind. The measurements have been separated into base resistance and plasma resistance by assuming that the plasma resistance is inversely proportional to the antenna length. Simple formulas for the resistances, as functions of the plasma electron flux, are given and fitted to the data. The results imply that the division of the signal by the base resistance is important and needs to be taken into account in low-frequency measurements of electric fields when the antennas are shorter than a few tens of meters. Copyright 2001 by the American Geophysical Union.</t>
  </si>
  <si>
    <t>18721-18727</t>
  </si>
  <si>
    <t>2001JA900051</t>
  </si>
  <si>
    <t>A9</t>
  </si>
  <si>
    <t>Journal of Geophysical Research: Space Physics</t>
  </si>
  <si>
    <t>60029445;60029392</t>
  </si>
  <si>
    <t>7003575559;7102795724</t>
  </si>
  <si>
    <t>Kellogg, Paul J.;Bale, Stuart D.</t>
  </si>
  <si>
    <t>Minneapolis;Berkeley</t>
  </si>
  <si>
    <t>University of Minnesota Twin Cities;Space Sciences Laboratory at UC Berkeley</t>
  </si>
  <si>
    <t>Kellogg P.J.</t>
  </si>
  <si>
    <t>Antenna-plasma and antenna-spacecraft resistance on the Wind spacecraft</t>
  </si>
  <si>
    <t>10.1029/2001ja900051</t>
  </si>
  <si>
    <t>2-s2.0-39449091713</t>
  </si>
  <si>
    <t>['optical mode', 'nonlinear effect', 'may create', 'frequency œâm', 'frequency œâ1', 'fp resonator', 'energy stored', 'elastic modes', 'elastic mode', 'detailed analysis', 'certain threshold', 'approximate analysis']</t>
  </si>
  <si>
    <t>We present an approximate analysis of a nonlinear effect of parametric oscillatory instability in Fabry - Perot (FP) interferometer. The basis for this effect is the excitation of the additional (Stokes) optical mode with frequency œâ1 and of the mirror's elastic mode with frequency œâm when the optical energy stored in the FP resonator main mode with frequency œâ0 exceeds the certain threshold and the frequencies are related as œâ0 ‚âÉ œâ1 + œâm. This effect is undesirable in laser gravitational wave antennae because it may create a specific upper limit for the value of energy stored in FP resonator. In order to avoid it the detailed analysis of the mirror's elastic modes and FP resonator optical modes structure is necessary. ¬© 2001 Published by Elsevier Science B.V.</t>
  </si>
  <si>
    <t>331-338</t>
  </si>
  <si>
    <t>7003908077;6506214593;6603764661</t>
  </si>
  <si>
    <t>Braginsky, V. B.;Strigin, S. E.;Vyatchanin, S. P.</t>
  </si>
  <si>
    <t>Parametric oscillatory instability in Fabry - Perot interferometer</t>
  </si>
  <si>
    <t>S0375960101005102</t>
  </si>
  <si>
    <t>10.1016/S0375-9601(01)00510-2</t>
  </si>
  <si>
    <t>2-s2.0-0035801487</t>
  </si>
  <si>
    <t>['‚ àí1', 'focal free', 'facilitate long', 'electronic conjugation', 'chromophore units']</t>
  </si>
  <si>
    <t>Dendrimers | Energy transfer | Fluorescence spectroscopy | Photosynthesis | Porphyrinoids</t>
  </si>
  <si>
    <t>œÄ-Electronic conjugation is not necessary to facilitate long-range energy migration and transfer: A rapid (Œ∫ENT=1.04 √ó 109 s‚àí1) and efficient (œÜEXT=71%) energy transfer from the 28 photoexcited zinc porphyrin units to the focal free-base porphyrin unit occurs in a large, star-shaped dendritic multiporphyrin array in which the chromophore units are linked through flexible ether groups (see picture).</t>
  </si>
  <si>
    <t>3194-3198</t>
  </si>
  <si>
    <t>60025272;60025272;60014652;60014652</t>
  </si>
  <si>
    <t>7402093626;7202011005;35396822600;24586425300</t>
  </si>
  <si>
    <t>Choi, Myung Seok;Aida, Takuzo;Yamazaki, Tomoko;Yamazaki, Iwao</t>
  </si>
  <si>
    <t>The University of Tokyo;Hokkaido University</t>
  </si>
  <si>
    <t>60025272;60014652</t>
  </si>
  <si>
    <t>Choi M.S.</t>
  </si>
  <si>
    <t>A large dendritic multiporphyrin array as a mimic of the bacterial light-harvesting antenna complex: Molecular design of an efficient energy funnel for visible photons</t>
  </si>
  <si>
    <t>2-s2.0-0035801642</t>
  </si>
  <si>
    <t>['shaped probe', 'patch height', 'offset f', 'impedance bandwidth', 'designed wavelength', 'approximately 9', '5 dbi']</t>
  </si>
  <si>
    <t>The characteristics of a novel rectangular patch with an offset F-shaped probe are investigated. The patch height is approximately 9% of the designed wavelength. An impedance bandwidth of 36% and an average measured gain of approximately, 5 dBi can be achieved for the first dominant mode. There is an additional higher order mode band, which extends the overall impedance bandwidth to 64% and provides an average measured gain of approximately 3 dBi. ¬© 2001 John Wiley &amp; Sons, Inc. Microwave Opt Technol Lett.</t>
  </si>
  <si>
    <t>355-356</t>
  </si>
  <si>
    <t>7202267270;56100552400;35581072400</t>
  </si>
  <si>
    <t>Ooi, B. L.;Lee, C. L.;Kooi, P. S.</t>
  </si>
  <si>
    <t>A novel F-probe-fed broadband patch antenna</t>
  </si>
  <si>
    <t>10.1002/mop.1313</t>
  </si>
  <si>
    <t>2-s2.0-0035812348</t>
  </si>
  <si>
    <t>['verified experimentally', 'triangle shape', 'resonance frequency', 'ground plane', 'examined numerically', 'coaxial probe', 'approximate expression']</t>
  </si>
  <si>
    <t>Dielectric resonator | Return loss | Triangle dielectric antennas</t>
  </si>
  <si>
    <t>A dielectric resonator antenna of triangle shape is examined numerically and experimentally. The geometry is an equilateral triangular dielectric volume over a ground plane, and is excited by a coaxial probe to provide a broadside radiation pattern. An approximate expression is used to compute the resonance frequency. Results are verified experimentally and numerically. ¬© 2001 John Wiley &amp; Sons, Inc. Microwave Opt Technol Lett.</t>
  </si>
  <si>
    <t>340-341</t>
  </si>
  <si>
    <t>Kishk, Ahmed A.</t>
  </si>
  <si>
    <t>Piscataway</t>
  </si>
  <si>
    <t>A triangular dielectric resonator antenna excited by a coaxial probe</t>
  </si>
  <si>
    <t>10.1002/mop.1308</t>
  </si>
  <si>
    <t>2-s2.0-0035812355</t>
  </si>
  <si>
    <t>['wave radome', 'wall thickness', 'values obtained', 'optimum design', 'monolithic half', 'moderately low', 'moderately lossy', 'material used', 'loss tangent', 'context seems', 'base varies', 'aerospace applications']</t>
  </si>
  <si>
    <t>Half-wave wall | Monolithic | Radomes</t>
  </si>
  <si>
    <t>A comparison of the wall thickness for a monolithic half-wave radome at different incidence angles is made by considering the loss tangent of the material used. It is seen that, for large incidence angles and for moderately low-loss radome materials, the computed wall thickness is different from the values obtained by neglecting the loss tangent of the material. The above context seems to be important, particularly for variable thickness radomes for aerospace applications where the thickness from nose to base varies with the angle of incidence and angle of polarization so as to achieve the optimum design of the radome. An expression for computing the wall thickness is given which is valid for both moderately lossy and very low-loss radome materials. ¬© 2001 John Wiley &amp; Sons, Inc. Microwave Opt Technol Lett.</t>
  </si>
  <si>
    <t>350-352</t>
  </si>
  <si>
    <t>60028189;60028189;60028189;60028189</t>
  </si>
  <si>
    <t>57198174273;7003292315;56418256800;6602886884</t>
  </si>
  <si>
    <t>Sunil, S.;Venu, K. S.;Vaitheeswaran, S. M.;Raveendranath, U.</t>
  </si>
  <si>
    <t>National Aerospace Laboratories India</t>
  </si>
  <si>
    <t>Sunil S.</t>
  </si>
  <si>
    <t>A modified expression for determining the wall thickness of monolithic half-wave radomes</t>
  </si>
  <si>
    <t>10.1002/mop.1311</t>
  </si>
  <si>
    <t>2-s2.0-0035812357</t>
  </si>
  <si>
    <t>['wireless transceiver', 'studied experimentally', 'results show', 'novel integrated', 'line package', 'circuit pressed', 'chip solution', 'antenna printed', '4 ghz', '0 dbi']</t>
  </si>
  <si>
    <t>CMOS single-chip wireless transceiver | Pressed-ceramic package technology | Printed-circuit antennas</t>
  </si>
  <si>
    <t>A novel integrated-circuit pressed-ceramic package antenna is proposed for the single-chip solution of a wireless transceiver. The antenna printed on a dual-in-line package is studied experimentally at 2.4 GHz. The results show that the antenna has achieved a bandwidth of 15.7% and a gain of -2.0 dBi. ¬© 2001 John Wiley &amp; Sons, Inc. Microwave Opt Technol Lett.</t>
  </si>
  <si>
    <t>330-332</t>
  </si>
  <si>
    <t>33167854700;35091107300</t>
  </si>
  <si>
    <t>Zhang, Y. P.;Do, M. A.</t>
  </si>
  <si>
    <t>Integrated-circuit pressed-ceramic package antenna for the single-chip solution of a wireless transceiver</t>
  </si>
  <si>
    <t>10.1002/mop.1305</t>
  </si>
  <si>
    <t>2-s2.0-0035812370</t>
  </si>
  <si>
    <t>['theoretical analysis', 'pol level', 'paper presents', 'maximum cross', 'eight elements', 'beam scanning', 'antenna field', 'amplitude tapering']</t>
  </si>
  <si>
    <t>Antenna arrays | Antenna radiation patterns | Circular polarization | Microstrip antenna arrays</t>
  </si>
  <si>
    <t>This paper presents a theoretical analysis of the effect of beam scanning and amplitude tapering on the cross-pol level of sequentially rotated linear arrays composed of circularly polarized patch antenna elements. Arrays of eight elements are considered to illustrate the analysis. Several sequential phase distributions are analyzed in terms of the cross-pol level cancellation effect over the antenna field of view. These arrangements are analyzed in terms of the location of the maximum cross-pol peak levels and their values. ¬© 2001 John Wiley &amp; Sons, Inc. Microwave Opt Technol Lett.</t>
  </si>
  <si>
    <t>343-350</t>
  </si>
  <si>
    <t>Garc√≠a-Garc√≠a, Quiterio</t>
  </si>
  <si>
    <t>Distcom Antennas</t>
  </si>
  <si>
    <t>Garc√≠a-Garc√≠a Q.</t>
  </si>
  <si>
    <t>Scanning properties of sequentially rotated linear arrays of circularly polarized patch radiators</t>
  </si>
  <si>
    <t>10.1002/mop.1310</t>
  </si>
  <si>
    <t>2-s2.0-0035812379</t>
  </si>
  <si>
    <t>['radiating edges', 'proposed antenna', 'probe feed', 'paper presents', 'flare angle', 'fa probe', 'experimental results', 'constructed prototypes', 'broadband operation', '1880 mhz']</t>
  </si>
  <si>
    <t>Broadband operation | DCS base station | Probe-fed patch antenna</t>
  </si>
  <si>
    <t>This paper presents a novel broadband design o fa probe-fed patch antenna, and a constructed prototype suitable for applications in a DCS (1710-1880 MHz) cellular system base station is demonstrated. The proposed antenna has a thick air substrate for broadband operation, and is fed by a probe feed with a short probe pin, which is connected through a triangular conducting patch to one of the patch's radiating edges. By tuning the flare angle of the triangular conducting patch, good impedance matching over a wide frequency range is obtained. Details of the proposed antenna and experimental results of the constructed prototypes are presented and discussed. ¬© 2001 John Wiley &amp; Sons, Inc. Microwave Opt Technol Lett.</t>
  </si>
  <si>
    <t>341-343</t>
  </si>
  <si>
    <t>7403648871;35460663000</t>
  </si>
  <si>
    <t>Chang, Fa Shian;Wong, Kin Lu</t>
  </si>
  <si>
    <t>Chang F.</t>
  </si>
  <si>
    <t>A broadband probe-fed patch antenna for a DCS base station</t>
  </si>
  <si>
    <t>10.1002/mop.1309</t>
  </si>
  <si>
    <t>2-s2.0-0035812380</t>
  </si>
  <si>
    <t>['radiated field', 'po regions', 'physical optics', 'paper presents', 'linear interpolation', 'larger problems', 'even improving', 'drastic reduction', 'computational cost', 'analytically determined', 'alternative procedure']</t>
  </si>
  <si>
    <t>Electromagnetic compatibility | Hybrid methods | Moment method (MM) | On-board antennas | Physical optics (PO)</t>
  </si>
  <si>
    <t>This paper presents an alternative procedure for the evaluation of the physical optics (PO) contribution into a hybrid moment method-physical optics (MM-PO) code. The proposed formulation includes a linear interpolation of the phase over large triangular subdomains for the PO regions, where the radiated field can be analytically determined. This allows a drastic reduction of the computational cost, while maintaining or even improving the degree of accuracy. In this way, the scope of application of the MM-PO hybrid code is enhanced to larger problems in terms of wavelength. ¬© 2001 John Wiley &amp; Sons, Inc. Microwave Opt Technol Lett.</t>
  </si>
  <si>
    <t>357-363</t>
  </si>
  <si>
    <t>7006470289;7003784434;7404696540</t>
  </si>
  <si>
    <t>Taboada, J. M.;Obelleiro, F.;Rodr√≠guez, J. L.</t>
  </si>
  <si>
    <t>Taboada J.M.</t>
  </si>
  <si>
    <t>Improvement of the hybrid moment method-physical optics method through a novel evaluation of the physical optics operator</t>
  </si>
  <si>
    <t>10.1002/mop.1314</t>
  </si>
  <si>
    <t>2-s2.0-0035812396</t>
  </si>
  <si>
    <t>['wide space', 'trigonometric series', 'shape given', 'real data', 'order n', 'optimization parameters', 'nonnegative definiteness', 'local origin', 'inverse problem', 'decenter located', 'cubic b', 'control points', 'center located']</t>
  </si>
  <si>
    <t>Electromagnetics | Genetic algorithm | Inverse scattering</t>
  </si>
  <si>
    <t>Electromagnetic inverse scattering of a perfectly conducting cylinder with real data by using the real-coded genetic algorithm is presented in this paper The cylinder is denoted by a local shape function with respect to its local origin. The inverse problem is to locate the cylinder, and to reconstruct its shape given the measured scattered electric field. To guarantee the nonnegative definiteness of the local shape function, it is approximated as cubic B-splines with N control points instead of a trigonometric series of order N/2. The local origin and the control points are the optimization parameters for the real-coded genetic algorithm. They are searched in a very wide space. A sample rectangular cylinder which is center located or decenter located is reconstructed. The reconstruction results confirm the strong search ability and the robustness of the real-coded genetic algorithm. ¬© 2001 John Wiley &amp; Sons, Inc. Microwave Opt Technol Lett.</t>
  </si>
  <si>
    <t>315-320</t>
  </si>
  <si>
    <t>Qing, Anyong</t>
  </si>
  <si>
    <t>Qing A.</t>
  </si>
  <si>
    <t>An experimental study on electromagnetic inverse scattering of a perfectly conducting cylinder by using the real-coded genetic algorithm</t>
  </si>
  <si>
    <t>10.1002/mop.1301</t>
  </si>
  <si>
    <t>2-s2.0-0035812398</t>
  </si>
  <si>
    <t>['test antenna', 'significant reduction', 'proposed method', 'measurement facility', 'field measurements', 'acquisition time']</t>
  </si>
  <si>
    <t>Antennas | Phaseless measurements</t>
  </si>
  <si>
    <t>The use of an integrated probe performing phaseless near-field measurements on a plane-polar scanning geometry is presented. A significant reduction in the acquisition time as well as in the size of the measurement facility is obtained. A uniformly spaced array of dipoles is chosen as test antenna to validate the proposed method. ¬© 2001 John Wiley &amp; Sons, Inc. Microwave Opt Technol Lett.</t>
  </si>
  <si>
    <t>293-295</t>
  </si>
  <si>
    <t>60020261;60020261</t>
  </si>
  <si>
    <t>14029886000;57201738411</t>
  </si>
  <si>
    <t>Costanzo, Sandra;Massa, Giuseppe Di</t>
  </si>
  <si>
    <t>Rende</t>
  </si>
  <si>
    <t>Universit√† della Calabria</t>
  </si>
  <si>
    <t>An integrated probe for phaseless plane-polar near-field measurements</t>
  </si>
  <si>
    <t>10.1002/mop.1294</t>
  </si>
  <si>
    <t>2-s2.0-0035812409</t>
  </si>
  <si>
    <t>['transmission measurements', 'reflection coefficient', 'novel method', 'measurements indicate']</t>
  </si>
  <si>
    <t>Antenna efficiency | Mode-stirred chamber | Reverberation chamber</t>
  </si>
  <si>
    <t>Traditional reverberation chamber antenna measurements consist of transmission measurements between a fixed antenna inside the chamber and the antenna under test. A novel method for measuring antenna efficiency is presented, in which only the reflection coefficient of the antenna under test is measured. Measurements indicate that the method is accurate. ¬© 2001 John Wiley &amp; Sons, Inc. Microwave Opt Technol Lett.</t>
  </si>
  <si>
    <t>332-335</t>
  </si>
  <si>
    <t>Hallbj√∂rner, Paul</t>
  </si>
  <si>
    <t>Reflective antenna efficiency measurements in reverberation chambers</t>
  </si>
  <si>
    <t>10.1002/mop.1306</t>
  </si>
  <si>
    <t>2-s2.0-0035812410</t>
  </si>
  <si>
    <t>['various tissues', 'thus suggest', 'single transmembrane', 'sensory neurons', 'sensory neuron', 'remained unidentified', 'recently identified', 'protein localizes', 'pheromone receptors', 'new family', 'mediate signaling', 'mammalian gc', 'malpighian tubules', 'lobe glomerulus', 'gc ),', 'four domains', 'flight muscles', 'extracellular domain', 'designated bmgc', 'cysteine residues', 'conserved within', 'closely related']</t>
  </si>
  <si>
    <t>Antennal lobe Antenna | Bombyx mori | cGMP | Guanylyl cyclase | Olfaction</t>
  </si>
  <si>
    <t>Sensory neuron-specific guanylyl cyclases (GC), which were recently identified in rodents and nematodes, are thought to be a new family of odorant/pheromone receptors. In the antennae of the male silkmoth Bombyx mori, receptor type GC are supposed to mediate signaling of pheromone. Structure of receptor type GC expressed in insect sensory neurons has remained unidentified. Here we report the isolation of cDNA of the receptor type GC, designated BmGC-I, from the male silkmoth antennae. The deduced amino acid sequence indicates that BmGC-I appears to consist of four domains: an extracellular, single transmembrane, kinase-like and a guanylyl cyclase domain. BmGC-I is most closely related to the mammalian natriuretic peptide hormone receptor A (GC-A) and retains all the cysteine residues that are conserved within the extracellular domain of the mammalian GC-As. Transcripts of the BmGC-I gene were detected in various tissues; the flight muscles, midgut, legs, ganglion, Malpighian tubules, testis and the head. Immunohistochemical study revealed that the BmGC-I protein localizes in the antennal-lobe glomerulus and in the soma and axon of sensory neurons. We thus suggest that BmGC-I plays functional roles in the odorant information processing and the modulation of excitability in the antennal sensory neurons. ¬© 2001 Elsevier Science Ltd.</t>
  </si>
  <si>
    <t>60011001;60011001;60031225;60031225;60011001</t>
  </si>
  <si>
    <t>24278925500;7005196323;57200932475;7401811181;7201616718</t>
  </si>
  <si>
    <t>Tanoue, Shintarou;Sumida, Shigeki;Suetsugu, Taeko;Endo, Yasuhisa;Nishioka, Takaaki</t>
  </si>
  <si>
    <t>Kyoto;Kyoto</t>
  </si>
  <si>
    <t>Kyoto Institute of Technology;Kyoto University</t>
  </si>
  <si>
    <t>60031225;60011001</t>
  </si>
  <si>
    <t>Tanoue S.</t>
  </si>
  <si>
    <t>Identification of a receptor type guanylyl cyclase in the antennal lobe and antennal sensory neurons of the silkmoth, Bombyx mori</t>
  </si>
  <si>
    <t>S0965174801000455</t>
  </si>
  <si>
    <t>10.1016/S0965-1748(01)00045-5</t>
  </si>
  <si>
    <t>2-s2.0-0034859264</t>
  </si>
  <si>
    <t>['‚ àº0', 'wild type', 'total ambient', 'slight increase', 'shift rate', 'rhodospirillum molischianum', 'rhodopseudomonas acidophila', 'rhodobacter sphaeroides', 'range dipolar', 'protein interactions', 'pigment couplings', 'numerical simulations', 'isolated complexes', 'interpigment couplings', 'induced shift', 'induced growth', 'including long', 'hydrogen bonds', 'g .,', 'experimental uncertainty', 'elastic compression', 'decreases nonlinearly', 'corresponding slopes', 'b850 band', 'b800 band', 'approximately one', 'ambient temperature', 'ambient pressure', 'aggregated pigments', '8 kbar', '02 kbar']</t>
  </si>
  <si>
    <t>The effects of high hydrostatic pressure (up to 8 kbar) on bacteriochlorophyll a Qy electronic absorption bands of LH2 photosynthetic antenna complexes have been studied at ambient temperature. A variety of samples were studied, including intact membranes and isolated complexes from wild type and mutant photosynthetic bacteria Rhodobacter sphaeroides, Rhodopseudomonas acidophila, and Rhodospirillum molischianum. The spectra of the complexes universally red shift and broaden under elastic compression, while the variations of the integrated intensity remain within the experimental uncertainty. A qualitatively different slope and variation of the slope of the pressure-induced shift is observed for the B800 and B850 absorption bands of LH2 complexes belonging to quasi-monomer and aggregated pigments, respectively. For the complexes from Rhodobacter sphaeroides, e.g., the corresponding slopes are -28 ¬± 2 and -65 ¬± 2 cm-1/kbar. The shift rate of the B800 band declines with pressure, while the opposite is observed for the B850 band. The shifts show little if any correlation with hydrogen bonds. Using simple phenomenological arguments and numerical simulations of molecular exciton spectra, it is shown that the shift of the B800 band is governed by pigment-protein interactions, while in addition to that, interpigment couplings (including long-range dipolar and short-range orbital overlap interactions) are instrumental for the B850 band shift. The compressibility of the B800 bacteriochlorophyll binding sites deduced from the B800 band shift at ambient pressure is ‚àº0.02 kbar-1, and it decreases nonlinearly with pressure. Inter-pigment couplings are responsible for approximately one-third of both the total ambient-pressure solvent shift of the B850 absorption band and its pressure-induced growth. A slight increase with pressure of the B850 band shift due to orbital overlap couplings is predicted.</t>
  </si>
  <si>
    <t>8436-8444</t>
  </si>
  <si>
    <t>60068856;60068856;60029170;60068856;60029170;60068856</t>
  </si>
  <si>
    <t>6701855945;6602997654;7004251319;6603240364;7006706612;7005109792</t>
  </si>
  <si>
    <t>Timpmann, K√µu;Ellervee, Aleksandr;Pullerits, T√µnu;Ruus, Rein;Sundstr√∂m, Villy;Freiberg, Arvi</t>
  </si>
  <si>
    <t>Tartu;Lund</t>
  </si>
  <si>
    <t>Tartu √úlikool;Lunds Universitet</t>
  </si>
  <si>
    <t>60068856;60029170</t>
  </si>
  <si>
    <t>Timpmann K.</t>
  </si>
  <si>
    <t>Short-range exciton couplings in LH2 photosynthetic antenna proteins studied by high hydrostatic pressure absorption spectroscopy</t>
  </si>
  <si>
    <t>10.1021/jp003496f</t>
  </si>
  <si>
    <t>2-s2.0-0035818116</t>
  </si>
  <si>
    <t>R01GM058454</t>
  </si>
  <si>
    <t>['various concentrations', 'strong fluorescence', 'static quenching', 'state hydrogen', 'small amount', 'rapid determination', 'potentially useful', 'nonfluorescent ground', 'mechanism makes', 'linear relationship', 'fluorescent quenching', 'fluorescence quenching', 'fluorescence lifetime', 'fluorescence intensity', 'entirely due', 'enantioselectively quenched', 'enantiomeric composition', 'dramatic enhancement', 'dendrimers allows', 'combinatorial search', 'chiral molecules', 'chiral materials', 'bond complexes', 'binol core', 'asymmetric catalysts', 'amino alcohols']</t>
  </si>
  <si>
    <t>A dramatic enhancement in fluorescence intensity from 1,1‚Ä≤-bi-2-naphthol (BINOL) to dendritic phenyleneethynylenes containing the BINOL core was observed. The strong fluorescence of the dendrimers allows a very small amount of the chiral materials to be used for sensing. The light harvesting antennas of the dendrimer funnel energy to the center BINOL unit, whose hydroxyl groups upon interaction with a quencher molecule lead to fluorescence quenching. This mechanism makes the dendrimers have much more sensitive fluorescence responses than corresponding small molecule sensors. The fluorescence of these dendrimers can be enantioselectively quenched by chiral amino alcohols. It is observed that the fluorescence lifetime of the generation two dendrimer does not change in the presence of various concentrations of 2-amino-3-phenyl-1-propanol. This demonstrates that the fluorescence quenching is entirely due to static quenching. Thus, formation of nonfluorescent ground-state hydrogen-bond complexes between the dendrimers and amino alcohols is proposed to account for the fluorescent quenching. A linear relationship has been established between the Stern-V√∂lmer constant of the generation two dendrimer and the enantiomeric composition of 2-amino-3-phenyl-1-propanol. Such enantioselective fluorescent sensors may allow a rapid determination of the enantiomeric composition of chiral molecules and are potentially useful in the combinatorial search of asymmetric catalysts and reagents.</t>
  </si>
  <si>
    <t>6136-6140</t>
  </si>
  <si>
    <t>Journal of Organic Chemistry</t>
  </si>
  <si>
    <t>60021918;60021918;60007363;60007363;60021918</t>
  </si>
  <si>
    <t>6604029833;7403214822;7103215858;7202262174;55760306900</t>
  </si>
  <si>
    <t>Pugh, V. J.;Hu, Q. S.;Zuo, X.;Lewis, F. D.;Pu, L.</t>
  </si>
  <si>
    <t>Charlottesville;Evanston</t>
  </si>
  <si>
    <t>University of Virginia;Northwestern University</t>
  </si>
  <si>
    <t>60021918;60007363</t>
  </si>
  <si>
    <t>Pugh V.J.</t>
  </si>
  <si>
    <t>Optically active BINOL core-based phenyleneethynylene dendrimers for the enantioselective fluorescent recognition of amino alcohols</t>
  </si>
  <si>
    <t>10.1021/jo010479t</t>
  </si>
  <si>
    <t>2-s2.0-0035823095</t>
  </si>
  <si>
    <t>['spinach thylakoids', 'rights reserved', 'photoprotective strategy', 'photochemical quenching', 'limited protection']</t>
  </si>
  <si>
    <t>D1 degradation | Excited state population | Fluorescence quenching | Photoinhibition | Thylakoid</t>
  </si>
  <si>
    <t>In spinach thylakoids, the quenching of the singlet excited state in the photosystem II antenna by m-dinitrobenzene does not change the rate of the light induced degradation of the D1 reaction centre protein and offers only limited protection against photoinhibition itself. These results are discussed in terms of the role of non-photochemical quenching as a photoprotective strategy. ¬© 2001 Federation of European Biochemical Societies. Published by Elsevier Science B.V. All rights reserved.</t>
  </si>
  <si>
    <t>60030318;60003668;60030318;60030318;60030318</t>
  </si>
  <si>
    <t>6603551109;7003283287;7006530694;6701308180;7201971898</t>
  </si>
  <si>
    <t>Santabarbara, S.;Barbato, R.;Zucchelli, G.;Garlaschi, F. M.;Jennings, R. C.</t>
  </si>
  <si>
    <t>Milan;Vercelli</t>
  </si>
  <si>
    <t>Universit√† degli Studi di Milano;Universit√† degli Studi del Piemonte Orientale "Amedeo Avogadro"</t>
  </si>
  <si>
    <t>60030318;60003668</t>
  </si>
  <si>
    <t>The quenching of photosystem II fluorescence does not protect the D1 protein against light induced degradation in thylakoids</t>
  </si>
  <si>
    <t>S001457930102796X</t>
  </si>
  <si>
    <t>10.1016/S0014-5793(01)02796-X</t>
  </si>
  <si>
    <t>2-s2.0-0035823202</t>
  </si>
  <si>
    <t>['type proteases', 'type protease', 'thylakoid membranes', 'targeting sequence', 'synechocystis sppa1', 'specific antisera', 'proteases showed', 'possible involvement', 'new component', 'mature protein', 'length cdna', 'largely exposed', 'involve serine', 'inducible protease', 'escherichia coli', 'displays 22', 'dependent degradation', 'coli sequence', 'chloroplast localization', 'chaotropic salts', 'associated exclusively', 'arabidopsis thaliana', '270 kda']</t>
  </si>
  <si>
    <t>A new component of the chloroplast proteolytic machinery from Arabidopsis thaliana was identified as a SppA-type protease. The sequence of the mature protein, deduced from a full-length cDNA, displays 22% identity to the serine-type protease IV (SppA) from Escherichia coli and 27% identity to Synechocystis SppA1 (sll1703) but lacks the putative transmembrane spanning segments predicted from the E. coli sequence. The N-terminal sequence exhibits typical features of a cleavable chloroplast stroma-targeting sequence. The chloroplast localization of SppA was confirmed by in organello import experiments using an in vitro expression system and by immunodetection with antigen-specific antisera. Subfractionation of intact chloroplasts demonstrated that SppA is associated exclusively with thylakoid membranes, predominantly stroma lamellae, and is a part of some high molecular mass complex of about 270 kDa that exhibits proteolytic activity. Treatments with chaotropic salts and proteases showed that SppA is largely exposed to the stroma but that it behaves as an intrinsic membrane protein that may have an unusual monotopic arrangement in the thylakoids. We demonstrate that SppA is a light-inducible protease and discuss its possible involvement in the light-dependent degradation of antenna and photosystem II complexes that both involve serine-type proteases.</t>
  </si>
  <si>
    <t>33645-33651</t>
  </si>
  <si>
    <t>57196566295;56128012800;56044607300</t>
  </si>
  <si>
    <t>Lensch, Martin;Herrmann, Reinhold G.;Sokolenko, Anna</t>
  </si>
  <si>
    <t>Lensch M.</t>
  </si>
  <si>
    <t>Identification and Characterization of SppA, a Novel Light-inducible Chloroplast Protease Complex Associated with Thylakoid Membranes</t>
  </si>
  <si>
    <t>10.1074/jbc.M100506200</t>
  </si>
  <si>
    <t>2-s2.0-0035823557</t>
  </si>
  <si>
    <t>['‚ äô', 'virial temperatures', 'smbh binaries', 'small fraction', 'significantly reduced', 'rare smbhs', 'qualitative predictions', 'possibility must', 'observed distribution', 'merger history', 'luminosity function', 'lisa ),', 'high redshifts', 'high redshift', 'extreme models', 'event rates', 'clustering properties', 'associated smbhs', '104 k']</t>
  </si>
  <si>
    <t>Black hole physics | Cosmology: theory | Galaxies: active | Galaxies: nuclei | Gravitation | Quasars: general</t>
  </si>
  <si>
    <t>The ubiquity of supermassive black holes (SMBHs) at the centers of nearby luminous galaxies can arise from the multiple mergers experienced by dark matter halos in hierarchical structure formation models, even if only a small fraction of these galaxies harbor SMBHs at high redshifts. We illustrate this possibility using cosmological Monte Carlo simulations of the merger history of dark matter halos and their associated SMBHs. In our most extreme models, in order to populate nearly every bright galaxy with an SMBH at z = 0, only a few percent of the halos with virial temperatures above 104 K are required to harbor an SMBH at high redshift. This possibility must be included in studies of the luminosity function and the clustering properties of quasars. We predict the number of SMBH merger events that are detectable by the gravitational wave experiment Laser Interferometer Space Antenna (LISA), as a function of redshift, out to z = 5. Although the event rates can be significantly reduced in scenarios with rare SMBHs, a minimum of ‚àº 10 detectable merger events per year is predicted if SMBH binaries coalesce efficiently. The observed distribution of events with redshift could yield valuable information on the SMBH formation process. If SMBH binaries do not coalesce, we find that at least several SMBH slingshot ejections probably occurred from z = 5 to the present in each galaxy more massive than ‚àº 1011 M‚äô at z = 0. Although our results are sensitive to the minimum cooling mass assumed for the formation of SMBHs, we expect the qualitative predictions of our models to be robust.</t>
  </si>
  <si>
    <t>535-542</t>
  </si>
  <si>
    <t>60003269;60003269;60003269</t>
  </si>
  <si>
    <t>7003538187;7005041408;7101654277</t>
  </si>
  <si>
    <t>Menou, Kristen;Haiman, Zolt√°n;Narayanan, Vijay K.</t>
  </si>
  <si>
    <t>Princeton University</t>
  </si>
  <si>
    <t>Menou K.</t>
  </si>
  <si>
    <t>The merger history of supermassive black holes in galaxies</t>
  </si>
  <si>
    <t>10.1086/322310</t>
  </si>
  <si>
    <t>2-s2.0-0035840501</t>
  </si>
  <si>
    <t>['various stages', 'using nasa', 'transient nature', 'time chemistry', 'thermal desorption', 'successful detection', 'species observed', 'scale variations', 'ring molecules', 'quality maps', 'peak abundance', 'molecules shown', 'molecular complexity', 'mhd waves', 'mhd activity', 'massive star', 'line variations', 'large number', 'interesting implications', 'including high', 'hydrocarbon chemistry', 'high degree', 'grain mantles', 'grain impacts', 'good target', 'generated locally', 'future searches', 'forming regions', 'eighteen molecules', 'dark clouds', 'complex hydrocarbons', 'clumpy medium', 'clump collisions', 'cloud dynamics', 'biogenic molecules', '10 k']</t>
  </si>
  <si>
    <t>Astrochemistry | ISM: clouds | ISM: individual (TMC-1) | ISM: molecules | Radio lines: ISM</t>
  </si>
  <si>
    <t>We present high spectral resolution observations of eighteen molecules, including high-quality maps of CCS and HC7N in TMC-1, using NASA's Deep Space Network 70 m antenna to study the interaction between cloud dynamics and chemistry. Other molecules shown in our study are C18O, NH3, CS, C3S, C3H2, H2C3, H2C4, H2C6, HC3N, HC5N, DC5N, HC9N, C4H, C5H, C6H, and a successful detection of the rare C8H molecule. In addition, we have searched for and set meaningful abundance limits on several carbon chain and ring molecules such as C7H, H2C5, C-H2C5, and biogenic molecules such as pyrrole and glycine. All the species observed in TMC-1 show large spectral-line variations in both intensity and shape over extremely small scales (‚àº0.03 pc). Maps of CCS and H7CN display abundance ratio variations of 3-5 along individual lines of sight. The high degree of dumpiness, transient nature of clumps, and gas-phase enrichment adequately explain the "early-time" chemistry and the molecular complexity in TMC-1. This enrichment has interesting implications for hydrocarbon chemistry in TMC-1, and presumably other clumpy, dark clouds. Specifically, the large number of clumps at various stages of early-time chemical evolution increases the chances for detection of complex hydrocarbons, since the probability of observing a clump at the time of peak abundance for a given molecular species is increased. We suggest two mechanisms for explaining the small-scale variations: (1) the passage of MHD waves in a clumpy medium and (2) grain impacts during clump-clump collisions. In the quiescent region far from any protostar, the MHD activity can be generated locally by clump collisions. The passage of MHD waves helps maintain early-time chemistry in the clumps. Both mechanisms provide enough energy to raise grain temperatures from 10 K to Tcrit ‚àº 30 K, sufficient to cause reactive radical explosions in grain mantles and thermal desorption. In this manner, the mantle injection causes TMC-1 to exhibit some aspects of "hot-core" chemistry, as seen m more massive star-forming regions. The transient nature of the clumps and the mantle-driven chemistry make TMC-1 a good target for future searches of complex molecular species.</t>
  </si>
  <si>
    <t>693-701</t>
  </si>
  <si>
    <t>7102100428;36084862900;55954108500</t>
  </si>
  <si>
    <t>Dickens, J. E.;Langer, W. D.;Velusamy, T.</t>
  </si>
  <si>
    <t>Dickens J.</t>
  </si>
  <si>
    <t>Small-scale abundance variations in TMC-1: Dynamics and hydrocarbon chemistry</t>
  </si>
  <si>
    <t>10.1086/322292</t>
  </si>
  <si>
    <t>2-s2.0-0035840503</t>
  </si>
  <si>
    <t>Instituto Nacional de Investigaci√≥n y Tecnolog√≠a Agraria y Alimentaria</t>
  </si>
  <si>
    <t>SC94-005-C2</t>
  </si>
  <si>
    <t>INIA</t>
  </si>
  <si>
    <t>['variety 53', 'therefore due', 'studied varieties', 'significant correlation', 'significant changes', 'rights reserved', 'reaction centre', 'positive correlation', 'photosystem ii', 'pea plants', 'lower quantity', 'leaf colours', 'incident radiation', 'improved lines', 'heat stress', 'harvest index', 'genotypes studied', 'enough wax', 'efficiently reflected', 'commercial varieties', 'antenna complexes', 'adequately control', '82 mg', '41 g', '20 cultivars', '001 ).']</t>
  </si>
  <si>
    <t>Drought | Drought tolerance | Heat stress | Water deficit</t>
  </si>
  <si>
    <t>Residual transpiration rates, epicuticular wax loads and leaf colours of 20 cultivars of pea (commercial varieties and bred, improved lines) were studied. The residual transpiration rate varied between genotypes from 0.77 to 1.82 mg m-2 s-1, while wax content varied between 0.19 and 0.41 g m-2. Leaf colour varied on the Munsell colour saturation scale between 4 and 8. No significant correlation was found between epicuticular wax load and residual transpiration rate. This suggests that all the studied varieties have more than enough wax to be able to adequately control the loss of water from the cuticle. The differences between cultivars in residual transpiration rates are therefore due to other factors. No significant changes in residual transpiration rate were seen in any of the genotypes studied when subjected to drought, with the exception of variety 53. However, in the majority of varieties, the epicuticular wax load increased significantly when plants were subjected to this treatment. All three studied parameters affected the performance of pea plants under drought. A positive correlation (P &lt; 0.001) was found between residual transpiration rate and harvest index: cultivars with greater water loss via the epidermis showed greater harvest indices. It is possible that a high harvest index is a consequence of a reduction in heat stress (a significant correlation (P &lt; 0.001) was found between residual transpiration rate and canopy temperature). Epicuticular wax load also correlated significantly (P&lt;0.001) with harvest index. Cultivars with greater wax loads gave higher rain-fed harvest indices. Wax-rich varieties developed significantly lower canopy temperatures (P &lt; 0.001). This suggests that incident radiation is more efficiently reflected with increasing wax load, which leads to the alleviation of heat stress. Varieties with less saturated leaf colours gave higher rain-fed harvest indices. A more pallid green shade probably indicates a lower chlorophyll content and a lower quantity of antenna complexes at each reaction centre of photosystem II. In drought this would permit lower absorption of radiation, which might lessen heat stress and reduce the risk of over-excitation of photosystem II reaction centres. ¬© 2001 Elsevier Science B.V. All rights reserved.</t>
  </si>
  <si>
    <t>European Journal of Agronomy</t>
  </si>
  <si>
    <t>60006920;60006920;60006920;60006920;60006920</t>
  </si>
  <si>
    <t>56555873100;24312331500;6602584057;7006097422;6602332142</t>
  </si>
  <si>
    <t>S√°nchez, Francisco J.;Manzanares, Mar√≠a;De Andr√©s, Eusebio F.;Tenorio, Jos√© Luis;Ayerbe, Luis</t>
  </si>
  <si>
    <t>Instituto Nacional de Investigacion y Tecnologia Agraria y Alimentaria</t>
  </si>
  <si>
    <t>S√°nchez F.J.</t>
  </si>
  <si>
    <t>Residual transpiration rate, epicuticular wax load and leaf colour of pea plants in drought conditions. Influence on harvest index and canopy temperature</t>
  </si>
  <si>
    <t>S1161030101000946</t>
  </si>
  <si>
    <t>10.1016/S1161-0301(01)00094-6</t>
  </si>
  <si>
    <t>2-s2.0-0034858633</t>
  </si>
  <si>
    <t>FMRX-CT960081</t>
  </si>
  <si>
    <t>['wide variety', 'study period', 'stratification period', 'significantly larger', 'rights reserved', 'respectively ).', 'potential role', 'population subsisted', 'population revealed', 'natural samples', 'holomictic pond', 'emission signal', 'coromina lake', 'containing chlorosomes', 'chromatographic analysis', 'chlorosomes isolated', 'cells grown', 'bchl c', 'bacterial plate', '8 nm', '70 nm', '120 nm']</t>
  </si>
  <si>
    <t>Antenna complex | Bacteriochlorophyll d | Chlorosome | Green sulfur bacterium | Light adaptation | Pelodictyon clathratiforme</t>
  </si>
  <si>
    <t>A population of the green sulfur bacterium Pelodictyon clathratiforme was monitored during the stratification period of Coromina Lake, a freshwater, holomictic pond of the Banyoles lacustrine area (Girona, NE Spain). The chromatographic analysis of this population revealed the presence of a wide variety of both bacteriochlorophyll (BChl) d and BChl c homologues. Isolation of chlorosomes from cultured Pelodictyon cells and their further analysis by steady-state fluorescence indicated that, although both pigment were present in chlorosomes, only BChl c gave rise to an emission signal, suggesting a fast energy transfer from BChl d to BChl c. Likewise, chlorosomes isolated from natural samples were significantly larger (60-70 nm in width and 115-120 nm in length) than those isolated from cells grown in laboratory under optimal light conditions (48 ¬± 6.8 nm and 100 ¬± 15.8 nm in width and length, respectively). The potential role of heterogeneous BChl c- and BChl d-containing chlorosomes and the differences in chlorosome size measured are discussed in terms of the severe light limitation (available light intensity &lt;0.1 Œºmol photons m-2 s-1 at the bacterial plate) under which the population subsisted during the study period. ¬© 2001 Federation of European Microbiological Societies. Published by Elsevier Science B.V. All rights reserved.</t>
  </si>
  <si>
    <t>FEMS Microbiology Ecology</t>
  </si>
  <si>
    <t>60009952;60009952;60009952;60072285;60009952;60072285</t>
  </si>
  <si>
    <t>6507428434;7006512815;6508187786;6602875908;7004177191;35501122300</t>
  </si>
  <si>
    <t>Gich, Frederic B.;Borrego, Carles M.;Mart√≠nez-Planells, Asunci√≥n;Steensgaard, Dorte B.;Garcia-Gil, Jes√∫s;Holzwarth, Alfred R.</t>
  </si>
  <si>
    <t>Mulheim an der Ruhr;Girona</t>
  </si>
  <si>
    <t>Max Planck Institute for Chemical Energy Conversion;Universitat de Girona</t>
  </si>
  <si>
    <t>60072285;60009952</t>
  </si>
  <si>
    <t>Gich F.</t>
  </si>
  <si>
    <t>Variability of the photosynthetic antenna of a Pelodictyon clathratiforme population from a freshwater holomictic pond</t>
  </si>
  <si>
    <t>S0168649601001398</t>
  </si>
  <si>
    <t>10.1016/S0168-6496(01)00139-8</t>
  </si>
  <si>
    <t>2-s2.0-0034862342</t>
  </si>
  <si>
    <t>['tested materials', 'single peak', 'single enantiomer', 'natural material', 'natural ead', 'ms comparison', 'microchemical reactions', 'mass spectrum', 'mass spectrometric', 'male antennae', 'hydrogenation product', 'female specificity', 'female antennae', 'electroantennographic detection', 'ead analysis', 'derived materials', 'authentic standards', 'active material', '9 position']</t>
  </si>
  <si>
    <t>(Z)-9-octadecen-4-olide | Cephidae | Coupled gas chromatographic-electroantennographic detection (GC-EAD) | Hymenoptera | Janus integer | Sawfly | Sex pheromone</t>
  </si>
  <si>
    <t>We identified (Z)-9-octadecen-4-olide as a female-specific, antennally active compound from the currant stem girdler Janus integer Norton. Female specificity was demonstrated by gas chromatographic comparison of liquid chromatography fractions of male and female volatile emissions and whole body extracts. The Œ≥-lactone was identified by coupled gas chromatographic-electroantennographic detection (GC-EAD), coupled gas chromatographic-mass spectrometric (GC-MS) analysis, microchemical reactions, and GC and MS comparison with authentic standards. GC-EAD analysis of female volatile emissions and cuticular extracts showed a single peak of activity on male antennae, which was not present in male-derived materials. Female antennae did not respond to any of the tested materials. The hydrogenation product of the natural EAD-active material was a known saturated Œ≥-lactone. The mass spectrum of the dimethyl disulfide derivative of the natural Œ≥-lactone was consistent with a double bond present in the 9 position. Comparison of the natural Œ≥-lactone and a synthesized racemic mixture of (Z)-9-octadecen-4-olide on a chiral GC column showed the presence of a single enantiomer in the natural material.</t>
  </si>
  <si>
    <t>1841-1853</t>
  </si>
  <si>
    <t>60027678;60027678;60016617;60027678</t>
  </si>
  <si>
    <t>6603979412;7005205418;7401733171;7003832750</t>
  </si>
  <si>
    <t>Coss√©, Allard A.;Bartelt, Robert J.;James, David G.;Petroski, Richard J.</t>
  </si>
  <si>
    <t>Peoria;Prosser</t>
  </si>
  <si>
    <t>USDA ARS National Center for Agricultural Utilization Research;Washington State University Prosser</t>
  </si>
  <si>
    <t>60027678;60016617</t>
  </si>
  <si>
    <t>Coss√© A.A.</t>
  </si>
  <si>
    <t>Identification of a female-specific, antennally active volatile compound of the currant stem girdler</t>
  </si>
  <si>
    <t>10.1023/A:1010412826373</t>
  </si>
  <si>
    <t>2-s2.0-0034868416</t>
  </si>
  <si>
    <t>['two ferredoxin', 'studies establish', 'spectrophotometric activity', 'phytochrome photoreceptors', 'one expressing', 'nonplant cells', 'n514 ),', 'heme oxygenase', 'discrete double', 'containing cell', 'bond specificity', 'biological function', 'bilin reductase']</t>
  </si>
  <si>
    <t>Bilin reductase | Linear tetrapyrrole biosynthesis | Metabolic engineering | Synthetic operon</t>
  </si>
  <si>
    <t>The bilin prosthetic groups of the phytochrome photoreceptors and the light-harvesting phycobiliprotein antennae arise from the oxygen-dependent ring opening of heme. Two ferredoxin-dependent enzymes contribute to this conversion: a heme oxygenase and a bilin reductase with discrete double-bond specificity. Using a dual plasmid system, one expressing a truncated cyanobacterial apophytochrome 1, Cph1(N514), and the other expressing a two-gene operon consisting of a heme oxygenase and a bilin reductase, these studies establish the feasibility of producing photoactive phytochromes in any heme-containing cell. Heterologous expression systems for phytochromes not only will facilitate genetic analysis of their assembly, spectrophotometric activity, and biological function, but also might afford the means to regulate gene expression by light in nonplant cells.</t>
  </si>
  <si>
    <t>10566-10571</t>
  </si>
  <si>
    <t>60014439;60014439</t>
  </si>
  <si>
    <t>6601932995;7006226334</t>
  </si>
  <si>
    <t>Gambetta, G. A.;Lagarias, J. C.</t>
  </si>
  <si>
    <t>Gambetta G.A.</t>
  </si>
  <si>
    <t>Genetic engineering of phytochrome biosynthesis in bacteria</t>
  </si>
  <si>
    <t>10.1073/pnas.191375198</t>
  </si>
  <si>
    <t>2-s2.0-0035845489</t>
  </si>
  <si>
    <t>['tidal tails', 'tidal interaction', 'southern tail', 'small edge', 'seen along', 'hi connection', 'galactic discs', 'extension towards', 'antennae shows', 'also presented', "9 ('"]</t>
  </si>
  <si>
    <t>Galaxies: individual: ESO 572-G045 | Galaxies: individual: NGC 4038 | Galaxies: individual: NGC 4039 | Galaxies: interactions | Radio continuum: galaxies | Radio lines: galaxies</t>
  </si>
  <si>
    <t>We present the results of new radio interferometer HI line observations for the merging galaxy pair NGC 4038/9 ('The Antennae'), obtained using the Australia Telescope Compact Array. The results improve substantially with respect to those of van der Hulst and show in detail the two merging galactic discs and the two tidal tails produced by their interaction. The small edge-on spiral dwarf galaxy ESO 572-G045 is also seen near the tip of the southern tail, but distinct from it. It shows no signs of tidal interaction. The northern tidal tail of the Antennae shows no HI connection to the discs and has an extension towards the west. The southern tidal tail is continuous, with a prominent HI concentration at its tip, roughly at the location of the tidal dwarf galaxy observed optically by Mirabel, Dottori &amp; Lutz. Clear velocity structure is seen along the tidal tails and in the galactic discs. Radio continuum images at 20 and 13cm are also presented, showing the discs in detail.</t>
  </si>
  <si>
    <t>578-596</t>
  </si>
  <si>
    <t>60031004;60005920;60031004</t>
  </si>
  <si>
    <t>7401829262;7004543433;24356044800</t>
  </si>
  <si>
    <t>Gordon, Scott;Koribalski, B√§rbel;Jones, Keith</t>
  </si>
  <si>
    <t>Brisbane;Sydney</t>
  </si>
  <si>
    <t>The University of Queensland;Australia Telescope National Facility</t>
  </si>
  <si>
    <t>60031004;60005920</t>
  </si>
  <si>
    <t>Gordon S.</t>
  </si>
  <si>
    <t>HI observations of interacting galaxy pair NGC 4038/9</t>
  </si>
  <si>
    <t>10.1046/j.1365-8711.2001.04588.x</t>
  </si>
  <si>
    <t>2-s2.0-0039655133</t>
  </si>
  <si>
    <t>['theoretical results', 'simple technique', 'resonance frequencies', 'maximum error', 'good agreement', 'experimental values', 'experimental curves', 'dominant modes', 'compact arrow', 'also given', '2 %.']</t>
  </si>
  <si>
    <t>A simple technique for the determination of resonance frequencies of the dominant modes of a compact arrow-shaped microstrip antenna was presented. The experimental curves were also given for the validation of computation. Theoretical results were found to be in good agreement with experimental values with maximum error &lt;2%.</t>
  </si>
  <si>
    <t>1151-1153</t>
  </si>
  <si>
    <t>Paulson, M.;Kundukulam, S. O.;Aanandan, C. K.;Mohanan, P.</t>
  </si>
  <si>
    <t>Resonance frequencies of compact microstrip antenna</t>
  </si>
  <si>
    <t>10.1049/el:20010814</t>
  </si>
  <si>
    <t>2-s2.0-0035855674</t>
  </si>
  <si>
    <t>['indoor communication', 'field simulations', 'feed rectangular', 'feed point', 'bluetooth protocol', 'bluetooth bandwidth', 'antenna together']</t>
  </si>
  <si>
    <t>A single-feed rectangular-ring microstrip antenna is proposed for indoor communication under the Bluetooth protocol. The dimensions of the antenna together with the location of the feed point are optimised through field simulations in order to cover the Bluetooth bandwidth and to avoid linear polarisation. The performance and the efficiency of the antenna are illustrated in a real indoor environment.</t>
  </si>
  <si>
    <t>1153-1154</t>
  </si>
  <si>
    <t>23974082200;7004835032;56255994700;7005517580</t>
  </si>
  <si>
    <t>Vermeeren, G.;Rogier, H.;Olyslager, F.;De Zutter, D.</t>
  </si>
  <si>
    <t>Vermeeren G.</t>
  </si>
  <si>
    <t>Simple low-cost planar antenna for indoor communication under the Bluetooth protocol</t>
  </si>
  <si>
    <t>10.1049/el:20010812</t>
  </si>
  <si>
    <t>2-s2.0-0035855694</t>
  </si>
  <si>
    <t>['successfully compared', 'particular emphasis', 'antenna beamwidth']</t>
  </si>
  <si>
    <t>A physical wideband propagation model for the fixed wireless channel, with particular emphasis on K-factor and RMS delay spread and their variation as a function of range and antenna beamwidth, is described. The purpose of the model is to generate a set of spatially distributed scatterers, in accordance with given empirical channel characteristics. The model is successfully compared with existing empirical models.</t>
  </si>
  <si>
    <t>1195-1197</t>
  </si>
  <si>
    <t>7004104722;7004920065</t>
  </si>
  <si>
    <t>Oestges, C.;Paulraj, A. J.</t>
  </si>
  <si>
    <t>Oestges C.</t>
  </si>
  <si>
    <t>Physical model for broadband wireless channels</t>
  </si>
  <si>
    <t>10.1049/el:20010805</t>
  </si>
  <si>
    <t>2-s2.0-0035855705</t>
  </si>
  <si>
    <t>['successfully combined', 'size reduction', 'simultaneously optimise', 'results suggest', 'projected length', 'knowledge gained', 'given antenna', 'genetic algorithms', 'fractal antenna', 'directly applicable', 'component values']</t>
  </si>
  <si>
    <t>Fractal antenna engineering concepts have been successfully combined with genetic algorithms to develop a powerful design optimisation tool. The genetic optimisation approach developed can simultaneously optimise the geometry of a fractal antenna, locations of loads, component values of loads, and projected length of the fractal antenna. The results suggest that a 30 to 55% size reduction can be achieved by optimising the fractalisation of a given antenna. The knowledge gained from this study is directly applicable to the design of miniature multiband fractal antennas.</t>
  </si>
  <si>
    <t>1150-1151</t>
  </si>
  <si>
    <t>60001439;60001439;60027696</t>
  </si>
  <si>
    <t>55925714300;56036142700;57206213594</t>
  </si>
  <si>
    <t>Werner, D. H.;Werner, P. L.;Church, K. H.</t>
  </si>
  <si>
    <t>Stillwater;University Park</t>
  </si>
  <si>
    <t>Sciperio Incorporated;Pennsylvania State University</t>
  </si>
  <si>
    <t>60027696;60001439</t>
  </si>
  <si>
    <t>Genetically engineered multiband fractal antennas</t>
  </si>
  <si>
    <t>10.1049/el:20010802</t>
  </si>
  <si>
    <t>2-s2.0-0035855768</t>
  </si>
  <si>
    <t>['series representation', 'region bounded', 'product technique', 'obtained using', 'helmholtz equation', 'flexible key', 'efficient trigonometric', 'convex polygon', 'approach enables']</t>
  </si>
  <si>
    <t>An efficient trigonometric-series representation is proposed for the solution to the Helmholtz equation in the region bounded by a convex polygon. The development is obtained using the domain-product technique. The approach enables the use of the unit in the capacity of a flexible key-block in the theory of irregular waveguide structures.</t>
  </si>
  <si>
    <t>1164-1165</t>
  </si>
  <si>
    <t>Chumachenko, V. P.</t>
  </si>
  <si>
    <t>Chumachenko V.</t>
  </si>
  <si>
    <t>Efficient field representation for polygonal region</t>
  </si>
  <si>
    <t>10.1049/el:20010818</t>
  </si>
  <si>
    <t>2-s2.0-0035855778</t>
  </si>
  <si>
    <t>['transient spectrum', 'state spectra', 'results support', 'resonance bands', 'monomeric bchls', 'localised description', 'ir regions', 'electronic structure', 'differ substantially', 'delocalized exciton', 'chromophore interactions', 'b850 pigments', 'b850 excited', 'b850 chromophores', 'b850 bacteriochlorophyll', 'b800 chromophores', 'antenna complexes']</t>
  </si>
  <si>
    <t>Bacteriochlorophyll | Band-band spectrum | Rhodopsuedomonas acidophila</t>
  </si>
  <si>
    <t>Infrared (IR) kinetic spectroscopy measurements have been employed to investigate and compare the electronic structure of B800 and B850 bacteriochlorophyll (BChl) pigment aggregates within peripheral (LH2) antenna complexes of photosynthetic purple bacteria. Following initial excitation of the B800 chromophores at 800nm, a strong absorption band centred at ~1.3Œºm was observed in the transient spectrum which is characteristic of monomeric BChls. Evolution of a transient spectrum in the near-IR and IR regions was then tracked while the excitation energy migrated to the B850 chromophores on a ~0.9ps time scale. The B850 excited-state IR spectrum was found to differ substantially from that of B800, exhibiting a broader absorption band in the near-IR (centred at 1.1Œºm) and new transient absorption features at 2.9 and 3.7Œºm which are absent in B800. These results support a localised description of excitations for B800 but indicate the presence of considerably stronger inter-chromophore interactions between the B850 pigments. Differences between the excited-state spectra of B800 and B850 are interpreted as reflecting the formation of delocalized exciton and charge-resonance bands in B850. ¬© 2001 Elsevier Science B.V.</t>
  </si>
  <si>
    <t>121-126</t>
  </si>
  <si>
    <t>Journal of Photochemistry and Photobiology A: Chemistry</t>
  </si>
  <si>
    <t>60006297;60001490;60001490;60006297</t>
  </si>
  <si>
    <t>6603097958;57214572791;7006465617;35465712100</t>
  </si>
  <si>
    <t>Kumble, R.;Howard, T. D.;Cogdell, R. J.;Hochstrasser, R. M.</t>
  </si>
  <si>
    <t>United States;United Kingdom</t>
  </si>
  <si>
    <t>Philadelphia;Glasgow</t>
  </si>
  <si>
    <t>University of Pennsylvania;University of Glasgow</t>
  </si>
  <si>
    <t>60006297;60001490</t>
  </si>
  <si>
    <t>Kumble R.</t>
  </si>
  <si>
    <t>Dynamic infrared band-band spectroscopy of peripheral light-harvesting complexes from R. acidophila</t>
  </si>
  <si>
    <t>S1010603001005056</t>
  </si>
  <si>
    <t>10.1016/S1010-6030(01)00505-6</t>
  </si>
  <si>
    <t>2-s2.0-0001526317</t>
  </si>
  <si>
    <t>DE-AC03-76SF0098</t>
  </si>
  <si>
    <t>['small groups', 'several pigments', 'purple bacteria', 'phonon coupling', 'monomers provides', 'molecules provides', 'lh2 ),', 'lh1 ),', 'incoherent hopping', 'exciton states', 'excitation wavelength', 'excellent description', 'energy transfer', 'crude description', 'b875 pigments', 'b850 pigments', 'b850 ).', 'b800 component', 'antenna system']</t>
  </si>
  <si>
    <t>Antenna | Photosynthesis | Purple bacteria</t>
  </si>
  <si>
    <t>The mechanism of energy transfer in the antenna system of purple bacteria is investigated by combination of photon echo spectroscopy and disordered exciton theory. In the B800 component of light harvesting complex 2 (LH2), a picture of incoherent hopping between monomers provides an excellent description of the photon echo data recorded as a function of excitation wavelength. In the B850 pigments of LH2, and to a somewhat greater extent in the B875 pigments of light harvesting complex 1 (LH1), the excitation is delocalized over several pigments. The observed dynamics correspond to relaxation between exciton states as a result of exciton-phonon coupling. Nonetheless, a picture of "hopping" between small groups of molecules provides a crude description of the motion of the excitation in B850, and B875. The electronic coupling required to simulate the experimental absorption spectrum and photon echo data is larger in LH1 than in LH2 (B850).</t>
  </si>
  <si>
    <t>107-119</t>
  </si>
  <si>
    <t>7404926139;56801279200;36936627600</t>
  </si>
  <si>
    <t>Yang, Mino;Agarwal, Ritesh;Fleming, Graham R.</t>
  </si>
  <si>
    <t>The mechanism of energy transfer in the antenna of photosynthetic purple bacteria</t>
  </si>
  <si>
    <t>S1010603001005044</t>
  </si>
  <si>
    <t>10.1016/S1010-6030(01)00504-4</t>
  </si>
  <si>
    <t>2-s2.0-0008990302</t>
  </si>
  <si>
    <t>IUAP-IV-11</t>
  </si>
  <si>
    <t>['triplet state', 'triplet lifetime', 'systematic way', 'simultaneous presence', 'rim fulfill', 'rights reserved', 'requirements perfectly', 'radiative trap', 'photosynthetic process', 'ordered arrays', 'one chromophore', 'multichromophoric systems', 'key steps', 'intriguing findings', 'interactions among', 'generation dendrimer', 'focus first', 'energy transfer', 'different values', 'controlled number', 'antenna systems', "9278 '."]</t>
  </si>
  <si>
    <t>Energy transfer | Model systems | Multichromophoric dendrimers | Phycoerythrin | Single molecule detection</t>
  </si>
  <si>
    <t>Energy transfer in antenna systems, ordered arrays of chromophores, is one of the key steps in the photosynthetic process. The photophysical processes taking place in such multichromophoric systems, even at the single molecule level, are complicated and not yet fully understood. Instead of directly studying individual antenna systems, we have chosen to focus first on systems for which the amount of chromophores and the interactions among the chromophores can be varied in a systematic way. Dendrimers with a controlled number of chromophores at the rim fulfill those requirements perfectly. A detailed photophysical study of a second-generation dendrimer, containing eight peryleneimide chromophores at the rim, was performed 'J. Am. Chem. Soc., 122 (2000) 9278'. One of the most intriguing findings was the presence of collective on/off jumps in the fluorescence intensity traces of the dendrimers. This phenomenon can be explained by assuming a simultaneous presence of both a radiative trap (energetically lowest chromophoric site) and a non-radiative trap (triplet state of one chromophore) within one individual dendrimer. It was shown that an analogue scheme could explain the collective on/off jumps in the fluorescence intensity traces of the photosynthetic pigment B-phycoerythrin (B-PE) (Porphyridium cruentum). The different values of the triplet lifetime that could be recovered for a fluorescence intensity trace of B-PE were correlated with different intensity levels in the trace, suggesting different chromophores acting as a trap as function of time. ¬© 2001 Elsevier Science B.V. All rights reserved.</t>
  </si>
  <si>
    <t>2093-2107</t>
  </si>
  <si>
    <t>Spectrochimica Acta - Part A Molecular and Biomolecular Spectroscopy</t>
  </si>
  <si>
    <t>60025063;60025063;60025063;60025063;60025063;60025063;60025063;60030637;60030637;60025063-60007774;60025063</t>
  </si>
  <si>
    <t>7006657754;57193664324;7003557204;6701509829;7005748862;6603050387;7005108773;57052231900;36047278500;6603915892;35420345400</t>
  </si>
  <si>
    <t>Hofkens, Johan;Schroeyers, Wouter;Loos, Davey;Cotlet, Mircea;K√∂hn, Fabian;Vosch, Tom;Maus, Michael;Herrmann, A.;M√ºllen, K.;Gensch, Thomas;De Schryver, F. C.</t>
  </si>
  <si>
    <t>Germany;Belgium;Germany</t>
  </si>
  <si>
    <t>Mainz;3000 Leuven;J√ºlich</t>
  </si>
  <si>
    <t>Max Planck Institute for Polymer Research;KU Leuven;Forschungszentrum J√ºlich (FZJ)</t>
  </si>
  <si>
    <t>60030637;60025063;60007774</t>
  </si>
  <si>
    <t>Hofkens J.</t>
  </si>
  <si>
    <t>Triplet states as non-radiative traps in multichromophoric entities: Single molecule spectroscopy of an artificial and natural antenna system</t>
  </si>
  <si>
    <t>S1386142501004991</t>
  </si>
  <si>
    <t>10.1016/S1386-1425(01)00499-1</t>
  </si>
  <si>
    <t>2-s2.0-0035860099</t>
  </si>
  <si>
    <t>['¬± 2', 'simultaneous detection', 'rights reserved', 'relatively large', 'regression line', 'racemic 2', 'proposed method', 'precision expressed', 'phase column', 'mobile phase', 'methylbutyric acid', 'malic acid', 'easily constructed', 'detection system', 'correlation coefficient', 'conventional photo', 'complex showed', 'capillary electrophoresis', 'anisotropy factor', 'analyzed using', 'absorbance maximum', 'absorbance band', '2œé ).']</t>
  </si>
  <si>
    <t>Enantiomer separation | Malic acid | Multi-beam circular dichroism detection</t>
  </si>
  <si>
    <t>A multi-beam circular dichroism (CD) detector which is easily constructed by inserting inexpensive optics into a conventional photo-diode array detector has an advantage of simultaneous detection of the absorbance and CD. The enantiomeric purity determination of malic acid in beverages was performed by this detection system. Malic acid when complexed with Cu(II) was found to have an absorbance maximum at around 750 nm. The L-malic acid-Cu(II) complex showed a positive Cotton effect in its absorbance band and its anisotropy factor (ŒîŒµ/Œµ) was relatively large at about 1/170. This complex was retained on a reversed-phase column with the addition of racemic 2-hydroxy-3-methylbutyric acid to the mobile phase as the ligand. A plot of the relative peak areas between the CD and the absorption (Œîabs/abs) versus optical purity showed good linearity with a correlation coefficient of 0.999, and the precision expressed as the relative standard deviation of the errors from the regression line was ¬±2.7% (2œÉ). The accuracy of the proposed method was assessed by capillary electrophoresis. Eight commercially available juice products were analyzed using this method. Five of them were thought to be adulterated with synthetic malic acid. ¬© 2001 Elsevier Science B.V. All rights reserved.</t>
  </si>
  <si>
    <t>139-144</t>
  </si>
  <si>
    <t>60023947;60003677;60023947;60023947;60003677;60003677</t>
  </si>
  <si>
    <t>57203855177;56694509500;7202035112;7102348831;7406871221;7202688824</t>
  </si>
  <si>
    <t>Yamamoto, Atsushi;Akiba, Nami;Kodama, Shuji;Matsunaga, Akinobu;Kato, Kayoko;Nakazawa, Hiroyuki</t>
  </si>
  <si>
    <t>Imizu District;Tokyo</t>
  </si>
  <si>
    <t>Toyama Institute of Health;Hoshi University</t>
  </si>
  <si>
    <t>60023947;60003677</t>
  </si>
  <si>
    <t>Enantiomeric purity determination of malic acid in apple juices by multi-beam circular dichroism detection</t>
  </si>
  <si>
    <t>S0021967301011438</t>
  </si>
  <si>
    <t>10.1016/S0021-9673(01)01143-8</t>
  </si>
  <si>
    <t>2-s2.0-0035860508</t>
  </si>
  <si>
    <t>['variability associated', 'variabilities associated', 'tmf model', 'superthreshold winds', 'spatial collocation', 'sharp cutoff', 'ocean surface', 'nscat 1', 'neutral winds', 'negative œé0', 'national center', 'level 1', 'incidence angles', 'environmental prediction', 'copyright 2001', 'better fit', 'backscatter return', 'backscatter measurements', 'antenna azimuths', '904 ¬∞),', '1 ).']</t>
  </si>
  <si>
    <t>The scatterometer backscatter model function has a threshold wind speed, below which there is no backscatter return from the ocean surface. Owing to the variability associated with the wind at the scatterometer footprint resolution, the sharp cutoff in the model backscatter response is not observed in Ku band spaceborne scatterometer data. A merged data set is generated by temporal and spatial collocation of the National Center for Environmental Prediction (NCEP) 10-m neutral winds with individual National Aeronautics and Space Administration Scatterometer (NSCAT) backscatter measurements from level 1.7. A model is set up to compare the observed and expected probability distributions of œÉ0 in an NCEP grid resolution cell (1.875¬∞ √ó 1.904¬∞), after incorporating the variabilities associated with the wind and the backscatter measurements. The differences in the model responses arrived at using the NSCAT 1 and the new threshold model function (TMF) are presented. The TMF model does well in fitting the observed œÉ0 distributions for all incidence angles, antenna azimuths, and both polarizations over the wind speed range considered (1-10 m s-1). A comparison of the modes of the model-predicted and observed distributions revealed the model function cutoff behavior at the threshold wind speed. The model also predicts increasing percentage occurrences of negative œÉ0 with decreasing wind speeds and increasing incidence angles, in line with the observations. The TMF model is corrected for the superthreshold winds to yield a better fit to the observed probability distributions. Copyright 2001 by the American Geophysical Union.</t>
  </si>
  <si>
    <t>19969-19990</t>
  </si>
  <si>
    <t>1999JC000189</t>
  </si>
  <si>
    <t>C9</t>
  </si>
  <si>
    <t>Journal of Geophysical Research: Oceans</t>
  </si>
  <si>
    <t>60011484;60011484</t>
  </si>
  <si>
    <t>6505844403;7005180960</t>
  </si>
  <si>
    <t>Shankaranarayanan, Kartik;Donelan, Mark A.</t>
  </si>
  <si>
    <t>Rosenstiel School of Marine and Atmospheric Science</t>
  </si>
  <si>
    <t>Shankaranarayanan K.</t>
  </si>
  <si>
    <t>A probabilistic approach to scatterometer model function verification</t>
  </si>
  <si>
    <t>10.1029/1999jc000189</t>
  </si>
  <si>
    <t>2-s2.0-0034770624</t>
  </si>
  <si>
    <t>59/95</t>
  </si>
  <si>
    <t>['terminal region', 'poz domains', 'poz domain', 'molecular mechanisms', 'identified partners', 'hybrid system', 'human cancers', 'heteromeric associations', 'drosophila btb', 'distal axis', 'direct link', 'direct interaction', 'chromatin remodeling', 'called bip2', 'bab1 protein', 'adult ovaries']</t>
  </si>
  <si>
    <t>BTB/POZ domain | Drosophila | TAF II | Transcriptional regulation</t>
  </si>
  <si>
    <t>The BTB/POZ domain is an evolutionarily conserved protein-protein interaction domain present in the N-terminal region of numerous transcription factors involved in development, chromatin remodeling, and human cancers. This domain is involved in homomeric and heteromeric associations with other BTB/POZ domains. The Drosophila BTB/POZ proteins Bric √† brac 1 (BAB1) and Bric √† brac 2 (BAB2) are developmentally regulated transcription factors which are involved in pattern formation along the proximo-distal axis of the leg and antenna, in the morphogenesis of the adult ovaries, and in the control of sexually dimorphic characters. We have identified partners of the BAB1 protein by using the two-hybrid system. The characterization of one of these proteins, called BIP2 for BAB Interacting Protein 2, is presented. BIP2 is a novel Drosophila TATA-box Protein Associated Factor (TAFII), also named dTAFII155. We show that the BTB/POZ domains of BAB1 and BAB2 are sufficient to mediate a direct interaction with BIP2/dTAFII155. This provides a direct link between these BTB/POZ transcription factors and the basal transcriptional machinery. We discuss the implications of the interaction between a BTB/POZ domain and a TAFII for the molecular mechanisms of transcriptional control mediated by BTB/POZ transcription factors. ¬© 2001 Academic Press.</t>
  </si>
  <si>
    <t>368-380</t>
  </si>
  <si>
    <t>60138276;60031040;60138276;60138276</t>
  </si>
  <si>
    <t>6508098626;57214166043;7004406216;7103249524</t>
  </si>
  <si>
    <t>Pointud, Jean Christophe;Larsson, Jan;Dastugue, Bernard;Couderc, Jean Louis</t>
  </si>
  <si>
    <t>Clermont-Ferrand;Umea</t>
  </si>
  <si>
    <t>Universit√© Clermont Auvergne;Ume√• Universitet</t>
  </si>
  <si>
    <t>60138276;60031040</t>
  </si>
  <si>
    <t>Pointud J.C.</t>
  </si>
  <si>
    <t>The BTB/POZ domain of the regulatory proteins Bric √† brac 1 (BAB1) and Bric √† brac 2 (BAB2) interacts with the novel Drosophila TAF&lt;inf&gt;II&lt;/inf&gt; factor BIP2/dTAF&lt;inf&gt;II&lt;/inf&gt;155</t>
  </si>
  <si>
    <t>S0012160601903586</t>
  </si>
  <si>
    <t>10.1006/dbio.2001.0358</t>
  </si>
  <si>
    <t>2-s2.0-0035884129</t>
  </si>
  <si>
    <t>['two criteria', 'theoretical comparison', 'probl √®', 'lower bound', 'formulations according', 'fdma network', 'cl √©', 'bounds provided', 'adjacent channel', '1 program']</t>
  </si>
  <si>
    <t>0-1 Integer linear program | Branch-and-bound | Cellular network | Channel assignment | Column generation | Resource constraints | Shortest path | Weighted independent set</t>
  </si>
  <si>
    <t>We study several formulations of the channel assignment problem in an FDMA network as a linear integer 0-1 program. We consider the objective of minimizing the unsatisfied channel demand while satisfying the co-channel, the adjacent channel and the antenna channel spacing constraints. We compare the formulations according to two criteria: the ease with which their linear programming relaxations can be solved, and the quality of the bounds provided by these relaxations. We show that the best lower bound is provided by one of the set covering formulations, while the other two formulations provide the same lower bound. We present computational results that support the theoretical comparison of the models. Nous √©tudions diff√©rentes formulations du probl√®me d'affectation de canaux dans un r√©seau AMRF comme programme lin√©aire en variables binaires. Nous consid√©rons l'objectif de minimiser la demande non satisfaite en canaux tout en satisfaisant les contraintes co-canal, celles de canaux adjacents et celles d'espacement sur les antennes. Nous comparons ces formulations en utilisant deux crit√®res: la facilit√© avec laquelle on peut r√©soudre les relaxations lin√©aires de ces formulations, et la qualit√© des bornes fournies par celles-ci. Nous montrons que l'une des formulations comme probl√®me de couverture donne la meilleure borne, tandis que les deux autres formulations fournissent la m√™me borne inf√©rieure. Nous pr√©sentons des r√©sultats de calculs appuyant et illustrant la comparaison th√©orique des trois mod√®les. Mots-cl√©s: affectation de canaux, r√©seau de t√©l√©phonie cellulaire, programme lin√©aire en variables 0-1, g√©n√©ration de colonnes, probl√®me du stable pond√©r√©, plus court chemin, contraintes de ressources, √©num√©ration implicite. ¬© 2001 Elsevier Science B.V.</t>
  </si>
  <si>
    <t>217-240</t>
  </si>
  <si>
    <t>0166218X</t>
  </si>
  <si>
    <t>Discrete Applied Mathematics</t>
  </si>
  <si>
    <t>60007104;60027863;60019663;100399259</t>
  </si>
  <si>
    <t>56847096800;6602619584;55452305800;6506087712</t>
  </si>
  <si>
    <t>Jaumard, Brigitte;Marcotte, Odile;Meyer, Christophe;Vovor, Tsevi</t>
  </si>
  <si>
    <t>Canada;Austria;Canada;United States</t>
  </si>
  <si>
    <t>Montreal;Graz;Montreal;New York</t>
  </si>
  <si>
    <t>Universit√© du Qu√©bec √† Montr√©al;Technische Universitat Graz;Groupe d'√©tudes et de Recherche en Analyse des D√©cisions;Prudential-Bache Securities Inc</t>
  </si>
  <si>
    <t>60027863;60019663;60007104;100399259</t>
  </si>
  <si>
    <t>Jaumard B.</t>
  </si>
  <si>
    <t>Comparison of column generation models for channel assignment in cellular networks</t>
  </si>
  <si>
    <t>S0166218X00003176</t>
  </si>
  <si>
    <t>10.1016/S0166-218X(00)00317-6</t>
  </si>
  <si>
    <t>2-s2.0-0035885268</t>
  </si>
  <si>
    <t>['would otherwise', 'wavy reflections', 'ubehebe crater', 'subsurface trains', 'subsurface sequences', 'run along', 'rights reserved', 'results show', 'resolution images', 'relatively proximal', 'intermediate positions', 'distal locations', 'death valley', 'climbing dune', 'allowed high']</t>
  </si>
  <si>
    <t>Base surge deposits | California | Climbing dune-forms | Ground penetrating radar | Ubehebe Crater</t>
  </si>
  <si>
    <t>Ground penetrating radar surveys were conducted in the Ubehebe hydrovolcanic field (Death Valley, California) using 900 MHz antennae, which allowed high-resolution images of the subsurface. The surveys were intended to study the lateral facies variation of subsurface sequences in base surge deposits and were run along a flow direction radial to the Ubehebe Crater. The ground penetrating radar imaged deposits that would otherwise be difficult to study because they are in an area with very few outcrops. In particular, the radar profiles show the presence of wavy reflections from relatively proximal to intermediate positions which become increasingly less wavy and more plane-parallel in distal locations. The wavy reflections have been interpreted as ground penetrating radar images of subsurface trains of climbing dune-forms, whose size decreases downflow. A climbing dune-form exposed inside a trench in correspondence to a crest of wavy reflections, confirms this interpretation. These results show that ground penetrating radar can usefully integrate traditional geologic field studies. ¬© 2001 Elsevier Science Ltd All rights reserved.</t>
  </si>
  <si>
    <t>279-298</t>
  </si>
  <si>
    <t>Journal of Volcanology and Geothermal Research</t>
  </si>
  <si>
    <t>60010365-60020650;60010365</t>
  </si>
  <si>
    <t>Cagnoli, B.;Ulrych, T. J.</t>
  </si>
  <si>
    <t>United Kingdom;Canada</t>
  </si>
  <si>
    <t>Bristol;Vancouver</t>
  </si>
  <si>
    <t>University of Bristol;The University of British Columbia</t>
  </si>
  <si>
    <t>60020650;60010365</t>
  </si>
  <si>
    <t>Ground penetrating radar images of unexposed climbing dune-forms in the Ubehebe hydrovolcanic field (Death Valley, California)</t>
  </si>
  <si>
    <t>S0377027301001962</t>
  </si>
  <si>
    <t>10.1016/S0377-0273(01)00196-2</t>
  </si>
  <si>
    <t>2-s2.0-0035885612</t>
  </si>
  <si>
    <t>['volatile compounds', 'volatile collections', 'terpenoid compounds', 'seasonal change', 'nine compounds', 'methyl salicylate', 'malus domestica', 'main target', 'large number', 'gas chromatography', 'fewer terpenoids', 'electroantennography coupled', 'cydia pomonella', 'bouquet emitted', 'apple branches', 'antennal response', 'antennal activity']</t>
  </si>
  <si>
    <t>Apple | Codling moth | Cydia pomonella | Electroantennography | Headspace collection | Host plant volatiles | Lepidoptera | Malus domestica | Phenology | Tortricidae</t>
  </si>
  <si>
    <t>Volatile compounds were collected from apple branches (Malus domestica) at different developmental stages, and the antennal response of codling moth females (Cydia pomonella) to these compounds was recorded by electroantennography coupled to gas chromatography. Presence of a range of terpenoid compounds, many of which had antennal activity, was characteristic for volatile collections from branches with leaves, and from small green apples. Nine compounds from branches with leaves and green fruit consistently elicited an antennal response: methyl salicylate, (E)-Œ≤-farnesene, Œ≤-caryophyllene, 4,8-dimethyl-1,3(E),7-nonatriene, (Z)3-hexenol, (Z,E)-Œ±-farnesene, linalool, germacrene D, and (E,E)-Œ±-farnesene. The bouquet emitted from flowering branches contained in addition several benzenoid compounds which were not found after bloom. Small green apples, which are the main target of codling moth oviposition during the first seasonal flight period, released very few esters. In comparison, fully grown apples released a large number of esters, but fewer terpenoids. The study of apple volatiles eliciting an antennal response, together with a survey of the seasonal change in the release of these compounds, is the first step toward the identification of volatiles mediating host-finding and oviposition in codling moth females.</t>
  </si>
  <si>
    <t>3736-3741</t>
  </si>
  <si>
    <t>Journal of Agricultural and Food Chemistry</t>
  </si>
  <si>
    <t>60027152;60027152;60002014;60002014;60002014;60027152;60027152;60027152;60027152</t>
  </si>
  <si>
    <t>35579647600;7006238604;6602372767;7201568547;7003602441;6508268589;16485957900;7004376332;7004027172</t>
  </si>
  <si>
    <t>Bengtsson, M.;B√§ckman, A. C.;Liblikas, I.;Ramirez, M. I.;Borg-Karlson, A. K.;Ansebo, L.;Anderson, P.;L√∂fqvist, J.;Witzgall, P.</t>
  </si>
  <si>
    <t>Bengtsson M.</t>
  </si>
  <si>
    <t>Plant odor analysis of apple: Antennal response of codling moth females to apple volatiles during phenological development</t>
  </si>
  <si>
    <t>10.1021/jf0100548</t>
  </si>
  <si>
    <t>2-s2.0-0034824583</t>
  </si>
  <si>
    <t>Scho442/7‚Äì1</t>
  </si>
  <si>
    <t>['well known', 'terminal filament', 'striped expression', 'striking correlation', 'specific function', 'single cells', 'silverfish show', 'prosomal limbs', 'positive areas', 'opisthosomal appendages', 'maxillary palps', 'limulus polyphemus', 'like structures', 'lateral processes', 'late stages', 'juvenile stages', 'expression pattern', 'especially mechanoreceptors', 'dll positive', 'dll participates', 'dll expression', 'dll antibody', 'dll activity', 'differentiation along', 'developing ganglia', 'critical implications', 'coxal endites', 'comparative analysis', 'cell groups', 'cell fate', 'arthropod limbs', 'anal valves']</t>
  </si>
  <si>
    <t>Central nervous system | Evolution | Limb development | Neurogenesis | Sensory organs</t>
  </si>
  <si>
    <t>The homeobox gene Distal-less (Dll) is well known for its participation in the development of arthropod limbs and their derivatives. Dll activity has been described for all groups of arthropods, but also for molluscs, echinoderms and vertebrates. Generally, Dll participates in the establishment of the proximo-distal-axis and differentiation along this axis. During our investigation of the expression pattern in the silverfish Lepisma saccharina and the horseshoe crab Limulus polyphemus, we found several expressions in late stages which cannot be explained with the "normal" limb-specific function. The antenna, cerci and terminal filament of the silverfish show a striped expression; single cells on the labrum, mandibles, maxillary palps and anal valves are also strongly stained by the Dll antibody. In addition to cell groups in the developing ganglia of the CNS, in the coxal endites and several nerve cells in femur and the trochanter of the prosomal limbs, the whole prosomal shield of Limulus polyphemus is surrounded by Dll-positive cell clusters. Furthermore, the lateral processes of the opisthosoma and the edges of the opisthosomal appendages are Dll positive. To get an indication of the cell fate of these regions, we examined hatched larvae and juvenile stages of both species with the SEM. We found a striking correlation of these Dll-positive areas and different sense organs, especially mechanoreceptors. Since many sense organs in arthropods are situated on the limbs, interpretation of the Dll expression in limbs is problematical. This has critical implications for comparative analysis of Dll expression patterns between arthropods and for the claim of homology between limb-like structures. Furthermore, we discuss the possibility of convergent appendage evolution in various bilaterian groups based on the improvement of spatial sensory resolution.</t>
  </si>
  <si>
    <t>232-243</t>
  </si>
  <si>
    <t>60000762;60000762</t>
  </si>
  <si>
    <t>6603290747;7003963845</t>
  </si>
  <si>
    <t>Mittmann, B.;Scholtz, G.</t>
  </si>
  <si>
    <t>Humboldt-Universit√§t zu Berlin</t>
  </si>
  <si>
    <t>Mittmann B.</t>
  </si>
  <si>
    <t>Distal-less expression in embryos of Limulus polylphemus (Chelicerata, Xiphosura) and Lepisma saccharina (Insecta, Zygentoma suggests a role in the development of mechanoreceptors,chemoreceptors, and the CNS</t>
  </si>
  <si>
    <t>10.1007/s004270100150</t>
  </si>
  <si>
    <t>2-s2.0-0034851704</t>
  </si>
  <si>
    <t>R01HD027937</t>
  </si>
  <si>
    <t>['weak interactions', 'specific domains', 'specific alterations', 'small number', 'segmentation resulted', 'segmentation pathways', 'segmentation function', 'schistocerca ftz', 'repress homothorax', 'regulate segmentation', 'regional identity', 'progressive evolution', 'primitive insects', 'novel function', 'nonhomeotic functions', 'modern drosophila', 'mediate interactions', 'mediate homeosis', 'inherent ability', 'hox protein', 'homeotic genes', 'homeotic functions', 'homeotic ancestor', 'genes arose', 'gene duplication', 'functions exclusively', 'ftz orthologs', 'ftz evolved', 'ftz ),', 'drosophila ftz', 'distinct cofactors', 'coding region', 'changed significantly', 'c genes', 'animal development']</t>
  </si>
  <si>
    <t>Background: Hox genes specify cell fate and regional identity during animal development. These genes are present in evolutionarily conserved clusters thought to have arisen by gene duplication and divergence. Most members of the Drosophila Hox complex (HOM-C) have homeotic functions. However, a small number of HOM-C genes, such as the segmentation gene fushi tarazu (ftz), have nonhomeotic functions. If these genes arose from a homeotic ancestor, their functional properties must have changed significantly during the evolution of modern Drosophila. Results: Here, we have asked how Drosophila ftz evolved from an ancestral homeotic gene to obtain a novel function in segmentation. We expressed Ftz proteins at various developmental stages to assess their potential to regulate segmentation and to generate homeotic transformations. Drosophila Ftz protein has lost the inherent ability to mediate homeosis and functions exclusively in segmentation pathways. In contrast, Ftz from the primitive insect Tribolium (Tc-Ftz) has retained homeotic potential, generating homeotic transformations in larvae and adults and retaining the ability to repress homothorax, a hallmark of homeotic genes. Similarly, Schistocerca Ftz (Sg-Ftz) caused homeotic transformations of antenna toward leg. Primitive Ftz orthologs have moderate segmentation potential, reflected by weak interactions with the segmentation-specific cofactor Ftz-F1. Thus, Ftz orthologs represent evolutionary intermediates that have weak segmentation potential but retain the ability to act as homeotic genes. Conclusions: ftz evolved from an ancestral homeotic gene as a result of changes in both regulation of expression and specific alterations in the protein-coding region. Studies of ftz orthologs from primitive insects have provided a "snap-shot" view of the progressive evolution of a Hox protein as it took on segmentation function and lost homeotic potential. We propose that the specialization of Drosophila Ftz for segmentation resulted from loss and gain of specific domains that mediate interactions with distinct cofactors.</t>
  </si>
  <si>
    <t>1403-1412</t>
  </si>
  <si>
    <t>Current Biology</t>
  </si>
  <si>
    <t>60012981;60024541;60012981</t>
  </si>
  <si>
    <t>15745686800;6506981475;7003900316</t>
  </si>
  <si>
    <t>L√∂hr, Ulrike;Yussa, Miyuki;Pick, Leslie</t>
  </si>
  <si>
    <t>NYU Grossman School of Medicine;Icahn School of Medicine at Mount Sinai</t>
  </si>
  <si>
    <t>60024541;60012981</t>
  </si>
  <si>
    <t>L√∂hr U.</t>
  </si>
  <si>
    <t>Drosophila fushi tarazu: A gene on the border of homeotic function</t>
  </si>
  <si>
    <t>S0960982201004432</t>
  </si>
  <si>
    <t>10.1016/S0960-9822(01)00443-2</t>
  </si>
  <si>
    <t>2-s2.0-0035908952</t>
  </si>
  <si>
    <t>['wideband cr', 'wide bandwidth', 'radiation characteristics', 'new type', 'comer reflector', 'better performance']</t>
  </si>
  <si>
    <t>Corner reflector antennas | Dielectric feed | Wide band</t>
  </si>
  <si>
    <t>A new type of comer reflector (CR) antenna with a rectangular dielectric feed is presented. The radiation characteristics of the wideband CR were studied and compared with a standard comer reflector antenna. It is observed that this novel CR antenna has a wide bandwidth and better performance. ¬© 2001 John Wiley &amp; Sons, Inc. Microwave Opt Technol Lett.</t>
  </si>
  <si>
    <t>403-404</t>
  </si>
  <si>
    <t>60113344;60031544</t>
  </si>
  <si>
    <t>57197108714;7006666505</t>
  </si>
  <si>
    <t>Joseph, V. P.;Mathew, K. T.</t>
  </si>
  <si>
    <t>Irinjalakuda;Kochi</t>
  </si>
  <si>
    <t>Christ College, Irinjalakuda;Cochin University of Science and Technology</t>
  </si>
  <si>
    <t>A novel corner reflector antenna</t>
  </si>
  <si>
    <t>10.1002/mop.1327</t>
  </si>
  <si>
    <t>2-s2.0-0035922042</t>
  </si>
  <si>
    <t>['proposed design', 'probe feed', 'peripheral cut', 'pentagon patch', 'patch boundary', 'implemented using', 'design considerations', 'circularly polarized']</t>
  </si>
  <si>
    <t>Compact circularly polarized | Pentagon microstrip antenna</t>
  </si>
  <si>
    <t>By embedding a group of four bent slots in the equilateral-pentagon patch and introducing a peripheral cut at the patch boundary, a compact pentagon microstrip antenna with circularly polarized (CP) operation can be implemented using a probe feed. Results have been obtained that, for a given operation frequency, the antenna size reduction of the proposed design can be as large as 41% as compared to the regular-size CP equilateral-pentagon microstrip antenna. Details of the design considerations are described, and measured CP characteristics are presented. ¬© 2001 John Wiley &amp; Sons, Inc. Microwave Opt Technol Lett.</t>
  </si>
  <si>
    <t>370-372</t>
  </si>
  <si>
    <t>Compact pentagon microstrip antenna with circular polarization</t>
  </si>
  <si>
    <t>10.1002/mop.1317</t>
  </si>
  <si>
    <t>2-s2.0-0035922047</t>
  </si>
  <si>
    <t>['wave distributions', 'wave distribution', 'uniform provided', 'uniform plane', 'sufficiently large', 'results show', 'reduced accuracy', 'plane waves', 'paper studies', 'frequency band', 'elevation plane', 'dimensions 1', 'different angles', 'angularly distributed', 'angular plane', 'angular distribution', 'also propose', 'also demonstrate']</t>
  </si>
  <si>
    <t>Mode distribution | Mode-stirred chamber | Radiation efficiency | Reverberation chamber</t>
  </si>
  <si>
    <t>A rectangular metallic cavity is known to support a number of resonant cavity modes. Each of these modes can be described as a sum of eight plane waves incident from different angles. This paper studies how these plane waves are angularly distributed in space, which is of interest when the cavity is used to simulate multipath environment. The results show that the angular distribution in space is uniform provided that the three linear dimensions of the chamber are sufficiently large, and do not deviate too much from each other. As an example, two rectangular cavities with dimensions 1 m √ó 0.8 m √ó 1 m and 5.5 m √ó 2.5 m √ó 3.5 m are analyzed in detail, and are shown to have uniform plane-wave distributions. We also demonstrate how the chamber geometry may be chosen in order to weight the angular plane-wave distribution in the elevation plane. A result of the study is that we detect a 25 MHz frequency band with very few modes in a small chamber designed for use with reduced accuracy i n the GSM 900 MHz band. We also propose how this chamber can be modified to obtain uniform mode distribution over this frequency band. ¬© 2001 John Wiley &amp; Sons, Inc. Microwave Opt Technol Lett.</t>
  </si>
  <si>
    <t>386-391</t>
  </si>
  <si>
    <t>100755790;100755790</t>
  </si>
  <si>
    <t>Intenna Technology AB</t>
  </si>
  <si>
    <t>Study of distributions of modes and plane waves in reverberation chambers for the characterization of antennas in a multipath environment</t>
  </si>
  <si>
    <t>10.1002/mop.1323</t>
  </si>
  <si>
    <t>2-s2.0-0035922056</t>
  </si>
  <si>
    <t>['wireless lan', 'small area', 'radiation characteristics', 'quarter wavelength', 'proposed antenna', 'novel dual', 'low profile', 'height ),', 'design considerations', 'bandwidth requirements', 'approximately equal', 'antenna length', '5350 mhz', '4 mm', '4 ghz', '2484 mhz']</t>
  </si>
  <si>
    <t>2.4/5.2 GHz operation | Dual-band microstrip antenna | Microstrip antenna | Shorted microstrip antenna</t>
  </si>
  <si>
    <t>A novel dual-band shorted microstrip antenna suitable for 2.4 and 5.2 GHz operation is presented. The obtained impedance bandwidths for the two operating frequencies meet the bandwidth requirements of the wireless LAN (2400-2484 MHz) and HIPERLAN (5150-5350 MHz) systems. The lower and upper operating frequencies are the first two resonant frequencies of the proposed antenna, and the antenna length is approximately equal to one-quarter wavelength of the lower operating frequency at 2.4 GHz. The antenna has a low profile (4 mm in height), and occupies a small area of 18 √ó 27 mm2. The design considerations and radiation characteristics of the proposed antenna are presented. ¬© 2001 John Wiley &amp; Sons, Inc. Microwave Opt Technol Lett.</t>
  </si>
  <si>
    <t>401-402</t>
  </si>
  <si>
    <t>A shorted microstrip antenna for 2.4/5.2 GHz dual-band operation</t>
  </si>
  <si>
    <t>10.1002/mop.1326</t>
  </si>
  <si>
    <t>2-s2.0-0035922064</t>
  </si>
  <si>
    <t>['waveguide core', 'wave propagation', 'vanishing refractive', 'thinner pcws', 'representative functions', 'presented analysis', 'power patterns', 'pcw ),', 'higher thickness', 'general expression', 'bunched modes', 'analytical treatment']</t>
  </si>
  <si>
    <t>EM wave propagation | Optical waveguides</t>
  </si>
  <si>
    <t>A rigorous analytical estimation is made of the propagation of power through a highly bent step-index parabolic cylindrical waveguide (PCW), the bending being across the direction of electromagnetic (EM) wave propagation. The scalar field approximation is employed for the analytical treatment. The general expression for power in the waveguide core is derived under the condition of vanishing refractive-index (RI) difference of the guide. The power patterns are shown for two different waveguide dimensions, and corresponding to different azimuthal modal indexes. The presented analysis is rigorous in the sense that no approximation is used to determine the representative functions for fields. It is found that an almost equal amount of power is carried by the bunched modes in thinner PCWs, and this feature affects guides having a higher thickness where the modes are less tightly bunched together. ¬© 2001 John Wiley &amp; Sons, Inc. Microwave Opt Technol Lett.</t>
  </si>
  <si>
    <t>407-410</t>
  </si>
  <si>
    <t>Choudhury, P. K.</t>
  </si>
  <si>
    <t>Choudhury P.</t>
  </si>
  <si>
    <t>Propagation of power through highly bent parabolic cylindrical waveguides</t>
  </si>
  <si>
    <t>10.1002/mop.1329</t>
  </si>
  <si>
    <t>2-s2.0-0035922066</t>
  </si>
  <si>
    <t>['short points', 'several applications', 'patch antenna', 'overall reduction', 'inserting slots', 'inductive loading', '75 %.']</t>
  </si>
  <si>
    <t>Patch antenna | Reduction of size | Short points</t>
  </si>
  <si>
    <t>The present letter concerns the reduction of the size of a patch antenna by combining two techniques. Inserting slots as inductive loading and making some short points in the middle of a patch excited originally in the TM001 mode permits us to obtain an overall reduction of 75%. This enables the development of antennas for several applications, especially in portable communication systems requiring small footprint devices. ¬© 2001 John Wiley &amp; Sons, Inc. Microwave Opt Technol Lett.</t>
  </si>
  <si>
    <t>385-386</t>
  </si>
  <si>
    <t>60032006;60032006;60032006;60032006;60032006</t>
  </si>
  <si>
    <t>7003753877;16025070000;23107117400;6603881468;56097141300</t>
  </si>
  <si>
    <t>Desclos, L.;Mahe, Y.;Reed, S.;Poilasne, G.;Toutain, S.</t>
  </si>
  <si>
    <t>Universit√© de Nantes</t>
  </si>
  <si>
    <t>Patch antenna size reduction by combining inductive loading and short-points technique</t>
  </si>
  <si>
    <t>10.1002/mop.1322</t>
  </si>
  <si>
    <t>2-s2.0-0035922072</t>
  </si>
  <si>
    <t>['significantly improved', 'reverberation chambers', 'reverberation chamber', 'radiation efficiency', 'platform stirring', 'measurement accuracy', 'dimensions 1']</t>
  </si>
  <si>
    <t>Mode-stirred chamber | Platform stirring | Radiation efficiency | Reverberation chamber</t>
  </si>
  <si>
    <t>It has been demonstrated that the radiation efficiency of antennas can be measured in reverberation chambers. The measurement accuracy is known to be better the larger the size. The present paper shows that the measurement accuracy can be significantly improved by rotating the antenna under test. This is demonstrated in the 900 MHz GSM band by measurements in a reverberation chamber of dimensions 1.0 m √ó 0.8 m √ó 1.0 m. We refer to this new stirring method as platform stirring. ¬© 2001 John Wiley &amp; Sons, Inc. Microwave Opt Technol Lett.</t>
  </si>
  <si>
    <t>391-397</t>
  </si>
  <si>
    <t>100755790;100755790;100755790;100755790</t>
  </si>
  <si>
    <t>Characterization of antennas for mobile and wireless terminals in reverberation chambers: Improved accuracy by platform stirring</t>
  </si>
  <si>
    <t>10.1002/mop.1324</t>
  </si>
  <si>
    <t>2-s2.0-0035922088</t>
  </si>
  <si>
    <t>['wave receivers', 'uniplanar twin', 'rf signal', 'potential applications', 'gate mixer', 'gaas mes', 'future low', 'fet single', 'dipole antenna', 'cost millimeter', 'conversion loss', 'circuit technology', 'circuit received', 'band twin', 'avoidance radars', '22 db', '10 ghz', '1 ghz']</t>
  </si>
  <si>
    <t>Antenna | FET | GaAs | Mixer | Twin dipole</t>
  </si>
  <si>
    <t>The first fully monolithic X-band twin-dipole antenna mixer consisting of a uniplanar twin-dipole antenna and a GaAs MES-FET single-gate mixer on the same GaAs substrate fabricated by monolithic microwave integrated-circuit technology (MMIC) is reported. The total chip size is 5 √ó 5 mm2. This circuit received an RF signal of 10 Ghz, and down-converted it to an IF signal of 1 Ghz with a conversion loss of 22 Db. The experimental results demonstrate that this topology has potential applications for future low-cost millimeter-wave receivers for smart munitions seekers and automotive-collision-avoidance radars. ¬© 2001 John Wiley &amp; Sons, Inc. Microwave Opt Technol Lett.</t>
  </si>
  <si>
    <t>436-438</t>
  </si>
  <si>
    <t>60017511;60005429;60005429;60005429;60005429</t>
  </si>
  <si>
    <t>7201684609;7103344659;7501477699;7404228725;54680336700</t>
  </si>
  <si>
    <t>Meng, C. C.;Deng, K. L.;Lee, H. D.;Lu, S. S.;Wang, H.</t>
  </si>
  <si>
    <t>Taichung;Taipei</t>
  </si>
  <si>
    <t>National Chung Hsing University;National Taiwan University</t>
  </si>
  <si>
    <t>60017511;60005429</t>
  </si>
  <si>
    <t>Meng C.</t>
  </si>
  <si>
    <t>10 GHz GaAs monolithic twin-dipole antenna FET mixer</t>
  </si>
  <si>
    <t>10.1002/mop.1337</t>
  </si>
  <si>
    <t>2-s2.0-0035922109</t>
  </si>
  <si>
    <t>['various numbers', 'unconditioned stimulus', 'two long', 'term memory', 'temperature increase', 'sucrose ),', 'spacing effect', 'selectively inhibited', 'mechanical stimulation', 'learning trials', 'late long', 'higher retention', 'harnessed honeybees', 'dominant factor', 'consolidation processes', 'conditioning trials', 'better acquisition', 'apis mellifera', 'acquisition level']</t>
  </si>
  <si>
    <t>Conditioning the proboscis extension reflex of harnessed honeybees (Apis mellifera) is used to study the effect temporal spacing between successive conditioning trials has on memory. Retention is monitored at two long-term intervals corresponding to early (1 and 2 d after conditioning) and late long-term memory (3 and 4 d). The acquisition level is varied by using different conditioned stimuli (odors, mechanical stimulation, and temperature increase at the antenna), varying strengths of the unconditioned stimulus (sucrose), and various numbers of conditioning trials. How learning trials are spaced is the dominant factor both for acquisition and retention, and although longer intertrial intervals lead to better acquisition and higher retention, the level of acquisition per se does not determine the spacing effect on retention. Rather, spaced conditioning leads to higher memory consolidation both during acquisition and later, between the early and long-term memory phases. These consolidation processes can be selectively inhibited by blocking protein synthesis during acquisition.</t>
  </si>
  <si>
    <t>198-208</t>
  </si>
  <si>
    <t>60030718;60030718;60030718;60030718</t>
  </si>
  <si>
    <t>57207897350;6602823878;7102000725;6506245498</t>
  </si>
  <si>
    <t>Menzel, R.;Manz, G.;Menzel, R.;Greggers, U.</t>
  </si>
  <si>
    <t>Menzel R.</t>
  </si>
  <si>
    <t>Massed and spaced learning in honeybees: The role of CS, US, the intertrial interval, and the test interval</t>
  </si>
  <si>
    <t>10.1101/lm.40001</t>
  </si>
  <si>
    <t>2-s2.0-0034846638</t>
  </si>
  <si>
    <t>['œ ±-', 'xanthophyll species', 'xanthophyll cycle', 'xanthophyll binding', 'v1 site', 'strong light', 'sites l1', 'site binds', 'result suggests', 'pigments bound', 'photosystem ii', 'normal conditions', 'main carotenoid', 'directly involved', 'chloroplast membranes', 'called v1', 'binding site']</t>
  </si>
  <si>
    <t>We have characterized a xanthophyll binding site, called V1, in the major light harvesting complex of photosystem II, distinct from the three tightly binding sites previously described as L1, L2, and N1. Xanthophyll binding to the V1 site can be preserved upon solubilization of the chloroplast membranes with the mild detergent dodecyl-Œ±-D-maltoside, while an IEF purification step completely removes the ligand. Surprisingly, spectroscopic analysis showed that when bound in this site, xanthophylls are unable to transfer absorbed light energy to chlorophyll a. Pigments bound to sites L1, L2, and N1, in contrast, readily transfer energy to chlorophyll a. This result suggests that this binding site is not directly involved in light harvesting function. When violaxanthin, which in normal conditions is the main carotenoid in this site, is depleted by the de-epoxidation in strong light, the site binds other xanthophyll species, including newly synthesized zeaxanthin, which does not induce detectable changes in the properties of the complex. It is proposed that this xanthophyll binding site represents a reservoir of readily available violaxanthin for the operation of the xanthophyll cycle in excess light conditions.</t>
  </si>
  <si>
    <t>35924-35933</t>
  </si>
  <si>
    <t>60032256;60032256;100342965;60032256</t>
  </si>
  <si>
    <t>6601957007;7005812451;24310010600;35553979700</t>
  </si>
  <si>
    <t>Caffarri, Stefano;Croce, Roberta;Breton, Jacques;Bassi, Roberto</t>
  </si>
  <si>
    <t>Verona;Gif-sur-Yvette</t>
  </si>
  <si>
    <t>Universit√† degli Studi di Verona;Section de Bio√©nerg√©tique</t>
  </si>
  <si>
    <t>60032256;100342965</t>
  </si>
  <si>
    <t>Caffarri S.</t>
  </si>
  <si>
    <t>The Major Antenna Complex of Photosystem II Has a Xanthophyll Binding Site Not Involved in Light Harvesting</t>
  </si>
  <si>
    <t>10.1074/jbc.M105199200</t>
  </si>
  <si>
    <t>2-s2.0-0035929629</t>
  </si>
  <si>
    <t>['working range', 'viral particles', 'validated according', 'total particles', 'statistically similar', 'standard deviation', 'rights reserved', 'retention time', 'purified ad5', 'performance criteria', 'peak area', 'pda ).', 'method varied', 'lysate samples', 'day precision', 'correlation coefficient', 'confidence interval', 'cesium chloride', 'ad5 standard', 'ad5 particles', 'accurate quantification', '10 %,', '0 min']</t>
  </si>
  <si>
    <t>Adenovirus type 5 particles</t>
  </si>
  <si>
    <t>An anion-exchange-high-performance liquid chromatography (AE-HPLC) method for the quantification of adenovirus type 5 (Ad5) total particles was validated according to performance criteria of precision, specificity, linearity of calibration and range, limit of detection, limit of quantification, accuracy and recovery. The viral particles were detected by absorbance at 260 nm using photodiode array detector (PDA). Cesium chloride (CsCl) purified Ad5 and lysate samples were used for the validation of the method. Relative standard deviations (RSDs) for the inter-day, intra-day precision and reproducibility for both the lysate and the Ad5 standard were less than 10 and 2% for the peak area and retention time, respectively. The method was specific for Ad5 which was eluted at 8.0 min. The presence of DNA does not affect the recovery of Ad5 particles for accurate quantification. Based on the error in prediction to be less than 10%, the working range was established between 2√ó1010 and 7√ó1011 VP/ml with correlation coefficient of 0.99975, standard deviation of 6.14√ó109 VP/ml and a slope of 3.04√ó105 VP/ml. The recovery of the method varied between 88 and 106% in all of the lysate samples investigated which is statistically similar to 100% recovery at 95% confidence interval. ¬© 2001 Elsevier Science B.V. All rights reserved.</t>
  </si>
  <si>
    <t>187-194</t>
  </si>
  <si>
    <t>60009839;60009839;60009839;60009839;60009839</t>
  </si>
  <si>
    <t>6506430971;7003417971;7801563892;6603925473;7006781910</t>
  </si>
  <si>
    <t>Transfiguracion, Julia;Bernier, Alice;Arcand, Normand;Chahal, Parminder;Kamen, Amine</t>
  </si>
  <si>
    <t>Ottawa ON,</t>
  </si>
  <si>
    <t>National Research Council Canada</t>
  </si>
  <si>
    <t>Transfiguracion J.</t>
  </si>
  <si>
    <t>Validation of a high-performance liquid chromatographic assay for the quantification of adenovirus type 5 particles</t>
  </si>
  <si>
    <t>S0378434701003309</t>
  </si>
  <si>
    <t>10.1016/S0378-4347(01)00330-9</t>
  </si>
  <si>
    <t>2-s2.0-0035949826</t>
  </si>
  <si>
    <t>['two odd', 'triplet gap', 'suitably oriented', 'spin centers', 'second region', 'rigorous basis', 'region whereby', 'partially eclipsed', 'orbit hamiltonian', 'orbit coupling', 'one corresponding', 'nuclear charges', 'multireference casscf', 'mp2 method', 'lone pair', 'largest singlet', 'intersystem crossing', 'griesbeck model', 'gaussian 98', 'gauche conformer', 'fully eclipsed', 'electronic communication', 'electron spin', 'electron soc', 'diradicals separated', 'conformational dependence', 'computed utilizing', 'complete one', 'cisoid conformation', 'central c', 'area corresponding', 'antenna ".', '0 ¬∞)']</t>
  </si>
  <si>
    <t>Conformational dependence of spin - orbit coupling (SOC) in flexible Pater«π-B√ºchi (PB) diradicals has been studied with high-level ab initio methods using both (i) one-electron spin - orbit Hamiltonian with parametrized (effective) nuclear charges in conjunction with a state-averaged MCSCF wave function as implemented by Robb in Gaussian 98 and (ii) complete one- and two-electron SOC with a fully optimized MCSCF triplet wave function and frozen core singlet as implemented by Furlani in the GAMESS computational package. The ab initio results revealed two distinct areas of elevated SOC values, one corresponding to the region whereby a cisoid conformation in the C-C-O-C fragment brings the two odd-electron orbitals closer to each other, and the other area corresponding to the partially eclipsed conformation lacking direct overlap between the spin centers. In this second region the 1,4-electronic communication is mediated by the oxygen's 2p-lone pair, which is suitably oriented to play the role of a "relay-antenna". The other critical factor affecting the rate of intersystem crossing (ISC) - singlet - triplet energy separation - was computed utilizing a multireference CASSCF-MP2 method to include dynamic correlation effects. The largest singlet - triplet energy gap, approximately 2 kcal/mol, was found for a gauche conformer (also a minimum SOC conformation). Rotation about the central C - O bond either toward the fully eclipsed (0¬∞) or the partially eclipsed (120¬∞) conformations decreases the singlet - triplet gap while increasing the value of the SOC matrix element. These computational findings support the Griesbeck model for stereochemistry of triplet PB reactions and provide a rigorous basis for predicting the probability of ISC in diradicals separated by a partially conjugated spacer.</t>
  </si>
  <si>
    <t>9279-9282</t>
  </si>
  <si>
    <t>Kutateladze, A. G.</t>
  </si>
  <si>
    <t>Denver</t>
  </si>
  <si>
    <t>University of Denver</t>
  </si>
  <si>
    <t>Kutateladze A.</t>
  </si>
  <si>
    <t>Conformational analysis of singlet-triplet state mixing in Patern√≤-B√ºchi diradicals</t>
  </si>
  <si>
    <t>10.1021/ja016092p</t>
  </si>
  <si>
    <t>2-s2.0-0035955199</t>
  </si>
  <si>
    <t>['terminal domain', 'slightly earlier', 'selective oxidation', 'samples using', 'range interaction', 'oxidized species', 'oxidative modification', 'oxidation site', 'moderately reduced', 'methionine sulfoxide', 'harvesting complex', 'eluting peak', 'discernible effects', 'diastereoisomeric form', 'component appears', 'binding environment', 'additional component']</t>
  </si>
  <si>
    <t>Antenna complex | Membrane protein | Methionine sulfoxide | Self-assembly | TOF-MS</t>
  </si>
  <si>
    <t>An additional component in the purified core light-harvesting complex (LH1) from wild-type purple photosynthetic bacterium Rhodospirillum rubrum has been identified as an oxidized species of Œ±-polypeptide by MALDI-TOF mass spectrometry. This component appears as a slightly earlier-eluting peak in the RP-HPLC chromatogram compared with the authentic Œ±-polypeptide. The oxidation site has been determined to be the N-terminal methionine residue by high-resolution NMR spectroscopy, where the methionine is oxidized to methionine sulfoxide in a diastereoisomeric form. Interconversion between the oxidized and authentic Œ±-polypeptides has been confirmed by selective oxidation and reduction. The oxidative modification of methionine is shown to have discernible effects on the ability to form B820 subunit with Œ≤-polypeptide and bacteriochlorophyll a, and on the stability of the reconstituted B820 subunit. Both the ability and the stability for the samples using the oxidized Œ±-polypeptide are moderately reduced, indicating that the oxidation-induced conformational change in the N-terminal domain of Œ±-polypeptide may affect the pigment-binding environment through a long-range interaction. The MALDI-TOF mass results also reveal that the N-terminus of Œ±-polypeptide is formylated and no phosphorylation has occurred in this polypeptide.</t>
  </si>
  <si>
    <t>3375-3382</t>
  </si>
  <si>
    <t>60008435;60008435;60008435;60008435;60008435</t>
  </si>
  <si>
    <t>16164731000;6505903623;36917479900;55628545000;7103347251</t>
  </si>
  <si>
    <t>Wang, Zheng Yu;Shimonaga, Masahiro;Muraoka, Yoshiyuki;Kobayashi, Masayuki;Nozawa, Tsunenori</t>
  </si>
  <si>
    <t>Wang Z.Y.</t>
  </si>
  <si>
    <t>Methionine oxidation and its effect on the stability of a reconstituted subunit of the light-harvesting complex from Rhodospirillum rubrum</t>
  </si>
  <si>
    <t>10.1046/j.1432-1327.2001.02234.x</t>
  </si>
  <si>
    <t>2-s2.0-0034832766</t>
  </si>
  <si>
    <t>['water samples', 'various biomatrices', 'urine respectively', 'spiked biomatrices', 'slm unit', 'slm processing', 'sample handling', 'performed using', 'order 92', 'multiresidue method', 'ms ).', 'mass spectrometry', 'liver tissue', 'kidney tissue', 'extraction efficiencies', 'enrichment prior', 'electrospray ionisation', 'detection limits', 'components detected', 'cattle urine', '69 %,', '296 nm', '10 ppt']</t>
  </si>
  <si>
    <t>Anthelmintics | Benzimidazoles | Electrospray ionisation | Sample preparation | Supported liquid membrane</t>
  </si>
  <si>
    <t>A multiresidue method for the separation, detection, and quantification of benzimidazole anthelmintics spiked in various biomatrices (bovine kidney tissue, liver tissue, milk, cattle urine) and water is described. Separation by high performance liquid chromatography (HPLC) was performed using a diode array detector (DAD) and electrospray ionisation-mass spectrometry (ESI-MS). A mixture of five benzimidazole anthelmintics compounds (thiabendazole, oxibendazole, mebendazole, albendazole, and fenbendazole) was separated and the components detected at 296 nm. Sample handling for spiked biomatrices and water samples was by supported liquid membrane (SLM) extraction for clean-up and/or enrichment prior to liquid chromatographic separation. The extraction efficiencies (E) of the SLM unit for various biomatrices spiked with 0.1 ppb anthelmintics mixture were of the order of 85-90%, 57-66%, 55-69%, and 76-90% for kidney tissue, liver tissue, milk, and urine respectively, whereas the E for spiked reagent water was of the order 92-98% from a 0.1 ppb sample. The detection limits of these compounds after SLM processing were about 10 ppt. When the DAD-LC was substituted with ESI-MS the sensitivity was extended at least two orders of magnitude.</t>
  </si>
  <si>
    <t>606-614</t>
  </si>
  <si>
    <t>Journal of Separation Science</t>
  </si>
  <si>
    <t>60021221;60021221</t>
  </si>
  <si>
    <t>6505840266;6603190052</t>
  </si>
  <si>
    <t>Msagati, Titus A.M.;Nindi, Mathew Muzi</t>
  </si>
  <si>
    <t>Botswana</t>
  </si>
  <si>
    <t>Gaborone</t>
  </si>
  <si>
    <t>University of Botswana</t>
  </si>
  <si>
    <t>Msagati T.</t>
  </si>
  <si>
    <t>Determination of benzimidazole anthelmintic compounds by supported liquid membrane extraction and liquid chromatography</t>
  </si>
  <si>
    <t>10.1002/1615-9314(20010801)24:7&lt;606::AID-JSSC606&gt;3.0.CO;2-Z</t>
  </si>
  <si>
    <t>2-s2.0-0034849659</t>
  </si>
  <si>
    <t>['generalised delay', 'diversity code', 'delay spread']</t>
  </si>
  <si>
    <t>Code construction criteria for frequency selective multiple input multiple output (MIMO) channels with single tarrier modulation are derived. It is shown that the standard delay diversity code fails to exploit full diversity order in presence of delay spread. A generalised delay-diversity code which exploits full diversity is proposed.</t>
  </si>
  <si>
    <t>1230-1231</t>
  </si>
  <si>
    <t>60012708;60012708;60012708</t>
  </si>
  <si>
    <t>7102413527;7103163461;7004920065</t>
  </si>
  <si>
    <t>Gore, D.;Sandhu, S.;Paulraj, A.</t>
  </si>
  <si>
    <t>Gore D.</t>
  </si>
  <si>
    <t>Delay diversity code for frequency selective channels</t>
  </si>
  <si>
    <t>10.1049/el:20010860</t>
  </si>
  <si>
    <t>2-s2.0-0035959726</t>
  </si>
  <si>
    <t>['wide bandwidth', 'polarisation levels', 'low cross', 'high isolation', 'easy integration', 'back ratio', 'active circuits', '9 %,', '36 db', '21 db']</t>
  </si>
  <si>
    <t>A dual-polarised microstrip antenna capable of achieving a wide bandwidth, a high isolation, low cross-polarisation levels and low backward radiation levels is presented. The H-shaped coupling aperture is used. For wide bandwidth and easy integration with active circuits, it uses the aperture-coupled stacked microstrip square patches. Measured return loss exhibits a bandwidth of over 20.9%, and isolation is better than 36 dB over the bandwidth. Cross-polarisation levels and the front-to-back ratio are better than -22 and 21 dB, respectively.</t>
  </si>
  <si>
    <t>1213-1214</t>
  </si>
  <si>
    <t>Wideband dual-polarised microstrip patch antenna</t>
  </si>
  <si>
    <t>10.1049/el:20010828</t>
  </si>
  <si>
    <t>2-s2.0-0035959730</t>
  </si>
  <si>
    <t>['radiation pattern', 'array beam']</t>
  </si>
  <si>
    <t>The steering of a three-element stripline array was demonstrated. To bias the ferrite at the threshold of the magnetic absorption region, a static magnetic field was applied. The phase shifter operation was improved over an original microstrip design, by implementation as a symmetrical stripline structure. The array beam was squinted over 40¬∞ without significant attenuation or degradation in the radiation pattern. The magnetic field divergence was significantly reduced within the ferrite, meaning characterisable fields could be provided by smaller permanent magnet.</t>
  </si>
  <si>
    <t>1211-1212</t>
  </si>
  <si>
    <t>60010818;60010818</t>
  </si>
  <si>
    <t>7006362200;7102439597</t>
  </si>
  <si>
    <t>Cahill, B. M.;Batchelor, J. C.</t>
  </si>
  <si>
    <t>Cahill B.</t>
  </si>
  <si>
    <t>Enhanced stripline scanning array</t>
  </si>
  <si>
    <t>10.1049/el:20010846</t>
  </si>
  <si>
    <t>2-s2.0-0035959872</t>
  </si>
  <si>
    <t>['weapon system', 'us army', 'two sections', 'thermal battery', 'significantly improve', 'roll decoupling', 'roll bearing', 'rocket results', 'paper discusses', 'motor section', 'missile command', 'launchers required', 'guidance section', 'guidance kit', 'guidance computer', 'gps antennas', 'expended ammunition', 'effective guidance', 'destructive capability', 'control package', 'combat zone', 'atd ).', 'also reduces', 'advanced technology', '70 km']</t>
  </si>
  <si>
    <t>The US Army Aviation and Missile Command has demonstrated the application of advanced technology to significantly improve the accuracy and range of the US Army's Multiple Launch Rocket System (MLRS) through the Guided MLRS Advanced Technology Demonstration (ATD). The addition of a cost-effective guidance and control package to the rocket results in a weapon system that can defeat the target at ranges up to 70 km with significantly fewer rounds. This not only increases the destructive capability of the system but also reduces the cost of the expended ammunition, the cost to transport the ammunition to the combat zone, and the number of launchers required to execute the mission. The guidance kit is housed in the nose of the MLRS and consists of an Inertial Measurement Unit (IMU), four independent electro-mechanically actuated canards, a Global Position System (GPS) Receiver, GPS antennas, a thermal battery, a guidance computer, and power supply electronics. Roll decoupling of the warhead and motor section was required to allow roll control of the guidance section to enable accurate inertial navigation and was accomplished by joining the two sections with a roll bearing. Five flight missiles were built and tested during the ATD. Two IMU vendors were selected to provide flight units (3 flights used vendor A and 2 flights used vendor B). A tightly coupled eight channel GPS receiver was flown on all flights. This paper discusses the ATD development effort and presents flight test results.</t>
  </si>
  <si>
    <t>60010276-60110491;60010276-60110491</t>
  </si>
  <si>
    <t>36846765800;36828420700</t>
  </si>
  <si>
    <t>Gamble, Allan E.;Jenkins, Philip N.</t>
  </si>
  <si>
    <t>Redstone Arsenal;Redstone Arsenal</t>
  </si>
  <si>
    <t>U.S. Army Aviation and Missile Research, Development and Engineering Center;U.S. Army Aviation and Missile Life Cycle Management Command</t>
  </si>
  <si>
    <t>60110491;60010276</t>
  </si>
  <si>
    <t>Gamble A.</t>
  </si>
  <si>
    <t>Low cost guidance for the Multiple Launch Rocket System (MLRS) artillery rocket</t>
  </si>
  <si>
    <t>10.1109/62.894176</t>
  </si>
  <si>
    <t>2-s2.0-0034818214</t>
  </si>
  <si>
    <t>['satellite navigation', 'high performance', 'also presented']</t>
  </si>
  <si>
    <t>The German Radar Symposium (GRS) was organized for international radar community. Radar sensors equipped with satellite navigation and data communication equipment were integrated for safety and control. The use of phased array antennas for high performance of multi-functional radar systems was also presented.</t>
  </si>
  <si>
    <t>Rohling, Hermann</t>
  </si>
  <si>
    <t>Hamburg</t>
  </si>
  <si>
    <t>Hamburg University of Technology</t>
  </si>
  <si>
    <t>Rohling H.</t>
  </si>
  <si>
    <t>German Radar Symposium GRS 2000</t>
  </si>
  <si>
    <t>10.1109/MAES.2001.894174</t>
  </si>
  <si>
    <t>2-s2.0-0034825641</t>
  </si>
  <si>
    <t>['sulfate group', 'single glycan', 'reduce mobility', 'recognizing molecule', 'preferentially located', 'plasminogen activator', 'pa interacting', 'multiple expression', 'highly charged', 'glycans described', 'glycans contains', 'electrostatic interaction', 'carrying n', 'branched antenna', 'arginine residue', 'antennary n', 'almost half', 'abundant compound', '6 arm', '1 epitope']</t>
  </si>
  <si>
    <t>LZ/HNK-1 | MALDI MS | N-linked glycans | Sulfate | Tissue plasminogen activator</t>
  </si>
  <si>
    <t>A family of about 20 novel acidic bi- and tri-antennary N-glycans, amounting to almost half those expressed on Bowes melanoma tissue-plasminogen activator (t-PA) were found to possess GalŒ≤1‚Üí4GlcNAcŒ≤1‚Üí, sulfated and sialylated GalNAcŒ≤1‚Üí4GlcNAcŒ≤1‚Üí or sulfated GlcAŒ≤1‚Üí3GalŒ≤1‚Üí4GlcNAcŒ≤1‚Üí antennae, of which those containing sulfated GlcA, depicting the L2/HNK-1 carbohydrate epitope, were preferentially located on the 6 arm. A proportion of the glycans were highly charged, because of multiple and variously distributed sulfation, some of which was located on the fucosylated chitobiose core. Multiple expression of the L2/HNK-1 epitope on a single glycan was observed. The most abundant compound was a biantennary glycan carrying sulfated GlcA on the 6-branched antenna and an Œ±2‚Üí6 sialylated GalNAc on the other. The N-glycosylation sequon containing Asn448, which is known to express all of the sulfate-carrying N-glycans contains, unusually, an arginine residue. An electrostatic interaction between this cationic amino acid and the core-sulfate group of the N-glycan is proposed to reduce mobility of the carbohydrate in the region of the t-PA active site. Because of the 'brain-type' nature of the N-glycans described in this neuro-ectodermal cell line, the possibility of neural t-PA interacting with the L2/HNK-1-recognizing molecule, laminin, of the central nervous system extracellular matrix is discussed.</t>
  </si>
  <si>
    <t>4063-4078</t>
  </si>
  <si>
    <t>60002634-60026324;60002634;60002634;60002634-60004572;60002634;60002634</t>
  </si>
  <si>
    <t>6701842103;7007068113;7006831853;7402779334;35399298000;7202064593</t>
  </si>
  <si>
    <t>Zamze, Susanne;Wing, David R.;Wormald, Mark R.;Hunter, Ann P.;Dwek, Raymond A.;Harvey, David J.</t>
  </si>
  <si>
    <t>Compton;Swansea;Oxford</t>
  </si>
  <si>
    <t>Edward Jenner Institute for Vaccine Research;Swansea University;University of Oxford Medical Sciences Division</t>
  </si>
  <si>
    <t>60026324;60004572;60002634</t>
  </si>
  <si>
    <t>Zamze S.</t>
  </si>
  <si>
    <t>A family of novel, acidic N-glycans in Bowes melanoma tissue plasminogen activator have L2/HNK-1-bearing antennae, many with sulfation of the fucosylated chitobiose core</t>
  </si>
  <si>
    <t>10.1046/j.1432-1327.2001.02320.x</t>
  </si>
  <si>
    <t>2-s2.0-0034838007</t>
  </si>
  <si>
    <t>['uses single', 'thz system', 'results demonstrate', 'permits us', 'made possible', 'inverse problem', 'geophysical prospecting', 'cycle pulses']</t>
  </si>
  <si>
    <t>We describe a new imaging method that uses single-cycle pulses of terahertz (THz) radiation. This technique emulates data-collection and image-processing procedures developed for geophysical prospecting and is made possible by the availability of fiber-coupled THz receiver antennas. We use a simple migration procedure to solve the inverse problem; this permits us to reconstruct the location and shape of targets. These results demonstrate the feasibility of the THz system as a test-bed for the exploration of new seismic processing methods involving complex model systems. ¬© 2001 Optical Society of America.</t>
  </si>
  <si>
    <t>1513-1515</t>
  </si>
  <si>
    <t>Optics Letters</t>
  </si>
  <si>
    <t>60005286;60005286;100322480;60005286;60005286;60005286</t>
  </si>
  <si>
    <t>6602894602;55494670300;6506196001;35580714600;7004264390;7004931461</t>
  </si>
  <si>
    <t>Dorney, Timothy D.;Johnson, Jon L.;Van Rudd, J.;Baraniuk, Richard G.;Symes, William W.;Mittleman, Daniel M.</t>
  </si>
  <si>
    <t>Dorney T.</t>
  </si>
  <si>
    <t>Terahertz reflection imaging using Kirchhoff migration</t>
  </si>
  <si>
    <t>10.1364/OL.26.001513</t>
  </si>
  <si>
    <t>2-s2.0-0011757930</t>
  </si>
  <si>
    <t>['radiation patterns', 'measured bandwidth', 'impedance loci', 'experimental results', 'approximately 1', 'also presented', '796 octave', '0 ).']</t>
  </si>
  <si>
    <t>Bandwidth | Feed line | Microstrip antenna | Offsets | Slot antenna</t>
  </si>
  <si>
    <t>The proposed novel three-offset shaped microstripline-fed slot antenna has a radiation pattern similar to the conventional microstrip slot antenna and the advantage of more bandwidth. The measured bandwidth is approximately 1.796 octave (VSWR ‚â§ 2.0). Experimental results for the impedance loci and the radiation patterns are also presented. ¬© 2001 IEEE.</t>
  </si>
  <si>
    <t>425-427</t>
  </si>
  <si>
    <t>Experimental study of large bandwidth three-offset microstripline-fed slot antenna</t>
  </si>
  <si>
    <t>10.1109/7260.959318</t>
  </si>
  <si>
    <t>2-s2.0-0012577001</t>
  </si>
  <si>
    <t>National Institute of Arthritis and Musculoskeletal and Skin Diseases</t>
  </si>
  <si>
    <t>R29AR044420</t>
  </si>
  <si>
    <t>NIAMS</t>
  </si>
  <si>
    <t>['quantum yield', 'photophysical characterization', 'parameters show', 'organic antenna', 'lived emitters', 'lanthanide emission', 'lanthanide chelates', 'include excitation', 'fundamental parameters', 'excellent donors', 'emitting dyes', 'emission process', 'efficient long', 'conventional means', 'also shown', 'accurately measure']</t>
  </si>
  <si>
    <t>Luminescent lanthanide chelates have unusual spectroscopic characteristics that make them valuable alternative probes to conventional organic fluorophores. However, fundamental parameters such as their quantum yield, and radiative and nonradiative decay rates have been difficult or impossible to measure. We have developed a simple and robust method based on resonance energy transfer to accurately measure these parameters. In addition, the excitation/emission process in lanthanide chelates involves several steps, and we are able to quantify each step. These include excitation of an organic antenna, transfer of energy from the antenna to lanthanide, and then lanthanide emission. Overall, the parameters show that lanthanide chelates can be efficient long-lived emitters, making them sensitive detection reagents and excellent donors in resonance energy transfer. The method is also shown to be applicable to photophysical characterization of red-emitting dyes, which are difficult to characterize by conventional means.</t>
  </si>
  <si>
    <t>7067-7073</t>
  </si>
  <si>
    <t>56883736200;7006212062</t>
  </si>
  <si>
    <t>Xiao, M.;Selvin, P. R.</t>
  </si>
  <si>
    <t>Xiao M.</t>
  </si>
  <si>
    <t>Quantum yields of luminescent lanthanide chelates and far-red dyes measured by resonance energy transfer</t>
  </si>
  <si>
    <t>10.1021/ja0031669</t>
  </si>
  <si>
    <t>2-s2.0-0034822673</t>
  </si>
  <si>
    <t>U.S. Naval Research Laboratory</t>
  </si>
  <si>
    <t>NRL</t>
  </si>
  <si>
    <t>['specific configuration', 'spatial resolution', 'sns preprocessing', 'sns ).', 'parallel suboperations', 'paper identifies', 'osns gives', 'high resolution', 'fewer number', 'experimental results', 'established techniques', 'easily incorporated', 'bit osns', 'baseline array', 'antennas based', 'analyzed exactly']</t>
  </si>
  <si>
    <t>Directional finding | Electronic warfare | Symmetrical number system</t>
  </si>
  <si>
    <t>This paper identifies a new phase sampling interferometer approach that can be easily incorporated into the established techniques to provide a high resolution, small-baseline array with fewer number of phase sampling comparators. The approach is based on preprocessing the received signal using symmetrical number systems (SNS). Antennas based on both an optimum symmetrical number system (OSNS) and a robust symmetrical number system (RSNS) are investigated. The SNS preprocessing is used to decompose the spatial filtering operation into a number of parallel suboperations (moduli) that are of smaller computational complexity. A much higher direction finding (DF) spatial resolution is achieved after the N different moduli are used and the results of these low precision suboperations are recombined. By incorporating the OSNS or RSNS preprocessing concept, the field of view of a specific configuration of interferometers and phase sampling comparator arrangements can be analyzed exactly. The OSNS gives the maximum dynamic range or number of spatial resolution bins while the RSNS reduces considerably the number of possible encoding errors. Experimental results for both a 5-bit OSNS and a 6-bit RSNS array are compared. The errors in the encoding of the direction of arrival are quantified for both architectures.</t>
  </si>
  <si>
    <t>1411-1423</t>
  </si>
  <si>
    <t>60000251-60033012;60033012;60000251-60033012;60033012</t>
  </si>
  <si>
    <t>35608729100;7801390899;7004276659;6603171634</t>
  </si>
  <si>
    <t>Pace, Phillip E.;Wickersham, David;Jenn, David C.;York, Nathan S.</t>
  </si>
  <si>
    <t>Pace P.</t>
  </si>
  <si>
    <t>High-resolution phase sampled interferometry using symmetrical number systems</t>
  </si>
  <si>
    <t>S0018926X01063694</t>
  </si>
  <si>
    <t>10.1109/8.954930</t>
  </si>
  <si>
    <t>2-s2.0-0035471188</t>
  </si>
  <si>
    <t>['vertical ports', 'unpressurized ).', 'simultaneously achieving', 'polarization suppression', 'peak input', 'paper describes', 'operating frequency', 'low cross', 'loss better', 'impedance bandwidth', 'feeding network', 'danish high', '50 db', '40 db', '14 db', '10 %,']</t>
  </si>
  <si>
    <t>Antenna arrays | Dual polarization antennas</t>
  </si>
  <si>
    <t>This paper describes the development and performance of a wideband dual linear polarization microstrip antenna array used in the Danish high-resolution airborne multifrequency polarimetric synthetic aperture radar, EMISAR. The antenna was designed for an operating frequency of 1.25 GHz ¬± 50 MHz and was built as an array of 8 √ó 2 probe-fed stacked microstrip patches. The feeding network is constructed in microstrip and is capable of handling 6 kW of peak input-power at an altitude of 45 000 ft (unpressurized). The impedance bandwidth (return-loss better than -14 dB) of the antenna is 10%, the isolation between the horizontal and the vertical ports of the array is 50 dB and the cross-polarization suppression is 40 dB. A new design principle for simultaneously achieving very low cross-polarization and low side lobes in dual linear polarization antenna arrays has been applied.</t>
  </si>
  <si>
    <t>1393-1402</t>
  </si>
  <si>
    <t>60000251-60011373;60011373</t>
  </si>
  <si>
    <t>6603887792;6602213720</t>
  </si>
  <si>
    <t>Granholm, Johan;Woelders, Kim</t>
  </si>
  <si>
    <t>Granholm J.</t>
  </si>
  <si>
    <t>Dual polarization stacked microstrip patch antenna array with very low cross-polarization</t>
  </si>
  <si>
    <t>S0018926X01076530</t>
  </si>
  <si>
    <t>10.1109/8.954928</t>
  </si>
  <si>
    <t>2-s2.0-0035471320</t>
  </si>
  <si>
    <t>['width performance', 'variable size', 'superior band', 'spectral domain', 'reflector surface', 'reflection coefficient', 'rectangular patches', 'etching mask']</t>
  </si>
  <si>
    <t>Array | Microstrip | Multilayer | Reflectarray | Reflector</t>
  </si>
  <si>
    <t>A multilayer reflectarray composed of two stacked arrays with rectangular patches of variable size is demonstrated. A progressive phase distribution on the reflector surface is achieved by adjusting the dimensions of the patches. The phase of the reflection coefficient at each element is computed by the method of moments in the spectral domain, assuming local periodicity. A technique is presented for the design of dual polarization reflectarrays that yields all the dimensions for the photo-etching mask. A prototype has been design, built and measured, and a superior band-width performance has been verified, compared to conventional single layer reflectarrays.</t>
  </si>
  <si>
    <t>1403-1410</t>
  </si>
  <si>
    <t>60000251-60009455</t>
  </si>
  <si>
    <t>Encinar, Jos√© A.</t>
  </si>
  <si>
    <t>Madrid;New York</t>
  </si>
  <si>
    <t>Escuela T√©cnica Superior de Ingenieros de Telecomunicaci√≥n, Universidad Polit√©cnica de Madrid;IEEE</t>
  </si>
  <si>
    <t>60009455;60000251</t>
  </si>
  <si>
    <t>Encinar J.A.</t>
  </si>
  <si>
    <t>Design of two-layer printed reflectarrays using patches of variable size</t>
  </si>
  <si>
    <t>S0018926X01053704</t>
  </si>
  <si>
    <t>10.1109/8.954929</t>
  </si>
  <si>
    <t>2-s2.0-0035471344</t>
  </si>
  <si>
    <t>['using state', 'speed ups', 'rigorous methodology', 'recursive bisection', 'petri nets', 'level parallelism', 'ideal candidate', 'horn arrays', 'flow design', 'art electromagnetic', 'aided design']</t>
  </si>
  <si>
    <t>Aperture arrays | Mode-matching | Parallel computing | Petri nets</t>
  </si>
  <si>
    <t>Computer-aided design of horn arrays, even by using state-of-the-art electromagnetic (EM) formulations, requires a considerable numerical effort and is, therefore, an ideal candidate for parallelization. We introduce a rigorous methodology, based on Petri nets and recursive bisection, in order to migrate a standard integral equation code toward parallel multiprocessor machines, following a data-flow design and a multiple-level parallelism. Significant (quasi-linear) speed ups are demonstrated.</t>
  </si>
  <si>
    <t>60003003;60000251-60003003;60003003</t>
  </si>
  <si>
    <t>7005895932;7005171615;6603553410</t>
  </si>
  <si>
    <t>Tarricone, Luciano;Mongiardo, Mauro;Tomassoni, Cristiano</t>
  </si>
  <si>
    <t>Perugia;New York</t>
  </si>
  <si>
    <t>Universit√† degli Studi di Perugia;IEEE</t>
  </si>
  <si>
    <t>60003003;60000251</t>
  </si>
  <si>
    <t>Tarricone L.</t>
  </si>
  <si>
    <t>A parallel framework for the analysis of metal-flanged rectangular-aperture arrays</t>
  </si>
  <si>
    <t>S0018926X01076384</t>
  </si>
  <si>
    <t>10.1109/8.954937</t>
  </si>
  <si>
    <t>2-s2.0-0035471545</t>
  </si>
  <si>
    <t>['wavefront curvature', 'rma cannot', 'readily used', 'planar aperture', 'measurement aperture', 'imaging system', 'frequency radar', 'extremely accurate', 'directly applied', 'aperture radar', 'alternative solution']</t>
  </si>
  <si>
    <t>Fields translation | Near field | Radar imaging | Synthetic aperture radar</t>
  </si>
  <si>
    <t>A near field three-dimensional (3-D) synthetic-aperture radar (SAR) algorithm specially tailored for cylindrical and spherical scanning geometries is presented. An imaging system with 3-D capability can be implemented by using a stepped-frequency radar which synthesizes a two-dimensional (2-D) aperture. Typical scanning geometries commonly used are planar, cylindrical, and spherical. The 3-D range migration algorithm (RMA) can be readily used with a planar scanning geometry. This algorithm is extremely accurate, preserves the phase, and corrects for the wavefront curvature. The RMA cannot be directly applied with nonplanar scanning geometries. However, as an alternative solution, we propose to backpropagate the backscattered data onto a planar aperture in the vicinity of the measurement aperture and then apply the 3-D RMA. The proposed imaging algorithm is validated both numerically and experimentally.</t>
  </si>
  <si>
    <t>1434-1444</t>
  </si>
  <si>
    <t>60000251-60103695;60000251-60010844</t>
  </si>
  <si>
    <t>6603372832;7006678942</t>
  </si>
  <si>
    <t>Fortuny-Guasch, Joaquim;Lopez-Sanchez, Juan M.</t>
  </si>
  <si>
    <t>Belgium;Spain;United States</t>
  </si>
  <si>
    <t>Brussels;Alicante;New York</t>
  </si>
  <si>
    <t>European Commission Joint Research Centre;Universitat d'Alacant;IEEE</t>
  </si>
  <si>
    <t>60103695;60010844;60000251</t>
  </si>
  <si>
    <t>Fortuny-Guasch J.</t>
  </si>
  <si>
    <t>Extension of the 3-D range migration algorithm to cylindrical and spherical scanning geometries</t>
  </si>
  <si>
    <t>S0018926X01063657</t>
  </si>
  <si>
    <t>10.1109/8.954932</t>
  </si>
  <si>
    <t>2-s2.0-0035471588</t>
  </si>
  <si>
    <t>['short slot', 'radiation field', 'radiated power', 'numerical results', 'loss power', 'impedance surface', 'ground plane', 'analytical model']</t>
  </si>
  <si>
    <t>Imperfect ground plane | Slot antennas | Surface impedance</t>
  </si>
  <si>
    <t>The effects of a lossy-ground plane on the radiation from a slot are analyzed by using a Green's function of an impedance surface. Numerical results of the radiation field, radiated power, and loss power are presented for various lossy ground planes. In particular, the radiation field and the radiated power from a short slot are given by simple closed expressions. The analytical model of a slot in an impedance surface is validated by radiation field measurements.</t>
  </si>
  <si>
    <t>1370-1376</t>
  </si>
  <si>
    <t>60000251-60011047</t>
  </si>
  <si>
    <t>Yoshitomi, Kuniaki</t>
  </si>
  <si>
    <t>Fukuoka;New York</t>
  </si>
  <si>
    <t>Kyushu University;IEEE</t>
  </si>
  <si>
    <t>60011047;60000251</t>
  </si>
  <si>
    <t>Yoshitomi K.</t>
  </si>
  <si>
    <t>Radiation from a slot in an impedance surface</t>
  </si>
  <si>
    <t>S0018926X01063669</t>
  </si>
  <si>
    <t>10.1109/8.954925</t>
  </si>
  <si>
    <t>2-s2.0-0035471599</t>
  </si>
  <si>
    <t>['rectangular waveguide', 'radiation characteristics', 'observed following', 'narrow wall', 'investigated using', 'difference time', 'coupling element', 'computer requirements', 'clear improvement', 'analytical procedures']</t>
  </si>
  <si>
    <t>Antenna | Coupler | Finite-difference time-domain (FDTD) | Narrow slot | Waveguides</t>
  </si>
  <si>
    <t>A "V-shaped" slot in the narrow wall of a rectangular waveguide is presented as a coupling element. Three- and four-port coupler parameters and the radiation characteristics of the slot were investigated using the finite-difference time-domain (FDTD) method. Two approximate numerical-analytical procedures are proposed to reduce the computer requirements and predict multislot device characteristics. A clear improvement in four-port coupler parameters was observed following the incorporation of a thin dielectric layer.</t>
  </si>
  <si>
    <t>1363-1369</t>
  </si>
  <si>
    <t>60025028;60025028</t>
  </si>
  <si>
    <t>57004645200;6507073025</t>
  </si>
  <si>
    <t>Hern√°ndez-L√≥pez, M. A.;Quintill√°n, M.</t>
  </si>
  <si>
    <t>Salamanca</t>
  </si>
  <si>
    <t>Universidad de Salamanca</t>
  </si>
  <si>
    <t>Hern√°ndez-L√≥pez M.</t>
  </si>
  <si>
    <t>Coupling and radiation through "V-shaped" narrow slots using the FDTD method</t>
  </si>
  <si>
    <t>S0018926X01076554</t>
  </si>
  <si>
    <t>10.1109/8.954924</t>
  </si>
  <si>
    <t>2-s2.0-0035471725</t>
  </si>
  <si>
    <t>['resonant length', 'real part', 'predicted efficiencies', 'octave increments', 'mems switches', 'maintained near', 'lossy microelectromechanical', 'fixed length', 'fixed dipoles', 'filamentary microstrip', 'element œª', 'dipoles interconnected', 'dipole self', 'antenna gain', '6 db', '2 ghz', '16 ghz', '0 db']</t>
  </si>
  <si>
    <t>Antenna gain | Aperture antennas | Reconfigurable antennas</t>
  </si>
  <si>
    <t>A full-wave analysis based on the method of moments (MoM) is carried out for a reconfigurable-aperture antenna consisting of a two-dimensional (2-D) array of filamentary microstrip-dipoles interconnected by lossy microelectromechanical-system (MEMS) switches. Activation of specific MEMS switches allows the dipoles to be maintained near the halfwave-resonant length as the frequency is reduced in octave increments between 16 and 2 GHz. This keeps the real part of the dipole self-impedance much higher and the imaginary part much lower than in a dipole having a fixed length of Œª/2 at 16 GHz. Hence, the array-antenna gain and aperture efficiency remain much higher with frequency than in an array of fixed dipoles. Broad side aperture efficiencies of -3.9, -6.0, -9.5, and -10.6 dB are predicted for 16 √ó 16, 8 √ó 8, 4 √ó 4, and 2 √ó 2 recap dipole arrays at frequencies of 16, 8, 4, and 2 GHz, respectively, for MEMS switches having 0.5 dB insertion loss. In contrast, fixed-element Œª/2-separated arrays operating at the same frequencies have predicted efficiencies of -3.9, -24.2, -45.0, and -63.0 dB, respectively.</t>
  </si>
  <si>
    <t>1357-1362</t>
  </si>
  <si>
    <t>60000251-60027550</t>
  </si>
  <si>
    <t>Brown, Elliott R.</t>
  </si>
  <si>
    <t>Brown E.R.</t>
  </si>
  <si>
    <t>On the gain of a reconfigurable-aperture antenna</t>
  </si>
  <si>
    <t>S0018926X01063682</t>
  </si>
  <si>
    <t>10.1109/8.954923</t>
  </si>
  <si>
    <t>2-s2.0-0035471894</t>
  </si>
  <si>
    <t>['two theories', 'triangular distribution', 'static approximation', 'static approach', 'staras proposed', 'space plasma', 'short antenna', 'second one', 'remarkably close', 'paper presents', 'impedances resulting', 'first problem', 'distributions include', 'derived using', 'current distribution', 'antenna impedance', 'analyzing data', 'analytical solution']</t>
  </si>
  <si>
    <t>Dipole antennas | Impedance | Plasma covered antennas | Probe antennas</t>
  </si>
  <si>
    <t>This paper presents the analysis of the impedance of a short dipole antenna in a cold plasma using a quasi-static approach. Two radically different current distributions on the antenna are considered and their influences on the antenna impedance are studied. These distributions include a one-dimensional (1-D) triangular distribution and a three-dimensional (3-D) exponential current distribution. Balmain analytically solved the first problem. Staras proposed the second one. In this paper, we offer an analytical solution for the second one as proposed by Staras. We compare both distributions and find that impedances resulting from them are remarkably close. We conclude that the impedance of a short antenna, as derived using the quasi-static approximation, is insensitive to the choice of current distribution. Therefore, any of these two theories can be used when analyzing data from an impedance probe immersed in a space plasma.</t>
  </si>
  <si>
    <t>1377-1381</t>
  </si>
  <si>
    <t>60027950;60031706</t>
  </si>
  <si>
    <t>57204398080;7103120772</t>
  </si>
  <si>
    <t>Nikitin, Pavel;Swenson, Charles</t>
  </si>
  <si>
    <t>Logan;Pittsburgh</t>
  </si>
  <si>
    <t>Utah State University;Carnegie Mellon University</t>
  </si>
  <si>
    <t>60031706;60027950</t>
  </si>
  <si>
    <t>Nikitin P.</t>
  </si>
  <si>
    <t>Impedance of a short dipole antenna in a cold plasma</t>
  </si>
  <si>
    <t>S0018926X01063761</t>
  </si>
  <si>
    <t>10.1109/8.954926</t>
  </si>
  <si>
    <t>2-s2.0-0035471968</t>
  </si>
  <si>
    <t>ECS 95-02138</t>
  </si>
  <si>
    <t>['two chromosomes', 'structure improves', 'received signal', 'population composed', 'interference ratio', 'individuals characterized', 'genetic algorithm', 'changing conditions', 'applebaum criterion']</t>
  </si>
  <si>
    <t>Adaptive antenna arrays | Applebaum array | Dominance and diploidy | Genetic algorithms</t>
  </si>
  <si>
    <t>Adaptation of an antenna array controlled by digital-phase shifters using an advanced operator genetic algorithm is demonstrated. The genetic algorithm continuously optimizes the antenna's received signal-to-noise-plus-interference ratio (SINR) (Applebaum criterion) under changing interference conditions. Unlike earlier attempts to control adaptive array antennas using evolutionary optimization techniques, the current study uses a genetic algorithm with a population composed of individuals characterized by two chromosomes. Several numerical examples demonstrate that this "diploid" structure improves the ability of the genetic algorithm to adapt to changing conditions when compared with a simple genetic algorithm.</t>
  </si>
  <si>
    <t>1424-1433</t>
  </si>
  <si>
    <t>60000251-60023004;60000251-60000745</t>
  </si>
  <si>
    <t>7003429344;7005196479</t>
  </si>
  <si>
    <t>Weile, Daniel S.;Michielssen, Eric</t>
  </si>
  <si>
    <t>Newark;Urbana;New York</t>
  </si>
  <si>
    <t>University of Delaware;University of Illinois Urbana-Champaign;IEEE</t>
  </si>
  <si>
    <t>60023004;60000745;60000251</t>
  </si>
  <si>
    <t>Weile D.</t>
  </si>
  <si>
    <t>The control of adaptive antenna arrays with genetic algorithms using dominance and diploidy</t>
  </si>
  <si>
    <t>S0018926X0106361X</t>
  </si>
  <si>
    <t>10.1109/8.954931</t>
  </si>
  <si>
    <t>2-s2.0-0035472058</t>
  </si>
  <si>
    <t>['various parameters', 'various factors', 'theory accounting', 'tg waves', 'spatial distribution', 'scaling laws', 'radial directions', 'power absorption', 'plasma resistance', 'plasma density', 'plasma column', 'peripheral plasma', 'measured data', 'magnetic fields', 'magnetic field', 'give rise', 'gas pressure', 'experimental results', 'especially regarding', 'electrostatic trivelpiece', 'either taking', 'edge regions', 'driving frequency', 'deposited power', 'comparatively examined', 'cavity resonances', 'broad range', 'better fit', 'antenna spectrum', 'absorption profiles', '0 antenna']</t>
  </si>
  <si>
    <t>A power absorption in helicon plasma excited by double m=0 antenna is considered at high argon pressures, when the electron collision frequency exceeds the driving frequency. The influence of various factors is examined, including the plasma density and nonuniformity, magnetic field, gas pressure, and antenna spectrum. The wave dispersion curves and absorbed power spectra are comparatively examined to find out the scaling laws. The spatial distribution of the deposited power is characterized both qualitatively and quantitatively by considering the absorption profiles and fractions of the total power absorbed in the under antenna and edge regions of the plasma column. Dependencies of the plasma load resistance on various parameters and magnetic field profiles are examined and compared with experimental results. Computations are performed using two alternative models, either taking into account or neglecting the excitation of quasi-electrostatic Trivelpiece-Gould (TG) waves. Results on the plasma resistance are found to be close in both models provided collisional damping of helicons is not so low as to give rise to the cavity resonances. Inclusion of the TG waves yields magnetic field profiles which are substantially localized near the antenna, and absorption profiles strongly peaking in the peripheral plasma, underneath the antenna. With neglect of the TG waves, the magnetic fields and absorption profiles are found to be much more extended in both axial and radial directions from the antenna. Theory accounting for the TG waves gives a better fit over a broad range of parameters to the measured data, especially regarding the magnetic field profiles. ¬© 2001 American Institute of Physics.</t>
  </si>
  <si>
    <t>4659-4674</t>
  </si>
  <si>
    <t>60005722;60011047</t>
  </si>
  <si>
    <t>6701557700;7102082310</t>
  </si>
  <si>
    <t>Shamrai, Konstantin P.;Shinohara, Shunjiro</t>
  </si>
  <si>
    <t>Japan;Ukraine</t>
  </si>
  <si>
    <t>Fukuoka;Kiev</t>
  </si>
  <si>
    <t>Kyushu University;Institute of Nuclear Research, National Academy of Sciences in Ukraine</t>
  </si>
  <si>
    <t>60011047;60005722</t>
  </si>
  <si>
    <t>Shamrai K.P.</t>
  </si>
  <si>
    <t>Spectral and spatial characterization of a radio frequency power absorption in high pressure helicon plasmas</t>
  </si>
  <si>
    <t>10.1063/1.1394779</t>
  </si>
  <si>
    <t>2-s2.0-0035473611</t>
  </si>
  <si>
    <t>['proposed system', 'propose utilizing', 'optical subcarrier', 'optical fiber', 'multiplexing transmission', 'fiber technique', 'center station']</t>
  </si>
  <si>
    <t>Land mobile radio equipment | Microwave antenna arrays | Optical fiber communication | Phase-locked loop | Subcarrier multiplexing</t>
  </si>
  <si>
    <t>We propose utilizing a radio-over-fiber technique of optical subcarrier-multiplexing transmission for radio base stations (BSs) with adaptive array antennas. The proposed system can be constructed at low cost since only one optical transmitter and receiver is required for a center station and a BS. Moreover, relative phases among antenna branches are insensitive to equivalent length fluctuation of an optical fiber.</t>
  </si>
  <si>
    <t>2036-2041</t>
  </si>
  <si>
    <t>10 II</t>
  </si>
  <si>
    <t>55761800900;6701919222;7203069228</t>
  </si>
  <si>
    <t>Seto, I.;Shoki, H.;Ohshima, S.</t>
  </si>
  <si>
    <t>Seto I.</t>
  </si>
  <si>
    <t>Optical subcarrier multiplexing transmission for base station with adaptive array antenna</t>
  </si>
  <si>
    <t>S0018948001087269</t>
  </si>
  <si>
    <t>10.1109/22.954827</t>
  </si>
  <si>
    <t>2-s2.0-0035474073</t>
  </si>
  <si>
    <t>['primary feed', 'plate waveguide', 'photonic bandgap', 'metal posts', 'line theory', 'entire lens', 'different lattices', 'control radar', 'asymmetric parallel', 'apwll ).', 'also investigated']</t>
  </si>
  <si>
    <t>Adaptive cruise control radar | Electromagnetic bandgap | Luneburg lens antennas | Millimeter-wave antennas | Photonic bandgap</t>
  </si>
  <si>
    <t>Periodic and regular metal posts, a photonic bandgap (PBG) structure for guiding surface waves in a parallel-plate waveguide is proposed. The isotropic PBG structure is applied to the design of an asymmetric parallel-plate waveguide Luneburg lens (APWLL). The relation between the dimensions of the metal posts and the required refraction index in the lens is derived with the transmission-line theory and the transverse resonance method. Different lattices for the entire lens are also investigated. For verification, an antenna for a 76.5 GHz adaptive-cruise-control radar is fabricated, consisting of an APWLL, a primary feed, and symmetric corrugated flares to improve the property of the antenna in elevation. Measured results verify the PBG structure design in the APWLL.</t>
  </si>
  <si>
    <t>1854-1859</t>
  </si>
  <si>
    <t>60029428;60029428;60029428</t>
  </si>
  <si>
    <t>56266619400;6602457077;7006593766</t>
  </si>
  <si>
    <t>Park, Y. J.;Herschlein, A.;Wiesbeck, W.</t>
  </si>
  <si>
    <t>Park Y.</t>
  </si>
  <si>
    <t>A photonic bandgap (PBG) structure for guiding and suppressing surface waves in millimeter-wave antennas</t>
  </si>
  <si>
    <t>S0018948001087282</t>
  </si>
  <si>
    <t>10.1109/22.954798</t>
  </si>
  <si>
    <t>2-s2.0-0035474095</t>
  </si>
  <si>
    <t>['theoretical analysis', 'proposed receiver', 'poor performance', 'noise ratio', 'intersymbol interference', 'frequency domain', 'efficient receiver', 'computational complexity']</t>
  </si>
  <si>
    <t>Decision feedback equalizer (DFE) | Multiple access interference (MAI) | Power control | RLS algorithm | Space diversity combing (SDC) | Wavelet packet based multiple access system (WPMA)</t>
  </si>
  <si>
    <t>A wavelet packet function based multiple access (WPMA) system was developed to maximize information throughput and improve receiver performance. However, over frequency selective slowly fading channels, the conventional correlation receiver results in poor performance. To design an efficient receiver that mitigates residual multiple access interference (MAI) and intersymbol interference, while improving received signal-to-noise ratio (SNR) simultaneously on the uplink, a multichannel decision feedback equalizer (DFE) using the space diversity combining (SDC) is proposed in this paper. Since the wavelet packet functions are bandlimited in the frequency domain, the computational complexity of the proposed receiver does not increase as the number of active user increases. Theoretical analysis and simulation results show that, the developed equalizer behaves quite well and outperforms the single channel DPE and the multichannel DFE without SDC greatly.</t>
  </si>
  <si>
    <t>504-510</t>
  </si>
  <si>
    <t>60005244;60005244;60005244;60005244</t>
  </si>
  <si>
    <t>57209624852;57213770268;55477472600;56852500400</t>
  </si>
  <si>
    <t>Zhang, X.;Zhang, G.;Zheng, H.;Bi, G.</t>
  </si>
  <si>
    <t>Zhang X.</t>
  </si>
  <si>
    <t>Adaptive multichannel equalization utilizing multiple antennas for a WPMA system over frequency selective slowly fading channels</t>
  </si>
  <si>
    <t>2-s2.0-0035475012</t>
  </si>
  <si>
    <t>['wavelength reuse', 'wave fiber', 'novel technique', 'demonstrated experimentally']</t>
  </si>
  <si>
    <t>Fixed wireless access networks | Millimeter-wave communications | Optical communications</t>
  </si>
  <si>
    <t>A novel technique for wavelength reuse has been proposed to simplify the upstream optical interface of an antenna base station in a millimeter-wave fiber-wireless system incorporating wavelength division multiplexing. This technique is based on recovering the optical carrier used in downstream signal transmission and reusing the same wavelength for upstream signal transmission. Two novel configurations for optical carrier recovery and wavelength reuse are proposed and demonstrated experimentally.</t>
  </si>
  <si>
    <t>2006-2012</t>
  </si>
  <si>
    <t>60026553;60026553;60026553;60026553</t>
  </si>
  <si>
    <t>35571786200;7103230273;55480890000;35478779700</t>
  </si>
  <si>
    <t>Nirmalathas, A.;Novak, D.;Lim, C.;Waterhouse, R. B.</t>
  </si>
  <si>
    <t>Parkville</t>
  </si>
  <si>
    <t>University of Melbourne</t>
  </si>
  <si>
    <t>Wavelength reuse in the WDM optical interface of a millimeter-wave fiber-wireless antenna base station</t>
  </si>
  <si>
    <t>S0018948001087233</t>
  </si>
  <si>
    <t>10.1109/22.954822</t>
  </si>
  <si>
    <t>2-s2.0-0035475111</t>
  </si>
  <si>
    <t>['stap filter', 'range dependence', 'one aspect', 'looking arrays', 'linear sidelooking', 'clutter rejection', 'array geometries', 'applies particularly', 'another aspect']</t>
  </si>
  <si>
    <t>For air- and spaceborne MTI radar the clutter Doppler frequency depends on range for all array geometries other than linear sidelooking. This applies particularly to forward-looking arrays. The range dependence of the clutter Doppler causes specific problems in clutter rejection through STAP (space-time adaptive processing) techniques. One aspect is the lack of training data required for adapting the STAP filter. Another aspect is that the STAP filter becomes range dependent. A technique for compensating for the range dependence is proposed. The efficiency of the method is verified by use of clutter data measured with the multichannel radar AER II (airborne experimental radar).</t>
  </si>
  <si>
    <t>253-258</t>
  </si>
  <si>
    <t>100497058;100497058</t>
  </si>
  <si>
    <t>7801579296;7004311323</t>
  </si>
  <si>
    <t>Kreyenkamp, O.;Klemm, R.</t>
  </si>
  <si>
    <t>Neuss</t>
  </si>
  <si>
    <t>Pierburg AG</t>
  </si>
  <si>
    <t>Kreyenkamp O.</t>
  </si>
  <si>
    <t>Doppler compensation in forward-looking STAP radar</t>
  </si>
  <si>
    <t>10.1049/ip-rsn:20010557</t>
  </si>
  <si>
    <t>2-s2.0-0035475656</t>
  </si>
  <si>
    <t>['traditional method', 'rf emissions', 'results show', 'phase difference', 'moving observer', 'interferometer mounted', 'direction measurements']</t>
  </si>
  <si>
    <t>The interferometer is the traditional instrument used to find the direction of an emitter by measuring the phase difference of arrival of its RF emissions. Bearings-only motion analysis indicates that an observer with these direction measurements can locate the position of the emitter in a period of time. A novel passive location method is introduced with phase difference and phase difference rate measurements with the interferometer mounted on a moving observer. The accuracy of a passive location system with these measurements is analysed. The results show a significantly improved performance compared with the traditional method.</t>
  </si>
  <si>
    <t>302-307</t>
  </si>
  <si>
    <t>100562929;100562929;100562929;100562929;100562929</t>
  </si>
  <si>
    <t>7401768928;56101649800;7403697157;7405368397;56098865400</t>
  </si>
  <si>
    <t>Deng, X. P.;Liu, Z.;Jiang, W. L.;Zhou, Y. Y.;Xu, Y. W.</t>
  </si>
  <si>
    <t>Changsha</t>
  </si>
  <si>
    <t>National University</t>
  </si>
  <si>
    <t>Deng X.</t>
  </si>
  <si>
    <t>Passive location method and accuracy analysis with phase difference rate measurements</t>
  </si>
  <si>
    <t>10.1049/ip-rsn:20010540</t>
  </si>
  <si>
    <t>2-s2.0-0035475735</t>
  </si>
  <si>
    <t>['rights reserved', 'pumping frequency', 'harmonic oscillator', 'electromagnetic rigidity']</t>
  </si>
  <si>
    <t>Electromagnetic rigidity which exists in large-scale optical resonators if pumping frequency is detuned from the eigenfrequency of resonator have sophisticated spectral dependence which allows to obtain sensitivity better than the standard quantum limits both for the free test mass and the harmonic oscillator. ¬© 2001 Elsevier Science B.V. All rights reserved.</t>
  </si>
  <si>
    <t>251-256</t>
  </si>
  <si>
    <t>Khalili, F. Ya</t>
  </si>
  <si>
    <t>Khalili F.Y.</t>
  </si>
  <si>
    <t>Frequency-dependent rigidity in large-scale interferometric gravitational-wave detectors</t>
  </si>
  <si>
    <t>S0375960101005503</t>
  </si>
  <si>
    <t>10.1016/S0375-9601(01)00550-3</t>
  </si>
  <si>
    <t>2-s2.0-0035477942</t>
  </si>
  <si>
    <t>['steering vector', 'rights reserved', 'proposed whereby', 'proposed system', 'proposed configuration', 'paper deals', 'operating wavelength', 'multiple co', 'interference ratio', 'interference performance', 'complete array', 'channel users', 'cell center', 'best signal']</t>
  </si>
  <si>
    <t>Adaptive beamforming | Distributed adaptive array | Interference reduction</t>
  </si>
  <si>
    <t>In this paper, a method is proposed whereby the interference between multiple co-channel users can substantially be reduced, compared to conventional arrays located in the cell center. The proposed technique employs planar multi-angle user discrimination. This is achieved by means of a distributed antenna array system, consisting of three antenna sub-arrays whose centers are spaced far apart compared to the operating wavelength. The sub-arrays are located at the edges of a regular hexagonal cell. Although the proposed configuration can be used in both the up- and down-link, this paper deals with the up-link only. Utilizing the least mean squares technique, the steering vector is optimized for the complete array to yield the best signal to interference ratio for all the co-channel users in the same cell. The signal to interference performance of the proposed system is compared to conventional antenna array systems, located at the center of a cell. ¬© 2001 Elsevier Science B.V. All rights reserved.</t>
  </si>
  <si>
    <t>2059-2068</t>
  </si>
  <si>
    <t>60021902;60021902;60021902</t>
  </si>
  <si>
    <t>15746461600;7004459157;35561582300</t>
  </si>
  <si>
    <t>Da Silveira, M. W.;Odendaal, J. W.;Joubert, J.</t>
  </si>
  <si>
    <t>Pretoria</t>
  </si>
  <si>
    <t>University of Pretoria</t>
  </si>
  <si>
    <t>Da Silveira M.</t>
  </si>
  <si>
    <t>Same cell co-channel interference reduction using multiple spatially distributed adaptive array systems</t>
  </si>
  <si>
    <t>S0165168401000913</t>
  </si>
  <si>
    <t>10.1016/S0165-1684(01)00091-3</t>
  </si>
  <si>
    <t>2-s2.0-0035479399</t>
  </si>
  <si>
    <t>['usually assumed', 'source directions', 'sensor locations', 'robust procedure', 'rights reserved', 'often used', 'large errors', 'friedlander music', 'existing techniques', 'estimation procedure', 'calibration errors', 'better performance']</t>
  </si>
  <si>
    <t>Array processing | Calibration | Direction finding</t>
  </si>
  <si>
    <t>Self-calibration algorithms estimate both source directions of arrival (DOAs) and perturbed array response vector parameters, such as sensor locations. Calibration errors are usually assumed to be small and a first order approximation to the perturbed array response vector is often used to simplify the estimation procedure. In this paper, we develop a more robust procedure that does not rely on the small error assumption. It has better performance for large estimation errors, and when used to initialize the Weiss and Friedlander MUSIC-based iterative technique, we see significant improvement over existing techniques for both small and large errors. ¬© 2001 Elsevier Science B.V. All rights reserved.</t>
  </si>
  <si>
    <t>2201-2214</t>
  </si>
  <si>
    <t>60012564;60018319</t>
  </si>
  <si>
    <t>7007011033;7401917132</t>
  </si>
  <si>
    <t>Flanagan, Brian P.;Bell, Kristine L.</t>
  </si>
  <si>
    <t>Fairfax;McLean</t>
  </si>
  <si>
    <t>George Mason University;MITRE Corporation</t>
  </si>
  <si>
    <t>60018319;60012564</t>
  </si>
  <si>
    <t>Flanagan B.</t>
  </si>
  <si>
    <t>Array self-calibration with large sensor position errors</t>
  </si>
  <si>
    <t>S0165168401001219</t>
  </si>
  <si>
    <t>10.1016/S0165-1684(01)00121-9</t>
  </si>
  <si>
    <t>2-s2.0-0035479403</t>
  </si>
  <si>
    <t>['rights reserved', 'paper describes', 'general equation', 'directional interference', 'different lengths', 'cables connecting', 'array radar']</t>
  </si>
  <si>
    <t>Adaptive rejection of directional interference | Adaptive signal processing | Adaptive spatial filtering | Radar</t>
  </si>
  <si>
    <t>The paper describes the problem of adaptive spatial filtering of directional interference in a phased-array radar. In particular, it analyses the effect of the different lengths that the cables connecting the antenna to the signal processor cabinet might have. A general equation for the interference cancellation ratio is derived and numerical application examples are given. ¬© 2001 Elsevier Science B.V. All rights reserved.</t>
  </si>
  <si>
    <t>2155-2170</t>
  </si>
  <si>
    <t>57202472103;7801617258</t>
  </si>
  <si>
    <t>Farina, A.;Sanzullo, R.</t>
  </si>
  <si>
    <t>Farina A.</t>
  </si>
  <si>
    <t>Performance limitations in adaptive spatial filtering</t>
  </si>
  <si>
    <t>S0165168401001116</t>
  </si>
  <si>
    <t>10.1016/S0165-1684(01)00111-6</t>
  </si>
  <si>
    <t>2-s2.0-0035479624</t>
  </si>
  <si>
    <t>['effective aperture', 'data measured', 'antenna contained']</t>
  </si>
  <si>
    <t>The influence of effective aperture fluctuations in an antenna was analyzed. The antenna was located low enough above the ground on the data measured by it. The fluctuations of the effective aperture of the antenna contained the noise because the antenna system interacted with the environment generating long-term memory effects in the system.</t>
  </si>
  <si>
    <t>2407-2410</t>
  </si>
  <si>
    <t>Chaos, Solitons and Fractals</t>
  </si>
  <si>
    <t>Stanislavsky, A. A.</t>
  </si>
  <si>
    <t>Stanislavsky A.</t>
  </si>
  <si>
    <t>Antenna effective area fluctuations and 1/f&lt;sup&gt;Œ±&lt;/sup&gt;-noise</t>
  </si>
  <si>
    <t>S0960077900002010</t>
  </si>
  <si>
    <t>10.1016/S0960-0779(00)00201-0</t>
  </si>
  <si>
    <t>2-s2.0-0035480517</t>
  </si>
  <si>
    <t>['theoretical analyzes', 'radiation characteristics', 'pspice ."', 'promising technique', 'partial discharge', 'insulation performance', 'insulating spacers', 'gis insulation', 'gis apertures', 'gis aperture', 'frequency characteristics', 'establish high', 'electromagnetic wave', 'also discussed', 'also analyzed']</t>
  </si>
  <si>
    <t>Frequency spectrum | Gas insulated switchgear | Radiated electromagnetic wave | Spacer aperture | Transient analysis</t>
  </si>
  <si>
    <t>Partial discharge (PD) measurement using electro magnetic wave by antennas is a promising technique to diagnose the insulation performance of GIS. In order to establish high-sensitive diagnosis technique of GIS insulation, frequency characteristics of electromagnetic wave, which are determined by GIS apertures such as insulating spacers and bushings, should be clarified. In this paper, we measured the electromagnetic wave radiated from different GIS apertures and also analyzed it using transient analysis program "PSpice." Comparing the measurements with the theoretical analyzes, we investigated the relationship between the GIS aperture configuration and the radiated electromagnetic wave spectrum from the aperture. We also discussed how the aperture condition contributed to the radiation characteristics of electromagnetic wave. Finally, we concluded that the electromagnetic wave radiated from GIS aperture was based on different radiation mechanism in frequency.</t>
  </si>
  <si>
    <t>552-557</t>
  </si>
  <si>
    <t>IEEE Transactions on Power Delivery</t>
  </si>
  <si>
    <t>60000264;60000264;60000251-60000264;60000251-60000264</t>
  </si>
  <si>
    <t>7402635696;7406868622;7102033691;24401859700</t>
  </si>
  <si>
    <t>Hoshino, Toshihiro;Kato, Katsumi;Hayakawa, Naoki;Okubo, Hitoshi</t>
  </si>
  <si>
    <t>Nagoya;New York</t>
  </si>
  <si>
    <t>Nagoya University;IEEE</t>
  </si>
  <si>
    <t>60000264;60000251</t>
  </si>
  <si>
    <t>Hoshino T.</t>
  </si>
  <si>
    <t>Frequency characteristics of electromagnetic wave radiated from GIS apertures</t>
  </si>
  <si>
    <t>S0885897701085144</t>
  </si>
  <si>
    <t>10.1109/61.956736</t>
  </si>
  <si>
    <t>2-s2.0-0035481252</t>
  </si>
  <si>
    <t>['viewing radar', 'terminal velocity', 'size distribution', 'scattering medium', 'related unambiguously', 'question remains', 'quantity depends', 'platform motion', 'permit estimates', 'observation platforms', 'mean air', 'large numbers', 'independent samples', 'gathered using', 'estimating parameters', 'directly related', 'differential signals', 'center frequency', 'center frequencies', 'available power', 'attractive feature']</t>
  </si>
  <si>
    <t>Airborne radar | Doppler | Drop-size distribution | Dual wavelength | Spaceborne radar</t>
  </si>
  <si>
    <t>Dual-frequency weather radar data can be gathered using a single broadband power amplifier and antenna for the purpose of estimating parameters of the hydrometeor size distribution. This is an attractive feature for observation platforms that are limited with respect to mass or available power. Whether useful properties of the scattering medium can be obtained from data of this type is the focus of the paper. Generally, as the center frequency or the bandwidth is decreased, the reflectivity factor difference falls below the level of the inherent signal fluctuations. Even if large numbers of independent samples can be gathered to permit estimates of the differential signals, the question remains as to whether the signal can be related unambiguously to properties of the rain or snow. Center frequencies at or near 35 GHz with bandwidths in excess of 5% give relatively strong differential signals. The signal, moreover, is directly related to the median mass diameter of the size distribution. The differential mean Doppler at frequencies where non-Rayleigh scattering effects are significant is also of use because the quantity depends only on the terminal velocity of the drops and is insensitive to the mean air and platform motion. In principle, the mean and differential mean Doppler velocities from a nadir-viewing radar can be used to estimate the mean vertical air motion and the median drop diameter of the size distribution.</t>
  </si>
  <si>
    <t>2203-2216</t>
  </si>
  <si>
    <t>60000251-60006337;100359907;60000251-60006337;60006337</t>
  </si>
  <si>
    <t>7006508160;7202542476;7004468406;7003283811</t>
  </si>
  <si>
    <t>Meneghini, Robert;Liao, L.;Bidwell, Steven W.;Heymsfield, G. M.</t>
  </si>
  <si>
    <t>Greenbelt;New York;Rockville</t>
  </si>
  <si>
    <t>NASA Goddard Space Flight Center;IEEE;Caelum Research Corporation</t>
  </si>
  <si>
    <t>60006337;60000251;100359907</t>
  </si>
  <si>
    <t>Meneghini R.</t>
  </si>
  <si>
    <t>On the feasibility of a Doppler weather radar for estimates of drop size distribution using two closely spaced frequencies</t>
  </si>
  <si>
    <t>S0196289201088374</t>
  </si>
  <si>
    <t>10.1109/36.957283</t>
  </si>
  <si>
    <t>2-s2.0-0035481379</t>
  </si>
  <si>
    <t>['wireless system', 'time decoding', 'squaring method', 'orthogonal space', 'noise ratio', 'form expression', 'decoding performance', 'arbitrary number', 'also derived']</t>
  </si>
  <si>
    <t>Diversity | Multipath channels | Multiple antennas | Space-time codes</t>
  </si>
  <si>
    <t>In this letter, we present a squaring method to simplify the decoding of orthogonal space-time block codes in a wireless system with an arbitrary number of transmit- and receive-antennas. Using this squaring method, a closed-form expression of signal-to-noise ratio after space-time decoding is also derived. It gives the same decoding performance as the maximum-likelihood ratio decoding while it shows much lower complexity.</t>
  </si>
  <si>
    <t>1700-1703</t>
  </si>
  <si>
    <t>60016930;60016930;60016930;60000251-60016930</t>
  </si>
  <si>
    <t>57225158111;57196940622;35174061500;7201995655</t>
  </si>
  <si>
    <t>Li, Xiangming;Luo, Tao;Yue, Guangxin;Yin, Changchuan</t>
  </si>
  <si>
    <t>Beijing;New York</t>
  </si>
  <si>
    <t>Beijing University of Posts and Telecommunications;IEEE</t>
  </si>
  <si>
    <t>60016930;60000251</t>
  </si>
  <si>
    <t>A squaring method to simplify the decoding of orthogonal space-time block codes</t>
  </si>
  <si>
    <t>S0090677801091139</t>
  </si>
  <si>
    <t>10.1109/26.957388</t>
  </si>
  <si>
    <t>2-s2.0-0035481578</t>
  </si>
  <si>
    <t>['sf6 gas', 'results derived', 'radiation length', 'noisy condition', 'insulation diagnosis', 'great contribution', 'external noises', 'discriminate pd', 'could estimate', '100 pc']</t>
  </si>
  <si>
    <t>Electromagnetic wave spectrum | Gas insulated switchgear | Noise elimination | Partial discharge | Polarization</t>
  </si>
  <si>
    <t>For the insulation diagnosis of GIS, it is necessary to detect partial discharge (PD) under noisy condition and to specify the direction of electromagnetic wave radiation due to PD. We proposed "phase gate control method" for discriminating the electromagnetic wave caused by PD in SF6 gas from external noises. The proposed method enabled us to discriminate PD of about 100 pC in SF6 gas from external noises of more than 10 000 pC in air. We also compared polarization characteristics of electromagnetic wave radiated from PD with those from a half-wave dipole antenna, and could estimate the radiation length of electromagnetic wave caused by PD. The results derived in this paper will make a great contribution to the insulation diagnosis of GIS on-site.</t>
  </si>
  <si>
    <t>545-551</t>
  </si>
  <si>
    <t>A novel technique for detecting electromagnetic wave caused by partial discharge in GIS</t>
  </si>
  <si>
    <t>S0885897701085168</t>
  </si>
  <si>
    <t>10.1109/61.956735</t>
  </si>
  <si>
    <t>2-s2.0-0035481580</t>
  </si>
  <si>
    <t>99-79443</t>
  </si>
  <si>
    <t>['two transmit', 'study space', 'simulations demonstrate', 'order l', 'order 2', 'maximum diversity', 'joint exploitation', 'block transmissions', 'block coding', 'antenna diversity']</t>
  </si>
  <si>
    <t>Frequency selective multipath channels | Space-time coding | Zero-padded (ZP) block transmissions</t>
  </si>
  <si>
    <t>In this letter, we study space-time (ST) block coding for single carrier zero-padded (ZP) block transmissions through finite impulse response (FIR) multipath fading channels of order L. We prove that maximum diversity of order 2(L + 1) is achieved with two transmit and one receive antennae. Simulations demonstrate that joint exploitation of multi-antenna diversity and multipath diversity leads to significantly enhanced performance.</t>
  </si>
  <si>
    <t>269-272</t>
  </si>
  <si>
    <t>60000251-60029445;60000251-60029445</t>
  </si>
  <si>
    <t>7404165407;36049280600</t>
  </si>
  <si>
    <t>Zhou, Shengli;Giannakis, Georgios B.</t>
  </si>
  <si>
    <t>Zhou S.</t>
  </si>
  <si>
    <t>Space-time coding with maximum diversity gains over frequency-selective fading channels</t>
  </si>
  <si>
    <t>S1070990801093543</t>
  </si>
  <si>
    <t>10.1109/97.957268</t>
  </si>
  <si>
    <t>2-s2.0-0035481687</t>
  </si>
  <si>
    <t>['wind characteristics', 'weibull distribution', 'total number', 'study show', 'stress ranges', 'significant influence', 'second approach', 'reliability analysis', 'parameters governing', 'order second', 'lowest estimate', 'illustrative example', 'fosm method', 'first approach', 'fatigue failure', 'fatigue damage', 'failure computed', 'distribution processes', 'antenna towers']</t>
  </si>
  <si>
    <t>A reliability analysis of antenna towers against cumulative fatigue damage failure is presented for the gustiness of wind. Fatigue damage is evaluated by the S-N curve approach using Palmgren-Miner's rule. Application of Palmgren-Miner's rule to continuous random process is adopted for computing annual damage assuming the distribution of response to follow several types of distribution processes. The reliability against fatigue damage failure is obtained using two approaches. In the first approach, the total number of cycles of stress ranges over the design life period of the structure is assumed to follow a Weibull distribution. In the second approach, the first-order second-moment (FOSM) procedure is used. A 75 m tall antenna tower is considered as an illustrative example. The fatigue reliabilities obtained by the two different approaches are compared for a set of important parametric variations. Also, fatigue reliabilities determined by assuming different types of the distribution of responses are compared. Results of the study show that a Gaussian distribution provides the lowest estimate of the probability of fatigue failure. The probability of failure computed by the FOSM method is greater than that computed by the full distribution method. Parameters governing the wind characteristics at the site have significant influence on the probability of fatigue failure.</t>
  </si>
  <si>
    <t>Journal of Structural Engineering</t>
  </si>
  <si>
    <t>60017560;60017560</t>
  </si>
  <si>
    <t>7801605389;7102240652</t>
  </si>
  <si>
    <t>Deoliya, R.;Datta, T. K.</t>
  </si>
  <si>
    <t>Roorkee</t>
  </si>
  <si>
    <t>Central Building Research Institute India</t>
  </si>
  <si>
    <t>Deoliya R.</t>
  </si>
  <si>
    <t>Fatigue reliability analysis of microwave antenna towers due to wind</t>
  </si>
  <si>
    <t>10.1061/(ASCE)0733-9445(2001)127:10(1221)</t>
  </si>
  <si>
    <t>2-s2.0-0035482481</t>
  </si>
  <si>
    <t>['¬± 0', 'wire grid', 'ultrasonic propagation', 'temperature profiling', 'second solution', 'reduces complexity', 'ranging measurements', 'radar source', 'paper presents', 'one hf', 'novel method', 'monostatic system', 'monostatic rass', 'measurements show', 'maximum distance', 'generally employ', 'enhances portability', 'electromagnetic waves', 'electromagnetic wave', 'electromagnetic sources', 'dielectric plate', 'bistatic scheme', 'another possibility', 'acoustic wave', 'acoustic radiator', '915 mhz', '5 k', '1290 mhz', '10 ghz']</t>
  </si>
  <si>
    <t>Acoustic distance measurement | Acoustic measurements | Acoustic pulses | Acoustic tracking | Meteorological radar | Microwave measurement | Temperature profile</t>
  </si>
  <si>
    <t>Radar-acoustic sounding systems (RASS) generally employ a bistatic scheme with the radar source and receiver placed symmetrically beside the acoustic radiator. This paper presents a novel method for combining the acoustic and the electromagnetic waves which reduces complexity, size, and cost of the system and enhances portability. Other advantages of the new monostatic approach are that only one hf-antenna is needed and that no dead zone exists in front of the system. Three possible solutions for realizing a monostatic system are taken into account. The first approach uses a dielectric plate to redirect the acoustic wave. By the second solution, the electromagnetic wave is directed into the ultrasonic propagation by a wire grid. Another possibility is to use a composite antenna array made up of acoustic and electromagnetic sources. As no frequency limits exist for the monostatic RASS, it is possible to employ the usual RASS frequencies at 915 MHz or 1290 MHz for the electromagnetic wave. Measurements show that a maximum distance of 30 m can be reached with an uncertainty of ¬±5 mm at 10 GHz for ranging measurements and ¬±0.5 K for temperature profiling.</t>
  </si>
  <si>
    <t>1043-1047</t>
  </si>
  <si>
    <t>60109826;60012345</t>
  </si>
  <si>
    <t>55451934900;6701468645</t>
  </si>
  <si>
    <t>Wei√ü, Matthias;Kn√∂chel, Reinhard</t>
  </si>
  <si>
    <t>Wachtberg;Kiel</t>
  </si>
  <si>
    <t>Fraunhofer Institute for High Frequency Physics and Radar Techniques FHR;Christian-Albrechts-Universit√§t zu Kiel</t>
  </si>
  <si>
    <t>Wei√ü M.</t>
  </si>
  <si>
    <t>A monostatic radio-acoustic sounding system used as an indoor remote temperature profiler</t>
  </si>
  <si>
    <t>S0018945601097303</t>
  </si>
  <si>
    <t>10.1109/19.963155</t>
  </si>
  <si>
    <t>2-s2.0-0035483113</t>
  </si>
  <si>
    <t>Pennsylvania Council on the Arts</t>
  </si>
  <si>
    <t>PCA</t>
  </si>
  <si>
    <t>['used along', 'site evaluation', 'single real', 'significantly influenced', 'robust w', 'paper presents', 'optimal design', 'made reflectometer', 'linearly correlated', 'great interest', 'fresh cement', 'experimental verification', 'evaluation techniques', 'evaluate w', 'construction industry', 'concrete structure', 'compressive strength', 'cement ratio', 'c measurement', 'based materials', '3 ghz']</t>
  </si>
  <si>
    <t>Cement paste | Concrete | Fresh water-to-cement ratio (w/c) | Microwave testing | Monopole antennas</t>
  </si>
  <si>
    <t>Inspection and evaluation of cement-based materials such as concrete is of great interest to the construction industry. In particular, real-time and on-site evaluation of water-to-cement ratio (w/c) is an important practical issue, since the compressive strength of a concrete structure is significantly influenced by its w/c. Currently, there is no single real-time, on-site, relatively in-expensive, easy-to-implement, and operator friendly technique for evaluating this parameter. Microwave nondestructive testing and evaluation techniques have shown great promise when used for inspection and evaluation of the properties of cement-based materials. In this paper, the optimal design of a monopole antenna probe used to evaluate w/c of fresh cement-based materials in real-time and in-situ is presented. This probe, operating at 3 GHz, is used along with a reflectometer whose dc output voltage is shown to be linearly correlated to w/c of fresh cement paste and fresh concrete specimens. This paper presents the optimal probe design procedure, the experimental verification of the results, and the results of using the custom-made reflectometer for quick and robust w/c measurement of fresh cement paste and concrete.</t>
  </si>
  <si>
    <t>1255-1263</t>
  </si>
  <si>
    <t>60009226;60020536;60000251-60024728</t>
  </si>
  <si>
    <t>6602535244;6603152839;57207607521</t>
  </si>
  <si>
    <t>Mubarak, Khalid;Bois, Karl J.;Zoughi, Reza</t>
  </si>
  <si>
    <t>Rolla;Palo Alto;Fort Collins;New York</t>
  </si>
  <si>
    <t>Missouri University of Science and Technology;Hewlett-Packard Inc.;Colorado State University;IEEE</t>
  </si>
  <si>
    <t>60024728;60020536;60009226;60000251</t>
  </si>
  <si>
    <t>Mubarak K.</t>
  </si>
  <si>
    <t>A simple, robust, and on-site microwave technique for determining water-to-cement ratio (w/c) of fresh Portland cement-based materials</t>
  </si>
  <si>
    <t>S0018945601087496</t>
  </si>
  <si>
    <t>10.1109/19.963194</t>
  </si>
  <si>
    <t>2-s2.0-0035483117</t>
  </si>
  <si>
    <t>['tore supra', 'successfully tested', 'rights reserved', 'poloidal direction', 'near field', 'efficiently water', 'drastically reduced', '3 mw']</t>
  </si>
  <si>
    <t>Coupling | LHCD launcher | Tore supra</t>
  </si>
  <si>
    <t>A new LHCD launcher, designed to inject 4 MW during 1000 s, has been installed on Tore Supra and successfully tested. A power of 3 MW with 7% power reflection coefficient has been reached. The coupling has been studied for various plasma parameters and positions, in order to study the robustness of the mode converter used in the antenna to divide the power into three in the poloidal direction. Due to the reduced electric field and the very efficiently water-cooled guard limiter, the temperature increase induced by the acceleration of electrons in the near field has been drastically reduced. ¬© 2001 Elsevier Science B.V. All rights reserved.</t>
  </si>
  <si>
    <t>679-684</t>
  </si>
  <si>
    <t>56-57</t>
  </si>
  <si>
    <t>60003729;60003729;60003729;60003729;60003729;60003729;60003729</t>
  </si>
  <si>
    <t>6701629156;56279072100;6602502708;9237011200;9272146900;7801627655;6504243631</t>
  </si>
  <si>
    <t>Bibet, Ph;Ekedahl, A.;Froissard, Ph;Kazarian, F.;Bertrand, E.;Dutheil, S.;Tanaskovic, L.</t>
  </si>
  <si>
    <t>Bibet P.</t>
  </si>
  <si>
    <t>Coupling and power handling of the new Tore Supra LHCD launcher</t>
  </si>
  <si>
    <t>S0920379601003878</t>
  </si>
  <si>
    <t>10.1016/S0920-3796(01)00387-8</t>
  </si>
  <si>
    <t>2-s2.0-0035483275</t>
  </si>
  <si>
    <t>['successfully tested', 'still continues', 'rights reserved', 'radio frequency', 'premagnetized ferrites', 'plasma operation', 'plasma heating', 'heating system', 'feedback loop', 'fast changes', 'different frequencies', 'current drive', 'antenna loading']</t>
  </si>
  <si>
    <t>ASDEX upgrade | Ion cyclotron range of frequency (ICRF)</t>
  </si>
  <si>
    <t>The ion cyclotron range of frequency (ICRF) heating system at the tokamak ASDEX Upgrade has been in operation since 1991. It still continues to be modified in order to improve its efficiency, flexibility and reliability and to meet changing physics demands. Recently the radio frequency (RF) transmission line feeding system of the antennas has been altered to allow for plasma heating at different frequencies and for current drive at one fixed frequency to be chosen before the shot. A matching system using transmission lines with premagnetized ferrites has been successfully tested. It is planned to use such a system in a feedback loop to allow matching even of fast changes of antenna loading during plasma operation. ¬© 2001 Elsevier Science B.V. All rights reserved.</t>
  </si>
  <si>
    <t>551-555</t>
  </si>
  <si>
    <t>60026838;60026838;60026838;60026838;60026838;60026838;60026838</t>
  </si>
  <si>
    <t>7102498023;7003909322;7004287725;57217347018;6506276170;7202145169;7003267283</t>
  </si>
  <si>
    <t>Braun, F.;Hofmeister, F.;Wesner, F.;Becker, W.;Faugel, H.;Hartmann, D.;Noterdaeme, J. M.</t>
  </si>
  <si>
    <t>Max Planck Institute for Plasma Physics</t>
  </si>
  <si>
    <t>Braun F.</t>
  </si>
  <si>
    <t>ICRF system enhancements at ASDEX upgrade</t>
  </si>
  <si>
    <t>S0920379601002745</t>
  </si>
  <si>
    <t>10.1016/S0920-3796(01)00274-5</t>
  </si>
  <si>
    <t>2-s2.0-0035483899</t>
  </si>
  <si>
    <t>['strategically arranging', 'radiation pattern', 'msat applications', 'improved method', 'ground plane', 'good agreement', 'experimental one', 'designed antenna']</t>
  </si>
  <si>
    <t>Coaxial line | Mobile satellite communications | Moment method | Slot antenna</t>
  </si>
  <si>
    <t>An improved method is proposed for the evaluation of multislot coaxial line antennas. Based on this method, a multislot coaxial antenna is designed and implemented. The theoretical radiation pattern is in good agreement with the experimental one, indicating that this method is valid. The experiment and the theoretical analysis show that the radiation pattern of the designed antenna is like an upward skewed donut, which is desired for LEO-MSAT applications and can be achieved by strategically arranging the positions of the circumferential slots cut on a coaxial line protruded from a ground plane.</t>
  </si>
  <si>
    <t>1000565X</t>
  </si>
  <si>
    <t>Huanan Ligong Daxue Xuebao/Journal of South China University of Technology (Natural Science)</t>
  </si>
  <si>
    <t>Xie, Z. M.</t>
  </si>
  <si>
    <t>Guangzhou</t>
  </si>
  <si>
    <t>South China University of Technology</t>
  </si>
  <si>
    <t>Xie Z.M.</t>
  </si>
  <si>
    <t>An efficient method for analyzing multislot coaxial line antennas used in LEO-MSAT</t>
  </si>
  <si>
    <t>2-s2.0-0035483920</t>
  </si>
  <si>
    <t>['tritium boundary', 'rights reserved', 'rf injection', 'rf frequency', 'plasma heating', 'nuclear analysis', 'launcher design', 'front shield', 'equatorial port', 'cd system', '6a ).', '45 ¬∞', '20 mw', '170 ghz']</t>
  </si>
  <si>
    <t>EC beam launcher | ITER</t>
  </si>
  <si>
    <t>The design and development of an EC beam launcher are described for the ITER EC H&amp;CD system for plasma heating and on/off axis current drive. The launcher in an equatorial port (an equatorial EC launcher) has three movable mirrors and can inject the EC wave beam power of 20 MW with continuous toroidal steering of 20-45¬∞ (r = 0-0.6a). The rf frequency is 170 GHz. The front shield of the equatorial EC launcher is designed, and has three narrow slots for rf injection. A 10 atm resistant torus diamond window for a vacuum and a tritium boundary is developed and introduced to the launcher design. Nuclear analysis by the two-dimensional radiation transport code, DOT3.5 for the equatorial EC launcher was carried out and showed that the present neutron radiation shield structure of the launcher could satisfy the required shielding criteria. ¬© 2001 Elsevier Science B.V. All rights reserved.</t>
  </si>
  <si>
    <t>587-592</t>
  </si>
  <si>
    <t>60015658;60015658;60015658;60076620;60026437;60026437;60018735;60015658;60015658</t>
  </si>
  <si>
    <t>55582637900;7403618682;35375813600;35377951900;56232287900;35593410100;7403646343;6602656967;56187877100</t>
  </si>
  <si>
    <t>Takahashi, K.;Imai, T.;Sakamoto, K.;Kobayashi, N.;Mori, S.;Mohri, K.;Itoh, Y.;Shoyama, H.;Kasugai, A.</t>
  </si>
  <si>
    <t>Germany;Japan;Japan;Japan</t>
  </si>
  <si>
    <t>Garching bei Munchen;Minato;Tokyo;Kashiwa</t>
  </si>
  <si>
    <t>International Thermonuclear Experimental Reactor (ITER) Garching;Kawasaki Heavy Industries, Ltd;Toshiba Corporation;Japan Atomic Energy Agency</t>
  </si>
  <si>
    <t>60076620;60026437;60018735;60015658</t>
  </si>
  <si>
    <t>Development and design of an ECRF launching system for ITER</t>
  </si>
  <si>
    <t>S0920379601002708</t>
  </si>
  <si>
    <t>10.1016/S0920-3796(01)00270-8</t>
  </si>
  <si>
    <t>2-s2.0-0035483962</t>
  </si>
  <si>
    <t>['presented estimations', 'performed within', 'field probes', 'electromagnetic field', 'conducting walls', 'calibrated probe']</t>
  </si>
  <si>
    <t>Calibration accuracy | Electronic field measurement | Electronic standard</t>
  </si>
  <si>
    <t>This paper is devoted to an estimation of electromagnetic field probes calibration error, while the calibration is performed within a waveguide, due to the presence of conducting walls of the waveguide and their influence on the calibrated probe's transmittance. The presented estimations and measurements are performed for symmetric dipole antennas of different slenderness ratios. However, the approach is applicable to any type of electromagnetic field (EMF) standard and design of field probes.</t>
  </si>
  <si>
    <t>1244-1247</t>
  </si>
  <si>
    <t>60019987;60019987</t>
  </si>
  <si>
    <t>13611842600;55993179700</t>
  </si>
  <si>
    <t>Grudzinski, E.;Trzaska, H.</t>
  </si>
  <si>
    <t>Grudzinski E.</t>
  </si>
  <si>
    <t>EMP probes calibration in a waveguide</t>
  </si>
  <si>
    <t>S0018945601087514</t>
  </si>
  <si>
    <t>10.1109/19.963192</t>
  </si>
  <si>
    <t>2-s2.0-0035483996</t>
  </si>
  <si>
    <t>['year 2000', 'preliminary results', 'power threshold', 'plasma shape', 'period 2000', 'longer time', 'jet facilities', 'increase performance', 'heating power', 'first campaign', 'european character', 'eu laboratories', 'ep ).', 'efda ).', 'directly conducted', 'consequent modifications', 'auxiliary heating', 'additional 7', '5 mw', '2000 within']</t>
  </si>
  <si>
    <t>Controlled thermonuclear fusion | European Fusion Development Agreement | JET facilities</t>
  </si>
  <si>
    <t>The JET facilities are being used since 1 January, 2000 within a new organisational frame set-up under the European Fusion Development Agreement (EFDA). The European character is reinforced, the JET scientific programme being directly conducted by staff from EU laboratories. The first campaign of the year 2000, C1, has now ended. Some preliminary results are highlighted: progress in the control of impurity seeded ELMy H-modes, lowering of power threshold for internal transport barrier formation, improved lower hybrid coupling, scrape-off power width measurements, plasma and first wall material migration studies and effect of plasma shape on neoclassical tearing modes. Various diagnostic enhancements are planned over the period 2000-2002, and one of the neutral beam boxes will be upgraded to provide an additional 7.5 MW of heating power by the end of 2002. In a longer time-scale, approval has been granted to an upgrade of the JET facilities, the JET enhanced performance project (JET-EP). To increase performance and flexibility, a variety of auxiliary heating and current drive systems will be installed: a new ECRH system (5 MW), an ITER-like ICRH antenna (7.5 MW), and a third NB box (7.5 MW), with consequent modifications in divertor and diagnostics. ¬© 2001 Published by Elsevier Science B.V.</t>
  </si>
  <si>
    <t>19-28</t>
  </si>
  <si>
    <t>Pam√©la, J.</t>
  </si>
  <si>
    <t>Abingdon</t>
  </si>
  <si>
    <t>Culham Science Centre</t>
  </si>
  <si>
    <t>Pam√©la J.</t>
  </si>
  <si>
    <t>JET under EFDA: Organisation, recent results and prospects</t>
  </si>
  <si>
    <t>S0920379601002320</t>
  </si>
  <si>
    <t>10.1016/S0920-3796(01)00232-0</t>
  </si>
  <si>
    <t>2-s2.0-0035484018</t>
  </si>
  <si>
    <t>['scale mock', 'rights reserved', 'next step', 'commercial capacitors', 'coaxial structure']</t>
  </si>
  <si>
    <t>ICRF antennas | Internal matching impedance</t>
  </si>
  <si>
    <t>As an alternative to commercial capacitors which have experienced reliability problems and are irrelevant to the next step, a new all-metal impedance concept has been elaborated for Tore Supra ICRF Resonant Double Loop (RDL) antenna. Two detailed design versions are presented, both based on the principle of a parallel LC transformer inserted in a coaxial structure. First low power measurement results on a full-scale mock-up are discussed. ¬© 2001 Elsevier Science B.V. All rights reserved.</t>
  </si>
  <si>
    <t>563-567</t>
  </si>
  <si>
    <t>60003729;60003729;60003729;60003729</t>
  </si>
  <si>
    <t>6602573717;6602485344;7102277628;6504100005</t>
  </si>
  <si>
    <t>Br√©mond, S.;Agarici, G.;Beaumont, B.;Chenevois, J. P.</t>
  </si>
  <si>
    <t>Br√©mond S.</t>
  </si>
  <si>
    <t>A new internal matching impedance concept for ICRF antennas</t>
  </si>
  <si>
    <t>S0920379601002769</t>
  </si>
  <si>
    <t>10.1016/S0920-3796(01)00276-9</t>
  </si>
  <si>
    <t>2-s2.0-0035484036</t>
  </si>
  <si>
    <t>AST-9802989</t>
  </si>
  <si>
    <t>['signal distribution', 'performance details', 'antenna array']</t>
  </si>
  <si>
    <t>Design and performance details are given for a 10-GHz bandwidth analog filterbank correlator with 1-GHz spectral resolution. The correlator is based on a 1-GHz bandwidth hybrid module which contains all the multipliers and signal distribution for a 13-antenna array.</t>
  </si>
  <si>
    <t>1234-1239</t>
  </si>
  <si>
    <t>60000251-60031581;60031581;60031581;60031581;60025038</t>
  </si>
  <si>
    <t>7003450896;7102286445;7202064136;7006278008;7101797383</t>
  </si>
  <si>
    <t>Padin, Stephen;Cartwright, John K.;Shepherd, Martin C.;Yamasaki, John K.;Holzapfel, William L.</t>
  </si>
  <si>
    <t>Pasadena;Berkeley;New York</t>
  </si>
  <si>
    <t>California Institute of Technology;University of California, Berkeley;IEEE</t>
  </si>
  <si>
    <t>60031581;60025038;60000251</t>
  </si>
  <si>
    <t>Padin S.</t>
  </si>
  <si>
    <t>A wideband analog correlator for microwave background observations</t>
  </si>
  <si>
    <t>S0018945601087605</t>
  </si>
  <si>
    <t>10.1109/19.963190</t>
  </si>
  <si>
    <t>2-s2.0-0035484061</t>
  </si>
  <si>
    <t>['waste dump', 'unfavourable conditions', 'study demonstrates', 'study confirmed', 'situ sediments', 'sand extraction', 'rights reserved', 'regione lazio', 'present study', 'paper reports', 'outside rome', 'noncontinuous reflections', 'mhz antennas', 'industrial refuse', 'household refuse', 'heterogeneous refuse', 'georadar records', 'georadar equipped', 'geophysical results', 'geological survey', 'first site', 'date back', 'building rubble', 'abandoned quarry', '1997 ).']</t>
  </si>
  <si>
    <t>Electrical methods | GPR | Uncontrolled waste</t>
  </si>
  <si>
    <t>This paper reports the ability of a ground-penetrating radar survey to detect and characterise uncontrolled waste dumps. The dumps in our study are located just outside Rome, date back to the 1960s, and have long been abandoned. It is probable that stored there are heterogeneous refuse, i.e. household refuse, building rubble and/or industrial refuse. The Ponte Malnome dump overlies Quaternary alluvial sediments and the Regione Lazio dump, located in an abandoned quarry of gravel and coarse-sand extraction, lies on Plio-Quaternary fine sediments. The sites were surveyed with georadar equipped with 50-, 100- and 200-MHz antennas. The results of the first site were compared and integrated with VES, multielectrode and boreholes and the second with VES and seismic refraction results obtained prior to the present study by Cardarelli et al. (1997). The study confirmed that georadar can be used to detect such dumps and define the geometry of the waste dump body. On the georadar records, the in situ sediments are stratified while the dump deposits produce diffraction and noncontinuous reflections. In the Ponte Malnome site, the georadar allowed us to define the actual eastern limit of the waste dump deposits, finding it wider than was presumed from geological survey, and define the type of refuse-mainly building rubble. The geophysical results were confirmed by boreholes. In the Regione Lazio, the georadar allowed us to define the limits of the waste dump and to discriminate between surficial household refuse and underlying quarrying waste. The study demonstrates that even in unfavourable conditions, georadar can provide useful information for locating and characterising abandoned urban dumps. ¬© 2001 Elsevier Science B.V. All rights reserved.</t>
  </si>
  <si>
    <t>163-174</t>
  </si>
  <si>
    <t>60032350;60032350</t>
  </si>
  <si>
    <t>7006472589;15741512900</t>
  </si>
  <si>
    <t>Orlando, Luciana;Marchesi, Enrico</t>
  </si>
  <si>
    <t>Orlando L.</t>
  </si>
  <si>
    <t>Georadar as a tool to identify and characterise solid waste dump deposits</t>
  </si>
  <si>
    <t>S092698510100088X</t>
  </si>
  <si>
    <t>10.1016/S0926-9851(01)00088-X</t>
  </si>
  <si>
    <t>2-s2.0-0035484685</t>
  </si>
  <si>
    <t>University of California</t>
  </si>
  <si>
    <t>UC</t>
  </si>
  <si>
    <t>['wiener model', 'sequentially detects', 'recursively estimate', 'received amplitude', 'multistage receiver', 'mf output', 'lms algorithm', 'detected signal', 'deriving expressions', 'csic ),', 'conventional sic', 'ber ).', 'asymptotic mean', 'asic using', 'asic exceeds', 'asic consists', 'amplitude estimate']</t>
  </si>
  <si>
    <t>Adaptive signal detection | Cochannel interference | Code division multiple access | Communication systems | Land mobile radio cellular systems | Least mean square methods</t>
  </si>
  <si>
    <t>The adaptive successive interference canceler (ASIC) is a multistage receiver that sequentially detects and removes cochannel users from the received signal impinging on a single antenna element. Each stage of the ASIC consists of a conventional matched filter (MF) detector and an adaptive interference canceler (AIC) that employs the least-mean-square (LMS) algorithm to recursively estimate the received amplitude of the detected signal. In this paper, we investigate the performance of the ASIC using a Wiener model of convergence for the LMS algorithm, deriving expressions for the asymptotic mean and variance of the amplitude estimate and the steady-state bit error rate (BER). The analyses and computer simulations demonstrate that the performance of the ASIC exceeds that of the conventional SIC (CSIC), which utilizes the MF output as the received amplitude estimate.</t>
  </si>
  <si>
    <t>2345-2362</t>
  </si>
  <si>
    <t>60029241;60000251-60029241</t>
  </si>
  <si>
    <t>7402135589;7005641508</t>
  </si>
  <si>
    <t>Lai, Kuei Chiang;Shynk, John J.</t>
  </si>
  <si>
    <t>Santa Barbara;New York</t>
  </si>
  <si>
    <t>University of California, Santa Barbara;IEEE</t>
  </si>
  <si>
    <t>60029241;60000251</t>
  </si>
  <si>
    <t>Lai K.</t>
  </si>
  <si>
    <t>Steady-state analysis of the adaptive successive interference canceler for DS/CDMA signals</t>
  </si>
  <si>
    <t>S1053587X01084458</t>
  </si>
  <si>
    <t>10.1109/78.950790</t>
  </si>
  <si>
    <t>2-s2.0-0035485575</t>
  </si>
  <si>
    <t>['tote holding', 'products throughout', 'controller interface', 'assembly process']</t>
  </si>
  <si>
    <t>Radio frequency identification (RFID) technology is developed to enable manufacturers track their products throughout the assembly process. The technology permits sending and receiving radio signals from a small, reusable tag attached to the assembly, pallet or tote holding the assembly. The system components required to implement an RFID system include an antenna, reader, controller interface and a number of tags.</t>
  </si>
  <si>
    <t>Assembly</t>
  </si>
  <si>
    <t>Readin', Writin' and RFID</t>
  </si>
  <si>
    <t>2-s2.0-0035485701</t>
  </si>
  <si>
    <t>['simulations demonstrate', 'popular format', 'operating conditions', 'intersymbol interference', 'free case', 'desired user', 'cdma systems', 'blind equalizer', 'antenna array']</t>
  </si>
  <si>
    <t>Blind equalization and deconvolution | Code division multiple access (CDMA) | Nonlinear systems</t>
  </si>
  <si>
    <t>Code division multiple access (CDMA) has emerged as a popular format for wireless communication systems. As a result of intersymbol interference (ISI) and nonlinearities, the performance of CDMA systems can suffer. In this paper, we propose a blind equalizer for CDMA systems with Volterra (nonlinear) channels. The equalizer requires multiple observations at the receiver, which are obtained through oversampling or an antenna array, and a knowledge of the code of the desired user. Zero forcing equalization is possible in the noise-free case. Simulations demonstrate the performance of the equalizer under a variety of operating conditions.</t>
  </si>
  <si>
    <t>2363-2371</t>
  </si>
  <si>
    <t>60015272;60000251-60021032</t>
  </si>
  <si>
    <t>7004442564;6507401401</t>
  </si>
  <si>
    <t>Redfern, Arthur J.;Tong Zhou, G.</t>
  </si>
  <si>
    <t>Atlanta;Dallas;New York</t>
  </si>
  <si>
    <t>Georgia Institute of Technology;Texas Instruments;IEEE</t>
  </si>
  <si>
    <t>60021032;60015272;60000251</t>
  </si>
  <si>
    <t>Redfern A.</t>
  </si>
  <si>
    <t>Blind zero forcing equalization of multichannel nonlinear CDMA systems</t>
  </si>
  <si>
    <t>S1053587X01077686</t>
  </si>
  <si>
    <t>10.1109/78.950791</t>
  </si>
  <si>
    <t>2-s2.0-0035485787</t>
  </si>
  <si>
    <t>['strip dipoles', 'several examples', 'pde toolbox', 'matlab implementation', 'matlab functions', 'including thin', 'ground plane', 'function generator', 'feed point', 'educational purposes', 'basis functions']</t>
  </si>
  <si>
    <t>Antennas | Dipole antennas | Electrical engineering education | Matlab | Microstrip antennas | Moment methods | Monopole antennas | Numerical analysis | Slot antennas</t>
  </si>
  <si>
    <t>The Matlab implementation of an MoM antenna simulation code is presented, primarily (but not exclusively) for educational purposes. The PDE toolbox is used to generate the mesh. Evaluating the MoM matrix entries using the Rao-Wilton-Glisson (RWG) basis functions is discussed. The delta-function generator is used to model the feed point. Built-in Matlab functions are used for post-processing. Results for several examples, including thin-strip dipoles, a monopole on a ground plane and a wide-band slot antenna, are presented.</t>
  </si>
  <si>
    <t>100-107</t>
  </si>
  <si>
    <t>Makarov, S.</t>
  </si>
  <si>
    <t>Worcester</t>
  </si>
  <si>
    <t>Worcester Polytechnic Institute</t>
  </si>
  <si>
    <t>Makarov S.</t>
  </si>
  <si>
    <t>MoM antenna simulations with Matlab: RWG basis functions</t>
  </si>
  <si>
    <t>10.1109/74.979384</t>
  </si>
  <si>
    <t>2-s2.0-0035485898</t>
  </si>
  <si>
    <t>['wave types', 'type discrimination', 'spectral analysis', 'spatial structure', 'seismic signals', 'harmonic components', 'fixed source', 'field experiment', 'doppler effect', 'determined using']</t>
  </si>
  <si>
    <t>A field experiment is used to demonstrate the possibility of determining the seismic wave structure of a moving sonic source. The source is an airborne acoustic radiator. The wave-type discrimination is shown to be based on the Doppler effect, which results in different splitting scales of harmonic components of different wave types. For comparison, the seismic wave structure from a fixed source is studied. In this case, wave types are determined using a linear antenna array as a receiver and applying the spectral analysis to the spatial structure of the seismic signals.</t>
  </si>
  <si>
    <t>839-843</t>
  </si>
  <si>
    <t>Izvestiya - Physics of the Solid Earth</t>
  </si>
  <si>
    <t>60008673;60008673;60008673;60008673</t>
  </si>
  <si>
    <t>6507080012;8964139400;7102703614;56671249500</t>
  </si>
  <si>
    <t>Bubnov, E. Ya;Gushchin, V. V.;Kudryavtsev, V. A.;Rubtsov, S. N.</t>
  </si>
  <si>
    <t>Bubnov E.</t>
  </si>
  <si>
    <t>Study of the wave structure of moving continuous seismic sources</t>
  </si>
  <si>
    <t>2-s2.0-0035492327</t>
  </si>
  <si>
    <t>['user equipment', 'term plans', 'technologies employed', 'system uses', 'system architecture', 'spread spectrum', 'paper discusses', 'paper describes', 'ongoing improvements', 'oceanographic datalink', 'oceanographic applications', 'discussed improvements', 'coding techniques', 'band satellites', 'also discusses', 'advanced modulation']</t>
  </si>
  <si>
    <t>C-band | Satellite communications | Spread spectrum | Turbo codes</t>
  </si>
  <si>
    <t>This paper describes the Oceanographic DataLink (ODL) system, a global, multi-user telemetry system designed for oceanographic applications. This system uses a combination of spread spectrum, advanced modulation and coding techniques to support global control and data acquisition using existing C-band satellites. User equipment is designed to be self-powered and small, with antennas that can be as small as a quarter. This paper discusses the capabilities of this system in the context of other communication systems presently employed or planned for oceanographic applications. It also discusses the system issues faced in its development and the methods and technologies employed to overcome these challenges. It describes the system architecture and ongoing improvements to the architecture. It also details multiple successful demonstrations of the technology and the near-term plans for demonstrations of the technology with the discussed improvements.</t>
  </si>
  <si>
    <t>622-632</t>
  </si>
  <si>
    <t>60000251-100639771;60000251-100639771</t>
  </si>
  <si>
    <t>6506004524;6506141925</t>
  </si>
  <si>
    <t>Gamache, Kenneth A.;Wetherby, Kathleen E.</t>
  </si>
  <si>
    <t>New York;Aston</t>
  </si>
  <si>
    <t>IEEE;ViaSat Inc.</t>
  </si>
  <si>
    <t>60000251;100639771</t>
  </si>
  <si>
    <t>Gamache K.</t>
  </si>
  <si>
    <t>Oceanographic datalink</t>
  </si>
  <si>
    <t>S0364905901099277</t>
  </si>
  <si>
    <t>10.1109/48.972102</t>
  </si>
  <si>
    <t>2-s2.0-0035493278</t>
  </si>
  <si>
    <t>['uses three', 'third estimator', 'thereby benefitting', 'theoretical treatment', 'systemic errors', 'superior performance', 'simple averaging', 'signal processing', 'signal intercepted', 'second estimator', 'phase components', 'output signals', 'output signal', 'ls fit', 'independent estimate', 'frequency domain', 'frequency component', 'digital converters', 'computational efficiency', 'butler matrix', 'broadband signals', 'better estimator', 'bearing estimate', 'bandwidth limitation', 'antenna elements', 'antenna array', 'analog abm', 'accuracy achievable']</t>
  </si>
  <si>
    <t>The conventional analog Adcock-Butler matrix (ABM) antenna army direction finder suffers from systemic errors, component matching problems, and bandwidth limitation. Three digital bearing estimators are developed as candidates to replace the analog signal processing portion of the ABM. Using the same antenna array, they perform all signal processing in the frequency domain, thereby benefitting from the computational efficiency of the fast Fourier transform (FFT) algorithm. The estimator requires two analog-to-digital converters (A-D) and three antenna elements. It multiplies the difference between the discrete Fourier transforms (DFTs) of the output signals from two antenna elements with that from a third antenna element. At each frequency component, the phase of this product is a function of the bearing. A weighted least squares (LS) fit through all the phase components then gives a bearing estimate. The second estimator is similar to the first but uses three A-D and all four antenna elements. The output signal from the additional antenna element provides an independent estimate of the weights for the LS fit, giving an Improvement in accuracy. The third estimator, adapting an idea in [7], applies the physical constraint existing between the time-difference-of-arrival (TDOA) of a signal intercepted by two perpendicular sets of antenna elements. This yields a better estimator than simple averaging of the bearing from each set of antenna elements. The simulation studies used sinusoids and broadband signals to corroborate the theoretical treatment and demonstrate the accuracy achievable with these estimators. All three direction finders have superior performance in comparison with the analog ABM.</t>
  </si>
  <si>
    <t>1155-1162</t>
  </si>
  <si>
    <t>60089889-60026338;60026338;60017597;60030813</t>
  </si>
  <si>
    <t>55561552800;55509974700;7003595000;7202814824</t>
  </si>
  <si>
    <t>Chan, Y. T.;Lee, B. H.;Inkol, R.;Yuan, Q.</t>
  </si>
  <si>
    <t>Canada;Canada;Canada;Canada</t>
  </si>
  <si>
    <t>Dundas;Toronto;Kingston;Ottawa</t>
  </si>
  <si>
    <t>IEEE Canada;Nortel Networks;Royal Military College of Canada;Defence Research and Development Canada</t>
  </si>
  <si>
    <t>60089889;60030813;60026338;60017597</t>
  </si>
  <si>
    <t>Chan Y.</t>
  </si>
  <si>
    <t>Direction finding with a four-element adcock-butler matrix antenna array</t>
  </si>
  <si>
    <t>10.1109/7.976956</t>
  </si>
  <si>
    <t>2-s2.0-0035493429</t>
  </si>
  <si>
    <t>['without loss', 'wideband operation', 'wide bandwidth', 'tracking performance', 'targets due', 'target height', 'taking advantage', 'surveillance radar', 'simultaneous transmissions', 'seriously degrade', 'range air', 'narrowband radars', 'multiple prfs', 'improved detection', 'high range', 'generic characteristics', 'frequency radar', 'experimental long', 'electronic countermeasures', 'distinguishing feature', 'blind speeds', 'beam radar', '1400 mhz']</t>
  </si>
  <si>
    <t>The generic characteristics and performance of an experimental long-range air-surveillance radar, known at the Naval Research Laboratory as Senrad, is described. Its distinguishing feature is that it can operate with simultaneous transmissions over a very wide bandwidth-from 850 to 1400 MHz. The technology and type of experimental radar equipment employed are discussed and examples are given of its performance capabilities obtained by means of very wideband operation. The unusually wide bandwidth of this radar allows 1) improved detection and tracking performance because of the absence of the nulls that are common in the antenna elevation radiation-pattern of a single-frequency radar; 2) moving target indication (MTI) without loss of targets due to blind speeds and without the need for multiple PRFs (pulse repetition frequencies); 3) accurate height finding with a fan-beam radar by taking advantage of the multipath time difference as a function of target height; 4) a form of limited target recognition based on high range-resolution; and 5) a reduction of the effectiveness of electronic countermeasures that can seriously degrade more narrowband radars.</t>
  </si>
  <si>
    <t>1163-1175</t>
  </si>
  <si>
    <t>60027271;60027271;60000251-60027271</t>
  </si>
  <si>
    <t>6603947852;6701651552;6507560397</t>
  </si>
  <si>
    <t>Skolnik, Merrill;Linde, George;Meads, Keith</t>
  </si>
  <si>
    <t>Washington, D.C.;New York</t>
  </si>
  <si>
    <t>Naval Research Laboratory;IEEE</t>
  </si>
  <si>
    <t>60027271;60000251</t>
  </si>
  <si>
    <t>Skolnik M.</t>
  </si>
  <si>
    <t>Senrad: An advanced wideband air-surveillance radar</t>
  </si>
  <si>
    <t>10.1109/7.976957</t>
  </si>
  <si>
    <t>2-s2.0-0035493479</t>
  </si>
  <si>
    <t>['wider bandwidths', 'support costs', 'practical need', 'new generation', 'including acquisition', 'improved stability', 'growing need', 'fundamental technology', 'enhanced sensitivity', 'cruise missiles', 'control costs', 'article provides', 'array antennas']</t>
  </si>
  <si>
    <t>Current and future Navy radar requirements are driven by rapidly evolving threats, including both cruise missiles and tactical ballistic missiles. To address these threats, array antennas will have to operate over wider bandwidths with enhanced sensitivity, higher radiated power levels, improved stability, and improved electronic protection to address reduced target radar cross-sections. In addition, there is a growing need for reduced array signatures and a practical need to control costs, including acquisition, operational, and support costs. Active phased array antennas have emerged as a fundamental technology for addressing these evolving Navy radar system needs. APL's Air Defense Systems Department has long been at the forefront of phased array antenna development for shipboard radar systems, and the Department is contributing to the development of active array antennas for the new generation of Navy radar systems currently under development. This article provides an overview of the emerging active array antenna technology.</t>
  </si>
  <si>
    <t>600-613</t>
  </si>
  <si>
    <t>7202771665;7004691486;6508034705;6508314368</t>
  </si>
  <si>
    <t>Agrawal, Ashok K.;Kopp, Bruce A.;Luesse, Mark H.;O'Haver, Kenneth W.</t>
  </si>
  <si>
    <t>Agrawal A.</t>
  </si>
  <si>
    <t>Active phased array antenna development for modern shipboard radar systems</t>
  </si>
  <si>
    <t>2-s2.0-0035494717</t>
  </si>
  <si>
    <t>['two hours', 'time period', 'northernmost boundary', 'lobe reconnection', 'ion injections', 'imf moves', 'higher latitudes', 'cusp region', 'comparative study', 'cluster spacecraft', 'cluster satellites', 'around 09', 'altitude cusp', '30 ut', '00 ut']</t>
  </si>
  <si>
    <t>Magnetospheric physics (magnetopause, cusp, and boundary layers; plasma convection) Ionosphere (polar ionosphere)</t>
  </si>
  <si>
    <t>We present a comparative study of the cusp region using the EISCAT Svalbard Radars (ESR) and the Cluster spacecraft. We focus in this paper on 2 February 2001, over the time period from 07:30 UT to 12:00 UT when the oblique ESR antenna pointing northward at a low elevation recorded latitudinal motions of the cusp region in response to the IMF. Meanwhile, the Cluster satellites were flying over the EIS-CAT Svalbard Radar field-of-view around local magnetic noon. The spacecraft first flew near ESR, north-east of Svalbard and then passed over the field-of-view of the antenna at about 11:30 UT. From 08:00 UT to 09:00 UT, the IMF remains primarily southward yet several variations in the Z-component are seen to move the cusp. Around 09:00 UT, an abrupt northward turning of the IMF moves the cusp region to higher latitudes. As a result, the Cluster satellites ended up in the northernmost boundary of the high-altitude cusp region where the CIS instrument recorded highly structured plasma due to ion injections in the lobe of the magnetosphere. After 09:00 UT, the IMF remains northward for more than two hours. Over this period, the ESR records sunward plasma flow in the cusp region due to lobe reconnection, while Cluster spacecraft remain in the high-altitude cusp. ¬© European Geophysical Society 2001.</t>
  </si>
  <si>
    <t>1641-1653</t>
  </si>
  <si>
    <t>12 PART II</t>
  </si>
  <si>
    <t>60004855-60123782;60123782;60123782;60073971;60123782</t>
  </si>
  <si>
    <t>56061775900;7004289642;55953574800;6602970415;8435231700</t>
  </si>
  <si>
    <t>Pitout, F.;Bosqued, J. M.;Alcayd√©, D.;Denig, W. F.;R√®me, H.</t>
  </si>
  <si>
    <t>France;United States;Sweden</t>
  </si>
  <si>
    <t>Toulouse;Bedford;Kiruna</t>
  </si>
  <si>
    <t>Institut de Recherche en Astrophysique et Plan√©tologie (IRAP);Air Force Cambridge Research Laboratories;Instiutet f√∂r rymdfysik</t>
  </si>
  <si>
    <t>60123782;60073971;60004855</t>
  </si>
  <si>
    <t>Pitout F.</t>
  </si>
  <si>
    <t>Observations of the cusp region under northward IMF</t>
  </si>
  <si>
    <t>2-s2.0-0035719218</t>
  </si>
  <si>
    <t>['tensor conductivity', 'pressures less', 'power deposition', 'plasma reactors', 'noncollisional heating', 'meicps operating', 'materials processing', 'magnetic fields', 'locations deeper', 'enhancement results', 'electrostatic component', 'electric field', 'downstream region', 'dimensional components', 'deposit power', 'azimuthal component', 'axial components', '30 ev', '100 g', '10 mtorr', '0 antenna']</t>
  </si>
  <si>
    <t>The ability to deposit power in the volume of plasma reactors at locations deeper than the conventional skin depth makes magnetically enhanced inductively coupled plasma (MEICP) and helicon sources appealing for use in materials processing. Mechanisms for power deposition and electron energy transport in MEICPs have been computationally investigated using a two-dimensional (2D) plasma equipment model. Using a tensor conductivity in the solution of Maxwell's equations, three-dimensional components of the inductively coupled electric field are produced from an m = 0 antenna and 2D applied magnetic fields. These fields are then used in a Monte Carlo simulation to generate electron energy distributions (EEDs), transport coefficients, and electron impact source functions. The electrostatic component of the wave is resolved by estimating the charge density using an oscillatory perturbed electron density. For MEICPs operating at pressures less than 10 mTorr in Ar, significant power deposition occurs downstream when the radial and axial components of the electric field are commensurate with the azimuthal component. For magnetic fields above 100 G, the tail of the EED (&gt;20-30 eV) is enhanced in the downstream region. This enhancement results from noncollisional heating by the axial electric field for electrons in the tail of the EED which have long mean free paths, while lower energy electrons are still somewhat collisional. ¬© 2001 American Institute of Physics.</t>
  </si>
  <si>
    <t>3699-3712</t>
  </si>
  <si>
    <t>7003592399;7101995586</t>
  </si>
  <si>
    <t>Kinder, Ronald L.;Kushner, Mark J.</t>
  </si>
  <si>
    <t>Kinder R.</t>
  </si>
  <si>
    <t>Noncollisional heating and electron energy distributions in magnetically enhanced inductively coupled and helicon plasma sources</t>
  </si>
  <si>
    <t>10.1063/1.1400091</t>
  </si>
  <si>
    <t>2-s2.0-0035886027</t>
  </si>
  <si>
    <t>['quantitative estimates', 'measurement errors', 'likelihood equations', 'correlated interferences', 'complex amplitudes', 'arbitrary positions', 'antenna elements']</t>
  </si>
  <si>
    <t>A system of maximum-likelihood equations for measuring the angles of arrival (the elevation and the azimuth) from the complex amplitudes at the outputs of antenna-receiver system channels is considered in the case of a plane incident wave, correlated interferences, and arbitrary positions of the antenna elements in one horizontal plane. Expressions for the measurement errors and their quantitative estimates are obtained for antenna elements, placed on a circle.</t>
  </si>
  <si>
    <t>1149-1154</t>
  </si>
  <si>
    <t>18433396800;14121258500;7102893275</t>
  </si>
  <si>
    <t>Dzvonkovskaya, A. L.;Dmitrienko, A. N.;Kuz'min, A. V.</t>
  </si>
  <si>
    <t>Dzvonkovskaya A.</t>
  </si>
  <si>
    <t>The Efficiency of Measuring the Angles of Arrival by a Radio Direction Finder on the Basis of the Maximum Likelihood Method</t>
  </si>
  <si>
    <t>2-s2.0-0042386762</t>
  </si>
  <si>
    <t>DE-AC05-00OR22725</t>
  </si>
  <si>
    <t>['two transmitters', 'transmitter operation', 'six transmitters', 'single transmitter', 'rights reserved', 'pppl ).', 'plasma measurements', 'one transmitter', 'one another', 'nstx experiment', 'november 1999', 'loop phasings', 'hhfw system', 'effectively isolating', 'design value', 'antenna array', '6 mw', '30 mhz', '2 mw']</t>
  </si>
  <si>
    <t>High harmonic fast wave (HHFW) antenna | NSTX phased array</t>
  </si>
  <si>
    <t>A high harmonic fast wave (HHFW) antenna array, designed to provide up to 6 MW of power at 30 MHz for heating and current drive applications, has been operated on the NSTX experiment at Princeton Plasma Physics Laboratory (PPPL). The full array consists of 12 evenly spaced, identical current strap modules connected in pairs. Each pair is connected as a half-wave resonant loop and is intended to be driven by one transmitter, allowing rapid phase shift between transmitters. A decoupling network compensates for the mutual inductive coupling between adjacent current straps, effectively isolating the six transmitters from one another. Initial rf operation between November 1999 and January 2000 used eight straps to form four loops, which were driven by two transmitters. Two adjacent loops were connected with a Œª/2 coax section to be driven out of phase by a single transmitter. Up to 2 MW of power was delivered during this stage of operation; inter-loop phasings of 0-œÄ-œÄ-0 and 0-œÄ-0-œÄ were investigated. Models of the power distribution system indicate the nominal plasma loading was about 5 Œ©/m, close to the design value of 6 Œ©/m. The HHFW system has now been reconfigured for 12-strap, six-transmitter operation with decouplers; low power vacuum and plasma measurements have begun. ¬© 2001 Elsevier Science B.V. All rights reserved.</t>
  </si>
  <si>
    <t>569-573</t>
  </si>
  <si>
    <t>60024266;60018020;60024266;60013901;60024266;60018020;60018020;60030612;60018020;60018020;60030162;60024266</t>
  </si>
  <si>
    <t>7402922192;57202528890;7006471291;7003617702;35371543400;7101852279;22967475100;7005597256;16026923500;7202616563;7003296193;7004674569</t>
  </si>
  <si>
    <t>Ryan, P. M.;Wilson, J. R.;Swain, D. W.;Pinsker, R. I.;Carter, M. D.;Gates, D.;Hosea, J. C.;Mau, T. K.;Menard, I. E.;Mueller, D.;Sabbagh, S. A.;Wilgen, J. B.</t>
  </si>
  <si>
    <t>San Diego;New York;Oak Ridge;Princeton;San Diego</t>
  </si>
  <si>
    <t>University of California, San Diego;Columbia University;Oak Ridge National Laboratory;Princeton Plasma Physics Laboratory;General Atomics</t>
  </si>
  <si>
    <t>60030612;60030162;60024266;60018020;60013901</t>
  </si>
  <si>
    <t>Ryan P.M.</t>
  </si>
  <si>
    <t>Initial operation of the NSTX phased array for launching high harmonic fast waves</t>
  </si>
  <si>
    <t>S0920379601002691</t>
  </si>
  <si>
    <t>10.1016/S0920-3796(01)00269-1</t>
  </si>
  <si>
    <t>2-s2.0-14344283958</t>
  </si>
  <si>
    <t>['wendelstein 7', 'therefore arises', 'theoretical predictions', 'suitable techniques', 'stray radiation', 'stellarator plasmas', 'special material', 'rights reserved', 'reliable method', 'radiation could', 'potentially harmful', 'originally written', 'object made', 'modal antenna', 'low directivity', 'high levels', 'good agreement', 'ftu tokamak', 'ftu geometry', 'experimental data', 'electron cyclotron', 'cell code', 'antenna design']</t>
  </si>
  <si>
    <t>Current drive | EC heating | Millimeterwave power</t>
  </si>
  <si>
    <t>Fusion-oriented devices using powerful source of electron cyclotron (EC) waves are subjected to high levels of RF-stray radiation. This radiation is potentially harmful for any object made of RF-absorbing material exposed to it. Special material or/and suitable techniques to scrambling the radiation could be needed, depending on the effective expected level of such radiation. Therefore arises the need for a reliable method to foresee the distribution and the level of the RF-stray radiation. A multi-modal antenna, with sensitivity approximately constant for any incoming linear polarization, with great radiating surface and low directivity has been developed. Its purpose is collecting 140 GHz stray radiation from FTU tokamak and Wendelstein 7-AS stellarator plasmas during ECRH and current drive experiments. Theoretical predictions for stray radiation levels are obtained by two different methods: a multiple ray tracing code developed for FTU and a multi-cell code, originally written for W7-X. Both codes have been applied to FTU geometry, resulting in a good agreement with the experimental data from the multi-modal antenna. Descriptions of the antenna design and of the results from both codes are presented. ¬© 2001 Elsevier Science B.V. All rights reserved.</t>
  </si>
  <si>
    <t>60005040;60005040;60026838;60026838;60005040;60005040;60005040;60026838;60005040;60005040;60005040;60005040;60005040;60005040</t>
  </si>
  <si>
    <t>10046083100;10040959200;7201493893;7006248264;55434283200;22233883700;7004180973;7004855451;7801671004;6507829676;7004496814;6701364179;6603709910;6507178531</t>
  </si>
  <si>
    <t>Gandini, F.;Cirant, S.;Hirsch, M.;Laqua, H. P.;Nowak, S.;Bruschi, A.;Granucci, G.;Erckmann, V.;Mellera, V.;Muzzini, V.;Nardone, A.;Simonetto, A.;Sozzi, C.;Spinicchia, N.</t>
  </si>
  <si>
    <t>Garching bei Munchen;Frascati</t>
  </si>
  <si>
    <t>Max Planck Institute for Plasma Physics;Associazione EURATOM-ENEA sulla Fusione</t>
  </si>
  <si>
    <t>60026838;60005040</t>
  </si>
  <si>
    <t>Gandini F.</t>
  </si>
  <si>
    <t>The detection of the non-absorbed millimeterwave power during EC heating and current drive</t>
  </si>
  <si>
    <t>S0920379601004392</t>
  </si>
  <si>
    <t>10.1016/S0920-3796(01)00439-2</t>
  </si>
  <si>
    <t>2-s2.0-14344285165</t>
  </si>
  <si>
    <t>['z material', 'working frequency', 'test module', 'strong cu', 'stainless steel', 'rights reserved', 'resistant mouth', 'reducing rf', 'pulse length', 'progressed using', 'new one', 'mj must', 'lh antenna', 'first type', 'electrochemical method', 'developed according', 'compact multi', 'cfc surface', 'base machined', 'antenna mouth', '7 ghz', '45 mw', '2 ghz']</t>
  </si>
  <si>
    <t>High-heat resistance | LH antenna</t>
  </si>
  <si>
    <t>Two different types of Lower Hybrid Current Drive (LHCD) antenna having high-heat resistant property are developed according to a pulse length and/or working frequency. In the first type of LH antenna, heat resistive material is installed at the antenna mouth only and should be attachable using bolts. This heat-resistant mouth is exchanged for a new one when it is damaged. The heat-resistant mouth is made of Carbon Fiber Composite (CFC)-block bonded with stainless steel-base machined to fit the waveguides. This mouth has no Cu-plating for reducing rf-losses, because the antenna is designed to operate during 10-100 s injection of 2 GHz in JT-60SC. The second antenna consists of a compact multi-junction (MJ) part and a power divider designed for the next generation tokamak machine like ITER. This MJ must be made of low-Z material as a plasma facing component allowing no degradation in confinement. The test module for the MJ is made of rods and plates of CFC with Cu-plating ‚àº 30 cm in length. The test module shows transmitted power availability up to 45 MW/m2 over 1000 s with cooling at 3.7 GHz. For improvement of transmitted power availability, R&amp;D of strong Cu-plating on CFC surface has been progressed using an electrochemical method. ¬© 2001 Elsevier Science B.V. All rights reserved.</t>
  </si>
  <si>
    <t>581-585</t>
  </si>
  <si>
    <t>60012288;60012288;60012288</t>
  </si>
  <si>
    <t>57212478757;55884856200;35352771100</t>
  </si>
  <si>
    <t>Seki, M.;Maebara, S.;Fujii, T.</t>
  </si>
  <si>
    <t>Seki M.</t>
  </si>
  <si>
    <t>R&amp;D of the heat-resistant LH antenna</t>
  </si>
  <si>
    <t>S092037960100268X</t>
  </si>
  <si>
    <t>10.1016/S0920-3796(01)00268-X</t>
  </si>
  <si>
    <t>2-s2.0-17444449216</t>
  </si>
  <si>
    <t>University of Cape Town</t>
  </si>
  <si>
    <t>UCT</t>
  </si>
  <si>
    <t>['vertical data', 'term variations', 'substantial improvement', 'scientific purposes', 'reference stations', 'paper describes', 'gps survey', 'gps measurements', '1 ppm']</t>
  </si>
  <si>
    <t>Antenna Phase | Commercial Software Package | Gauge Measurement | Reference Station | Tide Gauge</t>
  </si>
  <si>
    <t>Tide gauge measurements are used for a variety of scientific purposes, not least of which are the definition of vertical data and the detection of long-term variations in mean sea level. GPS measurements at tide gauge sites provide a means of separating local verticl motions from sea level rise, and a means of unifying vertical data in a single reference system. This paper describes a GPS survey to determine the positions and heights of reference stations at South African tide gauge sites. The data were processed in baseline mode using a commercial software package. The heights of the tide gauge stations relative to the fixed ITRF reference station HRAO were determined at a precision of around 3 cm ‚Äì better than 0.1 ppm. Analysis of the error sources showes that use of the precise ephemeris contributed to a substantial improvement in accuracy, as did the use of ionosphere-free fixed integer baseline solutions. Variations in the antenna phase centers also contributed significant changes in height. ¬© 2001 John Wiley &amp; Sons, Inc.</t>
  </si>
  <si>
    <t>78-86</t>
  </si>
  <si>
    <t>60000356;60000356</t>
  </si>
  <si>
    <t>57203945171;7006702613</t>
  </si>
  <si>
    <t>Zimba, Robert;Merry, Charles L.</t>
  </si>
  <si>
    <t>Cape Town</t>
  </si>
  <si>
    <t>Zimba R.</t>
  </si>
  <si>
    <t>First Results for the GPS Survey of South Africa Tide Gauges</t>
  </si>
  <si>
    <t>10.1007/PL00012889</t>
  </si>
  <si>
    <t>2-s2.0-2442645629</t>
  </si>
  <si>
    <t>['time scales', 'structural model', 'satisfactorily reproduces', 'protein interactions', 'orientation assignments', 'lhcii ).', 'directed mutagenesis', 'assignment proposed']</t>
  </si>
  <si>
    <t>Electronic excited states | Energy transfer | Light-harvesting complex II | Photosynthesis</t>
  </si>
  <si>
    <t>We have attempted in this work an assignment of the Qy dipole moment orientations for all the chlorophylls in the major plant antenna, light-harvesting complex II (LHCII). Information that has recently become available through a structural model of the LHCII, site-directed mutagenesis, and spectroscopy of both LHCII and CP29 has been evaluated to model the electronic excited state structure in the presence of chlorophyll-chlorophyll and chlorophyll-protein interactions. An assignment has been obtained which satisfactorily reproduces the polarized linear absorption characteristics. The assignment proposed has also been found to be adequate in reproducing the time scales of the energy transfer processes. The pathways for the flow of excitation energy among the chlorophylls of the complex have been suggested in the context of identity and orientation assignments.</t>
  </si>
  <si>
    <t>344-353</t>
  </si>
  <si>
    <t>European Biophysics Journal</t>
  </si>
  <si>
    <t>6506333240;6602366587</t>
  </si>
  <si>
    <t>Iseri, E. I.;G√ºlen, D.</t>
  </si>
  <si>
    <t>Iseri E.</t>
  </si>
  <si>
    <t>Chlorophyll transition dipole moment orientations and pathways for flow excitation energy among the chlorophylls of the major plant antenna, LHCII</t>
  </si>
  <si>
    <t>10.1007/s002490100151</t>
  </si>
  <si>
    <t>2-s2.0-0034820964</t>
  </si>
  <si>
    <t>['space measurements', 'simulated results', 'reflected signal', 'near field', 'hidden object', 'experimental results', 'domain free', 'dispersive nature', 'dimensional finite', 'difference time', 'dielectric medium', 'determined front', 'agree well']</t>
  </si>
  <si>
    <t>FDTD | Free-space measurements | Mine detection | Near-field measurements</t>
  </si>
  <si>
    <t>The detection of buried objects using time-domain free-space measurements was carried out in the near field. The location of a hidden object was determined front an analysis of the reflected signal. This method can be extended to detect any, number of objects. Measurements were carried out in the X-and Ku-bands using ordinary rectangular pyramidal horn antennas of gain ‚àº 15 dB. The same antenna was used as the transmitter and receiver. The experimental results were compared with simulated results by applying the two-dimensional finite-difference time-domain (FDTD) method, and agree well with each other. The dispersive nature of the dielectric medium was considered for the simulation. ¬© 2001 John Wiley &amp; Sons, Inc. Microwave Opt Technol Lett.</t>
  </si>
  <si>
    <t>Yu, Wenhua;Farahat, Nader;Mittra, Raj</t>
  </si>
  <si>
    <t>Buried-object detection using free-space time-domain near-field measurements</t>
  </si>
  <si>
    <t>10.1002/mop.1352</t>
  </si>
  <si>
    <t>2-s2.0-0035812947</t>
  </si>
  <si>
    <t>['proposed technique', 'odd modes', 'maximum deviation', 'formulation use', 'dielectric losses', 'also computed', '2 %.']</t>
  </si>
  <si>
    <t>Coupled microstrip line | Dielectric loss | Multilayer coupled microstrip dielectric loss</t>
  </si>
  <si>
    <t>Single layer reduction (SLR) formulation use to compute dielectric loss of even-odd modes of a multilayer coupled microstrip line was presented. The complex line capacitance was determined to compute complex effective relative permittivity for the even and odd modes. The variation of dielectric losses with respect to frequency was also computed. The maximum deviation in the results was found to be 2%. Comparison of the results with spectral domain analysis (SDA) method suggested high accuracy of the proposed technique.</t>
  </si>
  <si>
    <t>65-67</t>
  </si>
  <si>
    <t>Dielectric loss of multilayer coupled microstrip line using SLR formulation</t>
  </si>
  <si>
    <t>10.1002/mop.1359</t>
  </si>
  <si>
    <t>2-s2.0-0035812949</t>
  </si>
  <si>
    <t>['plane axis', 'displacement along', 'complete study', 'circular patches', 'bandwidth extension']</t>
  </si>
  <si>
    <t>Bandwidth enhancement | Stacked patches</t>
  </si>
  <si>
    <t>A complete study of the bandwidth extension of asymmetrical stacked patches as been carried out. A method that combines the effect of upper patch size and its displacement along the E-plane axis has been analyzed. Results show new possibilities in the design of such antennas for the two studied cases: square and circular patches. ¬© 2001 John Wiley &amp; Sons, Inc. Microwave Opt Technol Lett.</t>
  </si>
  <si>
    <t>53-56</t>
  </si>
  <si>
    <t>23108272200;6508134995;56548639400;6507822575</t>
  </si>
  <si>
    <t>Zhengdong, Wang;Zhixing, Wang;Zhenhua, Li;Anzhi, He</t>
  </si>
  <si>
    <t>Zhengdong W.</t>
  </si>
  <si>
    <t>Bandwidth enhancement in noncentered stacked patches</t>
  </si>
  <si>
    <t>10.1002/mop.1355</t>
  </si>
  <si>
    <t>2-s2.0-0035812950</t>
  </si>
  <si>
    <t>['slightly increased', 'resonant frequency', 'probe feed', 'photonic bandgap', 'pattern radiation', 'paper presents', 'obtained compared', 'layer substrate', 'impedance bandwidth', 'ground planes', 'greatly lowered', 'fed using', 'experimental study', 'experimental results', 'antenna studied', 'also enhanced']</t>
  </si>
  <si>
    <t>Annular-ring patch antenna | Conical-pattern radiation | PBG ground plane | Slotted ground plane</t>
  </si>
  <si>
    <t>This paper presents an experimental study on the characteristics of annular-ring patch antennas with slotted and photonic bandgap (PBG) ground planes for operation in the higher order TM21 mode for conical-pattern radiation. The antenna studied has an air-layer substrate, and is fed using a probe feed. Experimental results show that, for the case with a slotted ground plane, greatly lowered resonant frequency and enhanced impedance bandwidth can be obtained compared to the case with a regular ground plane, However, the front-to-back radiation ratio is greatly lowered. As for the case with a PBG ground plane, the impedance bandwidth is also enhanced. On the other hand, the resonant frequency is slightly increased, and the front-to-back radiation ratio is improved. Details of the experimental results are presented and discussed. ¬© 2001 John Wiley &amp; Sons, Inc. Microwave Opt Technol Lett.</t>
  </si>
  <si>
    <t>60019330;60011357</t>
  </si>
  <si>
    <t>Cheng Shiu University Taiwan;National Sun Yat-Sen University</t>
  </si>
  <si>
    <t>Lin S.Y.</t>
  </si>
  <si>
    <t>Effects of slotted and photonic bandgap ground planes on the characteristics of an air-substrate annular-ring patch antenna in the TM&lt;inf&gt;21&lt;/inf&gt; mode</t>
  </si>
  <si>
    <t>10.1002/mop.1339</t>
  </si>
  <si>
    <t>2-s2.0-0035812956</t>
  </si>
  <si>
    <t>['z 371', 'z 360', 'time interval', 'study presents', 'sensitive enough', 'rights reserved', 'racemic form', 'plasma samples', 'pharmacokinetic studies', 'packard column', 'nitrendipine ).', 'nisoldipine treatment', 'nisoldipine enantiomers', 'nisoldipine administered', 'ms method', 'method proved', 'low coefficients', 'kinetic disposition', 'internal standard', 'impact ionization', 'human plasma', 'enantioselective hplc', 'enantioselective disposition', 'enantiomer ).', 'drugs associated', 'detector operated', 'day assays', 'collected separately', 'approximately 8', '24 h', '05 ng', '0 ng', '(-)- fractions', '(+)- enantiomer']</t>
  </si>
  <si>
    <t>Enantiomer separation | Nisoldipine</t>
  </si>
  <si>
    <t>Nisoldipine, a second-generation dihydropyridine calcium antagonist, is a racemate compound used in the treatment of hypertension and coronary heart disease. This study presents an enantioselective HPLC-GC-MS method for the analysis of nisoldipine in human plasma and establishes confidence limits for its application to pharmacokinetic studies. Plasma samples were basified and extracted with toluene. The enantiomers were resolved on a Chiralcel¬Æ OD-H column using hexane-ethanol (97.5:2.5, v/v) and the (+)- and (-)-fractions were collected separately with the diode array detector switched off. For the quantification of the nisoldipine enantiomers a GC-MS with an Ultra 1 Hewlett-Packard column was used with the detector operated in the single-ion monitoring mode with electron-impact ionization (m/z 371.35 and 270.20 for nisoldipine and m/z 360.00 for the internal standard, nitrendipine). The method proved to be suitable for pharmacokinetic studies based on the low quantification limit (0.05 ng/ml for each enantiomer) and the broad linear range (0.05-50.0 ng/ml for each enantiomer). Low coefficients of variation (&lt;15%) were demonstrated for both within-day and between-day assays. No interference from drugs associated with nisoldipine treatment was observed. The enantioselective pilot study on the kinetic disposition of nisoldipine administered in the racemic form to a hypertensive patient using a multiple dose regimen revealed the accumulation of the (+)-enantiomer with an AUC0-24 (+)/(-) ratio of approximately 8. Both enantiomers were quantified in plasma at a time interval of 24 h. This HPLC-GC-MS method is reliable, selective and sensitive enough to be used in clinical pharmacokinetic studies on the enantioselective disposition of nisoldipine in humans. ¬© 2001 Elsevier Science B.V. All rights reserved.</t>
  </si>
  <si>
    <t>60008088;60008088;60008088;60008088;60008088</t>
  </si>
  <si>
    <t>7201744111;57214563800;7006029024;7006225557;7004245288</t>
  </si>
  <si>
    <t>Marques, M. P.;Santos, N. A.G.;Coelho, E. B.;Bonato, P. S.;Lanchote, V. L.</t>
  </si>
  <si>
    <t>Marques M.</t>
  </si>
  <si>
    <t>Enantioselective assay of nisoldipine in human plasma by chiral high-performance liquid chromatography combined with gas chromatographic-mass spectrometry: Applications to pharmacokinetics</t>
  </si>
  <si>
    <t>S0378434701003528</t>
  </si>
  <si>
    <t>10.1016/S0378-4347(01)00352-8</t>
  </si>
  <si>
    <t>2-s2.0-0035812962</t>
  </si>
  <si>
    <t>['station application', 'radiation characteristics', 'patch length', 'many prototypes', 'greatly reduced', 'experimental results', 'excitation direction', 'also discussed', '1880 mhz']</t>
  </si>
  <si>
    <t>Capacitively coupled | Compact operation | DCS base station | Folded radiating patch | Patch antenna</t>
  </si>
  <si>
    <t>With the use of a folded radiating patch and an L-strip capacitively coupled feed, a novel compact patch antenna suitable for a DCS (1710-1880 MHz) cellular system base-station application is presented. Owing to the folded radiating patch used, the patch length in the excitation direction can be greatly reduced by more than 30% compared to the case with a conventional radiating patch. Many prototypes have been constructed, and the experimental results are presented. The effects of the folded radiating patch on the antenna's radiation characteristics are also discussed. ¬© 2001 John Wiley &amp; Sons, Inc. Microwave Opt Technol Lett.</t>
  </si>
  <si>
    <t>Chang F.S.</t>
  </si>
  <si>
    <t>Compact L-strip capacitively coupled patch antenna with a folded radiating patch for a DCS base station</t>
  </si>
  <si>
    <t>10.1002/mop.1357</t>
  </si>
  <si>
    <t>2-s2.0-0035812964</t>
  </si>
  <si>
    <t>['technique described', 'revolution finite', 'dimensional problems', 'different features', 'difference time']</t>
  </si>
  <si>
    <t>BOR | FDTD | Near-to-far field transformation monopole antenna</t>
  </si>
  <si>
    <t>In this paper, we present a far-field pattern calculation technique in the body-of-revolution finite-difference time-domain (BOR-FDTD) method. Because the BOR-FDTD solves two- and half-dimensional problems, it has different features from the three-dimensional FDTD method in the far-field pattern calculation. A monopole antenna fed by a coax is used to validate the technique described in this paper. ¬© 2001 John Wiley &amp; Sons, Inc. Microwave Opt Technol Lett.</t>
  </si>
  <si>
    <t>47-50</t>
  </si>
  <si>
    <t>60008928;60008928</t>
  </si>
  <si>
    <t>57188820055;7407075918</t>
  </si>
  <si>
    <t>Li, Hong;Wang, D. N.</t>
  </si>
  <si>
    <t>Hong Kong Polytechnic University</t>
  </si>
  <si>
    <t>Far-field pattern calculation in body-of-revolution finite-difference time-domain (BOR-FDTD) method</t>
  </si>
  <si>
    <t>10.1002/mop.1353</t>
  </si>
  <si>
    <t>2-s2.0-0035812965</t>
  </si>
  <si>
    <t>['software based', 'asymptotic methods', 'antenna pattern']</t>
  </si>
  <si>
    <t>Asymptotic method | Multipath | Propagation time | Radiation diagram | Ray tracing</t>
  </si>
  <si>
    <t>A high-speed radio link under OPNET modeler radio was presented for simulation of local multipoint distribution systems (LMDS) links. The simulation was carried out by integration of a three-dimensional radiation diagram of antenna pattern and software based on the ray-tracing and asymptotic methods. OPNET provides great computing power and flexibility for cases like LMDS link.</t>
  </si>
  <si>
    <t>24-27</t>
  </si>
  <si>
    <t>60008088;60029570;60008088</t>
  </si>
  <si>
    <t>8950084000;7004087252;6507913601</t>
  </si>
  <si>
    <t>Borges, Ben Hur V.;De Barros, Luiz Eugenio M.;Flamino, Reinaldo S.</t>
  </si>
  <si>
    <t>Campinas;Sao Paulo</t>
  </si>
  <si>
    <t>Universidade Estadual de Campinas;Universidade de S√£o Paulo</t>
  </si>
  <si>
    <t>60029570;60008088</t>
  </si>
  <si>
    <t>Borges B.</t>
  </si>
  <si>
    <t>Simulation of a high-speed radio link under OPNET</t>
  </si>
  <si>
    <t>10.1002/mop.1347</t>
  </si>
  <si>
    <t>2-s2.0-0035812966</t>
  </si>
  <si>
    <t>['surface wave', 'segmentation method', 'resonant frequency', 'radiation patterns', 'proposed antenna', 'measured results', 'maximum bandwidth', 'improved due', 'first time', 'evident front', 'different orders', 'close agreement', 'also presented', '9 %.', '2 %,']</t>
  </si>
  <si>
    <t>Broadband antennas | Fractal antennas | Sierpinski antennas</t>
  </si>
  <si>
    <t>The boundary integral method coupled with the segmentation method have been used for the first time to analyze Sierpinski carpet antennas of different orders. As is evident front the close agreement between calculated and measured results for the resonant frequency and input return loss, this technique is found to predict the impedance characteristic accurately. A novel stacked microstrip Sierpinski carpet fractal antenna using a photonic bandgap structure is also presented. Compared to att ordinary microstrip fractal anteana, which has a maximum bandwidth of 2%, the proposed antenna has a higher input impedance bandwidth of about 9%. The radiation patterns of the proposed antenna are improved due to the removal of unwanted radiation caused by the surface wave. The experimental measurement results of the proposed antenna are presented in this paper. ¬© 2001 John Wiley &amp; Sons, Inc. Microwave Opt Technol Lett.</t>
  </si>
  <si>
    <t>60015186;60015186;60015186</t>
  </si>
  <si>
    <t>6701440303;36807589100;7006174836</t>
  </si>
  <si>
    <t>Klymyshyn, David M.;Qiu, Dai;Pramanick, Protap</t>
  </si>
  <si>
    <t>Saskatoon</t>
  </si>
  <si>
    <t>University of Saskatchewan</t>
  </si>
  <si>
    <t>Klymyshyn D.</t>
  </si>
  <si>
    <t>Analysis and bandwidth enhancement of Sierpinski carpet antenna</t>
  </si>
  <si>
    <t>10.1002/mop.1343</t>
  </si>
  <si>
    <t>2-s2.0-0035812976</t>
  </si>
  <si>
    <t>['single antenna', 'known near', 'impressed field', 'field pattern', 'equivalent currents', 'efficient approach', 'conducting environments', 'conducting environment', 'analyze antennas']</t>
  </si>
  <si>
    <t>Antenna analysis | Equivalent currents | Integral-equation method</t>
  </si>
  <si>
    <t>An efficient approach to analyze antennas in conducting environments is presented. It is based on the replacement of the antenna by sets of equivalent magnetic currents that become the sources of the impressed field over the conducting environment. The equivalent currents are calculated from the known near-field pattern of the single antenna. ¬© 2001 John Wiley &amp; Sons, Inc. Microwave Opt Technol Lett.</t>
  </si>
  <si>
    <t>62-65</t>
  </si>
  <si>
    <t>60029284;60029284;60029284</t>
  </si>
  <si>
    <t>7401937908;22935760300;6506719676</t>
  </si>
  <si>
    <t>Verma, A. K.;Nasimuddin, ;Bhupal, A.</t>
  </si>
  <si>
    <t>University of Delhi</t>
  </si>
  <si>
    <t>Verma A.</t>
  </si>
  <si>
    <t>Using equivalent currents to analyze antennas in complex environments</t>
  </si>
  <si>
    <t>10.1002/mop.1358</t>
  </si>
  <si>
    <t>2-s2.0-0035812979</t>
  </si>
  <si>
    <t>['radiated signal', 'prototpye designed', 'oscillation frequency', 'nonlinear analysis', 'measured results', 'load network', 'design robustness', 'aia prototype', 'actively biasing', '2 ghz']</t>
  </si>
  <si>
    <t>Active integrated antennas | Low-frequency oscillations</t>
  </si>
  <si>
    <t>A frequency selective loading for a transmitting active integrated antenna (AIA) was presented. The oscillation frequency and design robustness of AIA were studied experimentally using a prototpye designed to work at 2 GHz. Nonlinear analysis of the AIA prototype was estimated by actively biasing the circuit with the collector-emitter voltage VCE ‚âà 8V and the base current IB ‚âà 0.095 mA. The measured results of the radiated signal were estimated before and after the load network was implemented.</t>
  </si>
  <si>
    <t>60014808;60003500;60003500</t>
  </si>
  <si>
    <t>35591439300;35595967100;35482440300</t>
  </si>
  <si>
    <t>Ert√ºrk, V. B.;Rojas, R. G.;Roblin, P.</t>
  </si>
  <si>
    <t>Ankara;Columbus</t>
  </si>
  <si>
    <t>Bilkent √úniversitesi;The Ohio State University</t>
  </si>
  <si>
    <t>60014808;60003500</t>
  </si>
  <si>
    <t>Ert√ºrk V.B.</t>
  </si>
  <si>
    <t>Frequency-selective loading for a transmitting active integrated antenna</t>
  </si>
  <si>
    <t>10.1002/mop.1340</t>
  </si>
  <si>
    <t>2-s2.0-0035812980</t>
  </si>
  <si>
    <t>['resonant modes', 'loosely coupled', 'loaded cavities', 'fully three', 'experimental measurements', 'excellent agreement', 'copper cavity', 'band performance']</t>
  </si>
  <si>
    <t>Electromagnetic modeling | Microwave resonators | Topology</t>
  </si>
  <si>
    <t>Resonant modes of M√∂bius wire-loaded cavities are determined by a fully three-dimensional numerical eigenfrequency analysis. Excellent agreement is achieved with experimental measurements of a loosely coupled M√∂bius wire in a copper cavity, for both the M√∂bius modes and the conventional generalized even modes. The field solutions provide insight applicable to suppression of the higher order modes that limit the out-of-band performance of the bandpass filters implemented with M√∂bius resonators. ¬© 2001 John Wiley &amp; Sons, Inc. Microwave Opt Technol Lett.</t>
  </si>
  <si>
    <t>60015916;60027271</t>
  </si>
  <si>
    <t>7103050643;57195268731</t>
  </si>
  <si>
    <t>Cooke, Simon J.;Pond, Jeffrey M.</t>
  </si>
  <si>
    <t>Washington, D.C.;San Diego</t>
  </si>
  <si>
    <t>Naval Research Laboratory;SAIC</t>
  </si>
  <si>
    <t>60027271;60015916</t>
  </si>
  <si>
    <t>Modes in a m√∂bius wire-loaded cavity resonator</t>
  </si>
  <si>
    <t>10.1002/mop.1341</t>
  </si>
  <si>
    <t>2-s2.0-0035812981</t>
  </si>
  <si>
    <t>['supported substrate', 'substrate thickness', 'stable across', 'probe proximity', 'impedance bandwidth', 'foam layer', 'field patterns', 'domain method', 'difference time', '4 dbi', '0 dbi']</t>
  </si>
  <si>
    <t>Microstrip antennas | Small antennas | Wideband antennas</t>
  </si>
  <si>
    <t>Wideband T-probe proximity-fed regular circular and compact semicircular patch antennas are proposed in this paper. For the regular circular patch antenna, using a foam layer of thickness ‚àº0.13Œª0 as a supported substrate, an impedance bandwidth of 35% and a gain of over 8.0 dBi have been obtained. For the compact semicircular patch antenna, an impedance bandwidth of 56% anti a gain of over 5.4 dBi are achieved with the same substrate thickness. The far-field patterns are stable across the passband. Experimental and computed results based on the finite-difference time-domain method are provided. ¬© 2001 John Wiley &amp; Sons, Inc. Microwave Opt Technol Lett.</t>
  </si>
  <si>
    <t>Regular circular and compact semicircular patch antennas with a T-probe feeding</t>
  </si>
  <si>
    <t>10.1002/mop.1360</t>
  </si>
  <si>
    <t>2-s2.0-0035813001</t>
  </si>
  <si>
    <t>['working hypothesis', 'tumour leads', 'results obtained', 'regional hyperthermia', 'presented methods', 'online optimization', 'normal tissues', 'hybrid system', 'functionals considered', 'fast routines', 'fast response', 'described methods', 'campus virchow', 'based information', 'analyse functions']</t>
  </si>
  <si>
    <t>The goal of regional hyperthermia is to heat up deeply located tumours to temperatures above 42 ¬∞C while keeping the temperatures in normal tissues below tissue-dependent critical values. The aim of this paper is to describe and analyse functions which can be used for computing hyperthermia treatment plans in line with these criteria. All the functionals considered here can be optimized by efficient numerical methods. We started with the working hypothesis that maximizing the quotient of integral absorbed power inside the tumour and a weighted energy norm outside the tumour leads to clinically useful power distributions which also yield favourable temperature distributions. The presented methods have been implemented and tested with real patient data from the Charit√© Berlin, Campus Virchow-Klinikum. The results obtained by these fast routines are comparable with those obtained by relatively expensive global optimization techniques. Thus the described methods are very promising for online optimization in a hybrid system for regional hyperthermia where a fast response to MR-based information is important.</t>
  </si>
  <si>
    <t>2503-2514</t>
  </si>
  <si>
    <t>60008293;60008293;60000762;60032824</t>
  </si>
  <si>
    <t>18935470900;7005621237;7004987139;6603594689</t>
  </si>
  <si>
    <t>K√∂hler, Torsten;Maass, Peter;Wust, Peter;Seebass, Martin</t>
  </si>
  <si>
    <t>Berlin;Bremen;Berlin</t>
  </si>
  <si>
    <t>Zuse Institute Berlin;Universit√§t Bremen;Humboldt-Universit√§t zu Berlin</t>
  </si>
  <si>
    <t>60032824;60008293;60000762</t>
  </si>
  <si>
    <t>K√∂hler T.</t>
  </si>
  <si>
    <t>A fast algorithm to find optimal controls of multiantenna applicators in regional hyperthermia</t>
  </si>
  <si>
    <t>S0031915501208306</t>
  </si>
  <si>
    <t>10.1088/0031-9155/46/9/318</t>
  </si>
  <si>
    <t>2-s2.0-0034834065</t>
  </si>
  <si>
    <t>['suzuki coupling', 'stable inclusion', 'second generation', 'porphyrin core', 'harvesting antennae', 'fluorescence spectroscopies', 'dendron units', 'dendritic porphyrins', 'c60 hosts']</t>
  </si>
  <si>
    <t>A series of 1,3,5-phenylene-based rigid dendritic porphyrins were synthesized by Suzuki coupling between a porphyrin core and dendron units. The intramolecular energy transfer was studied by absorption and fluorescence spectroscopies. The encapsulation of the porphyrin core within the 1,3,5-phenylene dendron units was found to provide highly efficient energy transfer from the dendron units to the porphyrin core. The dendritic wedge structure affected the energy transfer efficiency. The 1,3,5-phenylene-based rigid dendron units act as highly efficient light-harvesting antennae. These dendritic porphyrins have also been examined as C60 hosts and substrate-selective oxidation catalysts. The attachment of the second generation of 1,3,5-phenylene-based dendron units with the porphyrin core enabled a stable inclusion of C60 in toluene. Furthermore, the size and shape of the nanospace in the rigid dendritic porphyrins were found to affect the selectivity of substrates in the catalytic olefin oxidations.</t>
  </si>
  <si>
    <t>5636-5642</t>
  </si>
  <si>
    <t>60031955;60031955;60031955;60031955;60031955;60008435</t>
  </si>
  <si>
    <t>7404738922;35875495800;57225829661;7103041145;7202945188;7404311714</t>
  </si>
  <si>
    <t>Kimura, M.;Shiba, T.;Yamazaki, M.;Hanabusa, K.;Shirai, H.;Kobayashi, N.</t>
  </si>
  <si>
    <t>Matsumoto;Sendai</t>
  </si>
  <si>
    <t>Shinshu University;Tohoku University</t>
  </si>
  <si>
    <t>60031955;60008435</t>
  </si>
  <si>
    <t>Kimura M.</t>
  </si>
  <si>
    <t>Construction of regulated nanospace around a porphyrin core</t>
  </si>
  <si>
    <t>10.1021/ja004312d</t>
  </si>
  <si>
    <t>2-s2.0-0034801439</t>
  </si>
  <si>
    <t>['ramification within', 'ramification patterns', 'modulatory mechanisms', 'microglomerular core', 'lucifer yellow', 'lobus glomerulatus', 'lg ).', 'lateral protocerebrum', 'labelling experiments', 'interneurons ramifying', 'interglomerular space', 'immunolabelled interneurons', 'immunocytochemical identity', 'glomerular regions', 'glomerular neuropil', 'dorsal non', 'different patterns', 'demonstrate colocalisation', 'colocalising gaba', 'close associations', 'arborising throughout', 'antennal lobe', 'al interneurons', '2 ).']</t>
  </si>
  <si>
    <t>Antennal lobe | FMRFamide | GABA | Histamine | Interneurons | Kinin | Schistocerca gregaria (Insecta) | Serotonin | Tachykinin</t>
  </si>
  <si>
    <t>As a first step towards unravelling some of the complexity of the signalling and modulatory mechanisms in the antennal lobe (AL) of the desert locust Schistocerca gregaria, I analysed the immunocytochemical identity of AL interneurons. Antibodies against serotonin, histamine, locustatachykinin, leucokinin and FMRFamide were used to reveal the morphology of interneurons ramifying in the AL. In addition, double-labelling experiments were performed in order to demonstrate colocalisation of GABA and locustatachykinin and to investigate the ramification patterns of immunolabelled interneurons and physiologically characterised olfactory projection neurons (PNs) injected with Lucifer yellow. Immunoreactivity to these antibodies revealed six different types of interneurons with different patterns of ramification within the glomerular neuropil: (1, 2) Centrifugal interneurons displaying serotonin immunore-activity, which arborised extensively within the AL and extended varicose fibres into the microglomerular core where close associations with dendrites of AL PNs could be distinguished. (3) Histamine-immunoreactive centrifugal interneurons with arborisations in the protocerebrum and the dorsal non-glomerular regions of the AL and the lobus glomerulatus (LG). (4) Locustatachykinin-immunoreactive local interneurons, colocalising GABA, arborising throughout the AL and extending varicose fibres throughout the glomerular neuropil where close associations with dendrites of AL PNs could be distinguished. (5) Leucokinin-immunoreactive descending neurons connecting the protocerebrum, the AL, the LG and all ganglia of the ventral nerve cord. These neurons displayed sparse innervation of the AL and extended varicose fibres into the interglomerular space. (6) FMRF-amide-immunoreactive centrifugal interneurons, connecting the lateral protocerebrum with the AL and the LG, which arborised sparsely within these neuropils and displayed similar innervation of the microglomeruli as (1) and (2).</t>
  </si>
  <si>
    <t>143-156</t>
  </si>
  <si>
    <t>Ignell, R.</t>
  </si>
  <si>
    <t>Monoamines and neuropeptides in antennal lobe interneurons of the desert locust, Schistocerca gregaria: An immunocytochemical study</t>
  </si>
  <si>
    <t>10.1007/s004410100434</t>
  </si>
  <si>
    <t>2-s2.0-0034813717</t>
  </si>
  <si>
    <t>['wave observatory', 'wave antennas', 'strain sensitivity', 'sets challenges', 'restrictions imposed', 'required sensitivity', 'required immunity', 'optical cavities', 'operating point', 'must maintain', 'ligo length', 'interferometric gravitational', 'frequency sensing', 'differential length', 'control system', 'also highlight', '21 rms', '150 hz']</t>
  </si>
  <si>
    <t>Interferometric gravitational-wave antennas are based on Michelson interferometers whose sensitivity to small differential length changes has been enhanced by the addition of multiple coupled optical resonators. The use of optical cavities is essential for reaching the required sensitivity but sets challenges for the control system, which must maintain the cavities near resonance. The goal for the strain sensitivity of the Laser Interferometer Gravitational-Wave Observatory (LIGO) is 10-21 rms, integrated over a 100-Hz bandwidth centered at 150 Hz. We present the major design features of the LIGO length and frequency sensing and control system, which will hold the differential length to within 5 √ó 10-14 m of the operating point. We also highlight the restrictions imposed by couplings of noise into the gravitationalwave readout signal and the required immunity against them. ¬© 2001 Optical Society of America.</t>
  </si>
  <si>
    <t>4988-4998</t>
  </si>
  <si>
    <t>1559128X</t>
  </si>
  <si>
    <t>Applied Optics</t>
  </si>
  <si>
    <t>60022195;60031581;60001439;60031581;60031581;60004285;60004285;60022195</t>
  </si>
  <si>
    <t>10639393900;35271206100;24334913400;6602346659;6701596387;57210711130;7003652256;7101809496</t>
  </si>
  <si>
    <t>Fritschel, Peter;Bork, Rolf;Gonz√°lez, Gabriela;Mavalvala, Nergis;Ouimette, Dale;Rong, Haisheng;Sigg, Daniel;Zucker, Michael</t>
  </si>
  <si>
    <t>Pasadena;Cambridge;Richland;University Park</t>
  </si>
  <si>
    <t>California Institute of Technology;Massachusetts Institute of Technology;LIGO Hanford;Pennsylvania State University</t>
  </si>
  <si>
    <t>60031581;60022195;60004285;60001439</t>
  </si>
  <si>
    <t>Fritschel P.</t>
  </si>
  <si>
    <t>Readout and control of a power-recycled interferometric gravitational-wave antenna</t>
  </si>
  <si>
    <t>10.1364/AO.40.004988</t>
  </si>
  <si>
    <t>2-s2.0-0001268166</t>
  </si>
  <si>
    <t>['reported previously', 'report finding', 'radiofrequency radiation', 'pupil constriction', 'neurological abnormality', 'left side', 'cdma )]', 'accidental exposure', '2 h', '06 mw']</t>
  </si>
  <si>
    <t>Current perception thresholds | Dysaesthesiae | Mobile phone | Neurological | Radiofrequency radiation</t>
  </si>
  <si>
    <t>Dysaesthesiae of the scalp and neurological abnormality after mobile phone use have been reported previously, but the roles of the phone per se or the radiations in causing these findings have been questioned. We report finding a neurological abnormality in a patient after accidental exposure of the left side of the face to mobile phone radiation [code division multiple access (CDMA)] from a down-powered mobile phone base station antenna. He had headaches, unilateral left blurred vision and pupil constriction, unilateral altered sensation on the forehead, and abnormalities of current perception thresholds on testing the left trigeminal ophthalmic nerve. His nerve function recovered during 6 months follow-up. His exposure was 0.015-0.06 mW/cm2 over 1-2 h. The implications regarding health effects of radiofrequency radiation are discussed.</t>
  </si>
  <si>
    <t>Occupational Medicine</t>
  </si>
  <si>
    <t>100461206;60026210</t>
  </si>
  <si>
    <t>35576558700;57196566147</t>
  </si>
  <si>
    <t>Hocking, Bruce;Westerman, R.</t>
  </si>
  <si>
    <t>Caulfield;Melbourne</t>
  </si>
  <si>
    <t>Caulfield General Medical Centre;Occupational Medicine</t>
  </si>
  <si>
    <t>60026210;100461206</t>
  </si>
  <si>
    <t>Hocking B.</t>
  </si>
  <si>
    <t>Neurological abnormalities associated with CDMA exposure</t>
  </si>
  <si>
    <t>10.1093/occmed/51.6.410</t>
  </si>
  <si>
    <t>2-s2.0-0034789451</t>
  </si>
  <si>
    <t>['two states', 'synaptic strengths', 'successfully simulated', 'subsequent trial', 'small phase', 'small increments', 'single local', 'resting period', 'range 20', 'projection neurons', 'produce coherence', 'pns receive', 'oscillatory whereas', 'one ln', 'olfactory system', 'ln synapses', 'isolated neurons', 'individual units', 'inactive state', 'huxley model', 'high pn', 'coherence increases', 'binding process', 'bifurcation diagrams', 'active state', '80 pns', '50 hz', '10 trials']</t>
  </si>
  <si>
    <t>We present a simple neural network model which simulates the experimental action potentials measured by Laurent and coworkers from single local (LN) and projection neurons (PN) in the olfactory system of an insect, the locust. Our recurrent network consists of one LN and 80 PNs where the individual units (neurons) are described by the Hodgkin-Huxley model. Bifurcation diagrams for the isolated neurons are calculated, where the PNs are oscillatory whereas the LN is treated as a non-oscillatory steady state neuron. The PN-PN and PN-LN synapses are excitatory. Inhibitory synaptic coupling between the LN and all 80 PNs causes all PNs to fire coherently generating a local field potential which precedes the LN by a small phase-shift. The LN and the PNs receive a scaled antennal nerve current from the olfactory receptor neurons (ORNs) where the receptors bind odor molecules with specific binding constants in a simple "open" binding process. We assume, that the odor-bound receptors exist in two states; an active state (R1) and an inactive state (R2) leading to adaptation where R1 is assumed to be proportional to the antennal nerve current. All synaptic strengths are augmented by small increments for each successive odor presentation. Thus, the short-term memory effect which has been measured by Stopfer and Laurent (M. Stopfer and G. Laurent, Nature, 1999, 402, 664) in 10 repeated presentations of the same odor, is successfully simulated: the PN action potentials decrease in intensity, successive signatures simplify and the PN-coherence increases. High PN-frequencies ( &gt; 50 Hz) abolish the coherence in the range 20-50 Hz. A previously augmented synaptic strength is retained after 10 trials and a 30 s resting period to produce coherence in a "naive" part of the antenna in a subsequent trial.</t>
  </si>
  <si>
    <t>4060-4071</t>
  </si>
  <si>
    <t>Physical Chemistry Chemical Physics</t>
  </si>
  <si>
    <t>6507177498;7401893584</t>
  </si>
  <si>
    <t>Schinor, N.;Schneider, F. W.</t>
  </si>
  <si>
    <t>Schinor N.</t>
  </si>
  <si>
    <t>A small neural net simulates coherence and short-term memory in an insect olfactory system</t>
  </si>
  <si>
    <t>10.1039/b103340a</t>
  </si>
  <si>
    <t>2-s2.0-0034809075</t>
  </si>
  <si>
    <t>MAS3-CT97-0128</t>
  </si>
  <si>
    <t>['variable number', 'typical cyanobacteria', 'transcripts originating', 'transcript levels', 'successful adaptation', 'state levels', 'single copy', 'several orders', 'separate cluster', 'regulated expression', 'protein complexes', 'phylogenetic analysis', 'pcbg make', 'pcbf gene', 'pcb sequences', 'pcb proteins', 'mrna could', 'major light', 'light intensity', 'light conditions', 'less variable', 'key factor', 'intrinsic divinyl', 'highest irradiance', 'high turnover', 'harvesting system', 'four high', 'early multiplication', 'different rate', 'degraded product', 'cluster together', 'adapted strains', '72 œºmol', '45 œºmol', '1 ).']</t>
  </si>
  <si>
    <t>Chlorophyll a/b-binding proteins | CP43 | Light-harvesting complexes | Light-regulated gene expression | Marine cyanobacteria | Pcb</t>
  </si>
  <si>
    <t>In contrast to typical cyanobacteria, Prochlorococcus strains possess an intrinsic divinyl-chlorophyll (Chl) a/b-protein complex instead of phycobilisomes as the major light-harvesting system. These pigment-protein complexes are encoded by a variable number of pcb genes depending on the ecotype to which the Prochlorococcus strain belongs: low-light-adapted strains possess several pcb gene copies whereas only a single copy is present in high-light-adapted strains. In this study, the light-regulated expression of the seven pcb genes of Prochlorococcus marinus SS 120 was examined. The pcbF gene was found to exhibit a high turnover and its mRNA could only be detected as a degraded product under all light conditions. Steady-state levels of transcripts originating from the six other pcb gene copies varied over several orders of magnitude but were not significantly differentially regulated by light intensity. Transcript levels of most pcb genes increased between 4.5 and 8.5 Œºmol quanta m-2 s-1, peaked at 45 Œºmol m-2 s-1 and decreased at the highest irradiance (72 Œºmol m-2 s-1). A phylogenetic analysis of the Pcb proteins and other members of the six-helix Chl protein superfamily revealed that PcbC and PcbG make a separate cluster with regard to the other Pcbs from SS120. In contrast, Pcb sequences from four high-light-adapted Prochlorococcus sp. strains were found to cluster together and to be less variable than SS 120 Pcbs. Thus, pcb genes likely evolved at a different rate in the two Prochlorococcus ecotypes. Their early multiplication and diversification is likely a key factor in the successful adaptation of some genotypes to very-low-light conditions.</t>
  </si>
  <si>
    <t>683-693</t>
  </si>
  <si>
    <t>Plant Molecular Biology</t>
  </si>
  <si>
    <t>60001422;60001422;60000762;60001422;60001422</t>
  </si>
  <si>
    <t>6507928984;6603448285;7202693732;7005679184;7003482684</t>
  </si>
  <si>
    <t>Garczarek, Laurence;Van Der Staay, Georg W.M.;Hess, Wolfgang R.;Le Gall, Florence;Partensky, Fr√©d√©ric</t>
  </si>
  <si>
    <t>France;Germany</t>
  </si>
  <si>
    <t>Paris;Berlin</t>
  </si>
  <si>
    <t>Sorbonne Universite;Humboldt-Universit√§t zu Berlin</t>
  </si>
  <si>
    <t>60001422;60000762</t>
  </si>
  <si>
    <t>Garczarek L.</t>
  </si>
  <si>
    <t>Expression and phylogeny of the multiple antenna genes of the low-light-adapted strain Prochlorococcus marinus SS120 (Oxyphotobacteria)</t>
  </si>
  <si>
    <t>10.1023/A:1011681726654</t>
  </si>
  <si>
    <t>2-s2.0-0034808391</t>
  </si>
  <si>
    <t>['spatial variations', 'link budget', 'different bandwidths']</t>
  </si>
  <si>
    <t>Measurements of the narrowband and wideband propagation characteristics of a radio propagation channel in a residential indoor environment were reported. The transmission was found to be increasingly frequency selective as compared to line of sight (LOS) transmission. The fast fading effects and spatial variations of instantaneous received power for different bandwidths were analyzed. The use of a narrow beam allowed reduction of spatial fast fading and reducing the link budget.</t>
  </si>
  <si>
    <t>1310-1311</t>
  </si>
  <si>
    <t>Guillet, V.</t>
  </si>
  <si>
    <t>Belfort</t>
  </si>
  <si>
    <t>T√©l√©com</t>
  </si>
  <si>
    <t>Guillet V.</t>
  </si>
  <si>
    <t>Narrowband and wideband characteristics of 60 GHz radio propagation in residential environment</t>
  </si>
  <si>
    <t>10.1049/el:20010888</t>
  </si>
  <si>
    <t>2-s2.0-0035845971</t>
  </si>
  <si>
    <t>['three monopoles', 'results indicated', 'properly choosing', 'input impedance', 'impedance performance', 'feeding strip', 'conventional monopole']</t>
  </si>
  <si>
    <t>A triangular electromagnetically coupled planar monopole was analyzed to improve the impedance performance of a conventional monopole. Three monopoles with different feeding arrangements and separated by a piece of thin dielectric slab were investigated. Input impedance was measured in the frequency range 1 to 5GHz. Results indicated that broad impedance bandwidths were attained by properly choosing the dimensions of the feeding strip.</t>
  </si>
  <si>
    <t>1271-1272</t>
  </si>
  <si>
    <t>Impedance characteristics of EMC triangular planar monopoles</t>
  </si>
  <si>
    <t>10.1049/el:20010866</t>
  </si>
  <si>
    <t>2-s2.0-0035845974</t>
  </si>
  <si>
    <t>['simplified cases', 'pure method', 'polarisation purity', 'physical expectations', 'hybrid method', 'human proximity', 'good agreement', 'also made']</t>
  </si>
  <si>
    <t>Using a hybrid method of moments/finite difference time domain technique, a study of the effects of human proximity on the polarisation purity of circularly-polarised handset antennas for personal satellite communications was undertaken. Assessments of specific absorption rate in the head were also made. The method gave stable results, in accordance with physical expectations. Good agreement with the pure method of moments was shown in simplified cases.</t>
  </si>
  <si>
    <t>1272-1274</t>
  </si>
  <si>
    <t>60008524;60008524;60008524</t>
  </si>
  <si>
    <t>6602536151;7003902501;7006824457</t>
  </si>
  <si>
    <t>Mangoud, M. A.;Abd-Alhameed, R. A.;Excell, P. S.</t>
  </si>
  <si>
    <t>Bradford</t>
  </si>
  <si>
    <t>University of Bradford</t>
  </si>
  <si>
    <t>Mangoud M.</t>
  </si>
  <si>
    <t>Investigations of polarisation purity and SAR for personal satellite communications antennas using a hybrid computational method</t>
  </si>
  <si>
    <t>10.1049/el:20010849</t>
  </si>
  <si>
    <t>2-s2.0-0035846009</t>
  </si>
  <si>
    <t>['width disocontinuities', 'size reduction', 'results indicated', 'proposed antenna', 'microstrip patch', 'microstrip antenna', 'matching technique', 'junctions formed', 'different widths', 'cavity model', 'antenna structure']</t>
  </si>
  <si>
    <t>An antenna structure for size reduction of a microstrip antenna was presented. Patches of different widths were connected at junctions placed symmetrically to ensure maximum radiation. A cavity model was used with a mode-matching technique to analyze the proposed antenna. Results indicated that junctions formed by width disocontinuities in the microstrip patch were effective in reducing antenna size at a given resonant frequency.</t>
  </si>
  <si>
    <t>1274-1275</t>
  </si>
  <si>
    <t>60017536;60017536</t>
  </si>
  <si>
    <t>7410158021;36892632300</t>
  </si>
  <si>
    <t>Lee, C. S.;Tseng, K. H.</t>
  </si>
  <si>
    <t>Southern Methodist University</t>
  </si>
  <si>
    <t>Lee C.</t>
  </si>
  <si>
    <t>Size reduction of microstrip antennas</t>
  </si>
  <si>
    <t>10.1049/el:20010890</t>
  </si>
  <si>
    <t>2-s2.0-0035846057</t>
  </si>
  <si>
    <t>60015150;60015150;60008134;60015150</t>
  </si>
  <si>
    <t>6701537962;6603851229;7003482684;7402350514</t>
  </si>
  <si>
    <t>Bibby, T. S.;Nield, J.;Partensky, F.;Barber, J.</t>
  </si>
  <si>
    <t>Imperial College London;CNRS Centre National de la Recherche Scientifique</t>
  </si>
  <si>
    <t>60015150;60008134</t>
  </si>
  <si>
    <t>Antenna ring around photosystem I</t>
  </si>
  <si>
    <t>10.1038/35098153</t>
  </si>
  <si>
    <t>2-s2.0-0035846108</t>
  </si>
  <si>
    <t>Israel Academy of Sciences and Humanities</t>
  </si>
  <si>
    <t>366/99</t>
  </si>
  <si>
    <t>ISF</t>
  </si>
  <si>
    <t>['œ ≤', 'œ ±', 'vulcanus phycocyanin', 'thermophilic organisms', 'significant shift', 'quaternary structures', 'phycobilisome structure', 'oligomeric phycocyanin', 'molecular replacement', 'harvesting phycobiliprotein', 'free factor', 'fashion similar', 'crystal structure', 'crystal belongs', 'critical positions', 'cell parameters', 'asymmetric unit', 'association interface', '4 %),', '120 ¬∞,']</t>
  </si>
  <si>
    <t>Antenna | Photosynthesis | Protein stability | Protein structure | X-ray crystallography</t>
  </si>
  <si>
    <t>The crystal structure of the light-harvesting phycobiliprotein, c-phycocyanin from the thermophilic cyanobacterium Synechochoccus vulcanus has been determined by molecular replacement to 2.5 √Ö resolution. The crystal belongs to space group R32 with cell parameters a = b = 188.43 √Ö, c = 61.28 √Ö, Œ± = Œ≤ = 90¬∞, Œ≥ = 120¬∞, with one (Œ±Œ≤) monomer in the asymmetric unit. The structure has been refined to a crystallographic R factor of 20.2% (R-free factor is 24.4%), for all data to 2.5 √Ö. The crystals were grown from phycocyanin (Œ±Œ≤)3trimers that form (Œ±Œ≤)6hexamers in the crystals, in a fashion similar to other phycocyanins. Comparison of the primary, tertiary and quaternary structures of the S. vulcanus phycocyanin structure with phycocyanins from both the mesophilic Fremyella diplsiphon and the thermophilic Mastigocladus laminosus were performed. We show that each level of assembly of oligomeric phycocyanin, which leads to the formation of the phycobilisome structure, can be stabilized in thermophilic organisms by amino acid residue substitutions. Each substitution can form additional ionic interactions at critical positions of each association interface. In addition, a significant shift in the position of ring D of the B155 phycocyanobilin cofactor in the S. vulcanus phycocyanin, enables the formation of important polar interactions at both the (Œ±Œ≤) monomer and (Œ±Œ≤)6hexamer association interfaces. ¬© 2001 Academic Press.</t>
  </si>
  <si>
    <t>71-81</t>
  </si>
  <si>
    <t>Journal of Molecular Biology</t>
  </si>
  <si>
    <t>60022403;60022403;60022403</t>
  </si>
  <si>
    <t>6701633634;15735664800;57197321386</t>
  </si>
  <si>
    <t>Adir, Noam;Dobrovetsky, Yelena;Lerner, Natalia</t>
  </si>
  <si>
    <t>Adir N.</t>
  </si>
  <si>
    <t>Structure of c-phycocyanin from the thermophilic cyanobacterium Synechococcus vulcanus at 2.5 √Ö: Structural implications for thermal stability in phycobilisome assembly</t>
  </si>
  <si>
    <t>S0022283601950302</t>
  </si>
  <si>
    <t>10.1006/jmbi.2001.5030</t>
  </si>
  <si>
    <t>2-s2.0-0035850751</t>
  </si>
  <si>
    <t>P01CA042745</t>
  </si>
  <si>
    <t>['upper limit', 'sources results', 'small number', 'paper explores', 'optimal positions', 'normalized magnitude', 'inhomogeneous medium', 'genetic algorithm', 'five wavelengths', 'final shape', 'field distribution', 'domain method', 'difference time', 'circular arrays', 'array exists']</t>
  </si>
  <si>
    <t>Focal regions | Genetic algorithms | Optimization</t>
  </si>
  <si>
    <t>This paper explores the behaviour of the primary and secondary hot spots in homogeneous and two-dimensional inhomogeneous medium. Circular arrays are considered with a radius of up to five wavelengths. The number of sources and their positions in the array are varied, and the influence of these variations on the primary and secondary hot spots is observed. It is found that the primary hot spot reaches its final shape with the addition of a very small number of sources to the array. An increase in the number of sources results in a reduction of the normalized magnitude of the secondary hot spots, but the size of the normalized primary hot spot remains the same. An upper limit of sources in the array exists after which no further reduction of the secondary hot spots is observed. The finite-difference time-domain method (FDTD) is used to obtain the electric-field distribution in the inhomogeneous medium. A genetic algorithm is then applied to find the optimal positions of the antennae in the array.</t>
  </si>
  <si>
    <t>382-400</t>
  </si>
  <si>
    <t>60008724;60008724;60008724</t>
  </si>
  <si>
    <t>57214260496;7004721662;35475361200</t>
  </si>
  <si>
    <t>Henke, F. M.;Joines, W. T.;Samulski, T. V.</t>
  </si>
  <si>
    <t>Duke University</t>
  </si>
  <si>
    <t>Henke F.</t>
  </si>
  <si>
    <t>Variations of focal regions versus numbers and positions of sources in two-dimensional media</t>
  </si>
  <si>
    <t>10.1080/02656730110055973</t>
  </si>
  <si>
    <t>2-s2.0-0034805130</t>
  </si>
  <si>
    <t>['type levels', 'targeted products', 'spectral forms', 'specific functions', 'repressed plants', 'red fluorescence', 'pigments bound', 'physical contact', 'lhca3 proteins', 'lhca2 decreased', 'lhca proteins', 'individually repressed', 'fluorescence emission', 'emission maxima', 'antisense effect', 'also affected', 'absorption maxima', '735 nm', '730 nm', '715 nm', '680 nm']</t>
  </si>
  <si>
    <t>The specific functions of the light-harvesting proteins Lhca2 and Lhca3 were studied in Arabidopsis ecotype Colombia antisense plants in which the proteins were individually repressed. The antisense effect was specific in each plant, but levels of Lhca proteins other than the targeted products were also affected. The contents of Lhca1 and Lhca4 were unaffected, but Lhca3 (in Lhca2-repressed plants) was almost completely depleted, and Lhca2 decreased to about 30% of wild-type levels in Lhca3-repressed plants. This suggests that the Lhca2 and Lhca3 proteins are in physical contact with each other and that they require each other for stability. Photosystem I fluorescence at 730 nm is thought to emanate from pigments bound to Lhca1 and Lhca4. However, fluorescence emission and excitation spectra suggest that Lhca2 and Lhca3, which fluoresce in vitro at 680 nm, also could contribute to far-red fluorescence in vivo, Spectral forms with absorption maxima at 695 and 715 nm, apparently with emission maxima at 702 and 735 nm, respectively, might be associated with Lhca2 and Lhca3.</t>
  </si>
  <si>
    <t>150-158</t>
  </si>
  <si>
    <t>6505857233;7004533152;7005371473;26643215000</t>
  </si>
  <si>
    <t>Ganeteg, U.;Strand, √Ö;Gustafsson, P.;Jansson, S.</t>
  </si>
  <si>
    <t>Ganeteg U.</t>
  </si>
  <si>
    <t>The properties of the chlorophyll a/b-binding proteins Lhca2 and Lhca3 studied in vivo using antisense inhibition</t>
  </si>
  <si>
    <t>10.1104/pp.127.1.150</t>
  </si>
  <si>
    <t>2-s2.0-0034810957</t>
  </si>
  <si>
    <t>['tracked short', 'term fluctuations', 'stomatal attributes', 'shade plants', 'ppfd ),', 'higher npq', 'dissipative photoprotection', 'couples high', 'based quenching', 'altissima may', 'adapted plants', 'adapted individuals']</t>
  </si>
  <si>
    <t>Areal leaf mass | Diurnal courses of photosynthetic characteristics | Fluorescence induction | Irradiance | Leaf dimensions | Photoprotection | Photosystem 2 | Quantum yield | Stomatal conductance</t>
  </si>
  <si>
    <t>Sun-and shade-adapted plants of Ailanthus altissima utilized thermal-dissipative photoprotection (NPQ) across a range of photosynthetic photon flux densities (PPFD), with higher NPQ and lower maximum quantum yield of photosystem 2 photochemistry (Fv/Fm) in sun-adapted individuals, suggesting increased engagement of antennae-based quenching. Photosynthetic quantum requirements (Qreq; number of photons per CO2) were similar in sun and shade plants, but were low and comparable to forest understory species. Diurnal measurements showed that PPFDs in both habitats were consistently above photosynthetic compensation irradiance, and frequently exceeded saturating values. In addition, sun- and shade-adapted individuals possessed stomata that tracked short-term fluctuations in PPFD. Thus A. altissima may be unique in that it couples high, shade-plant like photosynthetic efficiency with high photosynthetic capacity in high-irradiance, while stomatal attributes that optimize water use efficiency are maintained in the shade. These features may contribute to success of A. altissima in establishing in disturbance-prone urban systems, and facilitate its spread into more PPFD-limited and competitive natural ecosystems.</t>
  </si>
  <si>
    <t>79-86</t>
  </si>
  <si>
    <t>Photosynthetica</t>
  </si>
  <si>
    <t>Hamerlynck, E. P.</t>
  </si>
  <si>
    <t>Newark</t>
  </si>
  <si>
    <t>Rutgers University-Newark Campus</t>
  </si>
  <si>
    <t>Hamerlynck E.</t>
  </si>
  <si>
    <t>Chlorophyll fluorescence and photosynthetic gas exchange responses to irradiance of tree of heaven (Ailanthus altissima) in contrasting urban environments</t>
  </si>
  <si>
    <t>10.1023/A:1012448019931</t>
  </si>
  <si>
    <t>2-s2.0-0034824404</t>
  </si>
  <si>
    <t>['water stress', 'two stresses', 'treated plants', 't3with respect', 't1 plants', 'studies concerning', 'strong decrease', 'stomatal opening', 'stomatal conductance', 'plants submitted', 'physiological processes', 'physiological mechanisms', 'negative values', 'maximum yield', 'induced decrease', 'heat de', 'great increase', 'gas exchange', 'excitation constant', 'energy deexcitation', 'delayed ozone', 'controlled conditions', 'cellular free', 'calvin cycle', 'calcium induced', 'biochemical data', 'antagonistic effect']</t>
  </si>
  <si>
    <t>The aim of this study was to evaluate how physiological processes of potted Pinus halepensis plants, grown under controlled conditions, were affected by ozone (O3) and/or water stress, integrating the gas exchange and biochemical data with fluorescence OJIP polyphasic transient data. Plants submitted to only water stress (T1) and with ozone (T3) showed a strong decrease in stomatal conductance and gas exchange, coinciding with a reduction of maximum yield of photochemistry (œÜpo) and very negative values of leaf water potential. Simultaneously, a great increase of both PSII antenna size, indicated by absorption per reaction centre, and electron transport per reaction centre were found. The reduction of photosynthesis in the O3-treated plants (T2) by a slowing down of the Calvin cycle was supported by the increase of related fluorescence parameters such as relative variable fluorescence, heat de-excitation constant, energy deexcitation by spillover, and the decrease of œÜpo. We suggest an antagonistic effect between the two stresses to explain the delayed ozone-induced decrease of stomatal conductance values for T3with respect to T1 plants, by an alteration of the physiological mechanisms of stomatal opening, which involve the increase of intra-cellular free-calcium induced by ABA under co-occurring water shortage. We emphasise the importance of considering the intensity of the individual stress factor in studies concerning the interaction of stresses.</t>
  </si>
  <si>
    <t>60032350;60032350;60014096</t>
  </si>
  <si>
    <t>7004711381;6602649130;7102795447</t>
  </si>
  <si>
    <t>Manes, Fausto;Donato, Eugenio;Vitale, Marcello</t>
  </si>
  <si>
    <t>Rome;Campobasso</t>
  </si>
  <si>
    <t>Sapienza Universit√† di Roma;Universit√† degli Studi del Molise</t>
  </si>
  <si>
    <t>60032350;60014096</t>
  </si>
  <si>
    <t>Manes F.</t>
  </si>
  <si>
    <t>Physiological response of Pinus halepensis needles under ozone and water stress conditions</t>
  </si>
  <si>
    <t>10.1034/j.1399-3054.2001.1130213.x</t>
  </si>
  <si>
    <t>2-s2.0-0034811564</t>
  </si>
  <si>
    <t>['weak ligands', 'thus reduce', 'several apoproteins', 'pyrrole nitrogens', 'possibly lead', 'positive selection', 'mutant plants', 'mg atom', 'mechanistic explanation', 'less plants', 'hypothesis states', 'harvesting complexes', 'harvesting antenna', 'exogenous ligands', 'engineering plants', 'electron pairs', 'direct test', 'coordination bonds', 'chlorophylls b', 'chlorophyll c', 'chlorophyll b', 'chemical properties', 'central mg', 'c points', 'biosynthetic modifications', 'binding proteins', 'binding apoproteins']</t>
  </si>
  <si>
    <t>Background: The physico-chemical properties of chlorophylls b and c have been known for decades. Yet the mechanisms by which these secondary chlorophylls support assembly and accumulation of light-harvesting complexes in vivo have not been resolved. Presentation: Biosynthetic modifications that introduce electronegative groups on the periphery of the chlorophyll molecule withdraw electrons from the pyrrole nitrogens and thus reduce their basicity. Consequently, the tendency of the central Mg to form coordination bonds with electron pairs in exogenous ligands, a reflection of its Lewis acid properties, is increased. Our hypothesis states that the stronger coordination bonds between the Mg atom in chlorophyll b and chlorophyll c and amino acid sidechain ligands in chlorophyll a/b- and a/c-binding apoproteins, respectively, enhance their import into the chloroplast and assembly of light-harvesting complexes. Testing: Several apoproteins of light-harvesting complexes, in particular, the major protein Lhcb1, are not detectable in leaves of chlorophyll b-less plants. A direct test of the hypothesis - with positive selection - is expression, in mutant plants that synthesize only chlorophyll a, of forms of Lhcb1 in which weak ligands are replaced with stronger Lewis bases. Implications: The mechanistic explanation for the effects of deficiencies in chlorophyll b or c points to the need for further research on manipulation of coordination bonds between these chlorophylls and chlorophyll-binding proteins. Understanding these interactions will possibly lead to engineering plants to expand their light-harvesting antenna and ultimately their productivity. ¬© 2001 Eggink et al; licensee BioMed Central Ltd.</t>
  </si>
  <si>
    <t>BMC Plant Biology</t>
  </si>
  <si>
    <t>60003892;60003892-60022195;60003892</t>
  </si>
  <si>
    <t>6602250447;8891470600;7006312775</t>
  </si>
  <si>
    <t>Eggink, Laura L.;Park, Hyoungshin;Hoober, J. Kenneth</t>
  </si>
  <si>
    <t>Cambridge;Tempe</t>
  </si>
  <si>
    <t>Massachusetts Institute of Technology;Arizona State University</t>
  </si>
  <si>
    <t>60022195;60003892</t>
  </si>
  <si>
    <t>Eggink L.</t>
  </si>
  <si>
    <t>The role of chlorophyll b in photosynthesis: Hypothesis</t>
  </si>
  <si>
    <t>10.1186/1471-2229-1-2</t>
  </si>
  <si>
    <t>2-s2.0-3042547200</t>
  </si>
  <si>
    <t>['upper 20', 'stratigraphic column', 'stacked macro', 'scale diffractions', 'rights reserved', 'rich diamicton', 'radar facies', 'provided data', 'hummocky bedrock', 'gpr achieved', 'fan sediments', 'fan facies', 'eastern portion', 'configuration observed', 'clearly different', 'cheekye fan', 'appears predominant', 'allowed identification']</t>
  </si>
  <si>
    <t>Alluvial fan | Cheekye Fan | Debris flow | Ground penetrating radar (GPR) | Land slides | Radar facies</t>
  </si>
  <si>
    <t>Ground penetrating radar (GPR) surveys have been carried out in order to characterise reflection patterns and to assess the method's potential for imaging alluvial fan sediments in southwestern British Columbia, Canada. The results from Cheekye Fan show that GPR achieved over 40 m penetration with the 50 MHz antenna and provided data that allowed identification of 10 radar facies. Glacial till produces a reflection free configuration and bedrock radar facies is characterised by a hummocky pattern often with stacked macro-scale diffractions. Four subaerially deposited alluvial-fan facies were identified. Radar facies of the nearby meandering Squamish River are characterised by a complex, sigmoid oblique pattern that is clearly different from any configuration observed on Cheekye Fan. Based on the analysis of over 27 km radar data, the large-scale internal architecture of Cheekye Fan was reconstructed. Fan sediments are underlain by till and hummocky bedrock in the northern and eastern portion of the fan. Sedimentation was initiated by subaqueously deposited delta foresets following deglaciation of Upper Howe Sound. Subaerially deposited sediments can be divided into: (a) massive, matrix-rich diamicton that appears predominant at the core of the fan and at lower stratigraphic horizons, suggesting bouldery rock-slide or debris flow origin; and (b) horizontally-bedded sheetflood gravel dominating the upper 20-25 m of the stratigraphic column. ¬© 2001 Elsevier Science B.V. All rights reserved.</t>
  </si>
  <si>
    <t>199-217</t>
  </si>
  <si>
    <t>Sedimentary Geology</t>
  </si>
  <si>
    <t>57213071330;6701543085</t>
  </si>
  <si>
    <t>√âkes, Csaba;Hickin, Edward J.</t>
  </si>
  <si>
    <t>√âkes C.</t>
  </si>
  <si>
    <t>Ground penetrating radar facies of the paraglacial Cheekye Fan, Southwestern British Columbia, Canada</t>
  </si>
  <si>
    <t>S0037073801000598</t>
  </si>
  <si>
    <t>10.1016/S0037-0738(01)00059-8</t>
  </si>
  <si>
    <t>2-s2.0-0034789936</t>
  </si>
  <si>
    <t>['45 ghz', '1 v']</t>
  </si>
  <si>
    <t>2.45 GHz | Planar rectenna | RF-to-dc conversion | Wireless power transfer</t>
  </si>
  <si>
    <t>The performance and efficiency of three planar rectennas, designed on three different PCB materials, have been evaluated at 2.45 GHz. A maximun, RF-to-dc conversion circuit efficiency of 55% was achieved. An output dc voltage of 1 V was measured over a distance of 1 m from a rectenna having 7 dB antenna gain. ¬© 2001 John Wiley &amp; Sons, Inc. Microwave Opt Technol Lett.</t>
  </si>
  <si>
    <t>86-91</t>
  </si>
  <si>
    <t>6603607508;6602911079;57210872526</t>
  </si>
  <si>
    <t>Demchenko, M. Yu;Korneenkov, V. K.;Kurin, V. G.</t>
  </si>
  <si>
    <t>Demchenko M.</t>
  </si>
  <si>
    <t>Performance and efficiency of planar rectennas for short-range wireless power transfer at 2.45 GHz</t>
  </si>
  <si>
    <t>10.1002/mop.1365</t>
  </si>
  <si>
    <t>2-s2.0-0035922888</t>
  </si>
  <si>
    <t>['square ring', 'slot antennas', 'shorted section', 'shorted ring', 'ring slot', 'proposed designs', 'proper length', 'mean circumference', 'circular polarization']</t>
  </si>
  <si>
    <t>Circular polarization | Microstrip-line fed | Printed ring-slot antenna</t>
  </si>
  <si>
    <t>Designs of circularly polarized printed shorted annual and square ring-slot antennas are proposed. Circular polarization (CP) radiation of the shorted ring-slot antennas is achieved by selecting a proper length of the shorted section in the ring slot, which is about 3.9 and 8% of the mean circumference of annular and square ring slots, respectively, and feeding the ring slot using a microstrip line 90¬∞ to the shorted section. Prototypes of the proposed designs have been implemented. Experimental results show that good CP radiation performances are observed, and the 3 dB axial-ratio CP bandwidths obtained for the annular and square ring-slot antennas can reach about 8.4 and 8.1%, respectively. Details of the proposed CP designs and obtained experimental results are presented and discussed. ¬© 2001 John Wiley &amp; Sons, Inc. Microwave Opt Technol Lett.</t>
  </si>
  <si>
    <t>118709879;60011357;60011357</t>
  </si>
  <si>
    <t>7409640753;7406883544;35460663000</t>
  </si>
  <si>
    <t>Chen, Wen Shan;Huang, Chien Chin;Wong, Kin Lu</t>
  </si>
  <si>
    <t>Taiwan;China</t>
  </si>
  <si>
    <t>Kaohsiung;</t>
  </si>
  <si>
    <t>National Sun Yat-Sen University;Chien Kuo Institute of Technology</t>
  </si>
  <si>
    <t>60011357;118709879</t>
  </si>
  <si>
    <t>Chen W.S.</t>
  </si>
  <si>
    <t>Microstrip-line-fed printed shorted ring-slot antennas for circular polarization</t>
  </si>
  <si>
    <t>10.1002/mop.1380</t>
  </si>
  <si>
    <t>2-s2.0-0035922905</t>
  </si>
  <si>
    <t>['tolerance analysis', 'satellite applications', 'power dividers', 'power divider', 'newton approximations', 'junctions cascaded', 'five ports', 'essential component', 'commercial software', 'asymmetrical e', 'allows obtaining']</t>
  </si>
  <si>
    <t>Power divider | T-junction | Waveguide</t>
  </si>
  <si>
    <t>A power divider is an essential component in the design of antenna feed networks for satellite applications. Asymmetrical E-plane T-junctions exhibit good electrical performances and a simplified mechanical process of construction. This paper study improved structures on this baseline. These are analyzed and optimized. Two different analysis methods have been used in order to check their results. Also, the results have been verified with commercial software. Both methods are based on the GSM (general scattering matrix) and modal analysis technique. Tire optimization process, based on quasi-Newton approximations, allows obtaining, for instance, a power divider with five ports (four T-junctions cascaded) with good electrical performances. A tolerance analysis has been carried out in order to study the feasibility of power dividers. ¬© 2001 John Wiley &amp; Sons, Inc. Microwave Opt Technol Lett.</t>
  </si>
  <si>
    <t>118-123</t>
  </si>
  <si>
    <t>60009860;60009860</t>
  </si>
  <si>
    <t>7409073323;24465591600</t>
  </si>
  <si>
    <t>Li, Zhongxin;Jin, Ya Qiu</t>
  </si>
  <si>
    <t>Fudan University</t>
  </si>
  <si>
    <t>Li Z.</t>
  </si>
  <si>
    <t>Optimized power dividers based on E-plane T-junctions</t>
  </si>
  <si>
    <t>10.1002/mop.1375</t>
  </si>
  <si>
    <t>2-s2.0-0035922909</t>
  </si>
  <si>
    <t>['wave sky', 'wave background', 'two components', 'scan pattern', 'diffuse gravitational', 'detector output', 'detect anisotropies', 'complicated convolution', 'background radiation']</t>
  </si>
  <si>
    <t>The gravitational-wave sky is expected to have isolated bright sources superimposed on a diffuse gravitational-wave background. The background radiation has two components: a confusion limited background from unresolved astrophysical sources; and a cosmological component formed during the birth of the universe. A map of the gravitational-wave background can be made by sweeping a gravitational-wave detector across the sky. The detector output is a complicated convolution of the sky luminosity distribution, the detector response function and the scan pattern. Here we study the general deconvolution problem, and show how LIGO (laser interferometric gravitational observatory) and LISA (laser interferometer space antenna) can be used to detect anisotropies in the gravitational-wave background. PII: S0264938101252460.</t>
  </si>
  <si>
    <t>4277-4291</t>
  </si>
  <si>
    <t>Classical and Quantum Gravity</t>
  </si>
  <si>
    <t>Cornish, Neil J.</t>
  </si>
  <si>
    <t>Bozeman</t>
  </si>
  <si>
    <t>Montana State University</t>
  </si>
  <si>
    <t>Cornish N.</t>
  </si>
  <si>
    <t>Mapping the gravitational-wave background</t>
  </si>
  <si>
    <t>10.1088/0264-9381/18/20/307</t>
  </si>
  <si>
    <t>2-s2.0-0035538020</t>
  </si>
  <si>
    <t>['synechocystis pcc6803', 'single procedure', 'reaction centre', 'psii rc', 'psi ).', 'preparations may', 'photosystem ii', 'oxygenic photosynthesis', 'mutational analysis', 'maldi ms', 'lacks photosystem', 'fluorescence spectroscopy', 'direct solubilization', 'also obtained', 'also assayed']</t>
  </si>
  <si>
    <t>CP47-RC subcomplex | Cyanobacteria | Photosystem II</t>
  </si>
  <si>
    <t>A photosystem II (PSII) core complex lacking the internal antenna CP43 protein was isolated from the photosystem II of Synechocystis PCC6803, which lacks photosystem I (PSI). CP47-RC and reaction centre (RCII) complexes were also obtained in a single procedure by direct solubilization of whole thylakoid membranes. The CP47-RC subcore complex was characterized by SDS/PAGE, immunoblotting, MALDI MS, visible and fluorescence spectroscopy, and absorption detected magnetic resonance. The purity and functionality of RCII was also assayed. These preparations may be useful for mutational analysis of PSII RC and CP47-RC in studying primary reactions of oxygenic photosynthesis.</t>
  </si>
  <si>
    <t>5129-5134</t>
  </si>
  <si>
    <t>60050715;60050715;60050715;60000481;60050715;60021199;60050715;60050715-60000481</t>
  </si>
  <si>
    <t>35595280300;6603683440;7103274461;7003388117;18936747900;7005869043;6602142578;16207173300</t>
  </si>
  <si>
    <t>Szab√≤, Ildik√≤;Rigoni, Fernanda;Bianchetti, Maria;Carbonera, Donatella;Pierantoni, Francesca;Seraglia, Roberta;Segalla, Anna;Giacometti, Giorgio M.</t>
  </si>
  <si>
    <t>Viterbo;Rome;Padua</t>
  </si>
  <si>
    <t>Universit√† degli Studi della Tuscia Viterbo;Consiglio Nazionale delle Ricerche;Universit√† degli Studi di Padova</t>
  </si>
  <si>
    <t>60050715;60021199;60000481</t>
  </si>
  <si>
    <t>Szab√≤ I.</t>
  </si>
  <si>
    <t>Isolation and characterization of photosystem II subcomplexes from cyanobacteria lacking photosystem I</t>
  </si>
  <si>
    <t>10.1046/j.0014-2956.2001.02441.x</t>
  </si>
  <si>
    <t>2-s2.0-0034798764</t>
  </si>
  <si>
    <t>['xanthophyll composition', 'values typical', 'upon incorporation', 'two conformations', 'temperature dependence', 'site l2', 'relative amplitude', 'quenched leaves', 'quenched conformation', 'protein interactions', 'protein density', 'photosystem ii', 'photoprotection mechanism', 'photochemical quenching', 'obtain information', 'observed due', 'nonphotochemical quenching', 'mostly determined', 'lipid membranes', 'lifetime components', 'lhcb proteins', 'lhc proteins', 'harvesting complexes', 'faster component', 'energy dissipation', 'distinct conformation', 'displaced toward', 'detergent solution', 'chlorophyll fluorescence', 'arabidopsis thaliana', '77 k', '4 ns']</t>
  </si>
  <si>
    <t>We have studied the time-resolved fluorescence properties of the light-harvesting complexes (Lhc) of photosystem II (Lhcb) in order to obtain information on the mechanism of energy dissipation (non-photochemical quenching) which is correlated to the conversion of violaxanthin to zeaxanthin in excess light conditions. The chlorophyll fluorescence decay of Lhcb proteins LHCII, CP29, CP26, and CP24 in detergent solution is mostly determined by two lifetime components of 1.2-1.5 and 3.6-4 ns while the contribution of the faster component is higher in CP29, CP26, and CP24 with respect to LHCII. The xanthophyll composition of Lhc proteins affects the ratio of the lifetime components: when zeaxanthin is bound into the site L2 of LHCII, the relative amplitude of the faster component is increased and, consequently, the chlorophyll fluorescence quenching is enhanced. Analysis of quenching in mutants of Arabidopsis thaliana, which incorporate either violaxanthin or zeaxanthin in their Lhc proteins, shows that the extent of quenching is enhanced in the presence of zeaxanthin. The origin of the two fluorescence lifetimes was analyzed by their temperature dependence: since lifetime heterogeneity was not affected by cooling to 77 K, it is concluded that each lifetime component corresponds to a distinct conformation of the Lhc proteins. Upon incorporation of Lhc proteins into liposomes, a quenching of chlorophyll fluorescence was observed due to shortening of all their lifetime components: this indicates that the equilibrium between the two conformations of Lhcb proteins is displaced toward the quenched conformation in lipid membranes or thylakoids with respect to detergent solution. By increasing the protein density in the liposomes, and therefore the probability of protein-protein interactions, a further decrease of fluorescence lifetimes takes place down to values typical of quenched leaves. We conclude that at least two major factors determine the quenching of chlorophyll fluorescence in Lhcb proteins, i.e., intrasubunit conformational change and intersubunit interactions within the lipid membranes, and that these processes are both important in the photoprotection mechanism of nonphotochemical quenching in vivo.</t>
  </si>
  <si>
    <t>12552-12561</t>
  </si>
  <si>
    <t>60027679;60000481;60014849;60032256;60032256</t>
  </si>
  <si>
    <t>7003638379;7006617371;55994884800;6701591424;35553979700</t>
  </si>
  <si>
    <t>Moya, I.;Silvestri, M.;Vallon, O.;Cinque, G.;Bassi, R.</t>
  </si>
  <si>
    <t>Italy;France;France;Italy</t>
  </si>
  <si>
    <t>Verona;Gif-sur-Yvette;Paris;Padua</t>
  </si>
  <si>
    <t>Universit√† degli Studi di Verona;SOLEIL Synchrotron;Institut de Biologie Physico-Chimique;Universit√† degli Studi di Padova</t>
  </si>
  <si>
    <t>60032256;60027679;60014849;60000481</t>
  </si>
  <si>
    <t>Moya I.</t>
  </si>
  <si>
    <t>Time-resolved fluorescence analysis of the photosystem II antenna proteins in detergent micelles and liposomes</t>
  </si>
  <si>
    <t>10.1021/bi010342x</t>
  </si>
  <si>
    <t>2-s2.0-0035940523</t>
  </si>
  <si>
    <t>['two exponentials', 'time scales', 'time scale', 'time form', 'single step', 'simulations indicate', 'resolved experiments', 'provide insight', 'polymer backbone', 'polymer array', 'overall efficiency', 'natural lifetime', 'level description', 'ii )*', 'formed adjacent', 'excited state', 'energy transfer', 'detailed study', 'approximately 1', 'appreciable loss', 'acceptor distances', '780 nm', '4 ns', '1000 ns']</t>
  </si>
  <si>
    <t>A detailed study of the excited state energy migration dynamics that take place within an assembly of Ru(II) and Os(II) polypyridyl complexes linked together through a polymer backbone is presented. The energy migration process is initiated by the photoexcitation of the metal-to-ligand charge transfer (MLCT) transition in one of the Ru(II) complexes and terminated by energy transfer to a lower energy Os(II) trap. Energy transfer sensitization of Os(II) can occur in a single step if the excited state is formed adjacent to a trap, or after a series of hops between isoenergetic rutheniums prior to reaching a trap. The dynamics of the energy transfer process are followed by monitoring the growth of Os(II)* luminescence at 780 nm. The kinetics of the growth are complex and can be fit by a sum of two exponentials. This kinetic complexity arises both from the presence of a distribution of donor-acceptor distances and the variety of time scales by which Os(II)* can be formed. We have augmented the time-resolved experiments with Monte Carlo simulations, which provide insight into the polymer array's structure and at the same time form the basis of a molecular-level description of the energy migration dynamics. The simulations indicate that the most probable Ru*‚ÜíOs energy transfer time is ‚àº400 ps while the time scale for Ru*‚ÜíRu hopping is approximately 1-4 ns. The time scale for Ru*‚ÜíRu hopping relative to its natural lifetime (1000 ns) suggests that this polymer system could be extended to considerably longer dimensions without an appreciable loss in its overall efficiency.</t>
  </si>
  <si>
    <t>10336-10347</t>
  </si>
  <si>
    <t>60025111;60025111;60025111;60006164;60025111</t>
  </si>
  <si>
    <t>7102952364;7005540145;7101921433;35459150300;6701605330</t>
  </si>
  <si>
    <t>Fleming, C. N.;Maxwell, K. A.;DeSimone, J. M.;Meyer, T. J.;Papanikolas, J. M.</t>
  </si>
  <si>
    <t>Chapel Hill;Los Alamos</t>
  </si>
  <si>
    <t>The University of North Carolina at Chapel Hill;Los Alamos National Laboratory</t>
  </si>
  <si>
    <t>60025111;60006164</t>
  </si>
  <si>
    <t>Fleming C.</t>
  </si>
  <si>
    <t>Ultrafast excited-state energy migration dynamics in an efficient light-harvesting antenna polymer based on Ru(II) and Os(II) polypyridyl complexes</t>
  </si>
  <si>
    <t>10.1021/ja016304i</t>
  </si>
  <si>
    <t>2-s2.0-0035944516</t>
  </si>
  <si>
    <t>['satellite applications', 'return loss', 'results show', 'precise control', 'new approach', 'handset antenna', 'back ratio', 'also measured', '6 db', '24 db', '2 dbi']</t>
  </si>
  <si>
    <t>A new approach to designing a handset antenna for satellite applications is reported. It is based on precise control of the phasing between two bifilar helices, giving accurate resonant frequency position and radiation pattern volute. Results show an antenna with a gain of-2 dBi, 19 dB discrimination between the right and left hand circular polarisations and an axial ratio less than 1dB. The front-to-back ratio is 24 dB. A return loss of 14.6 dB is also measured.</t>
  </si>
  <si>
    <t>1321-1322</t>
  </si>
  <si>
    <t>100648306;60000891;60000891;60000891;60000891</t>
  </si>
  <si>
    <t>6701760387;35562114200;12759242900;7003531756;7004806358</t>
  </si>
  <si>
    <t>Leisten, O.;Vardaxoglou, J. C.;McEvoy, P.;Seager, R.;Wingfield, A.</t>
  </si>
  <si>
    <t>Loughborough;Wellingborough</t>
  </si>
  <si>
    <t>Loughborough University;Sarantel Ltd</t>
  </si>
  <si>
    <t>60000891;100648306</t>
  </si>
  <si>
    <t>Leisten O.</t>
  </si>
  <si>
    <t>Miniaturised dielectrically-loaded quadrifilar antenna for Global Positioning System (GPS)</t>
  </si>
  <si>
    <t>10.1049/el:20010906</t>
  </si>
  <si>
    <t>2-s2.0-0035950052</t>
  </si>
  <si>
    <t>['use space', 'time codes', 'take advantage', 'second dimension', 'multiple antennas', 'decoding algorithm', 'algorithm based']</t>
  </si>
  <si>
    <t>A decoding algorithm for layered space time (LST) codes was proposed. The algorithm based on the Gram-Schmidt decomposition required less computational effort. Space-time codes (STC) were introduced to take advantage of multiple antennas and to use space as a second dimension of coding. Successive interference cancellation was used to decode distinct layers employing a nulling vector computed on the basis of the Moore-Penrose pseudo inverse.</t>
  </si>
  <si>
    <t>1348-1350</t>
  </si>
  <si>
    <t>60008293;60008293;60008293;60008293;60008293</t>
  </si>
  <si>
    <t>6602823049;6602861888;6507097901;35422160300;7005172553</t>
  </si>
  <si>
    <t>W√ºbben, D.;B√∂hnke, R.;Rinas, J.;K√ºhn, V.;Kammeyer, K. D.</t>
  </si>
  <si>
    <t>Bremen</t>
  </si>
  <si>
    <t>Universit√§t Bremen</t>
  </si>
  <si>
    <t>W√ºbben D.</t>
  </si>
  <si>
    <t>Efficient algorithm for decoding layered space-time codes</t>
  </si>
  <si>
    <t>10.1049/el:20010899</t>
  </si>
  <si>
    <t>2-s2.0-0035950086</t>
  </si>
  <si>
    <t>['state oscillator', 'photonic sub', 'optimum conditions', 'module consists', 'first time', 'effectively replace', 'classical solid', 'astronomical superconductor']</t>
  </si>
  <si>
    <t>A photonic sub-millimetre (sub-mm) wave transmitter module has been developed and fabricated. The module consists of a 1.55 Œºn waveguide InP photodetector monolithically integrated with a planar full wave slot antenna and passive lowpass filter for DC bias supply. For the first time, optical heterodyne 460 GHz sub-mm signal generation is demonstrated. It is further shown that the module can effectively replace the classical solid-state oscillator of an astronomical superconductor-insulator-superconductor heterodyne receiver. The module generates sufficient sub-mm wave power to operate the receiver under optimum conditions.</t>
  </si>
  <si>
    <t>1347-1348</t>
  </si>
  <si>
    <t>60014264;60014264;60014264;60001754;60001754;60001754;60001754;60001754;60008069;60008069;60014264</t>
  </si>
  <si>
    <t>7003986354;6602977938;7003351555;8233670900;7004773909;18937335600;57204228886;7006130484;7003419682;6603475017;7005584951</t>
  </si>
  <si>
    <t>St√∂hr, A.;Heinzelmann, R.;Hagedorn, K.;G√ºsten, R.;Sch√§fer, F.;St√ºer, H.;Siebe, F.;Van Der Wal, P.;Krozer, V.;Feiginov, M.;J√§ger, D.</t>
  </si>
  <si>
    <t>Duisburg;Chemnitz;Bonn</t>
  </si>
  <si>
    <t>Universit√§t Duisburg-Essen;Technische Universit√§t Chemnitz;Max Planck Institute for Radio Astronomy</t>
  </si>
  <si>
    <t>60014264;60008069;60001754</t>
  </si>
  <si>
    <t>St√∂hr A.</t>
  </si>
  <si>
    <t>Integrated 460 GHz photonic transmitter module</t>
  </si>
  <si>
    <t>10.1049/el:20010911</t>
  </si>
  <si>
    <t>2-s2.0-0035950098</t>
  </si>
  <si>
    <t>['œ ≤-', 'temperaturemediated transition', 'spectral forms', 'small aggregates', 'small aggregate', 'rhodospirillum rubrum', 'reversibly dissociated', 'reversibly associated', 'range 277', 'possibly due', 'opened rings', 'monomeric peptides', 'intermediate form', 'induced transitions', 'induced transition', 'increasing either', 'incomplete rings', 'harvesting complex', 'entropy changes', 'entropy change', 'enthalpy change', 'either varying', 'detergent concentration', 'core light', 'b873 directly', 'b850 form', 'b820 yielded', 'b820 subunits', 'b820 subunit', 'also observed', '873 nm', '850 nm', '300 k']</t>
  </si>
  <si>
    <t>We investigated the oligomerization of the core light-harvesting complex (LH1) of Rhodospirillum rubrum from the separated Œ±Œ≤ BChl2 subunits (B820) and the oligomerization of the B820 subunit from its monomeric peptides. The full LH1 complex was reversibly associated from B820 subunits by either varying the temperature in the range 277-300 K or by varying the detergent concentration in the buffer from 0.36 to 0.52% n-octyl-Œ≤-D-glucopyranoside. Temperature-induced transition measurements showed hysteresis: raising the temperature induced dissociation of B873 directly into B820 subunits whereas upon recooling an intermediate spectral form was observed with an absorption maximum located around-850 nm. This intermediate form was also observed in detergent-induced transitions. It is speculated that the B850 form is a small aggregate of B820, for instance a dimer. Additionally, during a temperaturemediated transition at low detergent concentration, a set of spectral forms with maxima slightly blueshifted from 873 nm were observed, possibly due to opened rings with one or only a few Œ±Œ≤ BChl2 units missing. The temperature-induced transition of LH1 is discussed in terms of a simple assembly model. It is concluded that a moderately cooperative assembly explains the formation of small aggregates of B820 as well as of incomplete rings. Furthermore, the B820 subunits were reversibly dissociated into the monomeric B777 form by increasing either the temperature or the detergent concentration. Estimations of the enthalpy and entropy changes for the dimeric association reaction of B777 into B820 yielded an enthalpy change of -216 kJ mol-1 and an entropy change of -0.59 kJ mol-1K-1, at a detergent concentration of 0.8% n-octyl-Œ≤-D-glucopyranoside.</t>
  </si>
  <si>
    <t>12913-12924</t>
  </si>
  <si>
    <t>60008734;60008734;60013902;60008734;60013902</t>
  </si>
  <si>
    <t>7103281563;7004878962;7006261095;7004383778;35599806700</t>
  </si>
  <si>
    <t>Pandit, A.;Visschers, R. W.;Van Stokkum, I. H.M.;Kraayenhof, R.;Van Grondelle, R.</t>
  </si>
  <si>
    <t>Ede;Amsterdam</t>
  </si>
  <si>
    <t>NIZO food research;Vrije Universiteit Amsterdam</t>
  </si>
  <si>
    <t>60013902;60008734</t>
  </si>
  <si>
    <t>Pandit A.</t>
  </si>
  <si>
    <t>Oligomerization of light-harvesting I antenna peptides of Rhodospirillum rubrum</t>
  </si>
  <si>
    <t>10.1021/bi010163f</t>
  </si>
  <si>
    <t>2-s2.0-0035980272</t>
  </si>
  <si>
    <t>['wines using', 'unsegmented liquid', 'sc ),', 'results obtained', 'reference solution', 'reducing sugars', 'potassium hexacyanoferrate', 'phases separation', 'output antenna', 'obtained using', 'liquid phase', 'hydrodynamic pressure', 'focalized poly', 'detection limit', 'confluence point', 'confidence level', 'concentration range', 'analytical frequency', '700 w', '6 concentration', '54 h', '420 nm']</t>
  </si>
  <si>
    <t>Flow injection spectrophotometry | Focalized reactor | Microwave oven | Unsegmented biphasic flow</t>
  </si>
  <si>
    <t>The usefulness of an unsegmented liquid/vapor phases flow injection system for determining reducing sugars in wines using a focalized poly(tetrafluoroethylene) (PTFE) coiled reactor positioned at the output antenna of a domestic microwave oven at 700 W is demonstrated. In this system, sample or reference solution is mixed to 2.5 mol 1-1 sodium hydroxide and 6.8 mmol 1-1 potassium hexacyanoferrate(III) solutions previously merged in a confluence point and the reducing sugars (glucose plus fructose) were oxidized by potassium hexacyanoferrate(III) solution into the PTFE coiled reactor positioned in the microwave oven cavity. After phases separation at a proposed separation chamber (SC), the decrease of K3Fe(CN)6 concentration in the liquid phase was measured at 420 nm. Using this SC, a favorable dispersion profile and a decrease of hydrodynamic pressure were observed. The flow procedure presented similar sensitivities to glucose and fructose in the experimental conditions adopted, allowing the determination of the reducing sugars content (fructose plus glucose concentrations) in the concentration range from 40 to 400 Œºmol 1-1 with a detection limit of 9 Œºmol 1-1. The RSD was 1.9% for a 120 Œºmol 1-1 fructose solution (n = 12) and the analytical frequency was 54 h-1. The results obtained for reducing sugars in several wines using the proposed flow system and those obtained using the Somogyi-Nelson batch procedure were in agreement at the 95% confidence level. ¬© 2001 Published by Elsevier Science B.V.</t>
  </si>
  <si>
    <t>Talanta</t>
  </si>
  <si>
    <t>60026021;60013792;60013792</t>
  </si>
  <si>
    <t>7201929639;7005951128;35502425700</t>
  </si>
  <si>
    <t>Oliveira, Andr√© Fernando;Fatibello-Filho, Orlando;N√≥brega, Joaquim A.</t>
  </si>
  <si>
    <t>Mogi das Cruzes;Sao Carlos</t>
  </si>
  <si>
    <t>Universidade de Mogi das Cruzes;Universidade Federal de S√£o Carlos</t>
  </si>
  <si>
    <t>60026021;60013792</t>
  </si>
  <si>
    <t>Oliveira A.</t>
  </si>
  <si>
    <t>Focused-microwave-assisted reaction in flow injection spectrophotometry: A new liquid-vapor separation chamber for determination of reducing sugars in wine</t>
  </si>
  <si>
    <t>S0039914001005082</t>
  </si>
  <si>
    <t>10.1016/S0039-9140(01)00508-2</t>
  </si>
  <si>
    <t>2-s2.0-0035980495</t>
  </si>
  <si>
    <t>['optical components', 'microdisk lasers', 'general finite', 'emitting lasers', 'emitting diodes', 'cylindrical symmetry', 'cavity surface', 'antenna designs']</t>
  </si>
  <si>
    <t>A full-vectorial integral equation method is presented for calculating near fields and far fields generated by sources in the presence of general finite-sized dielectric structures with cylindrical symmetry. The method is relevant for modeling of a class of antenna designs and some optical components with cylindrical symmetry, e.g., vertical-cavity surface-emitting lasers, microdisk lasers, and light-emitting diodes. ¬© 2001 Optical Society of America.</t>
  </si>
  <si>
    <t>1705-1707</t>
  </si>
  <si>
    <t>60008734-60011373;60008734;60011373</t>
  </si>
  <si>
    <t>7003287887;56284194700;55401337200</t>
  </si>
  <si>
    <t>S√∏ndergaard, T.;Lenstra, D.;Tromborg, B.</t>
  </si>
  <si>
    <t>Denmark;Netherlands</t>
  </si>
  <si>
    <t>Lyngby;Amsterdam</t>
  </si>
  <si>
    <t>Danmarks Tekniske Universitet;Vrije Universiteit Amsterdam</t>
  </si>
  <si>
    <t>60011373;60008734</t>
  </si>
  <si>
    <t>S√∏ndergaard T.</t>
  </si>
  <si>
    <t>Near fields and far fields generated by sources in the presence of dielectric structures with cylindrical symmetry</t>
  </si>
  <si>
    <t>10.1364/OL.26.001705</t>
  </si>
  <si>
    <t>2-s2.0-0012094339</t>
  </si>
  <si>
    <t>['using ground', 'trench face', 'study show', 'strong relationships', 'southwestern tennessee', 'rapid means', 'pinpointing areas', 'performed along', 'penetrating radar', 'nonintrusive method', 'moderate correlation', 'mhz antenna', 'measured depths', 'loessial soils', 'increments throughout', 'hydraulic excavator', 'ha field', 'gpr using', 'gpr data', 'emi showed', 'emi data', 'electromagnetic induction', 'average depth', 'acquiring field', '40 ).']</t>
  </si>
  <si>
    <t>Computer generated maps | Electromagnetic conductivity | Global positioning system | Impulse radar</t>
  </si>
  <si>
    <t>Development of a rapid and nonintrusive method for obtaining accurate soil morphological information is critical for pinpointing areas that are prone to leaching. The purpose of this study was to evaluate the suitability of using ground-penetrating radar (GPR) and electromagnetic induction (EMI) techniques in combination to gather soil morphological information on loessial soils. A survey of apparent electrical conductivity (ECa) was conducted in southwestern Tennessee at 10-m increments throughout a 1-ha field. Based on variation in the EMI data, a 36-m transect was selected for further investigation by GPR using a 200-MHz antenna. A hydraulic excavator was used to trench the site to a depth of 3 m, and a complete soil morphological investigation was performed along the trench face at 6-m increments. Readings from the EMI showed a moderate correlation with percent fragic properties (r = 0.40). Average depth to the loess/alluvium interface interpreted from the GPR was 1.20 m, and to the alluvium/Tertiary sand interface, 1.88 m. The loess/alluvium and alluvium/Tertiary sand interfaces interpreted from the GPR data had strong relationships to the measured depths, R2 = 0.90 and 0.88, respectively. Results from this study show that using precursory EMI data to pinpoint GPR surveys is a precise, accurate, and rapid means of acquiring field-scale soil morphological information.</t>
  </si>
  <si>
    <t>622-630</t>
  </si>
  <si>
    <t>0038075X</t>
  </si>
  <si>
    <t>Soil Science</t>
  </si>
  <si>
    <t>60015574;60015574;60015574;60015574;60015574</t>
  </si>
  <si>
    <t>57216996344;7007112168;7005774108;7004975014;7101815794</t>
  </si>
  <si>
    <t>Inman, Daniel J.;Freeland, Robert S.;Yoder, Ronald E.;Ammons, John T.;Leonard, L. Leroy</t>
  </si>
  <si>
    <t>Knoxville</t>
  </si>
  <si>
    <t>The University of Tennessee, Knoxville</t>
  </si>
  <si>
    <t>Inman D.J.</t>
  </si>
  <si>
    <t>Evaluating GPR and EMI for morphological studies of loessial soils</t>
  </si>
  <si>
    <t>10.1097/00010694-200109000-00006</t>
  </si>
  <si>
    <t>2-s2.0-0034757868</t>
  </si>
  <si>
    <t>['sound velocity', 'radiation resistance', 'normal waves', 'interperiodica ".', 'inhomogeneous waveguide', 'frequency dependence', 'analyzed numerically']</t>
  </si>
  <si>
    <t>An expansion of the field of a vertical antenna located in an inhomogeneous waveguide in terms of the normal waves of a homogeneous reference waveguide is obtained. The frequency dependence of the radiation resistance is analyzed numerically for various antenna depths and sound velocity profiles. Variations in the radiation resistance are correlated with the variations in the sound velocity. ¬© 2001 MAIK "Nauka/Interperiodica".</t>
  </si>
  <si>
    <t>707-713</t>
  </si>
  <si>
    <t>60012951;60012951</t>
  </si>
  <si>
    <t>6701633705;36879612400</t>
  </si>
  <si>
    <t>Zlobina, N. V.;Kasatkin, B. A.</t>
  </si>
  <si>
    <t>Vladivostok</t>
  </si>
  <si>
    <t>Institute of Marine Technology Problems, Far Eastern Branch, Russian Academy of Sciences</t>
  </si>
  <si>
    <t>Zlobina N.</t>
  </si>
  <si>
    <t>Acoustic field of a vertical cylindrical antenna in an inhomogeneous waveguide with an impedance lower boundary</t>
  </si>
  <si>
    <t>10.1134/1.1418898</t>
  </si>
  <si>
    <t>2-s2.0-0035498260</t>
  </si>
  <si>
    <t>['wireless environment', 'threshold level', 'system performance', 'significant improvement', 'recent years', 'mobile units', 'fasd ),', 'extreme effectiveness', 'extensively studied', 'extensive simulations', 'diversity gain']</t>
  </si>
  <si>
    <t>Antenna selection diversity | Fuzzy adaptive control | Fuzzy systems | Switched diversity combining</t>
  </si>
  <si>
    <t>Diversity combining techniques, due to their extreme effectiveness in counteracting fading effects in wireless environment, have been extensively studied in recent years. In this paper, we propose an improved switched combining scheme using fuzzy adaptive control, namely, fuzzy adaptive switched diversity (FASD), which is applicable for implementation at mobile units. Specifically, the fuzzy adaptive control dynamically adjusts the threshold level, at which switching is performed, based on the present varying channel conditions. By incorporating the statistics of mobile fading channels and extensive simulations, we have achieved an effective system design of FASD which has a significant improvement in system performance in terms of both the diversity gain and BER (bit error rate), while maintaining reasonable simplicity in implementation.</t>
  </si>
  <si>
    <t>147-161</t>
  </si>
  <si>
    <t>60008592;60008592;60008592</t>
  </si>
  <si>
    <t>56138798300;7005609144;7201681314</t>
  </si>
  <si>
    <t>Huang, Hui;Tsang, Danny H.K.;Ko, Tsz Mei</t>
  </si>
  <si>
    <t>Huang H.</t>
  </si>
  <si>
    <t>An improved switched diversity combining using fuzzy adaptive control</t>
  </si>
  <si>
    <t>10.1023/A:1011941818220</t>
  </si>
  <si>
    <t>2-s2.0-0035499327</t>
  </si>
  <si>
    <t>Br712/18-2</t>
  </si>
  <si>
    <t>['various parts', 'tissue distribution', 'time course', 'rights reserved', 'possible role', 'northern blots', 'hvircsps show', 'hvircsp1 mrna', 'hvircsp mrnas', 'high level', 'day e', 'contact chemosensation', 'chemosensory organs', 'called hvircspi', 'adult life', 'adult development', 'adult body']</t>
  </si>
  <si>
    <t>Antennae | CSP | Development | Legs | Moth | Odorant binding protein | OS-D | Pheromone binding protein</t>
  </si>
  <si>
    <t>Analyzing the chemosensory organs of the moth Heliothis virescens, three proteins belonging to the family of insect chemosensory proteins (CSPs) have been cloned; they are called HvirCSPI, HvirCSP2 and HvirCSP3. The HvirCSPs show about 50% identity between each other and 30-76% identity to CSPs from other species. Overall, they are rather hydrophilic proteins but include a conserved hydrophobic motif. Tissue distribution and temporal expression pattern during the last pupal stages were assessed by Northern blots. HvirCSP mRNAs were detected in various parts of the adult body with a particular high expression level in legs. The expression of HvirCSP1 in legs started early during adult development, in parallel with the appearance of the cuticle. HvirCSP1 mRNA was detectable five days before eclosion (day E-5), increased dramatically on day E-3 and remained at high level into adult life. The tissue distribution and the time course of appearance of HvirCSPs are in agreement with a possible role in contact chemosensation. ¬© 2001 Elsevier Science Ltd. All rights reserved.</t>
  </si>
  <si>
    <t>1173-1181</t>
  </si>
  <si>
    <t>60018373;60018373;60018373;60018373</t>
  </si>
  <si>
    <t>6601958753;7005384835;7201508329;7103041183</t>
  </si>
  <si>
    <t>Picimbon, J. F.;Dietrich, K.;Krieger, J.;Breer, H.</t>
  </si>
  <si>
    <t>Universit√§t Hohenheim</t>
  </si>
  <si>
    <t>Picimbon J.</t>
  </si>
  <si>
    <t>Identity and expression pattern of chemosensory proteins in Heliothis virescens (Lepidoptera, Noctuidae)</t>
  </si>
  <si>
    <t>S0965174801000637</t>
  </si>
  <si>
    <t>10.1016/S0965-1748(01)00063-7</t>
  </si>
  <si>
    <t>2-s2.0-0035499594</t>
  </si>
  <si>
    <t>['tc unlike', 'tc superconducting', 'tc ).', 'rights reserved', 'resonant frequency', 'matching geometry', 'kinetic inductance', 'impedance matching', 'critical temperature', 'antennas near', '88 k', '824 ghz', '60 db']</t>
  </si>
  <si>
    <t>High-T  superconducting antennas c | Impedance matching | Kinetic inductance</t>
  </si>
  <si>
    <t>In this paper, we report the phenomenon of the perfect impedance matching of high-Tc superconducting (HTS) antennas near the critical temperature (Tc). Two HTS antennas and two gold antennas with and without matching geometry are constructed in order to investigate the variation of impedance matching with temperature. We observe an ultimate impedance matching irrespective of the matching geometry of HTS antennas around the Tc unlike the normal conducting antennas. At the temperature of 88 K the return loss rapidly drops down below -60 dB and the characteristic impedance approaches almost 50 Œ© at the resonant frequency of 11.824 GHz. These can be attributed to the kinetic inductance which abruptly increases around the critical temperature. ¬© 2001 Elsevier Science B.V. All rights reserved.</t>
  </si>
  <si>
    <t>363-367</t>
  </si>
  <si>
    <t>364-365</t>
  </si>
  <si>
    <t>Ultimate impedance matching of HTS microstrip antennas</t>
  </si>
  <si>
    <t>S0921453401007973</t>
  </si>
  <si>
    <t>10.1016/S0921-4534(01)00797-3</t>
  </si>
  <si>
    <t>2-s2.0-0035500045</t>
  </si>
  <si>
    <t>['urban network', 'several steps', 'retuning constraints', 'numerical results', 'minimum quality', 'maximum number', 'interference ratio', 'interference level', 'greedy heuristic', 'given threshold', 'given number', 'economical reasons', 'cellular network', 'adjacent channel', '359 cells']</t>
  </si>
  <si>
    <t>Ascent-descent heuristic | Cellular telephone system | Frequency assignment | Greedy heuristic | Retuning | Tabu search</t>
  </si>
  <si>
    <t>Cellular networks must be updated very often. Due to technical and economical reasons, the complete channel retuning of an urban network has to be done in several steps. The objective is then to define the steps in such a way that the increase in the interference level is minimum, and do not let it go further than a given threshold of minimum quality for the cellular network. We propose a greedy heuristic and an ascent-descent method including a Tabu Search module to retune a network in a given number of steps. All constraints of the channel assignment problem are taken into account (co-channel, adjacent channel, minimum channel spacing on antennas) as well as retuning constraints such as the number of steps and limits on the maximum number of cells which can be retuned at each step. Co-channel and adjacent channel constraints are expressed through compatibility matrices produced with a discretization of the signal-to-interference ratio. Numerical results are presented on a Bell Mobilit√© urban network of 359 cells.</t>
  </si>
  <si>
    <t>501-510</t>
  </si>
  <si>
    <t>1383469X</t>
  </si>
  <si>
    <t>Mobile Networks and Applications</t>
  </si>
  <si>
    <t>100398757;60019141</t>
  </si>
  <si>
    <t>15919020600;56847096800</t>
  </si>
  <si>
    <t>Barb√©ra, Vincent;Jaumard, Brigitte</t>
  </si>
  <si>
    <t>Montreal;Montreal</t>
  </si>
  <si>
    <t>Polytechnique Montr√©al;AdOpt</t>
  </si>
  <si>
    <t>60019141;100398757</t>
  </si>
  <si>
    <t>Barb√©ra V.</t>
  </si>
  <si>
    <t>Design of an efficient channel block retuning</t>
  </si>
  <si>
    <t>10.1023/A:1011858020793</t>
  </si>
  <si>
    <t>2-s2.0-0035500057</t>
  </si>
  <si>
    <t>N00014-00-1-0338</t>
  </si>
  <si>
    <t>['uncorrelated sources', 'uncalibrated subarrays', 'statistical optimality', 'simple one', 'proposed mi', 'perform better', 'new approaches', 'new algorithms', 'multiple translated', 'multiple invariance', 'esprit search']</t>
  </si>
  <si>
    <t>Antenna arrays | Array signal processing | Direction-of-arrival estimation | Spectral analysis</t>
  </si>
  <si>
    <t>This paper describes several new techniques for direction of arrival (DOA) estimation using arrays composed of multiple translated and uncalibrated subarrays. The new algorithms can be thought of as generalizations of the MUSIC, Root-MUSIC, and MODE techniques originally developed for fully calibrated arrays. The advantage of these new approaches is that the DOAs can be estimated using either a simple one-dimensional (1-D) search or by rooting a polynomial, as opposed to the multidimensional search required by multiple invariance (MI)-ESPRIT. When it can be applied, the proposed MI-MODE algorithm shares the statistical optimality of MI-ESPRIT. While MI-MUSIC and Root-MI-MUSIC are only optimal for uncorrelated sources, they perform better than a single invariance implementation of ESPRIT and are thus better suited for finding the initial conditions required by the MI-ESPRIT search.</t>
  </si>
  <si>
    <t>2511-2521</t>
  </si>
  <si>
    <t>60000251-60006832;60000251-60003858;60000251-60002014</t>
  </si>
  <si>
    <t>55665154800;36040796700;35847157200</t>
  </si>
  <si>
    <t>Swindlehurst, A. Lee;Stoica, Petre;Jansson, Magnus</t>
  </si>
  <si>
    <t>United States;Sweden;Sweden;United States</t>
  </si>
  <si>
    <t>Provo;Uppsala;Stockholm;New York</t>
  </si>
  <si>
    <t>Brigham Young University;Uppsala Universitet;The Royal Institute of Technology (KTH);IEEE</t>
  </si>
  <si>
    <t>60006832;60003858;60002014;60000251</t>
  </si>
  <si>
    <t>Swindlehurst A.</t>
  </si>
  <si>
    <t>Exploiting arrays with multiple invariances using MUSIC and MODE</t>
  </si>
  <si>
    <t>S1053587X01096027</t>
  </si>
  <si>
    <t>10.1109/78.960398</t>
  </si>
  <si>
    <t>2-s2.0-0035503119</t>
  </si>
  <si>
    <t>['transition structure', 'transition intended', 'rectangular waveguide', 'r band', 'proposed transition', 'operating principle', 'nrd guide', 'image nrd', 'find applications', 'designed transition', 'construct circuits', 'another waveguide', '30 ghz']</t>
  </si>
  <si>
    <t>Effective dielectric constant method | Image NRD guide | Millimeter waves | Rectangular waveguide | Transition</t>
  </si>
  <si>
    <t>The image NRD guide as a modification of the NRD guide is expected to find applications at millimeter wave frequencies. In order to construct circuits and antennas containing image NRD guides and to evaluate their characteristics, a transition to another waveguide is needed. In this paper, a transition structure from a rectangular waveguide to an image NRD is proposed and its operating principle is explained. Also, by means of numerical calculations based on the effective dielectric constant (EDC) method, a transition intended for use in the R band (30 GHz) is designed. Further, the designed transition is measured and the effectiveness of the proposed transition is demonstrated. ¬© 2001 Scripta Technica, Electron Comm Jpn Pt 2.</t>
  </si>
  <si>
    <t>23105990900;56447440200;7404897527</t>
  </si>
  <si>
    <t>Hattori, Kazuya;Yamamoto, Manabu;Itoh, Kiyohiko</t>
  </si>
  <si>
    <t>Hattori K.</t>
  </si>
  <si>
    <t>A new transition from rectangular waveguide to image NRD guide</t>
  </si>
  <si>
    <t>10.1002/ecjb.1060</t>
  </si>
  <si>
    <t>2-s2.0-0035503175</t>
  </si>
  <si>
    <t>Royal Academy of Engineering</t>
  </si>
  <si>
    <t>RAENG</t>
  </si>
  <si>
    <t>['ula ),', 'theoretical expression', 'signals propagate', 'redundancy averaging', 'rao bounds', 'possess performance', 'multiple sources', 'local scattering', 'based estimator', 'ar modelling']</t>
  </si>
  <si>
    <t>Angular spread | Direction of arrival | Frequency estimation | Imperfect spatial coherence | Multiplicative noise | Scattered sources</t>
  </si>
  <si>
    <t>We consider the problem of estimating the directions of arrival (DOA) of multiple sources in the presence of local scattering. This problem is encountered in wireless communications due to the presence of scatterers in the vicinity of the mobile or when the signals propagate through a random inhomogeneous medium. Assuming a uniform linear array (ULA), we develop DOA estimation algorithms based on covariance matching applied to a reduced-size statistic obtained from the sample covariance matrix after redundancy averaging. Next, a computationally efficient estimator based on AR modelling of the coherence loss function is derived. A theoretical expression for the asymptotic covariance matrix of this estimator is derived. Finally, the corresponding Cram√©r-Rao bounds (CRBs) are derived. Despite its simplicity, the AR-based estimator is shown to possess performance that is nearly as good as that of the covariance matching method.</t>
  </si>
  <si>
    <t>2467-2480</t>
  </si>
  <si>
    <t>60000251-60024724;60000251-60016234;60000251-60033252</t>
  </si>
  <si>
    <t>7004165717;7006002322;7006645443</t>
  </si>
  <si>
    <t>Ghogho, Mounir;Besson, Olivier;Swami, Ananthram</t>
  </si>
  <si>
    <t>United States;United Kingdom;France;United States</t>
  </si>
  <si>
    <t>Adelphi;Glasgow;Toulouse;New York</t>
  </si>
  <si>
    <t>U.S. Army Research Laboratory;University of Strathclyde;ISAE - SUPAERO;IEEE</t>
  </si>
  <si>
    <t>60033252;60024724;60016234;60000251</t>
  </si>
  <si>
    <t>Estimation of directions of arrival of multiple scattered sources</t>
  </si>
  <si>
    <t>S1053587X01084434</t>
  </si>
  <si>
    <t>10.1109/78.960395</t>
  </si>
  <si>
    <t>2-s2.0-0035503450</t>
  </si>
  <si>
    <t>['√ ó', 'œ ≤.', 'œ ≤,', 'œ ≤', 'valued signal', 'transmitter antennas', 'time signals', 'time communications', 'time autocoding', 'time autocapacity', 'remains constant', 'receiver antenna', 'rate r', 'r ¬∑', 'propagation matrix', 'prior treatments', 'positive space', 'phenomenon space', 'outage capacity', 'noise ratio', 'n log', 'lower bounds', 'fading channel', 'expected signal', 'establish conditions', 'error less', 'error goes', 'either case', 'coherence interval', 'channel codes', 'block probability', 'arbitrarily reliable', 'accompanying capacity', '80 bits']</t>
  </si>
  <si>
    <t>Eigenvalues of random matrices | Multiple-element antenna arrays | Space-time coding | Unitary space-time modulation | Wireless communications</t>
  </si>
  <si>
    <t>Prior treatments of space-time communications in Rayleigh flat fading generally assume that channel coding covers either one fading interval - in which ease there is a nonzero "outage capacity" - or multiple fading intervals - in which case there is a nonzero Shannon capacity. However, we establish conditions under which channel codes span only one fading interval and yet are arbitrarily reliable. In short, space-time signals are their own channel codes. We call this phenomenon space-time autocoding, and the accompanying capacity the space-time autocapacity. Let an M-transmitter-antenna, N-receiver-antenna Rayleigh flat-fading channel he characterized by an M √ó N matrix of independent propagation coefficients, distributed as zero-mean, unit-variance complex Gaussian random variables. This propagation matrix is unknown to the transmitter, it remains constant during a T-symbol coherence interval, and there is a fixed total transmit power. Let the coherence interval and number of transmitter antennas be related as T = Œ≤M for some constant Œ≤. A T √ó M matrix-valued signal, associated with R ¬∑ T bits of information for some rate R is transmitted during the T-symbol coherence interval. Then there is a positive space-time autocapacity Ca such that for all R &lt; Ca, the block probability of error goes to zero as the pair (T, M) ‚Üí ‚àû such that T/M = Œ≤. The autocoding effect occurs whether or not the propagation matrix is known to the receiver, and Ca = N log(1 + œÅ) in either case, independently of Œ≤, where œÅ is the expected signal-to-noise ratio (SNR) at each receiver antenna. Lower bounds on the cutoff rate derived from random unitary space-time signals suggest that the autocoding effect manifests itself for relatively small values of T and M. For example, within a single coherence interval of duration T = 16, for M = 7 transmitter antennas and N = 4 receiver antennas, and an 18-dB expected SNR, a total of 80 bits (corresponding to rate R = 5) can theoretically be transmitted with a block probability of error less than 10-9, all without any training or knowledge of the propagation matrix.</t>
  </si>
  <si>
    <t>2761-2781</t>
  </si>
  <si>
    <t>60021378;60000251-60021378;60031581</t>
  </si>
  <si>
    <t>35499388800;7003696826;7006111389</t>
  </si>
  <si>
    <t>Hochwald, Bertrand M.;Marzetta, Thomas L.;Hassibi, Babak</t>
  </si>
  <si>
    <t>Pasadena;Murray;New York</t>
  </si>
  <si>
    <t>California Institute of Technology;Nokia Bell Labs;IEEE</t>
  </si>
  <si>
    <t>60031581;60021378;60000251</t>
  </si>
  <si>
    <t>Space-time autocoding</t>
  </si>
  <si>
    <t>S0018944801089672</t>
  </si>
  <si>
    <t>10.1109/18.959258</t>
  </si>
  <si>
    <t>2-s2.0-0035504606</t>
  </si>
  <si>
    <t>['tolerant plant', 'state absorption', 'similar changes', 'significantly altered', 'sensitive plant', 'rights reserved', 'peroxidation due', 'peroxidation abolishes', 'pea chloroplasts', 'oxygenated forms', 'oxygen treatment', 'oxygen induces', 'may result', 'light harvesting', 'isolated chloroplasts', 'induced decrease', 'induced changes', 'first time', 'excitation spectra', 'energy transfer', 'e .,', 'chloroplast swelling', 'bean chloroplasts', 'antennae complexes', 'anaerobic conditions', '740 nm']</t>
  </si>
  <si>
    <t>Absorbance and fluorescence spectra | Light harvesting | Lipid peroxidation | Oxyen | Pea and bean chloroplasts</t>
  </si>
  <si>
    <t>Steady-state absorption and fluorescence excitation spectra have been measured at 25¬∞C in order to elucidate the differences between isolated chloroplasts from pea (chilling-sensitive plant) and bean (chilling-tolerant plant) and their response to oxygen treatment. A weaker light harvesting in bean in comparison with pea chloroplasts is related to higher free fatty acids level and extended peroxidation activities of bean chloroplasts. Peroxidation of free fatty acids in bean chloroplasts results in an accumulation of oxygenated forms of fatty acids demonstrated by a large negative band around 400 nm in absorption difference spectra, while the excitation spectra are not significantly altered. Similar changes have been observed in the lipase-treated pea chloroplasts. In contrast, in both pea and bean chloroplasts exhibiting no peroxidation due to antimycin A treatment, oxygen induces a pronounced absorbance increase in the regions around 435, 470 and 674 nm indicating the chloroplast swelling. A decline of chlorophyll fluorescence excitation caused by oxygen, may result from a decrease in energy transfer from antennae complexes to chlorophyll species emitting at both 680 and 740 nm. The oxygen-induced changes are partially reversed upon restoration of anaerobic conditions. The presented data show for the first time, that in contrast to pea chloroplasts the peroxidation abolishes an oxygen-induced decrease in light harvesting in bean chloroplasts, i.e., a chilling-sensitive plant. ¬© 2001 Elsevier Science B.V. All rights reserved.</t>
  </si>
  <si>
    <t>Journal of Photochemistry and Photobiology B: Biology</t>
  </si>
  <si>
    <t>60013756;60013756</t>
  </si>
  <si>
    <t>6602425375;6603050143</t>
  </si>
  <si>
    <t>Garstka, Maciej;Jagielski, Adam</t>
  </si>
  <si>
    <t>Warsaw</t>
  </si>
  <si>
    <t>University of Warsaw</t>
  </si>
  <si>
    <t>Garstka M.</t>
  </si>
  <si>
    <t>Peroxidative reactions attenuate oxygen effect on spectroscopic properties of isolated chloroplasts</t>
  </si>
  <si>
    <t>S1011134401002238</t>
  </si>
  <si>
    <t>10.1016/S1011-1344(01)00223-8</t>
  </si>
  <si>
    <t>2-s2.0-0035504939</t>
  </si>
  <si>
    <t>DAAG55-98-1-0359</t>
  </si>
  <si>
    <t>['time delay', 'street geometry', 'statistical properties', 'measured values', 'delay spreads', 'building heights', 'building environments', 'base antenna', 'arrival spread', 'antenna height', 'angle spread', 'also discussed']</t>
  </si>
  <si>
    <t>Angle spread | Delay spread | Microcellular mobile radio channels | Ray tracing</t>
  </si>
  <si>
    <t>The design of advanced radio systems requires knowledge of higher order channel statistics, such as the time delay spread and the angle of arrival spread. Time delay has been measured in a number of cities, while angle of arrival has been measured in only a few. Since link geometry is not the same for all measurements, it is not clear how to compare the measured values, or if they are applicable to other building environments, antenna height, etc. To clarify these issues, we have used a three-dimensional ray tracing code, called the vertical plane launch (VPL) method, to simulate time delay spread and angle of arrival spread in different building environments. Results for elevated base station antennas show that the distribution of root mean square (rms) delay spreads is not sensitive to the statistical properties of the buildings but increases with distance to the mobiles and increases as the base antenna is lowered below the rooftops. In contrast, the distribution of rms angle spread is sensitive to the distribution of building heights and to the height of the base station antenna but not to the distance to the mobile. The influence of street geometry on delay and angle spread for low base station antennas is also discussed.</t>
  </si>
  <si>
    <t>2191-2200</t>
  </si>
  <si>
    <t>60108318;60000251-60100657;60000251-60108318</t>
  </si>
  <si>
    <t>7005482435;7202631178;7005129354</t>
  </si>
  <si>
    <t>Cheon, Cheolhang;Liang, George;Bertoni, Henry L.</t>
  </si>
  <si>
    <t>New York;New York;New York</t>
  </si>
  <si>
    <t>NYU Tandon School of Engineering;Site Ware Technologies, Inc;IEEE</t>
  </si>
  <si>
    <t>60108318;60100657;60000251</t>
  </si>
  <si>
    <t>Cheon C.</t>
  </si>
  <si>
    <t>Simulating radio channel statistics for different building environments</t>
  </si>
  <si>
    <t>S0733871601090849</t>
  </si>
  <si>
    <t>10.1109/49.963805</t>
  </si>
  <si>
    <t>2-s2.0-0035505409</t>
  </si>
  <si>
    <t>['using three', 'transmitter uses', 'si substrate', 'photonic techniques', 'ghz millimeter', 'field simulators', 'fast photodiode', 'emits mmws', 'dimensional electromagnetic', '2 mw', '120 ghz']</t>
  </si>
  <si>
    <t>Antenna | Millimeter wave | Photonic transmitter</t>
  </si>
  <si>
    <t>We developed a planar slot antenna on an Si substrate for a photonic &gt; 100-GHz millimeter-wave (MMW) transmitter. We designed the antenna by using three-dimensional electromagnetic-field simulators and characterized its performance by using an optoelectronic network analyzer. The transmitter uses a very fast photodiode with high output power. Using these photonic techniques, we succeeded in building this compact photonic transmitter that emits MMWs with a power of &gt; 0.2 mW at a frequency of 120 GHz.</t>
  </si>
  <si>
    <t>2157-2162</t>
  </si>
  <si>
    <t>7202188531;7402978628;7006744896</t>
  </si>
  <si>
    <t>Hirata, A.;Ishii, H.;Nagatsuma, T.</t>
  </si>
  <si>
    <t>Design and characterization of a 120-GHz millimeter-wave antenna for integrated photonic transmitters</t>
  </si>
  <si>
    <t>S0018948001093760</t>
  </si>
  <si>
    <t>10.1109/22.963153</t>
  </si>
  <si>
    <t>2-s2.0-0035505411</t>
  </si>
  <si>
    <t>Funda√ß√£o para a Ci√™ncia e a Tecnologia</t>
  </si>
  <si>
    <t>FCT 34860/99</t>
  </si>
  <si>
    <t>FCT</t>
  </si>
  <si>
    <t>['useful constant', 'station antennas', 'simplified procedure', 'sharp rectangular', 'regions near', 'rectangular footprints', 'rectangular cells', 'radiation pattern', 'produce constant', 'paper presents', 'may fail', 'indoor cells', 'highly shaped', 'flux illumination', 'dispersion characteristic', 'cell lens', 'cell case', 'cell boundary', 'beam base']</t>
  </si>
  <si>
    <t>Dielectric lenses | Millimeter-waves | Shaped-beam antennas | Wireless communications</t>
  </si>
  <si>
    <t>The use of highly shaped-beam base-station antennas in millimeter-wave wireless communication systems may contribute to significantly enhance system performance. Previously proposed axial symmetric dielectric lenses provide a most useful constant-flux circular footprint, but they may fail to cover the regions near the vertices of square or rectangular cells, unless excessive wall illumination is allowed. This paper presents a simplified procedure to design shaped three-dimensional dielectric lenses that produce constant-flux illumination with square or rectangular footprints, suitable for indoor cells. The procedure is based on circular symmetric dielectric-lens design formulation, yet very sharp rectangular-cell boundary is obtained. Calculated and measured antenna performance is presented, not only in terms of radiation pattern, but also in terms of coverage and time-dispersion characteristic. The procedure is demonstrated for a square-cell lens and is extended for the rectangular-cell case.</t>
  </si>
  <si>
    <t>2137-2141</t>
  </si>
  <si>
    <t>60004956;60004956</t>
  </si>
  <si>
    <t>7103089977;6507926182</t>
  </si>
  <si>
    <t>Fernandes, C. A.;Anunciada, L. M.</t>
  </si>
  <si>
    <t>Fernandes C.</t>
  </si>
  <si>
    <t>Constant flux illumination of square cells for millimeter-wave wireless communications</t>
  </si>
  <si>
    <t>S0018948001093838</t>
  </si>
  <si>
    <t>10.1109/22.963149</t>
  </si>
  <si>
    <t>2-s2.0-0035505579</t>
  </si>
  <si>
    <t>['wlan cell', 'serious problem', 'path loss', 'paper shows', 'orthogonal frequency', 'ofdm ).', 'multipath tolerance', 'large shadowing', 'intercellular interference', 'division multiplexing', 'cellular wlan', 'antennas act']</t>
  </si>
  <si>
    <t>Access point repeater | Broad-band communications | Indoor radio communication | Multipath channels | Orthogonal frequency-division multiplexing | Wireless LAN</t>
  </si>
  <si>
    <t>Propagation inside buildings suffer from large shadowing and high multipath effects. This is a serious problem for wireless local area network (WLAN) systems. This paper shows that shadowing and path loss can be minimized by exploiting the multipath tolerance of orthogonal frequency-division multiplexing (OFDM). This can be achieved by using multiple transmission antennas spread over the area of a WLAN cell. These antennas act as repeaters, transmitting and receiving the same signal at the same time. This decreases the average path loss, but increases the multipath delay spread. Using OFDM allows the advantage of reduced path loss to be utilized without detrimental effects of inter-symbol interference caused by the increased delay spread. The reduced path loss allows an increased system capacity, quality of service, or a decrease in intercellular interference in a cellular WLAN.</t>
  </si>
  <si>
    <t>2131-2136</t>
  </si>
  <si>
    <t>60019870;60019870</t>
  </si>
  <si>
    <t>6506295190;6603747625</t>
  </si>
  <si>
    <t>Lawrey, E. P.;Kikkert, C. J.</t>
  </si>
  <si>
    <t>Townsville</t>
  </si>
  <si>
    <t>James Cook University</t>
  </si>
  <si>
    <t>Lawrey E.</t>
  </si>
  <si>
    <t>Maximizing signal strength for OFDM inside buildings</t>
  </si>
  <si>
    <t>S0018948001093747</t>
  </si>
  <si>
    <t>10.1109/22.963148</t>
  </si>
  <si>
    <t>2-s2.0-0035505647</t>
  </si>
  <si>
    <t>['single waveguide', 'reflection characteristics', 'obtained using', 'new type', 'mutual coupling', 'mutual admittances', 'modes excited', 'mode reflection', 'modal coupling', 'measured results', 'magnetic modes', 'horn antenna', 'field inside', 'ended waveguides', 'conversion coefficients', 'conducting screen']</t>
  </si>
  <si>
    <t>Horn antenna array | Mutual coupling | Open-ended waveguide</t>
  </si>
  <si>
    <t>An approach is given to analyze the modal coupling of open-ended waveguides with arbitrary cross sections located in a conducting screen. The presented theory enables the determination of reflection characteristics of a single waveguide, as well as the analysis of mutual coupling between elements in waveguide antenna arrays. The field inside each waveguide is expressed as a sum of the transverse-electric and transverse-magnetic modes and expressions for the mutual admittances of modes excited at the aperture are obtained using a direct integration method. From these expressions, the mode reflection and conversion coefficients are determined. Computed and measured results are presented. Furthermore, this approach has been used to design a new type of horn antenna with high return loss and equal radiation patterns in the two principle planes.</t>
  </si>
  <si>
    <t>2152-2156</t>
  </si>
  <si>
    <t>60004935;60004935</t>
  </si>
  <si>
    <t>7007063780;7005368211</t>
  </si>
  <si>
    <t>K√ºhne, R.;Marquardt, J.</t>
  </si>
  <si>
    <t>Hannover</t>
  </si>
  <si>
    <t>Gottfried Wilhelm Leibniz Universit√§t Hannover</t>
  </si>
  <si>
    <t>K√ºhne R.</t>
  </si>
  <si>
    <t>Modal analysis of waveguide antennas with arbitrary cross sections</t>
  </si>
  <si>
    <t>S0018948001093759</t>
  </si>
  <si>
    <t>10.1109/22.963152</t>
  </si>
  <si>
    <t>2-s2.0-0035505654</t>
  </si>
  <si>
    <t>['voice activity', 'various dfh', 'system performance', 'support substantially', 'simulations consider', 'rfh techniques', 'rfh ).', 'results indicate', 'rayleigh fading', 'power control', 'pattern adaptation', 'path loss', 'examine techniques', 'dynamic frequency', 'coherence bandwidth', 'cochannel interference', 'cellular systems', 'antenna diversity']</t>
  </si>
  <si>
    <t>Cellular | Code-division multiple access (CDMA) | Dynamic channel allocation (DCA) | Dynamic channel assignment | EDGE | Frequency hopping | Orthogonal frequency-division multiplexing (OFDM) | Spectral efficiency wireless</t>
  </si>
  <si>
    <t>We examine techniques for increasing spectral efficiency of cellular systems by using low frequency hopping (FH) with dynamic frequency-hop (DFH) pattern adaptation. We first present analytical results illustrating the improvements in frequency outage probabilities obtained by DFH in comparison with random frequency hopping (RFH). Next, we show simulation results comparing the performance of various DFH and RFH techniques. System performance is expressed by cumulative distribution functions of codeword error rates. Systems that we study incorporate channel coding, interleaving, antenna diversity, and power control. Analysis and simulations consider the effects of path loss, shadowing, Rayleigh fading, cochannel interference, coherence bandwidth, voice activity, and occupancy. The results indicate that systems using DFH can support substantially more users than systems using RFH.</t>
  </si>
  <si>
    <t>2254-2266</t>
  </si>
  <si>
    <t>60000251-60012230;60120109;60000251-60020547</t>
  </si>
  <si>
    <t>7003379826;55934569800;55000636900</t>
  </si>
  <si>
    <t>Kostiƒá, Zoran;Mari√©, Ivana;Wang, Xiaodong</t>
  </si>
  <si>
    <t>North Brunswick;College Station;Middletown;New York</t>
  </si>
  <si>
    <t>Wireless Information Network Laboratory;Texas A&amp;M University;AT&amp;T Laboratories Middletown;IEEE</t>
  </si>
  <si>
    <t>60120109;60020547;60012230;60000251</t>
  </si>
  <si>
    <t>Kostiƒá Z.</t>
  </si>
  <si>
    <t>Fundamentals of dynamic frequency hopping in cellular systems</t>
  </si>
  <si>
    <t>S0733871601090904</t>
  </si>
  <si>
    <t>10.1109/49.963811</t>
  </si>
  <si>
    <t>2-s2.0-0035506172</t>
  </si>
  <si>
    <t>TI</t>
  </si>
  <si>
    <t>['rf modules', 'performance analysis', 'modeled received', 'interfacing module', 'generating pc', 'forming module', 'forming function', 'first show', 'cell site', 'bed system', 'array antenna', 'adaptive beam']</t>
  </si>
  <si>
    <t>Adaptive array system | Experimental data processing | WLL CDMA channels</t>
  </si>
  <si>
    <t>In this paper, we present a performance analysis of a smart antenna system operating in a wide-band CDMA wireless-local-loop channel using a beam-forming module (BFM) that has been implemented on a digital signal processor (TMS320C6701) board. We first show the results of computer simulations obtained from the modeled received (RX) signals through a test-bed system consisting solely of baseband signal processing parts, i.e., modeled RX data-generating PC, BFM for computing the optimal weight vector and interfacing module. A test-bed system of the entire base station is then implemented to evaluate the adaptive beam-forming function with the actual wireless signals. This test-bed system includes several subscribers, as well as the array antenna, RF modules, and other receiving parts required at the cell site.</t>
  </si>
  <si>
    <t>2142-2146</t>
  </si>
  <si>
    <t>60024872;60024872</t>
  </si>
  <si>
    <t>7102695583;55413900600</t>
  </si>
  <si>
    <t>Im, H. J.;Choi, S.</t>
  </si>
  <si>
    <t>Im H.</t>
  </si>
  <si>
    <t>Performance analysis of smart antenna test-bed operating in a wide-band CDMA channel</t>
  </si>
  <si>
    <t>S0018948001093723</t>
  </si>
  <si>
    <t>10.1109/22.963150</t>
  </si>
  <si>
    <t>2-s2.0-0035506629</t>
  </si>
  <si>
    <t>['small antennas', 'small antenna', 'side walls', 'resistive absorbers', 'radiation characteristics', 'measurement antenna', 'measurable effect', 'lower limit', 'around 1', 'antenna calibration', '8 ghz', '610 mm', '100 mm']</t>
  </si>
  <si>
    <t>In this work, the influence of resistive absorbers in the vicinity of small antennas was investigated, in order to define a lower limit for the size of a small anechoic chamber for antenna calibration and radiation pattern measurements, with respect to the distance between the antenna under test (AUT) and the RF absorbers lining the walls. Furthermore, the influence of a relatively narrow transmission channel, formed by the absorbers on the side walls between the measurement antenna and the AUT was investigated. It was found by measurements that absorbers with the length of 610 mm do not have a measurable effect on the radiation characteristics of a small antenna at around 1.8 GHz, as long as they are kept more than 100 mm from the AUT, and the transmission channel formed by the absorbers between the antennas is wider than 100 mm.</t>
  </si>
  <si>
    <t>17-20</t>
  </si>
  <si>
    <t>6603413948;6701831104;7005441452</t>
  </si>
  <si>
    <t>Icheln, C.;Ollikainen, J.;Vainikainen, P.</t>
  </si>
  <si>
    <t>Icheln C.</t>
  </si>
  <si>
    <t>Effects of RF absorbers on measurements of small antennas in small anechoic chambers</t>
  </si>
  <si>
    <t>10.1109/62.965007</t>
  </si>
  <si>
    <t>2-s2.0-0035507502</t>
  </si>
  <si>
    <t>['synthesis problem', 'standard methods', 'small size', 'results obtained', 'polarization purity', 'many reflector', 'good level']</t>
  </si>
  <si>
    <t>Antenna feeds | Horn antennas | Neural networks</t>
  </si>
  <si>
    <t>In many reflector and lens antennas profiled corrugated circular horns constitute one of the best feed solution thanks to their polarization purity and small size. In this paper, a method for the design of these feeds by using an artificial neural network (ANN) approach is described. The results obtained with such an approach are investigated both for the analysis and for the synthesis problem, and compared with the standard methods. This unconventional solution gives a good level of accuracy and shorter processing times especially for the synthesis problem, where there is still a lack of affordable and fully automated procedures.</t>
  </si>
  <si>
    <t>1597-1602</t>
  </si>
  <si>
    <t>60021859;60021859;60021859;60021859</t>
  </si>
  <si>
    <t>6603891656;57202041744;7102464308;36554911300</t>
  </si>
  <si>
    <t>Fedi, G.;Manetti, S.;Pelosi, G.;Selleri, S.</t>
  </si>
  <si>
    <t>Fedi G.</t>
  </si>
  <si>
    <t>Profiled corrugated circular horns analysis and synthesis via an artificial neural network</t>
  </si>
  <si>
    <t>S0018926X01076517</t>
  </si>
  <si>
    <t>10.1109/8.964096</t>
  </si>
  <si>
    <t>2-s2.0-0035507962</t>
  </si>
  <si>
    <t>['simulate ground', 'rectangular prisms', 'penetrating radars', 'layered media', 'direct coupling', 'arbitrary permittivity']</t>
  </si>
  <si>
    <t>Finite-difference time-domain (FDTD) | Ground-penetrating radar | Perfectly matched layers (PMLs)</t>
  </si>
  <si>
    <t>A three-dimensional (3-D) finite-difference time domain (FDTD) scheme is employed to simulate ground-penetrating radars. Conducting shield walls and absorbers are used to reduce the direct coupling to the receiver. Perfectly matched layer (PML) absorbing boundary conditions are used for matching the multi-layered media and simulating physical absorbers inside the FDTD computational domain. Targets are modeled by rectangular prisms of arbitrary permittivity and conductivity. The ground is modeled by homogeneous and lossless dielectric media.</t>
  </si>
  <si>
    <t>1560-1567</t>
  </si>
  <si>
    <t>60014808;60014808</t>
  </si>
  <si>
    <t>6603795909;7004393069</t>
  </si>
  <si>
    <t>Og«îz, U.;G√ºrel, L.</t>
  </si>
  <si>
    <t>Bilkent √úniversitesi</t>
  </si>
  <si>
    <t>Og«îz U.</t>
  </si>
  <si>
    <t>Modeling of ground-penetrating-radar antennas with shields and simulated absorbers</t>
  </si>
  <si>
    <t>S0018926X01091931</t>
  </si>
  <si>
    <t>10.1109/8.964092</t>
  </si>
  <si>
    <t>2-s2.0-0035508104</t>
  </si>
  <si>
    <t>['wanted minima', 'theoretical ones', 'tests demonstrate', 'suggested method', 'static optimum', 'production line', 'phase characteristics', 'many mechanical', 'internal memory', 'hardware items', 'fine tuning', 'eprom database', 'antenna arrays', 'active modules', '3 ¬∞']</t>
  </si>
  <si>
    <t>The effects of many mechanical and electrical manufacturing imperfections of antenna arrays can be minimized with an internal pattern database. Such deficiencies are the non-idealities of amplitude and phase characteristics of sub-arrays and active modules. The idea of the suggested method is to store measured pattern characteristics into the antenna's internal memory at delivery and later, during operation, to use this data to support, for example, a beam forming algorithm, or just to create a static optimum. Thus, the antenna "knows" its behaviour. This method is both more cost-effective than a fine tuning of the hardware items on the production line, and often, the only choice, if relatively inaccurate sheet metal antennas are considered; but naturally, requires some active RF hardware. Our tests demonstrate S-band patterns within 2 dB or 3¬∞ of the theoretical ones if an EPROM database at 1¬∞ intervals is used. The improvement of the depth of wanted minima can exceed 12 dB.</t>
  </si>
  <si>
    <t>21-25</t>
  </si>
  <si>
    <t>60103653;105712830;60014304</t>
  </si>
  <si>
    <t>7005966238;24078065800;6603097347</t>
  </si>
  <si>
    <t>Eskelinen, Pekka;Eskelinen, Ari;Eskelinen, Harri</t>
  </si>
  <si>
    <t>Finland;Finland;Finland</t>
  </si>
  <si>
    <t>Espoo;Lappeenranta;Jarvenpaa (Traskanda)</t>
  </si>
  <si>
    <t>Aalto University;LUT University;Aerial Co</t>
  </si>
  <si>
    <t>60103653;60014304;105712830</t>
  </si>
  <si>
    <t>Base station antenna systems with built-in processing for the reduction of the effects of hardware imperfections</t>
  </si>
  <si>
    <t>10.1109/62.965008</t>
  </si>
  <si>
    <t>2-s2.0-0035508797</t>
  </si>
  <si>
    <t>['rigorous analysis', 'resulting structure', 'regional interfaces', 'readily derived', 'radiation patterns', 'paper describes', 'numerical results', 'input impedances', 'field expressions', 'expansion method', 'expansion coefficients', 'excellent agreement', 'dipole antenna', 'current distributions', 'continuity conditions', 'computed results', 'also presented']</t>
  </si>
  <si>
    <t>Antennas | Asymmetrical dipole | Modal-expansion method</t>
  </si>
  <si>
    <t>This paper describes a rigorous analysis of asymmetrical cylindrical dipole antennas by the modal-expansion method. The analysis is facilitated by introducing two parallel conducting plates to enclose the dipole antenna. Field expressions for all the subregions of the resulting structure can be readily derived, and the expansion coefficients are found by enforcing the continuity conditions of tangential field components across the regional interfaces. Comparison of computed results with experimental data shows an excellent agreement. Numerical results are also presented for the input impedances, current distributions, and radiation patterns of various dipole antennas.</t>
  </si>
  <si>
    <t>1525-1531</t>
  </si>
  <si>
    <t>7403324500;7005164716</t>
  </si>
  <si>
    <t>Shen, Z.;MacPhie, R. H.</t>
  </si>
  <si>
    <t>Shen Z.</t>
  </si>
  <si>
    <t>Rigorous modal-expansion analysis of asymmetrical dipole antennas</t>
  </si>
  <si>
    <t>S0018926X01076542</t>
  </si>
  <si>
    <t>10.1109/8.964087</t>
  </si>
  <si>
    <t>2-s2.0-0035508817</t>
  </si>
  <si>
    <t>['wave bands', 'temporal changes', 'steerable antennas', 'sight paths', 'shannon equation', 'propagation effects', 'platform moves', 'platform displacement', 'fixed stations', 'evaluated using', 'desired location', 'city centres', 'brief introduction', 'bandwidths required', 'bandwidth requirements', 'also examined']</t>
  </si>
  <si>
    <t>Broadband | Fixed wireless access | High altitude platforms | LMDS | Rain attenuation</t>
  </si>
  <si>
    <t>System level design considerations for high altitude platforms operating in the mm-wave bands are examined. Propagation effects in these bands are outlined, followed by a brief introduction to different platform scenarios. Ground-based and platform-based fixed wireless access scenarios are considered, and it is shown that using a platform, a single base station can supply a much larger coverage area than a terrestrial base station. The effects on performance of platform displacement from its desired location with both fixed and steerable antennas are also examined. It is shown that steerable antennas are of most use when fixed stations are immediately below the platform, with no benefit for fixed stations on the edge of coverage. The bandwidths required to serve several traffic distributions (suburbs and city centre based) are evaluated using the Shannon equation. It is shown that capacity can be constrained when users are located in the city centres, despite longer line of sight paths to users out in the suburbs. The effects of temporal changes in the spatial traffic distribution are investigated. It is shown that bandwidth requirements can be reduced if the platform moves to track these changes.</t>
  </si>
  <si>
    <t>559-580</t>
  </si>
  <si>
    <t>7004927899;7005086209;7005522039;35566020000;57208575407</t>
  </si>
  <si>
    <t>Grace, D.;Daly, N. E.;Tozer, T. C.;Burr, A. G.;Pearce, D. A.J.</t>
  </si>
  <si>
    <t>Grace D.</t>
  </si>
  <si>
    <t>Providing multimedia communications services from high altitude platforms</t>
  </si>
  <si>
    <t>10.1002/sat.698</t>
  </si>
  <si>
    <t>2-s2.0-0035508829</t>
  </si>
  <si>
    <t>['target space', 'similar networks', 'requirements generally', 'radio coverage', 'proper combination', 'must also', 'interesting questions', 'given us', 'frequency assignments', 'expected load', 'e .,', 'article describes']</t>
  </si>
  <si>
    <t>The design of a large-scale wireless LAN poses a number of interesting questions. Building the Wireless Andrew network at Carnegie Mellon University has given us the opportunity to deal with these questions. This article describes the approaches we have developed for the design of similar networks. A large-scale wireless LAN must be designed so that all of the target space has radio coverage (i.e., there are no coverage gaps). It must also be designed so that its capacity is adequate to carry the expected load. These requirements generally can be met by using the proper combination of access point locations, frequency assignments, and receiver threshold settings.</t>
  </si>
  <si>
    <t>98-104</t>
  </si>
  <si>
    <t>Hills, A.</t>
  </si>
  <si>
    <t>Carnegie Mellon University</t>
  </si>
  <si>
    <t>Hills A.</t>
  </si>
  <si>
    <t>Large-scale wireless LAN design</t>
  </si>
  <si>
    <t>10.1109/35.965365</t>
  </si>
  <si>
    <t>2-s2.0-0035509230</t>
  </si>
  <si>
    <t>Electronics and Telecommunications Research Institute</t>
  </si>
  <si>
    <t>ETRI</t>
  </si>
  <si>
    <t>['whole system', 'traffic performance', 'system performance', 'study results', 'paper presents', 'mean number', 'handover process', 'handover parameters', 'handover parameter', 'handover delay', 'gmpcs system', 'due considerations', 'different settings', 'computer simulation', 'analytical model', 'also derived', 'also analyze']</t>
  </si>
  <si>
    <t>Global mobile personal communications by satellite (GMPCS) | Handover | Low earth orbit (LEO) | Mobile satellite communications | Traffic performance</t>
  </si>
  <si>
    <t>This paper presents an analysis of handover process and its effect on the traffic performance in global mobile personal communications by satellite (GMPCS) systems. With the nongeostationary satellite used for the system, the handover scheme needs to be applied to make calls completed without any interruption. An analytical model is developed for the analysis of the handover process. We derive mean number of handovers and handover delay with various satellite antenna patterns and different settings of handover parameter. A suitable traffic model of the whole system is also derived after due considerations of the handover process. The system performance measures include new call blocking probability, call dropping probability, and mean number of handovers per call. A computer simulation is developed and used. We also analyze the system performance with a number of handover priority schemes applied. Based on the study results, handover parameters are selected to maximize the traffic performance. It is shown that we can improve overall traffic performance of GMPCS system by setting handover parameters properly and using the handover priority scheme.</t>
  </si>
  <si>
    <t>1518-1527</t>
  </si>
  <si>
    <t>60000251-60018257;60000251-60018257</t>
  </si>
  <si>
    <t>22733486700;7201840694</t>
  </si>
  <si>
    <t>Cho, Jaeweon;Hong, Daehyoung</t>
  </si>
  <si>
    <t>Seoul;New York</t>
  </si>
  <si>
    <t>Sogang University;IEEE</t>
  </si>
  <si>
    <t>60018257;60000251</t>
  </si>
  <si>
    <t>Traffic performance analysis of handover in GMPCS systems</t>
  </si>
  <si>
    <t>S0018954501098516</t>
  </si>
  <si>
    <t>10.1109/25.966582</t>
  </si>
  <si>
    <t>2-s2.0-0035509458</t>
  </si>
  <si>
    <t>['viterbi detectors', 'tentative decisions', 'symbol bursts', 'signals ).', 'selective channels', 'pva estimation', 'pva ).', 'prefiltering delays', 'one signal', 'mlse ).', 'joint mlse', 'joint maximum', 'interfering signals', 'frequency slot', 'forward filter', 'division multiple', 'channel signals', 'bursts according', 'although transmission', 'additional co', 'access scheme']</t>
  </si>
  <si>
    <t>Diversity methods | Maximum-likelihood estimation | Multipath channels | Multiuser channels | Time-varying channels</t>
  </si>
  <si>
    <t>To increase wireless system capacity using co-channel signals and multiple receiver antennas, we develop the partitioned Viterbi algorithm (PVA). The PVA estimation complexity increases linearly with each additional co-channel signal rather than exponentially as it does with joint maximum-likelihood sequence estimation (MLSE). The estimation problem involves multiple signals simultaneously transmitted and observed through slow-fading, frequency-selective channels. Although transmission is assumed to be in bursts according to a time-division multiple-access scheme, more than one signal can occupy the same time and frequency slot (these signals are referred to as "co-channel" signals). Separation and estimation of the symbol bursts is accomplished by exploiting channel differences. PVA estimation consists of a set of Viterbi detectors, one per signal, that operate in parallel with cross-coupling to allow approximate interference cancellation by means of tentative decisions. The forward filter of a decision feedback equalizer (DFE) is used to "prefilter" received signals prior to PVA estimation. Prefiltering delays the energy of interfering signals so that tentative decisions become reliable enough to use. Simulation results show PVA performance remains near-optimal with respect to the performance of joint MLSE.</t>
  </si>
  <si>
    <t>1997-2005</t>
  </si>
  <si>
    <t>60000251-60020585;60000251-60020585;60000251-60020585</t>
  </si>
  <si>
    <t>7406257258;7406865387;7005722470</t>
  </si>
  <si>
    <t>Miller, Casey L.;Taylor, Desmond P.;Gough, Peter T.</t>
  </si>
  <si>
    <t>Christchurch;New York</t>
  </si>
  <si>
    <t>University of Canterbury;IEEE</t>
  </si>
  <si>
    <t>60020585;60000251</t>
  </si>
  <si>
    <t>Miller C.</t>
  </si>
  <si>
    <t>Estimation of co-channel signals with linear complexity</t>
  </si>
  <si>
    <t>S0090677801101698</t>
  </si>
  <si>
    <t>10.1109/26.966076</t>
  </si>
  <si>
    <t>2-s2.0-0035509516</t>
  </si>
  <si>
    <t>['superstrate configuration', 'resonant resistance', 'resonance frequency', 'mwm ),', 'input impedance', 'improved version', 'experimental results', 'cavity model', 'anisotropic substrate', 'accuracy better']</t>
  </si>
  <si>
    <t>Anisotropic patch antenna | Microstrip antenna | Multilayer patch antenna</t>
  </si>
  <si>
    <t>The modified Wolff model (MWM), which is an improved version of the cavity model, is presented to compute the resonance frequency and input impedance of a rectangular microstrip patch antenna under the isotropic/anisotropic substrate-superstrate configuration. The model has accuracy better than 1.5% for both the resonance frequency and resonant resistance, as compared against the results of the method of moments (MOM) and experimental results.</t>
  </si>
  <si>
    <t>456-458</t>
  </si>
  <si>
    <t>60000251-60029284;60029284</t>
  </si>
  <si>
    <t>7401937908;22935760300</t>
  </si>
  <si>
    <t xml:space="preserve">Verma, A. K.;Nasimuddin, </t>
  </si>
  <si>
    <t>New Delhi;New York</t>
  </si>
  <si>
    <t>University of Delhi;IEEE</t>
  </si>
  <si>
    <t>60029284;60000251</t>
  </si>
  <si>
    <t>Verma A.K.</t>
  </si>
  <si>
    <t>Input impedance of rectangular microstrip patch antenna with iso/anisopropic substrate-superstrate</t>
  </si>
  <si>
    <t>S1531130901107919</t>
  </si>
  <si>
    <t>10.1109/7260.966040</t>
  </si>
  <si>
    <t>2-s2.0-0035509797</t>
  </si>
  <si>
    <t>['unequal power', 'significantly smaller', 'paper concerns', 'maximum signal', 'major characteristics', 'interfering users', 'equal power', 'eigenvector solution', 'different features', 'computational loads', 'complex pseudonoise', 'ber comparisons', 'also analyzed', '2m 2']</t>
  </si>
  <si>
    <t>Adaptive array antenna | Code division multiple access (CDMA) | Mobile fading environment | Multiple access interference | Smart antenna | Wireless communications</t>
  </si>
  <si>
    <t>The analysis in this paper concerns the performance of smart antenna algorithms when used in code-division multiple access (CDMA) wireless communication systems. Complex pseudonoise (PN) spreading, despreading, and pilot-aided channel estimates in the cdma2000 reverse link are some of major characteristics that are different from those in the IS-95 CDMA systems. These different features are included in our analysis. Four computationally efficient smart antenna algorithms are introduced: 1) smart antenna based on maximum output power criteria without lagrange multiplier; 2) smart antenna based on maximum signal-to-interference-plus-noise output power ratio (SINR) criteria with eigenvector solution; 3) smart antenna based on maximum SINR output criteria without eigenvector solution; 4) more simplified smart antenna based on maximum SINR output criteria without eigenvector solution. Algorithms (1) and (4) require only 4M computational instruction cycles per snapshot where M is the number of antenna array elements. Algorithms (2) and (3) require M 2 and (4M + 2M 2) operations per snapshot, respectively. These computational loads are significantly smaller than those of typical eigenvalue decomposition blind detection approaches. Bit error rates (BERs) resulting from these algorithms are evaluated through simulation. Double spike power delay profile with equal or unequal power is used. Also, a cluster of interfering users and scattered interference users are considered. For BER comparisons, antenna diversity using equal gain combining is also analyzed. The four smart antenna algorithms show significant capacity improvement compared to the antenna array diversity using equal gain combining under the double spike power delay profile with equal power and scattered interference environments.</t>
  </si>
  <si>
    <t>1613-1628</t>
  </si>
  <si>
    <t>60000251-60003780;60000251-60017742;60000251-105227282</t>
  </si>
  <si>
    <t>7404920549;55161892500;7202932217</t>
  </si>
  <si>
    <t>Song, Yoo S.;Kwon, Hyuck M.;Min, Byung J.</t>
  </si>
  <si>
    <t>United States;South Korea;United States;South Korea</t>
  </si>
  <si>
    <t>Wichita;Suwon;New York;</t>
  </si>
  <si>
    <t>Wichita State University;Samsung Electronics Co. Ltd.;IEEE;Stelsys Telecom Inc</t>
  </si>
  <si>
    <t>60017742;60003780;60000251;105227282</t>
  </si>
  <si>
    <t>Song Y.</t>
  </si>
  <si>
    <t>Computationally efficient smart antennas for CDMA wireless communications</t>
  </si>
  <si>
    <t>S0018954501098437</t>
  </si>
  <si>
    <t>10.1109/25.966590</t>
  </si>
  <si>
    <t>2-s2.0-0035509850</t>
  </si>
  <si>
    <t>['wave propagation', 'wave cancellation', 'reduced surface', 'measured far', 'good agreement', 'design allows', 'achieved simultaneously']</t>
  </si>
  <si>
    <t>Coplanar radiation efficiency | Integrated antennas | Slot antennas | Surface waves</t>
  </si>
  <si>
    <t>A simple, uniplanar, reduced surface-wave twin arc-slot antenna element for millimeter-wave (mm-wave) integrated circuit antenna systems is presented. This design allows for almost complete surface-wave cancellation and resonance to be achieved simultaneously. Measured far-field radiation patterns on an electrically thick substrate are in very good agreement with theory and show little evidence of surface-wave propagation.</t>
  </si>
  <si>
    <t>459-461</t>
  </si>
  <si>
    <t>60016849;60016849;60000251-60016849</t>
  </si>
  <si>
    <t>7103379264;7103348897;7004469751</t>
  </si>
  <si>
    <t>Hickey, Michael A.;Qiu, Meide;Eleftheriades, George V.</t>
  </si>
  <si>
    <t>Toronto;New York</t>
  </si>
  <si>
    <t>University of Toronto;IEEE</t>
  </si>
  <si>
    <t>60016849;60000251</t>
  </si>
  <si>
    <t>Hickey M.</t>
  </si>
  <si>
    <t>A reduced surface-wave thin arc-slot antenna for millimeter-wave applications</t>
  </si>
  <si>
    <t>S1531130901107920</t>
  </si>
  <si>
    <t>10.1109/7260.966041</t>
  </si>
  <si>
    <t>2-s2.0-0035510492</t>
  </si>
  <si>
    <t>['slight activation', 'simple form', 'result fits', 'per ).', 'new insecticide', 'motor functions', 'motor activity', 'lowest dose', 'lowest concentration', 'low dose', 'like apparatus', 'insect biochem', 'gustatory function', 'cholinergic system', 'behavioral procedure', 'bee induces', 'antennae able', 'affect sensory', '25 ng', '20 ng', '1 œºl']</t>
  </si>
  <si>
    <t>Habituation | Honeybee | Imidacloprid | Nicotinic receptor | Sensory-motor activity</t>
  </si>
  <si>
    <t>Imidacloprid is a new insecticide from the family of the neonicotinoids, which interact with the insect nicotinic acetylcholine receptor. The effects of imidacloprid at a dose that does not affect sensory or motor functions are studied on non-associative learning abilities in the honeybee. The behavioral procedure is the habituation of the proboscis extension reflex (PER). Imidacloprid topically applied on the thorax (1 Œºl) at the doses of 5, 10, and 20 ng/bee induces an increase of the gustatory threshold defined as the lowest concentration of a sucrose solution applied to the antennae able to elicit the PER. The ability of the honeybee to move in an open-field-like apparatus is impaired at the doses of 2.5, 5, 10, and 20 ng/bee. These effects are amplified with time and reach a maximum 60 min after application. The lowest dose of 1.25 ng/bee has no effect on the gustatory function but increases the motor activity and facilitates the PER habituation independently of time. This result fits our hypothesis that a slight activation of the cholinergic system with a low dose of imidacloprid can facilitate a simple form of learning in the honeybee. Arch. Insect Biochem. Physiol. 48:129-134, 2001. ¬© 2001 Wiley-Liss, Inc.</t>
  </si>
  <si>
    <t>60027245;60027245;60027245;60027245</t>
  </si>
  <si>
    <t>6603218163;6602335248;7102827464;7201942993</t>
  </si>
  <si>
    <t>Lambin, Michel;Armengaud, C.;Raymond, S.;Gauthier, M.</t>
  </si>
  <si>
    <t>Toulouse</t>
  </si>
  <si>
    <t>Universite Paul Sabatier Toulouse III</t>
  </si>
  <si>
    <t>Lambin M.</t>
  </si>
  <si>
    <t>Imidacloprid-induced facilitation of the proboscis extension reflex habituation in the honeybee</t>
  </si>
  <si>
    <t>10.1002/arch.1065</t>
  </si>
  <si>
    <t>2-s2.0-0035513872</t>
  </si>
  <si>
    <t>['wlans ).', 'two transmit', 'training sequences', 'optimal preambles', 'one way', 'ofdm system', 'multiple antennas']</t>
  </si>
  <si>
    <t>Optimal training | Orthogonal frequency division multiplexing (OFDM)</t>
  </si>
  <si>
    <t>The so-called orthogonal frequency division multiplexing (OFDM) technique has recently received considerable interest, especially in the area of wireless local area networks (WLANs). One way of meeting the demands for increased data rates in WLANs is to provide the transmitter and receiver with multiple antennas. In this letter, we consider the estimation of the channel and the design of optimal preambles (training sequences) for an OFDM system with two transmit and multiple receive antennas.</t>
  </si>
  <si>
    <t>60013959;60013959</t>
  </si>
  <si>
    <t>35555550500;7410065637</t>
  </si>
  <si>
    <t>Larsson, E. G.;Li, J.</t>
  </si>
  <si>
    <t>Preamble design for multiple-antenna OFDM-based WLANs with null subcarriers</t>
  </si>
  <si>
    <t>S1070990801103779</t>
  </si>
  <si>
    <t>10.1109/97.969445</t>
  </si>
  <si>
    <t>2-s2.0-0035517680</t>
  </si>
  <si>
    <t>['stap ),', 'rank processing', 'paper studies', 'largely reduced', 'iid samples', 'even 3', 'backward averaging', 'always limited', '5 samples']</t>
  </si>
  <si>
    <t>Adaptive filtering | Diagonal loading | Forward-backward averaging | Reduced-rank | STAP</t>
  </si>
  <si>
    <t>In the airborne radar space-time adaptive processing (STAP), the interference covariance matrix must be estimated from the IID samples which are always limited in practice. Aimed at this problem, this paper studies the combination of the forward-backward averaging (FB), diagonal loading (DL) and the reduced-rank processing to reduce the required sample number as much as possible. Through analysis and simulations, it is demonstrated that by using proper reduced-rank processing, combined with FB and DL, the required sample number can be largely reduced to even 3-5 samples.</t>
  </si>
  <si>
    <t>229-234</t>
  </si>
  <si>
    <t>Chinese Journal of Aeronautics</t>
  </si>
  <si>
    <t>60013789;60013789;60013789</t>
  </si>
  <si>
    <t>57192621310;7409236343;7202387494</t>
  </si>
  <si>
    <t>Wang, Wei;Li, Shao hong;Mao, Shi yi</t>
  </si>
  <si>
    <t>Beihang University</t>
  </si>
  <si>
    <t>Wang W.</t>
  </si>
  <si>
    <t>Research on the problem of sample support in STAP</t>
  </si>
  <si>
    <t>2-s2.0-0035517841</t>
  </si>
  <si>
    <t>['valued relation', 'plane inductance', 'parasitic ground', 'parameter study', 'mode radiation', 'minimum distance', 'ground plane', 'edge distances', 'dimensioning equations', 'different dimensions', 'complex analysis', 'board provides', 'board edge', 'arbitrary trace']</t>
  </si>
  <si>
    <t>Common-mode radiation | Ground plane common-mode inductance | PCB</t>
  </si>
  <si>
    <t>The parasitic ground-plane inductance is responsible for common-mode radiation, as one of the major unwanted radiation mechanisms of printed circuit boards. For the computation of the common-mode inductance simple relations are known for the case that the trace is centered above the ground plane. In this paper the increase of the ground-plane inductance for arbitrary trace-to-edge distances is studied. From the exact analytical result obtained by complex analysis a much simpler real-valued relation is derived which allows to set up dimensioning equations for the minimum distance of the trace to the board edge. The inductance increase correlates quite well with published measurement data for the common-mode current increase. A parameter study for different dimensions of the board provides a quantification of the potential electromagnetic interference (EMI) level.</t>
  </si>
  <si>
    <t>667-671</t>
  </si>
  <si>
    <t>Leone, Marco</t>
  </si>
  <si>
    <t>Leone M.</t>
  </si>
  <si>
    <t>Design expressions for the trace-to-edge common-mode inductance of a printed circuit board</t>
  </si>
  <si>
    <t>S001893750110013X</t>
  </si>
  <si>
    <t>10.1109/15.974648</t>
  </si>
  <si>
    <t>2-s2.0-0035519104</t>
  </si>
  <si>
    <t>['value proportional', 'uses microwaves', 'used widely', 'type antenna', 'temperature distributions', 'slot antennas', 'slot antenna', 'sar distribution', 'hot spot', 'heating source', 'generated due', 'feed power', 'fdtd method', 'fat layer', 'characteristic evaluations', 'cancer treatment', 'biological body']</t>
  </si>
  <si>
    <t>Array applicator | Biological thermal transport equation | Coaxial-slot antenna | Hyperthermia | SAR</t>
  </si>
  <si>
    <t>Hyperthermia is a cancer treatment that seeks to destroy cancer cells by heating. The authors have carried out analysis of coaxial-slot antennas as a hyperthermia heating device that uses microwaves. For characteristic evaluations of the hyperthermia heating device, the SAR (Specific Absorption Rate) as a value proportional to the square of the electric field near the antenna has been used widely. However, since hyperthermia seeks to heat cancer cells, it is desirable to know the temperature distributions inside actual biological bodies. In this paper, by means of the FDTD method, the SAR distribution around a coaxial-slot antenna in a biological body is computed. By solving the biological thermal transport equation with the SAR distribution as the heating source, the temperature distributions inside the biological body are computed. It is found that a hot spot can be generated due to the low thermal conductivity of the fat layer even if the coaxial-slot antenna used is an insertion-type antenna. As an application of this simulation, the temperature distributions are studied when the feed power of the antenna is on-off controlled. It is found that the uniformity of the temperature distribution inside the body is improved and the hot spot in the fat layer can be reduced.</t>
  </si>
  <si>
    <t>55576600100;57213473852;6602750936;55445582500</t>
  </si>
  <si>
    <t>Saito, Kazuyuki;Nakayama, Osamu;Hamada, Lira;Ito, Koichi</t>
  </si>
  <si>
    <t>Analysis of temperature distributions generated by square array applicator composed of coaxial-slot antennas for hyperthermia</t>
  </si>
  <si>
    <t>10.1002/ecjb.1069</t>
  </si>
  <si>
    <t>2-s2.0-0035519249</t>
  </si>
  <si>
    <t>['turn present', 'source antenna', 'oeg operating', 'oeg ).', 'experimentally estimated', 'axis position', 'axis gain', 'axis error', 'approximate evaluation', '250 mhz']</t>
  </si>
  <si>
    <t>Near-field | Off-axis field | Off-axis gain | Open rectangular waveguide</t>
  </si>
  <si>
    <t>Expressions are presented for the approximate evaluation of the off-axis gain and field in the finite-range of an open-ended rectangular waveguide (OEG). These formulas in turn present a method for predicting the off-axis error when an OEG is used as the source antenna. For an OEG operating at 250 MHz, the off-axis error estimated by using this method favorably compares with that experimentally estimated for 1 m off-axis position.</t>
  </si>
  <si>
    <t>685-688</t>
  </si>
  <si>
    <t>60070264;60020825;60070264</t>
  </si>
  <si>
    <t>6701834327;6701556104;6603687984</t>
  </si>
  <si>
    <t>Selvan, Krishnasamy T.;Poddar, Dipak R.;Kini, Kundapur R.</t>
  </si>
  <si>
    <t>Chennai;Kolkata</t>
  </si>
  <si>
    <t>SAMEER-Centre for Electromagnetics India;Jadavpur University</t>
  </si>
  <si>
    <t>60070264;60020825</t>
  </si>
  <si>
    <t>Off-axis gain and field in the finite range of an open-ended rectangular waveguide</t>
  </si>
  <si>
    <t>S0018937501100104</t>
  </si>
  <si>
    <t>10.1109/15.974651</t>
  </si>
  <si>
    <t>2-s2.0-0035519416</t>
  </si>
  <si>
    <t>['silicon carbide', 'sample stage', 'rf power', 'resulting data', 'icp antenna', 'harsh environments', 'etching gas', 'electroplated nickel', '150 w', '130 w']</t>
  </si>
  <si>
    <t>More than 100-Œºm-deep reaction ion etching (RIE) of silicon carbide (SiC) for microelectromechanical systems used in harsh environments were performed. Sulfur hexafluoride mixed with oxygen was used as an etching gas and electroplated nickel was used as a mask. First, 5 h etching experiments using etching gases with 0%, 5%, and 20% oxygen were performed by supplying rf power of 150 and 130 W to an ICP antenna and a sample stage. Following this, a 7 h etching experiment using an etching gas with 5% oxygen was performed by increasing the rf power to the sample stage of 150 W. The resulting data was analyzed in detail.</t>
  </si>
  <si>
    <t>2173-2176</t>
  </si>
  <si>
    <t>60008435;60014097;60008435;60008435</t>
  </si>
  <si>
    <t>55510768100;7006351702;56534477400;36051557900</t>
  </si>
  <si>
    <t>Tanaka, S.;Rajanna, K.;Abe, T.;Esashi, M.</t>
  </si>
  <si>
    <t>India;Japan</t>
  </si>
  <si>
    <t>Bengaluru;Sendai</t>
  </si>
  <si>
    <t>Indian Institute of Science;Tohoku University</t>
  </si>
  <si>
    <t>60014097;60008435</t>
  </si>
  <si>
    <t>Deep reactive ion etching of silicon carbide</t>
  </si>
  <si>
    <t>10.1116/1.1418401</t>
  </si>
  <si>
    <t>2-s2.0-0035519479</t>
  </si>
  <si>
    <t>['thylakoid membranes', 'rights reserved', 'results raised', 'pronouncedly expressed', 'presumably vulnerable', 'positively correlated', 'photodamaged photosystem', 'partially disassembled', 'mutant even', 'lower levels', 'low light', 'low irradiance', 'linear dependence', 'irradiance stress', 'high irradiance', 'greater susceptibility', 'epoxidation state', 'effect relationship', 'cbr protein', 'cbr involvement', 'amplified response', '1 ).']</t>
  </si>
  <si>
    <t>Cbr protein | Chlorophyll antenna size | Dunaliella salina | Photoinhibition | Photosystem II repair | Zeaxanthin</t>
  </si>
  <si>
    <t>A light-sensitive and chlorophyll (Chl)-deficient mutant of the green alga Dunaliella salina (dcd1) showed an amplified response to irradiance stress compared to the wild-type. The mutant was yellow-green under low light (100 Œºmol photons m-2 s-1) and yellow under high irradiance (2000 Œºmol photons m-2 s-1). The mutant had lower levels of Chl, lower levels of light harvesting complex II, and a smaller Chl antenna size. The mutant contained proportionately greater amounts of photodamaged photosystem (PS) II reaction centers in its thylakoid membranes, suggesting a greater susceptibility to photoinhibition. This phenotype was more pronounced under high than low irradiance. The Cbr protein, known to accumulate when D. salina is exposed to irradiance stress, was pronouncedly expressed in the mutant even under low irradiance. This positively correlated with a higher zeaxanthin content in the mutant. Cbr protein accumulation, xanthophyll cycle de-epoxidation state, and fraction of photodamaged PSII reaction centers in the thylakoid membrane showed a linear dependence on the chloroplast 'photoinhibition index', suggesting a cause-and-effect relationship between photoinhibition, Cbr protein accumulation and xanthophyll cycle de-epoxidation state. These results raised the possibility of zeaxanthin and Cbr involvement in the PSII repair process through photoprotection of the partially disassembled, and presumably vulnerable, PSII core complexes from potentially irreversible photooxidative bleaching. ¬© 2001 Elsevier Science B.V. All rights reserved.</t>
  </si>
  <si>
    <t>244-259</t>
  </si>
  <si>
    <t>60121355;60121355;60121355</t>
  </si>
  <si>
    <t>7007027891;6602940869;57203081985</t>
  </si>
  <si>
    <t>Jin, Eon Seon;Polle, J. E.W.;Melis, Anastasios</t>
  </si>
  <si>
    <t>Department of Plant &amp; Microbial Biology</t>
  </si>
  <si>
    <t>Jin E.</t>
  </si>
  <si>
    <t>Involvement of zeaxanthin and of the Cbr protein in the repair of photosystem II from photoinhibition in the green alga Dunaliella salina</t>
  </si>
  <si>
    <t>S0005272801002237</t>
  </si>
  <si>
    <t>10.1016/S0005-2728(01)00223-7</t>
  </si>
  <si>
    <t>2-s2.0-0035519581</t>
  </si>
  <si>
    <t>['tool used', 'system automation', 'system architecture', 'spherical frame', 'receiver travel', 'receiver measures', 'receiver design', 'random media', 'polarized returns', 'measuring facility', 'mathematical model', 'linearly polarized', 'helps assess', 'far field', 'experimental techniques', 'experimental measurements', 'active system']</t>
  </si>
  <si>
    <t>Lidar | Scattering</t>
  </si>
  <si>
    <t>We construct a bistatic polarimetric scattering system and improve the experimental techniques to contribute to the research of a mathematical model that describes the electromagnetic waves scattering characteristics from random rough surfaces, and to serve as a tool used to better describe wave interaction with random media. To accomplish the measurement both a horn antenna operating in the far field and a parabolic-dish antenna operating in the near-field focus mode are utilized. The transmitter for the active system is a linearly polarized, helium-neon laser operating in the red light region. The receiver measures both like- and cross-polarized returns, which helps assess the scattered radiation pattern. A flat metal plate is developed to calibrate the measuring facility. The system is automated and consists of a spherical frame over which the transmitter and receiver travel. The transmitter and receiver design, system automation, and system architecture are discussed. Experimental measurements for a target are presented to evaluate the accuracy, repeatability, and utility of the helium-neon laser measurement system. ¬© 2001 Society of Photo-Optical Instrumentation Engineers.</t>
  </si>
  <si>
    <t>2546-2551</t>
  </si>
  <si>
    <t>Hsieh, Chin Yuan</t>
  </si>
  <si>
    <t>Hsieh C.</t>
  </si>
  <si>
    <t>Measurement system for laser bistatic lidar scattering</t>
  </si>
  <si>
    <t>10.1117/1.1411977</t>
  </si>
  <si>
    <t>2-s2.0-0035519727</t>
  </si>
  <si>
    <t>['well situated', 'vhf radar', 'unusual approaches', 'unique measurements', 'tidal characteristics', 'study 3', 'special conditions', 'scale irregularities', 'rough terrain', 'related papers', 'radar system', 'polar regions', 'partly dictated', 'nonsummer months', 'multipurpose instrument', 'meteor radar', 'mesospheric radar', 'measurements relating', 'mean winds', 'lower troposphere', 'ionospheric radar', 'ionospheric environment', 'including description', 'full year', 'f regions', 'determine winds', 'detailed discussions', 'atmospheric temperatures', 'altitude region', '100 km']</t>
  </si>
  <si>
    <t>A VHF radar has been established at a site near Resolute Bay in Nunavut, Canada (75deg;N, 95¬∞W), which has the capability to make a variety of measurements relating to the atmospheric and ionospheric environment in the polar regions. The site is very close to the north geomagnetic pole, and therefore the radar is well situated to make some unique measurements. The system is a multipurpose instrument with good remote control capabilities. It can be used as a wind profiler radar to study the lower troposphere, as a mesospheric radar to study polar mesosphere summer echoes (PMSE) in summer, as a meteor radar to determine winds in the altitude region of 80-100 km, and as an ionospheric radar to study 3 m scale irregularities in the E and F regions. The radar has some unique design features, partly dictated by the rough terrain in which it is sited. In this paper, the radar system is described, including description of some unusual approaches to deal with special conditions at the site, and then some key early results are presented. Important findings include error determinations for tropospheric wind measurements, detection of PMSE, correlations between PMSE and atmospheric temperatures at 86 km altitude, measurements of mean winds and tidal characteristics over a full year, and detection of various normal modes of oscillation in the 80-100 km region, especially in nonsummer months. Some of these features will be discussed here, but more detailed discussions will be left to related papers in this issue.</t>
  </si>
  <si>
    <t>1839-1857</t>
  </si>
  <si>
    <t>60010884;60010884;60010884;60010884;60010884;60010884</t>
  </si>
  <si>
    <t>23166780300;57203051214;7403530920;7404195755;6701855957;6701386828</t>
  </si>
  <si>
    <t>Hocking, W. K.;Kelley, M.;Rogers, R.;Brown, W. O.J.;Moorcroft, D.;St. Maurice, J. P.</t>
  </si>
  <si>
    <t>Hocking W.</t>
  </si>
  <si>
    <t>Resolute Bay VHF radar: A multipurpose tool for studies of tropospheric motions, middle atmosphere dynamics, meteor physics, and ionospheric physics</t>
  </si>
  <si>
    <t>10.1029/2000RS001005</t>
  </si>
  <si>
    <t>2-s2.0-0035520838</t>
  </si>
  <si>
    <t>['theoretical analysis', 'single feed', 'significant reduction', 'shorting pin', 'resonant frequencies', 'new dual', 'measurement results', 'input impedance', 'frequency ratio', 'frequency operation', 'fdtd programs', 'design parameters', 'compact antenna', 'antenna size']</t>
  </si>
  <si>
    <t>In this paper, a new dual-frequency, compact antenna, which uses an H-shaped microstrip patch with a shorting pin, is described. Compared with the conventional rectangular patch antenna, this antenna can achieve both a significant reduction of antenna size and a dual-frequency operation with a single feed. More freedoms for tuning the resonant frequencies, the frequency ratio, and the input impedance are available because of more design parameters. A detailed parameter study is performed, and the theoretical analysis is based on the finite difference time domain (FDTD) method. The FDTD programs are developed and validated by measurement results. The effects of several antenna parameters on two resonant frequencies, frequency ratio, and radiation pattern characteristics of the antenna are analyzed and compared. It is shown that various frequency ratios (1.91-4.23) can be obtained by varying the design parameters of this antenna. Several design curves are presented.</t>
  </si>
  <si>
    <t>1669-1682</t>
  </si>
  <si>
    <t>60019702;60019702;60019702;60019702</t>
  </si>
  <si>
    <t>A dual-frequency compact microstrip patch antenna</t>
  </si>
  <si>
    <t>10.1029/2000RS002584</t>
  </si>
  <si>
    <t>2-s2.0-0035520868</t>
  </si>
  <si>
    <t>['results demonstrate', 'radiating plate', 'performed using', 'parasitic elements', 'parametrical study', 'matching performances', 'matching factor', 'large height', 'investigated experimentally', 'impedance characteristics', 'impedance bandwidth', 'ground plane', 'fed l', 'broadband antennas']</t>
  </si>
  <si>
    <t>A probe-fed L-shaped plate antenna is presented for the enhancement of the impedance bandwidth. The radiating plate is suspended at a large height above a ground plane. The impedance characteristics of the antenna are investigated experimentally and numerically. The results demonstrate that the probe-fed L-shaped plate antenna operating in two adjacent modes has achieved a 24% impedance bandwidth for 2:1 VSWR without any additional matching network or any parasitic elements. The parametrical study on the spacing and the dimensions of the plate is performed using a commercial software package. Furthermore, a new parameter called "matching factor" is suggested to assess the matching performances of broadband antennas.</t>
  </si>
  <si>
    <t>1377-1383</t>
  </si>
  <si>
    <t>Chen, Zhi Ning</t>
  </si>
  <si>
    <t>Impedance characteristics of probe-fed L-shaped plate antenna</t>
  </si>
  <si>
    <t>10.1029/2000RS002350</t>
  </si>
  <si>
    <t>2-s2.0-0035520891</t>
  </si>
  <si>
    <t>['viewing directions', 'spatial structures', 'selective availability', 'sanae iv', 'recorded profiles', 'radio transmitter', 'positional recording', 'paper variations', 'helicopter across', 'gps system', 'excellent coincidence', 'enhanced ionization', 'differences could', 'derived theoretically', 'derived directivities', 'dependent profiles', 'coincide occasionally', 'beam phasing', 'beam directions', 'antenna array']</t>
  </si>
  <si>
    <t>Spatial structures in enhanced ionization of the ionosphere are observed by absorption of cosmic radio waves. These structures are resolved by using theoretically derived imaging riometer antenna array directivities. These directivities are calculated from beam phasing of 64 crossed dipole elements of the 38.2-MHz antenna array at SANAE IV, Antarctica. In order to ensure that these derived directivities are representative of the actual viewing directions of the 64-beams, a radio transmitter was flown by helicopter across the antenna array. In this paper variations in the receiver signal strengths, recorded when flying across beam-viewing directions, are compared with the spatial and angular-dependent profiles of expected receiver output responses, derived theoretically from the directivities of the antenna array. A Global Positioning System (GPS) device on board the helicopter was used for positional recording. The derived and recorded profiles did coincide occasionally, but at other instances relative displacements and differences in magnitude of responses were observed. These displacements and differences could be attributed to degradation in position fixes imposed deliberately by selective availability on the GPS system. Excellent coincidence for a number of beam crossings proved that the viewing directions are accurate in all the beam directions, since the multi-dimensional Butler matrix produces 64 simultaneous beams.</t>
  </si>
  <si>
    <t>1531-1543</t>
  </si>
  <si>
    <t>60029714;60029714;60029714;60029714</t>
  </si>
  <si>
    <t>57199229204;56236482000;7103043266;6603984859</t>
  </si>
  <si>
    <t>Wilson, A.;Nel, J. J.;Mathews, M. J.;Stoker, P. H.</t>
  </si>
  <si>
    <t>Potchefstroom</t>
  </si>
  <si>
    <t>North-West University</t>
  </si>
  <si>
    <t>Wilson A.</t>
  </si>
  <si>
    <t>Direct measurements on imaging riometer antenna array beam directivities</t>
  </si>
  <si>
    <t>10.1029/2000RS002509</t>
  </si>
  <si>
    <t>2-s2.0-0035520912</t>
  </si>
  <si>
    <t>['upper atmosphere', 'taking account', 'spaced antenna', 'si technique', 'si ),', 'sa technique', 'present paper', 'performed simultaneously', 'oblique beams', 'incoherent integrations', 'horizontal wind', 'effective angle', 'doppler wind', 'dbs mode', 'cutoff low', 'aspect sensitivity', 'aspect angle', 'arrival angle', 'allows us']</t>
  </si>
  <si>
    <t>In the present paper, simultaneous radar observations in the Doppler beam swinging (DBS), spatial interferometry (SI), and spaced antenna (SA) modes with the middle and upper atmosphere (MU) radar are shown. High aspect sensitivities were found after a passage of a cutoff low and an incidental trough owing to observations in the DBS mode. Because it is known that tilted aspect sensitivities introduce a bias in radial velocity measurements, we corrected the horizontal wind directly measured by oblique beams in the DBS mode by taking account of the arrival angle of the oblique beams estimated by the SI technique. On the other hand, the aspect angle is derived from the echo power ratio of the vertical to the oblique beams with the DBS mode, which allows us to estimate an effective pointing angle, and the Doppler wind is corrected by using this effective angle. In addition, the SA technique is performed simultaneously for estimating the horizontal wind. The above four estimating processes are used to determine the horizontal wind and compared for the aspect sensitivity. Finally, a simple computer simulation is performed for the SA technique for constant and variable wind conditions during incoherent integrations.</t>
  </si>
  <si>
    <t>1477-1492</t>
  </si>
  <si>
    <t>60011001;60011001</t>
  </si>
  <si>
    <t>7101663318;55398698300</t>
  </si>
  <si>
    <t>Kawano, Noriyuki;Fukao, Shoichiro</t>
  </si>
  <si>
    <t>Kawano N.</t>
  </si>
  <si>
    <t>Investigation on horizontal wind estimation around high aspect sensitivity</t>
  </si>
  <si>
    <t>10.1029/2000RS002526</t>
  </si>
  <si>
    <t>2-s2.0-0035520941</t>
  </si>
  <si>
    <t>['successive projections', 'substantially faster', 'present approach', 'practical interest', 'parabolic reflectors', 'parabolic reflector', 'numerical examples', 'gaussian beams', 'found via', 'field radiated', 'feed array', 'fast analysis', 'directly related', 'conventional approaches', 'appropriate locations']</t>
  </si>
  <si>
    <t>A relatively rapid procedure is developed, which combines a novel Gaussian beam approach for the fast analysis of reflector antenna radiation patterns with an iterative optimization method, to synthesize feed array distributions for parabolic reflectors in contoured beam applications. Here, relatively few Gaussian beams are employed as electromagnetic basis functions to represent the field radiated by the feed array in a highly efficient manner. Closed form expressions are used to find the reflection and diffraction of each of these Gaussian beams when they are incident on the parabolic reflector after they are launched from appropriate locations on the feed array plane. The coefficients (or initial launching amplitudes) of the Gaussian beams used in this expansion for the radiation from the feed array are found via an efficient iterative optimization procedure based on the method of successive projections. These coefficients are then directly related to the strengths of the array element source distributions (or array weights). Numerical examples of practical interest are presented to illustrate the utility and the speed of the present approach, which is found to be substantially faster than conventional approaches for these cases.</t>
  </si>
  <si>
    <t>1341-1351</t>
  </si>
  <si>
    <t>60013395;60013395;60013395</t>
  </si>
  <si>
    <t>Feed array synthesis for reflector antennas in contoured beam applications via an efficient and novel Gaussian beam technique</t>
  </si>
  <si>
    <t>10.1029/2000RS002336</t>
  </si>
  <si>
    <t>2-s2.0-0035520953</t>
  </si>
  <si>
    <t>['parallel resistor', 'parallel inductor', 'optimized via', 'matching network', 'loaded antenna', 'helical coil', 'genetic algorithm', 'fast algorithms', 'component values', 'closely model', 'candidate antennas', 'band 220', '1000 mhz', '1 bandwidth', '0 dbi']</t>
  </si>
  <si>
    <t>Techniques for developing and realizing a broadband, loaded wire antenna with a transmission line transformer matching network are presented. The component values and position of a parallel inductor-resistor load circuit are optimized via a genetic algorithm to improve the bandwidth of a straight-wire monopole antenna. Candidate antennas are analyzed by solving the electric field integral equation with a lumped-load model included. This model has been enhanced with fast algorithms from the literature in order to improve computational efficiency during optimization. Subsequent to optimization, the curved-wire integral equation solution is used to more closely model a real-world monopole loaded with a helical coil and parallel resistor. The measured input voltage standing wave ratio of the loaded antenna with matching network is below 3.5 over a 5:1 bandwidth (200-1000 MHz). The computed system gain is above -4.0 dBi over the band 220-1000 MHz.</t>
  </si>
  <si>
    <t>1315-1325</t>
  </si>
  <si>
    <t>100348870;100348870;100348870</t>
  </si>
  <si>
    <t>7402159848;7201550943;7404933093</t>
  </si>
  <si>
    <t>Rogers, Shawn D.;Butler, Chalmers M.;Martin, Anthony Q.</t>
  </si>
  <si>
    <t>Mt Laurel</t>
  </si>
  <si>
    <t>Etenna Corporation</t>
  </si>
  <si>
    <t>Realization of a genetic-algorithm-optimized wire antenna with 5:1 bandwidth</t>
  </si>
  <si>
    <t>10.1029/2000RS002611</t>
  </si>
  <si>
    <t>2-s2.0-0035520992</t>
  </si>
  <si>
    <t>['wire antennas', 'two types', 'numerical results', 'numerical calculation', 'moment method', 'input impedance', 'fast convergence', 'accurate method']</t>
  </si>
  <si>
    <t>The numerical calculation of the singular electric field from a magnetic current frill is reexamined with respect to two types of coaxially fed wire antennas. It is shown that the moment method with the Galerkin matching procedure allows direct and efficient numerical integrations to yield accurate results on the input impedance without any special singularity extraction methods. This demonstrates a simple but efficient and accurate method for the calculation of the input impedance of wire antennas by using the magnetic current frill excitation model. Numerical results on the fast convergence of the input impedance are presented.</t>
  </si>
  <si>
    <t>1683-1686</t>
  </si>
  <si>
    <t>7005913291;7101878862;7406035710</t>
  </si>
  <si>
    <t>Hui, Hon Tat;Yung, Edward K.N.;Chan, Kam Yuen</t>
  </si>
  <si>
    <t>On the numerical calculation of the magnetic current frill model</t>
  </si>
  <si>
    <t>10.1029/2000RS002543</t>
  </si>
  <si>
    <t>2-s2.0-0035521013</t>
  </si>
  <si>
    <t>['two modes', 'tightly associated', 'tec computed', 'study thoroughly', 'stokes parameters', 'received signal', 'radio observations', 'pulse source', 'potential use', 'polarization properties', 'polarization observations', 'polarization degrades', 'orthogonal log', 'mirror images', 'lapp pulses', 'highly polarized', 'highly coherent', 'high frequency', 'frequency domain', 'first examine', 'case study', 'azimuthal direction']</t>
  </si>
  <si>
    <t>Coherent very high frequency (VHF) radio observations with the pair of orthogonal log-periodic array antennas of the FORTE satellite allow us to study thoroughly the polarization properties for a received signal. Eighty-one broadband VHF pulses that were generated by the Los Alamos Portable Pulser (LAPP) have been analyzed. The data are analyzed by computing the Stokes parameters in the time-frequency domain. We first examine the LAPP pulses at high time resolution so as to separate the ordinary and extraordinary ionospheric modes. The two modes have been found to be mirror images of each other in terms of polarization, as would be expected. For each mode the polarization degrades from circular toward elliptical as the nadir angle increases. Antenna pattern effects on this observation are discussed. The tilt of the detected polarization ellipse is found to be tightly associated with the azimuthal direction of the pulse source. The same set of data are then examined with much lower time resolution to intentionally mix together the two split modes, so that the ionospheric Faraday rotation can be detected. With the known geomagnetic field the total electron content (TEC) is computed, which shows good agreement with the TEC computed by dechirping the signal. A case study of an impulsive lightning emission shows that it is highly polarized, indicating that the associated breakdown processes are highly coherent and organized. Finally, we discuss the potential use of the polarization observations for locating terrestrial radio signals.</t>
  </si>
  <si>
    <t>1573-1589</t>
  </si>
  <si>
    <t>60006164;60006164</t>
  </si>
  <si>
    <t>7202920419;7403204511</t>
  </si>
  <si>
    <t>Shao, Xuan Min;Jacobson, Abram R.</t>
  </si>
  <si>
    <t>Los Alamos</t>
  </si>
  <si>
    <t>Shao X.</t>
  </si>
  <si>
    <t>Polarization observations of broadband VHF signals by the FORTE satellite</t>
  </si>
  <si>
    <t>10.1029/2000RS002600</t>
  </si>
  <si>
    <t>2-s2.0-0035521035</t>
  </si>
  <si>
    <t>['time control', 'tag changes', 'resulting system', 'reader system', 'radio frequency', 'physics places', 'mobile transponder', 'greater magnitude', 'fundamental restraints', 'entire character', 'economic assumptions', 'battery inside', 'battery changes', 'active tag']</t>
  </si>
  <si>
    <t>Adding a battery to a Radio frequency (RF) tag changes the entire character of the resulting system and the way it influences the supply chain management. The battery changes the fundamental restraints that physics places on designers of the tag/reader system and it affects the economic assumptions that are made when analyzing an investment in such a system. The 'active tag' refers to any mobile transponder with a local power source, usually a battery inside the tag. Active tags read ranges of greater magnitude, provide status monitoring, real-time control and positive location reporting features.</t>
  </si>
  <si>
    <t>46-50</t>
  </si>
  <si>
    <t>'Radio activity' powers the supply chain</t>
  </si>
  <si>
    <t>2-s2.0-0035526049</t>
  </si>
  <si>
    <t>['whistler mode', 'vortex propagates', 'two regions', 'studied experimentally', 'separatrix surface', 'partially transmitted', 'null points', 'magnetic vortex', 'field lines', 'electron flows', 'background field']</t>
  </si>
  <si>
    <t>The transmission of a magnetic vortex through a magnetic null point on a separatrix surface is studied experimentally in a large laboratory plasma. The plasma is in the electron magnetohydrodynamic parameter regime and the vortex is an antenna-produced magnetic field perturbation propagating in the whistler mode. Topologically, the background field is separated into two regions; a closed field line region and an open field line region. The two regions are separated by a surface of magnetic field lines with two cusp null points referred to as the separatrix. The vortex propagates into one of the null points. Its energy is partially transmitted through the separatrix and partially spreads away from the null along curving field lines. The self and mutual-helicity of the transmitted vortex reverses, thus the total magnetic helicity is not conserved. Helicity conservation breaks down because the field lines are not frozen to electron flows in the unmagnetized plasma region around the magnetic null point. ¬© 2001 American Institute of Physics.</t>
  </si>
  <si>
    <t>4810-4815</t>
  </si>
  <si>
    <t>6603219086;7004643397</t>
  </si>
  <si>
    <t>Griskey, M. C.;Stenzel, R. L.</t>
  </si>
  <si>
    <t>Griskey M.</t>
  </si>
  <si>
    <t>Magnetic helicity reversal of a whistler vortex transmitted through a three-dimensional magnetic null point</t>
  </si>
  <si>
    <t>10.1063/1.1412007</t>
  </si>
  <si>
    <t>2-s2.0-0038087155</t>
  </si>
  <si>
    <t>['weighting coefficients', 'statistical characteristics', 'signal spectrum', 'output signal', 'fluctuations suppress', 'desired signal', 'array output']</t>
  </si>
  <si>
    <t>The effect of fluctuations of weighting coefficients on statistical characteristics of the output signal in adaptive array antennas is considered. It is shown that the fluctuations suppress the desired signal at the array output and distort the signal spectrum.</t>
  </si>
  <si>
    <t>1247-1252</t>
  </si>
  <si>
    <t>57220358034;36955184100</t>
  </si>
  <si>
    <t>Mal'tsev, A. A.;Zimina, S. V.</t>
  </si>
  <si>
    <t>Mal'tsev A.A.</t>
  </si>
  <si>
    <t>Spectral Correlational Characteristics of the Output Signal in Adaptive Array Antennas Calculated with Account of Fluctuations of the Weighting Vector</t>
  </si>
  <si>
    <t>2-s2.0-0347608195</t>
  </si>
  <si>
    <t>['whole acoustic', 'wave refraction', 'stability state', 'sound propagation', 'sound paths', 'propagation conditions', 'propagation based', 'obukhov theory', 'narrow relationship', 'meteorological data', 'measured simultaneously', 'low atmosphere', 'localization results', 'localization antenna', 'kinematic fluctuations', 'direct consequence', 'correlation matrix', 'calculation code', 'better knowledge', 'atmospheric turbulence', 'analyzed together', 'allowing us', 'allowed us', 'acoustic signals', 'acoustic level', '8 microphones']</t>
  </si>
  <si>
    <t>In this paper, we study the effect of atmospheric turbulence on sound propagation in the low atmosphere and of its influence on the localization of vehicles. In the course of experiments, the average and fluctuating meteorological magnitudes of the low atmosphere have been measured in order to have a better knowledge of the stability state, and of the rates of thermal and kinematic fluctuations of the atmosphere. The localization antenna is made up of two overlapping linear antennas, each composed of 8 microphones. The whole acoustic and meteorological data have been measured simultaneously and recorded in situ. From this information, an average value analysis has allowed us to layout the vertical speed profiles of the wind and temperature by means of the Monin-Obukhov theory of similarity. In three different cases of wave refraction, these profiles have been used for a model of propagation based on the method of rays in order to calculate the sound paths and for a calculation code of the acoustic level (PE) allowing us to know the propagation conditions of the wave between the source and the antenna. Then the localization results have been analyzed together with thermal and kinematic fluctuation results of the low atmosphere. A narrow relationship between the precision of the localization results and eigenvalues of the correlation matrix of acoustic signals has been established. The degradation of these eigenvalues is a direct consequence of the thermal and the kinematic fluctuation rates of the low atmosphere. ¬© S. Hirzel Verlag ¬∑ EAA.</t>
  </si>
  <si>
    <t>695-702</t>
  </si>
  <si>
    <t>Acustica</t>
  </si>
  <si>
    <t>60070483;60030981</t>
  </si>
  <si>
    <t>7101853661;6701616672</t>
  </si>
  <si>
    <t>Voisin, Ph;Blanc-Benon, Ph</t>
  </si>
  <si>
    <t>Saint-Louis;Ecully</t>
  </si>
  <si>
    <t>French-German Research Institute;√âcole Centrale de Lyon</t>
  </si>
  <si>
    <t>Voisin P.</t>
  </si>
  <si>
    <t>The influence of meteorological conditions for the localization of an acoustic source by means of a microphone antenna</t>
  </si>
  <si>
    <t>2-s2.0-14244273097</t>
  </si>
  <si>
    <t>['simultaneous increase', 'plasma density', 'plasma bulk', 'high frequency']</t>
  </si>
  <si>
    <t>Operating with a high frequency and a wave guide antenna, the ion Bernstein wave (IBW) experiment on the Frascati Tokamak Upgrade is not dominated, as expected, by nonlinear plasma edge phenomena. By coupling IBW power, a simultaneous increase of plasma density and central electron temperature (‚â•2 keV) is produced when the confinement magnetic field is adjusted to set an ion cyclotron resonant layer in the plasma bulk. Transport analysis indicates a reduction of the electron thermal transport inside the internal resonant layer larger than a factor of 2. ¬© 2001 American Institute of Physics.</t>
  </si>
  <si>
    <t>4721-4724</t>
  </si>
  <si>
    <t>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60005040</t>
  </si>
  <si>
    <t>6701455884;7003552802;6701415113;6701648125;7005696195;55663027600;7003292891;6602164013;6603737783;7006638071;6604047403;6602684259;6602971179;7003490221;6601935217;6603542014;6506038030;6701856215;7007089231;6603723087;7102955807;7003518098;6603899592;6602594993;6701908807;7801625409;6701397929;6603478494;56199189500;6602824366;7004231241;7004429147;55730251400;7102064992;7006674222;6602216662;56212289500;6701851003;6602753266;6507753937;7004594507;7005889451;7004475141;7004829340;56967138300;6602636917;57105150000;9235004500;6701340190;6603685471;55733133800;56213658300;7005444523</t>
  </si>
  <si>
    <t>Cesario, R.;Cardinali, A.;Castaldo, C.;Leigheb, M.;Marinucci, M.;Pericoli-Ridolfini, V.;Zonca, F.;Apruzzese, G.;Borra, M.;De Angelis, R.;Giovannozzi, E.;Gabellieri, L.;Kroegler, H.;Mazzitelli, G.;Micozzi, P.;Panaccione, L.;Papitto, P.;Podda, S.;Ravera, G.;Angelini, B.;Apicella, M. L.;Barbato, E.;Bertalot, L.;Bertocchi, A.;Buceti, G.;Cascino, S.;Centioli, C.;Chuilon, P.;Ciattaglia, S.;Cocilovo, V.;Crisanti, F.;De Marco, F.;Esposito, B.;Gatti, G.;Gormezano, C.;Grolli, M.;Iannone, F.;Maddaluno, G.;Monari, G.;Orsitto, P.;Pacella, D.;Panella, M.;Pieroni, L.;Righetti, G. B.;Romanelli, F.;Sternini, E.;Tartoni, N.;Trevisanutto, P.;Tuccillo, A. A.;Tudisco, O.;Vitale, V.;Vlad, G.;Zerbini, M.</t>
  </si>
  <si>
    <t>Cesario R.</t>
  </si>
  <si>
    <t>Reduction of the electron thermal conductivity produced by ion Bernstein waves on the Frascati Tokamak Upgrade tokamak</t>
  </si>
  <si>
    <t>10.1063/1.1408912</t>
  </si>
  <si>
    <t>2-s2.0-18044403417</t>
  </si>
  <si>
    <t>['substrate material', 'significant improvement', 'resonant frequency', 'input impedance', 'gap length', 'dielectric constant', 'depend heavily', 'coupled patch', 'bandwidth characteristics']</t>
  </si>
  <si>
    <t>The theoretical and experimental investigations carried out on a gap-coupled microstrip array antenna reveal that there is a significant improvement in VSWR and bandwidth characteristics of the gap-coupled microstrip array antenna as compared with a conventional microstrip array antenna. The input impedance and the resonant frequency of the gap-coupled patch are found to depend heavily on the gap length as well as on the dielectric constant of the substrate material.</t>
  </si>
  <si>
    <t>1161-1175</t>
  </si>
  <si>
    <t>Gap-coupled microstrip array antenna for wide-band operation</t>
  </si>
  <si>
    <t>10.1080/00207210110071288</t>
  </si>
  <si>
    <t>2-s2.0-1842635476</t>
  </si>
  <si>
    <t>Ministry of Coal, Government of India</t>
  </si>
  <si>
    <t>['millimetre range', 'frequency obtainable', 'bias voltage', '5 mhz', '355 %)']</t>
  </si>
  <si>
    <t>Theoretical investigations conducted for the Ge tunnel diode integrated rectangular patch antenna reveals that such an antenna exhibits frequency tunability with bias voltage. The Ge tunnel diode loaded patch can be operated in the millimetre range (53.517-56.4615 GHz). The range of frequency obtainable for operation is 2944.5 MHz. The radiation pattern shows variation with the bias voltage, and radiated power beamwidth and directivity vary inversely with bias voltage. Thus, the Ge tunnel diode loaded patch can be used to achieve electronic tuning (BW = 5.355%) with the bias voltage.</t>
  </si>
  <si>
    <t>1177-1188</t>
  </si>
  <si>
    <t>60019106;60019106;60079937</t>
  </si>
  <si>
    <t>Jhansi;Varanasi</t>
  </si>
  <si>
    <t>Bundelkhand Institute Of Engineering &amp; Technology, Jhansi;Indian Institute of Technology Banaras Hindu University</t>
  </si>
  <si>
    <t>60079937;60019106</t>
  </si>
  <si>
    <t>Tunnel diode integrated rectangular patch antenna for millimetre range</t>
  </si>
  <si>
    <t>10.1080/00207210110086264</t>
  </si>
  <si>
    <t>2-s2.0-1842786812</t>
  </si>
  <si>
    <t>['wave ratio', 'voltage standing', 'radiation characteristics', 'paper analyzes', 'input impedance', 'energy pattern', 'element array', 'difference time', 'computed results']</t>
  </si>
  <si>
    <t>Antenna array | Energy pattern | FDTD | TEM horn antenna</t>
  </si>
  <si>
    <t>In this paper, ultra-wideband arrays using interconnected transverse electromagnetic (TEM) horns are studied. The paper analyzes the radiation characteristics of four-element arrays using the finite-difference time-domain (FDTD) method. The computed results for arrays are compared with those for the single TEM horn and two-element array. Some properties of the four-element array such as the input impedance, voltage standing-wave ratio, and energy pattern, are presented in this paper. ¬© 2001 John Wiley &amp; Sons, Inc. Microwave Opt Technol Lett.</t>
  </si>
  <si>
    <t>190-194</t>
  </si>
  <si>
    <t>60069750;60025578;60069750;60069750;60025578</t>
  </si>
  <si>
    <t>55870045500;7102029721;23106455000;7601430454;7006758730</t>
  </si>
  <si>
    <t>Wang, Jianguo;Tian, Chunming;Luo, Genxin;Chen, Yusheng;Ge, Debiao</t>
  </si>
  <si>
    <t>Xi'an;Xi'an</t>
  </si>
  <si>
    <t>Northwest Institute of Nuclear Technology;Xidian University</t>
  </si>
  <si>
    <t>60069750;60025578</t>
  </si>
  <si>
    <t>Four-element TEM horn array for radiating ultra-wideband electromagnetic pulses</t>
  </si>
  <si>
    <t>10.1002/mop.1395</t>
  </si>
  <si>
    <t>2-s2.0-0035813476</t>
  </si>
  <si>
    <t>['switchable slot', 'patch antenna', 'pass ),', 'novel kind', 'n diode', 'microstrip antenna', 'dual frequencies']</t>
  </si>
  <si>
    <t>Diode | Dual frequency | Patch antenna | Slot | Switch</t>
  </si>
  <si>
    <t>A novel kind of microstrip antenna, a patch antenna with a switchable slot (PASS), is proposed in this paper. A slot is incorporated into the patch, and a p-i-n diode is utilized to switch the slot on or off. This antenna can work at dual frequencies with a small and flexible frequency ratio and the same polarization. Experimental results validate this concept. ¬© 2001 John Wiley &amp; Sons, Inc. Microwave Opt Technol Lett.</t>
  </si>
  <si>
    <t>165-168</t>
  </si>
  <si>
    <t>Yang, Fan;Rahmat-Samii, Yahya</t>
  </si>
  <si>
    <t>Patch antenna with switchable slot (PASS): Dual-frequency operation</t>
  </si>
  <si>
    <t>10.1002/mop.1388</t>
  </si>
  <si>
    <t>2-s2.0-0035813477</t>
  </si>
  <si>
    <t>['within 0', 'resonance frequency', 'layer superstrate', 'input impedance', 'experimental data', 'accurate computation']</t>
  </si>
  <si>
    <t>CAD | Microstrip antenna | Multilayer lossy microstrip</t>
  </si>
  <si>
    <t>The modified Wolff model (MWM)-based cavity, model is presented for the simple and accurate computation of the input impedance of a probe-fed multilayer rectangular microstrip patch antenna. Results of the MWM are compared with both the experimental data and data of the MoM, with agreement within 1.5% for resonance frequency and within 0.15 for normalized input impedance. Further results are presented on the input impedance of a suspended rectangular microstrip patch antenna with a two-layer superstrate. ¬© 2001 John Wiley &amp; Sons, Inc. Microwave Opt Technol Lett.</t>
  </si>
  <si>
    <t>237-239</t>
  </si>
  <si>
    <t>60029284;60029284;60029284;60029284</t>
  </si>
  <si>
    <t>7401937908;22935760300;57197366560;23104906000</t>
  </si>
  <si>
    <t>Verma, A. K.;Nasimuddin, ;Tyagi, V.;Chakraverty, D.</t>
  </si>
  <si>
    <t>Input impedance of probe-fed multilayer rectangular microstrip patch antenna using the modified Wolff model</t>
  </si>
  <si>
    <t>10.1002/mop.1406</t>
  </si>
  <si>
    <t>2-s2.0-0035813483</t>
  </si>
  <si>
    <t>['return loss', 'radiation patterns', 'polarization excitation', 'microstrip lines', 'microstrip feedlines', 'good dual', 'experimental results', 'dielectric resonator', 'antennas fed']</t>
  </si>
  <si>
    <t>Dielectric resonator antenna | Dual polarization | Polarization diversity</t>
  </si>
  <si>
    <t>Two feeding designs for achieving dual orthogonal linear polarization operations of dielectric resonator (DR) antennas fed by microstrip lines are demonstrated. The microstrip feedlines can be placed directly trader the DR or conformal to the surface of the DR. Good dual-polarization excitation can be obtained for the two feeding designs. Experimental results for the return loss, isolation between two feeding ports, and radiation patterns are presented and discussed. ¬© 2001 John Wiley &amp; Sons, Inc. Microwave Opt Technol Lett.</t>
  </si>
  <si>
    <t>222-223</t>
  </si>
  <si>
    <t>60072417;60011357;60011357</t>
  </si>
  <si>
    <t>7406886947;7102866407;35460663000</t>
  </si>
  <si>
    <t>Huang, Chih Yu;Chiou, Tzung Wern;Wong, Kin Lu</t>
  </si>
  <si>
    <t>Pingtung;Kaohsiung</t>
  </si>
  <si>
    <t>Yung-Ta Institute of Technology and Commerce;National Sun Yat-Sen University</t>
  </si>
  <si>
    <t>60072417;60011357</t>
  </si>
  <si>
    <t>Dual-polarized dielectric resonator antennas</t>
  </si>
  <si>
    <t>10.1002/mop.1402</t>
  </si>
  <si>
    <t>2-s2.0-0035813507</t>
  </si>
  <si>
    <t>['wideband performance', 'radiation pattern', 'input impedence', 'feeding structure', 'electric network']</t>
  </si>
  <si>
    <t>Enhancing bandwidth techniques | Microstrip antenna design</t>
  </si>
  <si>
    <t>An optimum LC feeding mechanism to increase the bandwidth of single-layer microstrip patch antenna (SLMPA) was proposed. The input impedence was predicted by analysing the electric network of through SLMPA and its feeding structure. Wideband performance of the antenna was analyzed by measuring the radiation pattern in the whole bandwidth range.</t>
  </si>
  <si>
    <t>185-188</t>
  </si>
  <si>
    <t>105318051;105318051;105318051;105318051;105318051</t>
  </si>
  <si>
    <t>35611493500;7006058796;7003915994;7006104571;7202054016</t>
  </si>
  <si>
    <t>Anguera, Jaume;Puente, Carles;Borja, Carmen;Font, Gisela;Soler, Jordi</t>
  </si>
  <si>
    <t>Sant Cugat del Valles</t>
  </si>
  <si>
    <t>Technology Department</t>
  </si>
  <si>
    <t>A systematic method to design single-patch broadband microstrip patch antennas</t>
  </si>
  <si>
    <t>10.1002/mop.1393</t>
  </si>
  <si>
    <t>2-s2.0-0035813508</t>
  </si>
  <si>
    <t>['selective surface', 'selective property', 'reflection bands', 'reflection band', 'present investigation', 'investigated experimentally', 'frequency band', 'experimental investigation', 'dual frequencies']</t>
  </si>
  <si>
    <t>Frequency-selective surface | Microstrip</t>
  </si>
  <si>
    <t>The frequency-selective property of an array of rectangular dipole microstrip patches resonant at dual frequencies (within the same frequency band) has been investigated experimentally. Measured data indicate a 40 dB separation between the transmission and reflection bands of the frequency-selective surface (FSS) in the normalized transmitted electric field versus frequency plot. Experimental investigation of the FSS of an array of rectangular dipole microstrip patches resonant at a single frequency shows that the bandwidth of the reflection band is very narrow. In our present investigation, resonance at dual frequencies within the same frequency band has been used to broaden the bandwidth of the reflection band. ¬© 2001 John Wiley &amp; Sons, Inc. Microwave Opt Technol Lett.</t>
  </si>
  <si>
    <t>189-190</t>
  </si>
  <si>
    <t>60011023;60011023;60000912;60020825;60020825</t>
  </si>
  <si>
    <t>35597906100;57220704092;57188762357;55680682800;7201666265</t>
  </si>
  <si>
    <t>Sarkar, P. P.;Sarkar, D.;Das, S.;Sarkar, S.;Chowdhury, S. K.</t>
  </si>
  <si>
    <t>Experimental investigation of the frequency-selective property of an array of dual-tuned printed dipoles</t>
  </si>
  <si>
    <t>10.1002/mop.1394</t>
  </si>
  <si>
    <t>2-s2.0-0035813530</t>
  </si>
  <si>
    <t>['spectral domain', 'global search', 'circular polarization']</t>
  </si>
  <si>
    <t>Antennas | Circular polarization | Genetic algorithm | Optimization</t>
  </si>
  <si>
    <t>In this paper, the synthesis of a stacked patch antenna for circular polarization is presented. The antenna is analyzed by the full-wave approach based on the method of moments in the spectral domain. In order to find the optimal antenna parameters, a hybrid genetic algorithm that combines a global search of the common genetic algorithm and the efficiency of the direct search method is developed. The experimental results show SWR &lt; 2, with an axial ratio lower titan 4 dB within 14% bandwidth. ¬© 2001 John Wiley &amp; Sons, Inc. Microwave Opt Technol Lett.</t>
  </si>
  <si>
    <t>56209503600;7003852951;35618374900</t>
  </si>
  <si>
    <t>Zentner, Radovan;Sipus, Zvonimir;Bartolic, Juraj</t>
  </si>
  <si>
    <t>Zentner R.</t>
  </si>
  <si>
    <t>Optimization synthesis of broadband circularly polarized microstrip antennas by hybrid genetic algorithm</t>
  </si>
  <si>
    <t>10.1002/mop.1397</t>
  </si>
  <si>
    <t>2-s2.0-0035813531</t>
  </si>
  <si>
    <t>['sometime called', 'real parts', 'permeability values', 'negative values', 'negative permittivity', 'negative materials', 'material parameters', 'material behaves', 'effective medium', 'dispersive properties', 'composite materials', 'composite inclusions', 'complex numbers', 'active inclusions', 'active circuits']</t>
  </si>
  <si>
    <t>Active composite media | Dispersion active sheet | Negative permeability | Negative permittivity</t>
  </si>
  <si>
    <t>Recently electromagnetic materials with negative permittivity and permeability values (sometime called "media with negative refraction index") have been given much attention in the literature. Negative values of the material parameters can be achieved in composite media near resonances, which implies very dispersive properties. The material parameters are complex numbers to account for dissipation, and the real parts can be negative only in narrow frequency bands. Here, we show that this limitation can be relaxed in composite materials with active inclusions. It is proven that, using small dipole and loop antennas loaded by certain simple electronic circuits as composite inclusions, the material behaves as an effective medium with real negative parameters in wide frequency bands. Similarly thin sheets of negative materials can be simulated by strip or patch arrays loaded by active circuits. ¬© 2001 John Wiley &amp; Sons, Inc. Microwave Opt Technol Lett.</t>
  </si>
  <si>
    <t>163-165</t>
  </si>
  <si>
    <t>Tretyakov, S. A.</t>
  </si>
  <si>
    <t>Tretyakov S.</t>
  </si>
  <si>
    <t>Meta-materials with wideband negative permittivity and permeability</t>
  </si>
  <si>
    <t>10.1002/mop.1387</t>
  </si>
  <si>
    <t>2-s2.0-0035813532</t>
  </si>
  <si>
    <t>['various shapes', 'using elements', 'useful modification', 'shaped elements', 'planar h', 'optimal impedance', 'optimal design', 'numerical results', 'mpgb structure', 'mpgb antenna', 'effective wire', 'chain forms', 'certain shape', 'capacitive impedance', 'appropriate value']</t>
  </si>
  <si>
    <t>Antenna | Capacitive impedance | Metallic photonic crystal | Photonic bandgap | Radiation characteristics</t>
  </si>
  <si>
    <t>Antenna systems based on some improved metallic photonic bandgap (MPBG) structures are introduced. A useful modification is introduced by replacing each wire in a two-dimensional MPBG structure by a chain of many identical conducting elements of a certain shape. Each such chain forms an effective wire of capacitive impedance. The optimal design for maximal radiation efficiency and directivity is obtained by choosing an appropriate value of the impedance per unit length for the effective wire and the geometry of the modified MPBG structure. The optimal impedance is realized by using elements of various shapes, including broken wire elements and planar H-shaped elements. Numerical results have shown that the modification can increase the efficiency of the MPGB antenna by a factor of 1000, as well as reduce the thickness of the MPGB structure to about Œª / 3 in the presence of a metal background plane. ¬© 2001 John Wiley &amp; Sons, Inc. Microwave Opt Technol Lett.</t>
  </si>
  <si>
    <t>214-221</t>
  </si>
  <si>
    <t>60072485;60117981-60002014</t>
  </si>
  <si>
    <t>35572352400;36048024500</t>
  </si>
  <si>
    <t>Simovski, Constantin R.;He, Sailing</t>
  </si>
  <si>
    <t>Simovski C.R.</t>
  </si>
  <si>
    <t>Antennas based on modified metallic photonic bandgap structures consisting of capacitively loaded wires</t>
  </si>
  <si>
    <t>10.1002/mop.1401</t>
  </si>
  <si>
    <t>2-s2.0-0035813534</t>
  </si>
  <si>
    <t>['various sizes', 'rectangular patch', 'many prototypes', 'line feed', 'experimental results', 'circular polarization', 'antenna design']</t>
  </si>
  <si>
    <t>Circular polarization | Dielectric resonator antenna</t>
  </si>
  <si>
    <t>With the loading of a rectangular patch having a suitable aspect ratio, circular polarization (CP) radiation of low-profile square dielectric resonator (DR) antennas can easily be obtained. The proposed antenna design can easily be excited by using a microstrip-line feed, and many prototypes with various sizes of the loading rectangular patch hate been implemented. Details of the antenna design are described, and experimental results of the obtained CP performance are presented. ¬© 2001 John Wiley &amp; Sons, Inc. Microwave Opt Technol Lett.</t>
  </si>
  <si>
    <t>157-159</t>
  </si>
  <si>
    <t>7006744637;7102866407;35460663000</t>
  </si>
  <si>
    <t>Hsiao, Fu Ren;Chiou, Tzung Wern;Wong, Kin Lu</t>
  </si>
  <si>
    <t>Hsiao F.</t>
  </si>
  <si>
    <t>Circularly polarized low-profile square dielectric resonator antenna with a loading patch</t>
  </si>
  <si>
    <t>10.1002/mop.1385</t>
  </si>
  <si>
    <t>2-s2.0-0035813535</t>
  </si>
  <si>
    <t>['sierpinski bow', 'multifrequency behavior', 'low sidelobes', 'higher frequencies', 'high directivity', 'fractal iterations', 'enhanced performance']</t>
  </si>
  <si>
    <t>Fractal-shaped antennas | Microstrip patch antennas | Miniature antennas</t>
  </si>
  <si>
    <t>The behavior of microstrip patch antenna was examined on the basis of bow-tie fractal geometry. The high directivity features of the Sierpinski bow-tie patch antenna was explained at higher frequencies as a function of the fractal iterations. Enhanced performance was observed in terms of size, gain or multifrequency behavior. The fractal iteration enabled the appearance of a fracton mode resulting in high directivity and low sidelobes, keeping a small electrical size.</t>
  </si>
  <si>
    <t>239-241</t>
  </si>
  <si>
    <t>35611493500;7006058796;7003915994;7005886801;7202054016</t>
  </si>
  <si>
    <t>Anguera, Jaume;Puente, Carles;Borja, Carmen;Montero, Raquel;Soler, Jordi</t>
  </si>
  <si>
    <t>Small and high-directivity bow-tie patch antenna based on the Sierpinski fractal</t>
  </si>
  <si>
    <t>10.1002/mop.1407</t>
  </si>
  <si>
    <t>2-s2.0-0035813536</t>
  </si>
  <si>
    <t>['two pairs', 'trunk tagmosis', 'setae ).', 'segmented endopods', 'segmentation pattern', 'sediment ).', 'remote ancestry', 'possible function', 'possible derivative', 'modern representatives', 'late cambrian', 'fossil data', 'five pairs', 'feeding ),', 'ercaia gen', 'crustaceans well', 'copepods living', 'china ),', '520 million', '5 head', '13 trunk']</t>
  </si>
  <si>
    <t>Arthropoda | Crustacea | Early Cambrian | Lagerst√§tte | Maxillopoda</t>
  </si>
  <si>
    <t>One of the smallest arthropods recently discovered in the Early Cambrian Maotianshan Shale Lagerst√§tte is described. Ercaia gen. nov. has an untagmatized trunk bearing serially repeated biramous appendages (long and segmented endopods and flap-like exopods), a head with an acron bearing stalked lateral eyes and a sclerite and two pairs of antennae. The position of this 520 million-year-old tiny arthropod within the Crustacea is supported by several anatomical features: (i) a head with five pairs of appendages including two pairs of antennae, (ii) highly specialized antennae (large setose fans with a possible function in feeding), and (iii) specialized last trunk appendages (segmented pediform structures fringed with setae). The segmentation pattern of Ercaia (5 head and 13 trunk) is close to that of Maxillopoda but lacks the trunk tagmosis of modern representatives of the group. Ercaia is interpreted as a possible derivative of the stem group Crustacea. Ercaia is likely to have occupied an ecological niche similar to those of some Recent meiobenthic organisms (e.g. copepods living in association with sediment). This new fossil evidence supports the remote ancestry of crustaceans well before the Late Cambrian and shows, along with other fossil data (mainly Early Cambrian in China), that a variety of body plans already coexisted among the primitive crustacean stock.</t>
  </si>
  <si>
    <t>2181-2187</t>
  </si>
  <si>
    <t>Proceedings of the Royal Society B: Biological Sciences</t>
  </si>
  <si>
    <t>60012060;60012060;60012060</t>
  </si>
  <si>
    <t>57192920425;7005953797;7403891105</t>
  </si>
  <si>
    <t>Chen, J. Y.;Vannier, J.;Huang, D. Y.</t>
  </si>
  <si>
    <t>Nanjing Institute of Geology and Palaeontology Chinese Academy of Sciences</t>
  </si>
  <si>
    <t>Chen J.Y.</t>
  </si>
  <si>
    <t>The origin of crustaceans: New evidence from the early Cambrian of China</t>
  </si>
  <si>
    <t>10.1098/rspb.2001.1779</t>
  </si>
  <si>
    <t>2-s2.0-0035823884</t>
  </si>
  <si>
    <t>['thereby transferring', 'projection neurons', 'prespecification could', 'postsynaptic neurons', 'olfactory system', 'olfactory bulb', 'odour map', 'marcm method5', 'glomerular choice', 'correlate lineage', 'birth time', 'birth order', 'antennal lobe', 'allowing us']</t>
  </si>
  <si>
    <t>In Drosophila and mice, olfactory receptor neurons (ORNs) expressing the same receptors have convergent axonal projections to specific glomerular targets in the antennal lobe/olfactory bulb, creating an odour map in this first olfactory structure of the central nervous system1-3. Projection neurons of the Drosophila antennal lobe send dendrites into glomeruli and axons to higher brain centres4, thereby transferring this odour map further into the brain. Here we use the MARCM method5 to perform a systematic clonal analysis of projection neurons, allowing us to correlate lineage and birth time of projection neurons with their glomerular choice. We demonstrate that projection neurons are prespecified by lineage and birth order to form a synapse with specific incoming ORN axons, and therefore to carry specific olfactory information. This prespecification could be used to hardwire the fly's olfactory system, enabling stereotyped behavioural responses to odorants. Developmental studies lead us to hypothesize that recognition molecules ensure reciprocally specific connections of ORNs and projection neurons. These studies also imply a previously unanticipated role for precise dendritic targeting by postsynaptic neurons in determining connection specificity.</t>
  </si>
  <si>
    <t>60012708;60012708;60024631;60012708</t>
  </si>
  <si>
    <t>6602673402;7004295422;7103138484;7402314602</t>
  </si>
  <si>
    <t>Jefferis, Gregory S.X.E.;Marin, Elizabeth C.;Stocker, Reinhard F.;Luo, Liqun</t>
  </si>
  <si>
    <t>Fribourg;Palo Alto</t>
  </si>
  <si>
    <t>University of Fribourg;Stanford University</t>
  </si>
  <si>
    <t>60024631;60012708</t>
  </si>
  <si>
    <t>Jefferis G.</t>
  </si>
  <si>
    <t>Target neuron prespecification in the olfactory map of Drosophila</t>
  </si>
  <si>
    <t>10.1038/35102574</t>
  </si>
  <si>
    <t>2-s2.0-0035829550</t>
  </si>
  <si>
    <t>['total losses', 'resonance frequency', 'maximum deviation', 'experimental results', '36 %.']</t>
  </si>
  <si>
    <t>A modified cavity model to compute the resonance frequency of a rectangular patch antenna on a thick polytetrafluoroethylene substrate (0.037Œªg - 0.229Œªg) with maximum deviation of 2% against experimental results is presented. This accuracy is achieved by accounting for the effect of anisotropy and total losses on the resonance frequency. All other models, including the method of moments (MOM)-based Ensemble, compute resonance frequency with error between 4 and 36%.</t>
  </si>
  <si>
    <t>1373-1374</t>
  </si>
  <si>
    <t>60029284;60029284</t>
  </si>
  <si>
    <t>Resonance frequency of rectangular microstrip antenna on thick substrate</t>
  </si>
  <si>
    <t>10.1049/el:20010945</t>
  </si>
  <si>
    <t>2-s2.0-0035829585</t>
  </si>
  <si>
    <t>['¬© 2001', 'zinc 131', 'thf reveal', 'solid state', 'small amount', 'royal society', 'relatively disordered', 'oxochlorins 2', 'molecular packing', 'keto group', 'hydroxymethyl group', 'hydroxyalkyl group', 'hydroxy group', 'hexane containing', 'enyl groups', 'decreased overlap', 'conformational flexibility', 'chlorin œä', 'chlorin moiety', 'central zinc', 'aggregated state', 'aggregated 2', '702 nm', '1 possessing']</t>
  </si>
  <si>
    <t>Zinc 131-oxochlorins 2, 3 and 3D possessing 2-hydroxyethyl, 3-hydroxypropyl and 3-hydroxyprop-1-enyl groups, respectively, at the 3-position are synthesized as models for self-aggregative antenna chlorophylls in green photosynthetic bacteria. Self-aggregation of 2, 3 and 3D in nonpolar organic solvents and in the solid state is compared with that of 1 possessing a 3-hydroxymethyl group to determine the effect of the distance between the hydroxy group and the chlorin moiety on the self-aggregation. Visible spectral analyses in hexane containing a small amount of THF reveal that the aggregation abilities decrease in the order of 1 2 3, with an increase of conformational flexibility of the œâ-hydroxyalkyl group in a molecule. Aggregated 2 and 3 give absorption maxima at 701 and 702 nm, respectively, red-shifted from the corresponding monomeric absorption (644 nm). These red-shifts are smaller than that of 1 (647 740 nm), which is attributable to the expanded chlorin œÄ‚ÄìœÄ plane distance in the self-aggregates of 2 and 3. Furthermore, their CD and IR spectra reveal that the aggregates of 3 are relatively disordered and have weak intermolecular noncovalent interactions among the hydroxy group, central zinc and keto group in the supramolecule. Aggregated 3D shows a relatively small red-shift of absorption from monomer to aggregates (654 680 nm) due to the decreased overlap between the chlorin œÄ-planes in the aggregated state. However, 3D easily forms precipitates composed of structurally ordered large aggregates, indicating that 3D is favorable for molecular packing in the aggregates. ¬© 2001 The Royal Society of Chemistry.</t>
  </si>
  <si>
    <t>3135-3144</t>
  </si>
  <si>
    <t>Journal of the Chemical Society. Perkin Transactions 1</t>
  </si>
  <si>
    <t>60105159;60105159-60015682</t>
  </si>
  <si>
    <t>6602403846;7006346090</t>
  </si>
  <si>
    <t>Yagai, Shiki;Tamiaki, Hitoshi</t>
  </si>
  <si>
    <t>Kusatsu;Kawaguchi</t>
  </si>
  <si>
    <t>Ritsumeikan University Biwako-Kusatsu Campus;Japan Science and Technology Agency</t>
  </si>
  <si>
    <t>60105159;60015682</t>
  </si>
  <si>
    <t>Synthesis and self-aggregation of zinc chlorophylls possessing an œâ-hydroxyalkyl group: Effect of distance between interactive hydroxy group and chlorin moiety on aggregation</t>
  </si>
  <si>
    <t>10.1039/b107902f</t>
  </si>
  <si>
    <t>2-s2.0-0035544077</t>
  </si>
  <si>
    <t>['‚ âà20', 'weak tendency', 'wavelength radiation', 'velocity dispersions', 'star formation', 'star clusters', 'shells around', 'schmidt law', 'ray ).', 'radio wavelengths', 'quantitative comparisons', 'ngc 4038', 'multiwavelength study', 'merging timescale', 'merging galaxies', 'merger event', 'longer ),', 'interstellar medium', 'interstellar environment', 'higher h', 'good description', 'first time', 'feedback effects', 'clustered fashion', 'cloud collisions', 'characteristic radii', 'become available', 'antennae galaxies', '1 kpc']</t>
  </si>
  <si>
    <t>Galaxies: individual (NGC 4038/9) | Galaxies: interactions | Galaxies: star clusters | Stars: formation</t>
  </si>
  <si>
    <t>We report on a multiwavelength study of the relationship between young star clusters in the Antennae galaxies (NGC 4038/9) and their interstellar environment, with the goal of understanding the formation and feedback effects of star clusters in merging galaxies. This is possible for the first time because various new observations (from X-rays to radio wavelengths) have become available in the past several years. Quantitative comparisons are made between the positions of the star clusters (broken into three age groups) and the properties of the interstellar medium by calculating the two-point correlation functions. We find that young star clusters are distributed in a clustered fashion, demonstrated by power-law angular autocorrelation functions with slopes in the range -0.8 to -1.0. The young embedded clusters (ages ‚àº5 Myr) are found to be more associated with long-wavelength radiation (mid-infrared and longer), while clusters with ages ‚àº10 Myr or older are more associated with short-wavelength radiation (e.g., far-UV and X-ray). The youngest star clusters are associated with molecular cloud complexes with characteristic radii of about 1 kpc. In addition, there is a weak tendency for them to be found in regions with higher H I velocity dispersions. There is some evidence that both cloud-cloud collisions and shocks from recent star formation can trigger star cluster formation, but no dominant triggering mechanism is identified for the majority of the clusters in the Antennae. Feedback from young bright cluster complexes reveals itself in the form of large HŒ± bubbles and HŒ± velocity gradients in shells around the complexes. We estimate the current star formation rate to be ‚âà20 M‚äô yr-1 and the gas consumption timescale to be ‚àº700 Myr. The latter is comparable to the merging timescale and indicates that star formation has been enhanced by the merger event. Finally, we find that the Schmidt law, with index N‚âà -1.4, is also a good description of the cluster formation triggered by merging in the Antennae. There is some evidence that feedback effects may modify the Schmidt law at scales below 1 kpc.</t>
  </si>
  <si>
    <t>727-750</t>
  </si>
  <si>
    <t>60008158-60005248;60008158;60008158</t>
  </si>
  <si>
    <t>46361941000;55664416300;7003581599</t>
  </si>
  <si>
    <t>Zhang, Qing;Fall, S. Michael;Whitmore, Bradley C.</t>
  </si>
  <si>
    <t>Baltimore;Baltimore</t>
  </si>
  <si>
    <t>Space Telescope Science Institute;Johns Hopkins University</t>
  </si>
  <si>
    <t>60008158;60005248</t>
  </si>
  <si>
    <t>Zhang Q.</t>
  </si>
  <si>
    <t>A multiwavelength study of the young star clusters and interstellar medium in the antennae galaxies</t>
  </si>
  <si>
    <t>10.1086/322278</t>
  </si>
  <si>
    <t>2-s2.0-0035841727</t>
  </si>
  <si>
    <t>['walled areas', 'vibrations generated', 'ventral sheet', 'transmitted along', 'subgenual organs', 'sternum 7', 'situated opposite', 'several times', 'second valvifers', 'proximal parts', 'posterior parts', 'posterior margin', 'ovipositor lies', 'ovipositor extends', 'ovipositor apparatus', 'organ consists', 'operation presumably', 'nerve impulses', 'much different', 'median ridge', 'longitudinal muscles', 'internal trough', 'host location', 'fore tibiae', 'fore legs', 'fore basitarsi', 'first valvifers', 'external wall', 'extending posteriorly', 'expanded anterodorsally', 'evolutionary history', 'distinctly shaped', 'basitarsal spurs', 'apodemes allow', 'apical antennomeres', 'anterior parts', 'anterior margins', 'anatomical studies', 'alterations observed', 'almost complete']</t>
  </si>
  <si>
    <t>Anatomical studies and behavioural observations indicate that representatives of the Orussidae use vibrational sounding to detect suitable oviposition sites. During host location, vibrations generated by tapping the tips of the antennae against the wood are picked up by the fore legs through the basitarsal spurs, transmitted along the basitarsi to thin-walled areas on the tibiae and through haemolymph to the subgenual organs, where they are transduced into nerve impulses. The apical antennomeres are distinctly shaped and have the cuticle thickened distally. The fore basitarsi have weakly sclerotised basitarsal lines proximally and membranous basitarsal spurs distally. The external wall of the fore tibiae have thin-walled areas distally on their posterior parts. Internally, large subgenual organs are situated opposite the thin-walled areas and each organ consists of 300-400 scolopidial units suspended between a lateral cuticular spine, a ventral sheet and a median ridge. The ovipositor is several times the length of the body of the wasp. When at rest, it extends all the way into the pro-thorax, where it is coiled before extending posteriorly to lie between the third valvulae distally. The ovipositor lies in a membranous ovipositor sac attached posteriorly to the proximal parts of the ovipositor apparatus and the posterior margin of sternum 7. In the ovipositor apparatus, the anterior parts of the second valvifers are displaced and expanded anterodorsally, inverting the first valvifers and the base of the ovipositor. When in use, the ovipositor is extended and retracted by median apodemes situated on the anterior margins of abdominal sterna 3-7. Longitudinal muscles between the apodemes allow the latter to grip the ovipositor in troughs between them. The ovipositor extends from the abdomen at the tip of sternum 7, and an internal trough on sternum 7 serves to guide the ovipositor into the wood. Despite the alterations observed in the ovipositor apparatus in the Orussidae, the musculature is almost complete and the mode of operation presumably not much different from that of other representatives of the Hymenoptera. The different ways parasitic wasps with very long ovipositors handle and accommodate these and the implications for the evolutionary history of Hymenoptera are discussed.</t>
  </si>
  <si>
    <t>63-84</t>
  </si>
  <si>
    <t>0720213X</t>
  </si>
  <si>
    <t>Zoomorphology</t>
  </si>
  <si>
    <t>60009951;60003003;60003003;60014110;60024459-60025352</t>
  </si>
  <si>
    <t>6701398736;6507791472;7005718466;6701510604;35578013000</t>
  </si>
  <si>
    <t>Vilhelmsen, Lars;Isidore, Nunzio;Romani, Roberto;Basibuyuk, Hasan H.;Quicke, Donald L.J.</t>
  </si>
  <si>
    <t>United Kingdom;United Kingdom;Turkey;Sweden;Italy</t>
  </si>
  <si>
    <t>London;Wallingford;Sivas;Uppsala;Perugia</t>
  </si>
  <si>
    <t>The Natural History Museum, London;CABI, United Kingdom;Cumhuriyet √úniversitesi;Evolutionary Biology Centre;Universit√† degli Studi di Perugia</t>
  </si>
  <si>
    <t>60025352;60024459;60014110;60009951;60003003</t>
  </si>
  <si>
    <t>Vilhelmsen L.</t>
  </si>
  <si>
    <t>Host location and oviposition in a basal group of parasitic wasps: The subgenual organ, ovipositor apparatus and associated structures in the Orussidae (Hymenoptera, Insecta)</t>
  </si>
  <si>
    <t>10.1007/s004350100046</t>
  </si>
  <si>
    <t>2-s2.0-57249083934</t>
  </si>
  <si>
    <t>['three filters', 'teide observatory', 'sky radiation', 'sky centred', 'right ascension', 'observations presented', 'ghz bandpass', 'first months', 'first instrument', 'data obtained', 'cosmosomas experiment', 'atmospheric effects', '31 ¬∞', '2 years', '18 ghz', '17 ghz']</t>
  </si>
  <si>
    <t>Cosmic microwave background | Cosmology: observations | Instrumentation: detectors</t>
  </si>
  <si>
    <t>We describe the first instrument of a cosmic microwave background experiment for mapping cosmological structures on medium angular scales (the COSMOSOMAS experiment) and diffuse Galactic emission. The instrument is located at Teide Observatory (Tenerife) and is based on a circular scanning sky strategy. It consists of a 1-Hz spinning flat mirror directing the sky radiation into a 1.8-m off-axis paraboloidal antenna, which focuses it on to a cryogenically cooled HEMT-based receiver operating in the frequency range 12-18 GHz. The signal is split by a set of three filters, allowing simultaneous observations at 13, 15 and 17 GHz, each with a 1-GHz bandpass. A 1¬∞-5¬∞ resolution sky map complete in right ascension and covering 20¬∞ in declination is obtained each day at these frequencies. The observations presented here correspond to the first months of operation, which have provided a map of 9000deg2 on the sky centred at Dec. = +31¬∞ with sensitivities of 140, 150 and 250 ŒºK per beam area in the channels at 13, 15 and 17 GHz, respectively. We discuss the design and performance of the instrument, the atmospheric effects, the reliability of the data obtained and prospects of achieving a sensitivity of 30 ŒºK per beam in 2 years of operation.</t>
  </si>
  <si>
    <t>1178-1186</t>
  </si>
  <si>
    <t>60011125;60003771;60011125;60011125;60003771;60011125;60011125</t>
  </si>
  <si>
    <t>7003621001;6508080858;7202545187;36490343100;7403653187;6603633028;8581777100</t>
  </si>
  <si>
    <t>Gallegos, J. E.;Mac√≠as-P√©rez, J. F.;Guti√©rrez, C. M.;Rebolo, R.;Watson, R. A.;Hoyland, R. J.;Fern√°ndez-Cerezo, S.</t>
  </si>
  <si>
    <t>San Cristobal de La Laguna;Manchester</t>
  </si>
  <si>
    <t>Instituto Astrofisico de Canarias;The University of Manchester</t>
  </si>
  <si>
    <t>60011125;60003771</t>
  </si>
  <si>
    <t>Gallegos J.</t>
  </si>
  <si>
    <t>COSMOSOMAS: A circular scanning instrument to map the sky at centimetric wavelengths</t>
  </si>
  <si>
    <t>10.1046/j.1365-8711.2001.04876.x</t>
  </si>
  <si>
    <t>2-s2.0-18044402761</t>
  </si>
  <si>
    <t>['three components', 'thesis discussed', 'spectral region', 'space borne', 'severely hampered', 'scientific investigations', 'rejecting filter', 'reached transferring', 'radiointerferometry operations', 'possible solutions', 'phase must', 'paper reflects', 'paper presents', 'main two', 'made activities', 'lunar network', 'ionosphere acting', 'frequencies lower', 'earth surface', 'collecting network', 'antennae array', '30 mhz', '20 mhz']</t>
  </si>
  <si>
    <t>Radioastronomy and radiointerferometry operations below 20-30 MHz are severely hampered on the Earth surface by a number of reasons. The main two are the existence of the ionosphere acting as a rejecting filter for frequencies lower than about 20 MHz, and the presence in that spectral region of a strong electromagnetic pollution due to man-made activities (communications, broadcasting and radio frequency heating). Relevant advantages may be reached transferring those scientific investigations on the Moon and mostly on its "far side". The paper presents these advantages and outlines some possible solutions. Three components are presented; the first one refers to the antenna and the antennae array to be realised on the hidden lunar surface. The second one deals with the receiver-transmitter to be deployed at each antenna with the needed synchronisation system since the phase must be preserved. The last one suggests some possible links needed to connect the lunar network to a data-collecting network, or to another interferometric station, space borne or on the Earth. The paper reflects the results of a thesis discussed at Politecnico di Torino.</t>
  </si>
  <si>
    <t>547-555</t>
  </si>
  <si>
    <t>85-86</t>
  </si>
  <si>
    <t>Earth, Moon and Planets</t>
  </si>
  <si>
    <t>101872267;60012162-60003066</t>
  </si>
  <si>
    <t>17340880000;6603460507</t>
  </si>
  <si>
    <t>Leonardi, Mauro;Leschiutta, Sigfrido</t>
  </si>
  <si>
    <t>Turin;Turin;Roma</t>
  </si>
  <si>
    <t>Politecnico di Torino;Istituto Elettrotecnico Nazionale Galileo Ferraris, Turin;Lenia Spazio s.p.a</t>
  </si>
  <si>
    <t>60012162;60003066;101872267</t>
  </si>
  <si>
    <t>Leonardi M.</t>
  </si>
  <si>
    <t>Radioastronomy and radiointerferometry on the "hidden" lunar surface</t>
  </si>
  <si>
    <t>10.1023/A:1017043526942</t>
  </si>
  <si>
    <t>2-s2.0-0034753086</t>
  </si>
  <si>
    <t>['¬© 2001', 'study demonstrated', 'signal strength', 'seasonal patterns', 'potential utility', 'positioned closer', 'observed patterns', 'live fish', 'less pronounced', 'habitat use', 'fixed distances', 'fisheries society', 'fish activity', 'determine home', 'close correspondence', 'british isles']</t>
  </si>
  <si>
    <t>Fish activity | Fish behaviour | Habitat use | Radiotelemetry | Remote monitoring</t>
  </si>
  <si>
    <t>Signal strength received by a fixed antenna increased as a transmitter was positioned closer to it and decreased as the transmitter was positioned further away. Depth and transmitter orientation also influenced signal strength, but these were less pronounced than the effect of distance. The variations in signal strength recorded from fixed distances, depths or orientations were low, suggesting that variation in signal strength only occurs if the transmitter is moved. The use of signal strength variation as a measure of fish activity over a 24 h period was compared with observed patterns of point habitat use of a live fish. Close correspondence of assessments of activity using signal strength variation and habitat use was observed. This study demonstrated the potential utility of radiotelemetry in association with point-in-time habitat use data to determine home-range and diel and seasonal patterns of fish activity over 24 h periods. ¬© 2001 The Fisheries Society of the British Isles.</t>
  </si>
  <si>
    <t>705-715</t>
  </si>
  <si>
    <t>Journal of Fish Biology</t>
  </si>
  <si>
    <t>60017311;60017311</t>
  </si>
  <si>
    <t>36149123600;7004041090</t>
  </si>
  <si>
    <t>David, B. O.;Closs, G. P.</t>
  </si>
  <si>
    <t>New Zealand</t>
  </si>
  <si>
    <t>Dunedin</t>
  </si>
  <si>
    <t>University of Otago</t>
  </si>
  <si>
    <t>David B.</t>
  </si>
  <si>
    <t>Continuous remote monitoring of fish activity with restricted home ranges using radiotelemetry</t>
  </si>
  <si>
    <t>10.1006/jfbi.2001.1684</t>
  </si>
  <si>
    <t>2-s2.0-0034753951</t>
  </si>
  <si>
    <t>['south america', 'rights reserved', 'popular tea', 'phenolic constituents', 'paraguariensis showed', 'like beverage', 'ilex paraguariensis', 'higher content', 'dumosa var', 'dicaffeoylquinic acid', 'common name', 'chlorogenic acid', 'caffeoyl derivatives', 'caffeic acid', 'assayed species']</t>
  </si>
  <si>
    <t>HPLC analysis | Ilex paraguariensis | Ilex species | Phenolics</t>
  </si>
  <si>
    <t>Ilex paraguariensis (common name: 'mate' or 'yerba mate') is used for the preparation of the most popular tea-like beverage of South America. Choleretic, hypocholesteremic, antioxidant, hepatoprotective and bitter taste properties of mate are attributed to the phenolic constituents of the leaves. I. paraguariensis has seven local congeneric substitutes or adulterants: I. brevicuspis; I. theezans; I. microdonta; I. dumosa var. dumosa; I. taubertiana; I. pseudobuxus; I. integerrima; and I. argentina. An HPLC method using UV with Photodiode Array Detector was developed for the identification and quantification of caffeoyl derivatives (caffeic acid, chlorogenic acid, 3,4-dicaffeoylquinic acid, 3,5-dicaffeoylquinic acid and 4,5-dicaffeoylquinic acid) and flavonoids (quercetin, rutin and kaempferol) in these species. I. paraguariensis showed a higher content of flavonoids and caffeoyl derivatives than the other assayed species. ¬© 2001 Elsevier Science B.V. All rights reserved.</t>
  </si>
  <si>
    <t>774-778</t>
  </si>
  <si>
    <t>0367326X</t>
  </si>
  <si>
    <t>Fitoterapia</t>
  </si>
  <si>
    <t>60004518;60004518;60004518;60004518;60004518</t>
  </si>
  <si>
    <t>7004358453;16555714300;6602999319;7004143928;35576666500</t>
  </si>
  <si>
    <t>Filip, R.;L√≥pez, P.;Giberti, G.;Coussio, J.;Ferraro, G.</t>
  </si>
  <si>
    <t>Consejo Nacional de Investigaciones Cient√≠ficas y T√©cnicas</t>
  </si>
  <si>
    <t>Filip R.</t>
  </si>
  <si>
    <t>Phenolic compounds in seven South American Ilex species</t>
  </si>
  <si>
    <t>S0367326X01003318</t>
  </si>
  <si>
    <t>10.1016/S0367-326X(01)00331-8</t>
  </si>
  <si>
    <t>2-s2.0-0034760059</t>
  </si>
  <si>
    <t>['two compounds', 'traps baited', 'significantly different', 'sex pheromone', 'second constituent', 'related alcohol', 'pheromone blend', 'oh ).', 'monounsaturated acetate', 'major ead', 'major component', 'full characterization', 'electroantennographic detector', 'ead analyses', 'ead ).', 'dodecenyl acetate', 'chemical derivatization', 'ac ).', '1 ratios', '1 ratio', '1 mg']</t>
  </si>
  <si>
    <t>(E)-8-dodecenol | (E)-8-dodecenyl acetate | Ecdytolopha aurantiana | GC-EAD | Lepidoptera | Sex pheromone | Tortricidae</t>
  </si>
  <si>
    <t>The sex pheromone of the citrus fruit borer Ecdytolopha aurantiana has been identified by gas chromatography coupled to an electroantennographic detector (GC-EAD). The electron impact mass spectral (EI-MS) fragmentation of the major EAD-active peak gave identifying features for a monounsaturated acetate. Further analyses by chemical ionization mass spectrometry (CI-MS), vapor-phase infrared spectroscopy (GC-IR), along with chemical derivatization (DMDS reaction), led to full characterization of the major component as (E)-8-dodecenyl acetate (E8-12:Ac). The second constituent was identified as the related alcohol, (E)-8-dodecenol (E8-12: OH). The two compounds were indistinguishable from the authentic synthetic standards in chemical and EAD analyses. Samples of the two compounds were obtained by a facile synthesis utilizing lithium chemistry. Field tests showed that captures in traps baited with a mixture of E8-12: Ac and E8-12: OH at 100:1 and 10:1 ratios were not significantly different from the catches in traps having two virgin females. Dosage tests showed better performance of traps baited with 1 mg than those with 0.1 mg of the pheromone blend, either in 100:1 or 10:1 ratio.</t>
  </si>
  <si>
    <t>2041-2051</t>
  </si>
  <si>
    <t>60014439-60010674;60008088;100435238;100435238;60008088;60013918</t>
  </si>
  <si>
    <t>35569644800;7003965363;36847762900;7403148138;7102577872;35563043200</t>
  </si>
  <si>
    <t>Leal, Walter S.;Bento, J. Maur√≠cio S.;Murata, Yasuhiro;Ono, Miikio;Parra, Jos√© R.P.;Vilela, Evaldo F.</t>
  </si>
  <si>
    <t>United States;Brazil;Japan;Brazil;Japan</t>
  </si>
  <si>
    <t>Davis;Vicosa;Tsukuba;Sao Paulo;Hamura</t>
  </si>
  <si>
    <t>University of California, Davis;Universidade Federal de Vicosa;National Institute Sericultural Entomological Sciences Tsukuba;Universidade de S√£o Paulo;Fuji Flavor Co. Ltd.</t>
  </si>
  <si>
    <t>60014439;60013918;60010674;60008088;100435238</t>
  </si>
  <si>
    <t>Leal W.S.</t>
  </si>
  <si>
    <t>Identification, synthesis, and field evaluation of the sex pheromone of the citrus fruit borer: Ecdytolopha aurantiana</t>
  </si>
  <si>
    <t>10.1023/A:1012242904220</t>
  </si>
  <si>
    <t>2-s2.0-0034760548</t>
  </si>
  <si>
    <t>BE 2233/2-1</t>
  </si>
  <si>
    <t>['trochanteral joint', 'strike prey', 'specific mechanics', 'sensory input', 'rights reserved', 'made possible', 'loaded system', 'immediately followed', 'forelegs together', 'fore body', 'folded forelegs', 'femoral flexor', 'essentially taking', 'beetles ready', 'antagonistic trochantero', 'actual strike', '9 ms']</t>
  </si>
  <si>
    <t>Fast action | Mechanosensilla | Motion analysis | Predation | Spring mechanism | Tenent setae</t>
  </si>
  <si>
    <t>Representatives of the staphylinid beetle Philonthus marginatus are characterized by highly modified raptorial forelegs which are used to strike prey in a particularly fast manner. Beetles ready to capture prey remain in a characteristic precapture ambush posture characterized by lifted and folded forelegs. Triggered by sensory input from the antenna or other parts of the fore body, the actual strike is released, essentially taking the form of a rapid (about 9 ms) depression of the unfolding forelegs towards the prey. This movement is based on the presence of a coxo-trochanteral catch mechanism and a particularly wide angle of rotation in the coxo-trochanteral joint. It is made possible by the specific mechanics of this joint which probably also involves a co-contraction of the antagonistic trochantero-femoral flexor and extensor muscles suggesting a spring-loaded system. This phase of the strike is immediately followed by fixation of the prey by the ventral adhesive tarsal setae supported by a grasp of the flexing last tarsomere and the claws. After withdrawal of the forelegs together with the prey, the sequence eventually results in the formation of a capture-basket formed frontally by the perpendicularly flexing head and laterally by the spiny inner sides of the coxae. ¬© 2001 Elsevier Science Ltd. All rights reserved.</t>
  </si>
  <si>
    <t>77-97</t>
  </si>
  <si>
    <t>Arthropod Structure and Development</t>
  </si>
  <si>
    <t>60012345;60030718</t>
  </si>
  <si>
    <t>56586763700;56956802000</t>
  </si>
  <si>
    <t>Betz, O.;Mumm, R.</t>
  </si>
  <si>
    <t>Berlin;Kiel</t>
  </si>
  <si>
    <t>Freie Universit√§t Berlin;Christian-Albrechts-Universit√§t zu Kiel</t>
  </si>
  <si>
    <t>60030718;60012345</t>
  </si>
  <si>
    <t>Betz O.</t>
  </si>
  <si>
    <t>The predatory legs of Philonthus marginatus (coleoptera, staphylinidae): Functional morphology and tarsal ultrastructure</t>
  </si>
  <si>
    <t>S1467803901000299</t>
  </si>
  <si>
    <t>10.1016/S1467-8039(01)00029-9</t>
  </si>
  <si>
    <t>2-s2.0-0034761748</t>
  </si>
  <si>
    <t>['work emphasize', 'trimeric photosystem', 'structural properties', 'ring around', 'related chlorophyll', 'reaction center', 'ray crystallography', 'psi levels', 'preliminary three', 'photosystem ii', 'j .,', 'isia gene', 'harvesting systems', 'functional unit', 'formerly known', 'first time', 'dimensional model', 'deficient conditions', 'cyanobacterial light', 'antenna size', '745 ).', '18 copies', '., nield']</t>
  </si>
  <si>
    <t>The cyanobacterium Synechocystis PCC 6803 has been subjected to growth under iron-deficient conditions. As a consequence, the isiA gene is expressed, and its product, the chlorophyll a-binding protein CP43‚Ä≤, accumulates in the cell. Recently, we have shown for the first time that 18 copies of this photosystem II (PSII)-like chlorophyll a-binding protein forms a ring around the trimeric photosystem I (PSI) reaction center (Bibby, T. S., Nield, J., and Barber, J. (2001) Nature, 412, 743-745). Here we further characterize the biochemical and structural properties of this novel CP43‚Ä≤-PSI supercomplex confirming that it is a functional unit of approximately 1900 kDa where the antenna size of PSI is increased by 70% or more. Using electron microscopy and single particle analysis, we have constructed a preliminary three-dimensional model of the CP43‚Ä≤-PSI supercomplex and used it as a framework to incorporate higher resolution structures of PSI and CP43 recently derived from x-ray crystallography. Not only does this work emphasize the flexibility of cyanobacterial light-harvesting systems in response to the lowering of phycobilisome and PSI levels under iron-deficient conditions, but it also has implications for understanding the organization of the related chlorophyll a/b-binding Pcb proteins of oxychlorobacteria, formerly known as prochlorophytes.</t>
  </si>
  <si>
    <t>43246-43252</t>
  </si>
  <si>
    <t>Bibby, Thomas S.;Nield, Jon;Barber, James</t>
  </si>
  <si>
    <t>Bibby T.S.</t>
  </si>
  <si>
    <t>Three-dimensional Model and Characterization of the Iron Stress-induced CP43‚Ä≤-Photosystem I Supercomplex Isolated from the Cyanobacterium Synechocystis PCC 6803</t>
  </si>
  <si>
    <t>10.1074/jbc.M106541200</t>
  </si>
  <si>
    <t>2-s2.0-0035900750</t>
  </si>
  <si>
    <t>['treatments compared', 'species emits', 'significantly suppressed', 'results show', 'portable device', 'plodia interpunctella', 'mating disruption', 'mating activity', 'major component', 'm2 ).', 'keep track', 'indoor pyralids', 'fact improves', 'el 2', 'eag measurements', 'doses applied', 'disruption effect', 'controlled simultaneously', 'component disruptants', 'component blend', 'component ),', 'complete four', 'aerial concentrations', '96 individuals', '75 mg', '30 individuals']</t>
  </si>
  <si>
    <t>EAG | electroantennography | Lepidoptera | mating disruption | Plodia interpunctella | Pyralidae | stored-product</t>
  </si>
  <si>
    <t>An indoor mating disruption experiment was performed on the stored-product pest Plodia interpunctella. The female of this species emits a four-component pheromone blend consisting of Z9,E12-14: OAc, Z9,E12-14: OH, Z9, El 2-14: Ald, and Z9-14: OAc. Mating of Plodia interpunctella was disrupted up to 93% by using synthetic pheromone in small-scale plot experiments. The study was performed in 2.5 m √ó 2.5 m √ó 2.5 m polythene cubicles housed in a greenhouse, and pheromones were released by MSTRS spraying every 15 min. The disruption effect was tested at different doses 0.075, 0.75, and 3.75 mg/spray (corresponding to 5, 50, and 250, Œ±g/min), different pheromone formulas (one-component (Z9,E12-14: OAc) and four-component), and at different population densities (10, 20, and 30 individuals, equivalent to 0.32, 0.64, and 0.96 individuals/m2). The moths were released into the cubicles and recaptured 24 hr later. The females were checked for spermatophore presence indicating successful mating. The mating was significantly suppressed in all treatments compared to the control. There was, however, no difference in mating activity between the one-component and four-component disruptants. In addition, EAG measurements were conducted with a portable device to keep track of aerial concentrations of pheromone. The results show that the one-component formula disrupts mating as efficiently as the more complete four-component blend at doses applied in this study. This fact improves the prospects for mating disruption of indoor pyralids, since many pyralid species share the major component in their pheromones, and, thus, can probably be controlled simultaneously by using this compound only.</t>
  </si>
  <si>
    <t>2109-2124</t>
  </si>
  <si>
    <t>6602770907;7102495339;7003385545</t>
  </si>
  <si>
    <t>Ryne, Camilla;Svensson, Glenn P.;L√∂fstedt, Christer</t>
  </si>
  <si>
    <t>Ryne C.</t>
  </si>
  <si>
    <t>Mating disruption of Plodia interpunctella in small-scale plots: Effects of pheromone blend, emission rates, and population density</t>
  </si>
  <si>
    <t>10.1023/A:1012251106037</t>
  </si>
  <si>
    <t>2-s2.0-0034763922</t>
  </si>
  <si>
    <t>['weakly involved', 'resulting complexes', 'polyamine chain', 'nitrogen atoms', 'neutral ph', 'metal ion', 'metal coordination', 'facile protonation', 'emission intensity', 'cryptate shows', 'coordinating cleft', 'aqueous solutions', '1h nmr']</t>
  </si>
  <si>
    <t>Protonation and alkali- and alkaline-earth-metal coordination by the dipyridine-containing cryptand L have been studied by means of potentiometric and spectroscopic (UV-vis, 1H NMR) measurements in aqueous solutions. This ligand is constituted by an aliphatic polyamine chain and a coordinating cleft, delimited by two dipyridine units, where the metal ion is lodged. The resulting complexes are characterized by an unusually high stability. The polyamine chain is not involved, or weakly involved, in metal coordination, and facile protonation can occur on the nitrogen atoms of this moiety. Similar coordination features are found in the Eu(III) complex. A fluorescence emission study reveals that the Eu(III) cryptate shows the characteristic visible emission of the metal, due to the intramolecular energy transfer to the metal ion mainly from the lower energy triplet state of the cryptand. On the other hand, the emission intensity is modulated by pH, giving a maximum at neutral pH and decreasing at both acidic and alkaline pH values.</t>
  </si>
  <si>
    <t>6172-6179</t>
  </si>
  <si>
    <t>60021859;60079335;60021859;60021859;60021859;60021859;60032111;60021859;60079335;60079335</t>
  </si>
  <si>
    <t>35585113900;7006052023;7006540415;6603383230;7401727378;7006610219;7006296052;7004253829;7004382002;57204285547</t>
  </si>
  <si>
    <t>Bazzicalupi, C.;Pina, F.;Bencini, A.;Berni, E.;Bianchi, A.;Giorgi, C.;Fusi, V.;Valtancoli, B.;Lodeiro, C.;Roque, A.</t>
  </si>
  <si>
    <t>Portugal;Italy;Italy</t>
  </si>
  <si>
    <t>Caparica;Urbino;Florence</t>
  </si>
  <si>
    <t>Centro de Qu√≠mica fina e Biotecnologia;Universita degli Studi di Urbino Carlo Bo;Universit√† degli Studi di Firenze</t>
  </si>
  <si>
    <t>60079335;60032111;60021859</t>
  </si>
  <si>
    <t>Bazzicalupi C.</t>
  </si>
  <si>
    <t>Coordination properties of a polyamine cryptand with two different binding moieties. A case of a pH-modulated antenna device based on a new Eu(III) cryptate complex</t>
  </si>
  <si>
    <t>10.1021/ic010638r</t>
  </si>
  <si>
    <t>2-s2.0-0035914909</t>
  </si>
  <si>
    <t>['measured results', 'impedance bandwidths', 'dualband applications', '960 mhz', '88 ghz']</t>
  </si>
  <si>
    <t>Dual-band antennas | Microstrip antennas | Wideband antennas</t>
  </si>
  <si>
    <t>Results for a stacked microstrip patch antenna for dualband applications are presented. The aim is to cover the frequency bands 890-960 MHz and 1.71-1.88 GHz, respectively. Impedance bandwidths (VSWR &lt; 2:1) of 20.1 and 14.8% were obtained for the respective frequency bands. Simulated as well as measured results for the antenna are presented.</t>
  </si>
  <si>
    <t>289-292</t>
  </si>
  <si>
    <t>6505895408;35561582300;7004523803</t>
  </si>
  <si>
    <t>De Haaij, D. M.;Joubert, J.;Odendaal, W.</t>
  </si>
  <si>
    <t>De Haaij D.</t>
  </si>
  <si>
    <t>Wideband dual-frequency stacked microstrip patch antenna</t>
  </si>
  <si>
    <t>10.1002/mop.10014</t>
  </si>
  <si>
    <t>2-s2.0-0035923242</t>
  </si>
  <si>
    <t>['whose feedline', 'truncation point', 'proposed technique', 'patch antenna', 'low reflection', 'length line', 'internal resistor', 'input port', 'fdtd simulations']</t>
  </si>
  <si>
    <t>FDTD | Matched loads | Patch antenna</t>
  </si>
  <si>
    <t>In this paper, a matched load termination of a finite-length line is used to represent an infinite feedline structure in FDTD simulations. A generator with an internal resistor-which is matched to the input port-is employed to excite the feedline, with a view to achieving a low reflection at the truncation point. A patch antenna, whose feedline is truncated in this manner, is used as an example to illustrate the usefullness of the proposed technique.</t>
  </si>
  <si>
    <t>267-269</t>
  </si>
  <si>
    <t>7801441120;7403914320;6603758204;55197051100</t>
  </si>
  <si>
    <t>Abd El-Raouf, Hany E.;Yu, Wenhua;Farahat, Nader;Mittra, Raj</t>
  </si>
  <si>
    <t>Abd El-Raouf H.</t>
  </si>
  <si>
    <t>Matched load truncation for feedline of patch antennas in the FDTD method</t>
  </si>
  <si>
    <t>10.1002/mop.10007</t>
  </si>
  <si>
    <t>2-s2.0-0035923245</t>
  </si>
  <si>
    <t>['shaped microstrip', 'radiation pattern', 'physically smaller', 'new structure', 'measured bandwidth', 'experimental results', 'aperture coupled', '0 ).']</t>
  </si>
  <si>
    <t>Feedline | Microstrip patch antennas | Offset</t>
  </si>
  <si>
    <t>In this letter, we propose a new structure of an aperture coupled T-shaped microstrip-fed triangular patch antenna, which has similar radiation pattern properties, with the advantage of being physically smaller than the aperture-coupled rectangular patch antenna or microstrip slot antenna, and a bandwidth that is greater than the conventional triangle microstrip antenna. The measured bandwidth was 44.5% (VSWR ‚â§ 2.0). Experimental results for the radiation pattern and the gain are presented.</t>
  </si>
  <si>
    <t>262-264</t>
  </si>
  <si>
    <t>Broadband aperture-coupled T-shaped microstrip-fed triangular patch antenna</t>
  </si>
  <si>
    <t>10.1002/mop.10005</t>
  </si>
  <si>
    <t>2-s2.0-0035923270</t>
  </si>
  <si>
    <t>['thick air', 'successfully constructed', 'significantly enhanced', 'proposed antenna', 'layer substrate', 'impedance bandwidth', 'broadband operation', 'base station', '1880 mhz', '15 vswr']</t>
  </si>
  <si>
    <t>Broadband operation | Planar patch antenna | Probe fed</t>
  </si>
  <si>
    <t>Broadband operation of a probe-fed planar patch antenna with a short probe pin and a conducting cylinder transition is demonstrated. With the proposed feed design, the impedance bandwidth of a planar patch antenna with a thick air-layer substrate can be significantly enhanced. Prototypes of the proposed antenna with an impedance bandwidth (1:1.15 VSWR) suitable for applications in DCS cellular system (1710-1880 MHz) base station have been successfully constructed and studied.</t>
  </si>
  <si>
    <t>282-284</t>
  </si>
  <si>
    <t>A broadband probe-fed planar patch antenna with a short probe pin and a conducting cylinder transition</t>
  </si>
  <si>
    <t>10.1002/mop.10011</t>
  </si>
  <si>
    <t>2-s2.0-0035923274</t>
  </si>
  <si>
    <t>['sar value', 'radiation patterns', 'personal telephones', 'good performance', 'experimental measurements', 'also shown']</t>
  </si>
  <si>
    <t>Arrayed helical antennas | FDTD | Phantom | Radiation patterns | SAR</t>
  </si>
  <si>
    <t>Arrayed helical antennas (AHA) for personal telephone handsets have been developed for both low-SAR and omnidirectional radiation patterns, where the AHA has two helical antennas along the direction of the width on the top of personal telephones. A comparison of the SAR value between the AHA and a conventional helical antenna (CHA) demonstrates that the SAR value of the AHA is 35% less than that of the CHA. Good performance of the radiation patterns and the VSWR of the AHA are also shown by using the experimental measurements.</t>
  </si>
  <si>
    <t>100737230;60007511;100737230;60007511</t>
  </si>
  <si>
    <t>37030304800;56319353500;7402325882;57195761953</t>
  </si>
  <si>
    <t>Hong, Soo Won;Park, Myeong Seok;Oh, Hak Tae;Park, Cheon Seok</t>
  </si>
  <si>
    <t>Sungkyunkwan University;Radio Research Laboratory (RRL)</t>
  </si>
  <si>
    <t>60007511;100737230</t>
  </si>
  <si>
    <t>Hong S.</t>
  </si>
  <si>
    <t>Arrayed helical antennas (AHA) with low SAR for personal telephone handsets</t>
  </si>
  <si>
    <t>10.1002/mop.10012</t>
  </si>
  <si>
    <t>2-s2.0-0035923278</t>
  </si>
  <si>
    <t>['rigorous solution', 'mode matching', 'fourier transform', 'dipole antenna', 'current distribution', 'convergent series', 'antenna admittance']</t>
  </si>
  <si>
    <t>Dipole antenna | Fourier transform | Input impedance | Radiation pattern</t>
  </si>
  <si>
    <t>The problem of a circular cylindrical dipole antenna is revisited. The Fourier transform and mode matching are used to obtain its rigorous solution in a convergent series. Our solution is compared with other results in terms of antenna admittance and current distribution. The angular radiation patterns of a circular cylindrical antenna are shown for different circular cylinder radii of a dipole antenna.</t>
  </si>
  <si>
    <t>322-324</t>
  </si>
  <si>
    <t>60032144;60032144;60032144</t>
  </si>
  <si>
    <t>55112893800;24480016200;7404468967</t>
  </si>
  <si>
    <t>Eom, Hyo J.;Park, Jong K.;Cho, Yong H.</t>
  </si>
  <si>
    <t>Korea Advanced Institute of Science and Technology</t>
  </si>
  <si>
    <t>Eom H.</t>
  </si>
  <si>
    <t>A circular cylindrical dipole antenna</t>
  </si>
  <si>
    <t>10.1002/mop.10023</t>
  </si>
  <si>
    <t>2-s2.0-0035923279</t>
  </si>
  <si>
    <t>['radiation performance', 'f antenna', 'antenna parameters']</t>
  </si>
  <si>
    <t>Inverted-F antenna | Size reduction | Small antenna</t>
  </si>
  <si>
    <t>The inverted-F antenna is experimentally downsized using various reactive and dielectric loading techniques. Antenna parameters are presented for each technique, including size reduction, bandwidth, and radiation performance.</t>
  </si>
  <si>
    <t>270-271</t>
  </si>
  <si>
    <t>Downsizing inverted-F antennas for 915 MHz ISM applications</t>
  </si>
  <si>
    <t>10.1002/mop.10008</t>
  </si>
  <si>
    <t>2-s2.0-0035923288</t>
  </si>
  <si>
    <t>['profile design', 'ground plane', 'frequency bandgap', 'electromagnetic bandgap', 'curl antenna', 'antenna height']</t>
  </si>
  <si>
    <t>CP | Curl antenna | EBG | Low profile</t>
  </si>
  <si>
    <t>An electromagnetic bandgap (EBG) surface is utilized as a ground plane for a curl antenna to achieve a low-profile design as well as a circularly polarized pattern. The antenna height is greatly reduced compared to a normal curl antenna over a PEC ground plane. The frequency bandgap and ground plane size are discussed. Experimental results demonstrate the applicability of this concept.</t>
  </si>
  <si>
    <t>264-267</t>
  </si>
  <si>
    <t>A low-profile circularly polarized curl antenna over an electromagnetic bandgap (EBG) surface</t>
  </si>
  <si>
    <t>10.1002/mop.10006</t>
  </si>
  <si>
    <t>2-s2.0-0035923295</t>
  </si>
  <si>
    <t>['radiating patch', 'patch antenna', 'impedance bandwidth', 'ground plane', 'feed design', 'experimental results', 'dcs base', 'broadband operation', '8 ghz', '5 vswr']</t>
  </si>
  <si>
    <t>Broadband operation | Patch antenna | Probe fed</t>
  </si>
  <si>
    <t>A new broadband probe-fed patch antenna is proposed. We demonstrate that, by feeding an air-substrate patch antenna at the patch edge using a probe feed coplanar with the radiating patch, broadband operation can easily be obtained. Also, for the use of the proposed coplanar probe-feed design, the ground plane of the patch antenna is transformed into an L-shape. Experimental results of the constructed prototype showed that the obtained impedance bandwidth (1:1.5 VSWR) could be greater than 10% centered at about 1.8 GHz, which makes it suitable for DCS base-station antenna application. Good radiation characteristics for operating frequencies within the impedance bandwidth have also been observed. Details of the experimental results are presented and discussed.</t>
  </si>
  <si>
    <t>287-289</t>
  </si>
  <si>
    <t>Broadband patch antenna edge-fed by a coplanar probe feed</t>
  </si>
  <si>
    <t>10.1002/mop.10013</t>
  </si>
  <si>
    <t>2-s2.0-0035923301</t>
  </si>
  <si>
    <t>['ventral surface', 'stem group', 'small prostomium', 'serially ground', 'ramal branchiae', 'produce computer', 'primitive within', 'poorly preserved', 'new genus', 'meaningful comparison', 'lateral antennae', 'generated reconstructions', 'fossil forms', 'extant nephtyids', 'extant forms', 'eunicida ).', 'et sp', 'direct comparison', 'cladistic analysis']</t>
  </si>
  <si>
    <t>England | Exceptional preservation | Konservat-Lagerst√§tte | Polychaete | Silurian</t>
  </si>
  <si>
    <t>Polychaete body fossils are rare, and are almost invariably compressed and too poorly preserved for meaningful comparison with extant forms. We here describe Kenostrychus dementsi gen. et sp. nov. from the Silurian Herefordshire Konservat-Lagerst√§tte of England, in which three-dimensional external morphology is preserved with a fidelity unprecedented among fossil polychaetes. The fossils, which are preserved in calcite, were serially ground and photographed at 30 Œºm intervals to produce computer-generated reconstructions of the original external surface. The new genus has a generalized polychaete morphology with large biramous parapodia, unspecialized anterior segments and a small prostomium with median and lateral antennae and ventral prostomial palps. Cirriform branchiae arise from the ventral surface of each notopodium, and may be homologous with the inter-ramal branchiae of the extant nephtyids. Through cladistic analysis, Kenostrychus is interpreted as a member of a stem group of either the Phyllodocida or the Aciculata (Phyllodocida + Eunicida). Direct comparison with other fossil forms is difficult, but hints that inter-ramal respiratory structures may be primitive within the Phyllodocida and/or the Aciculata.</t>
  </si>
  <si>
    <t>2355-2363</t>
  </si>
  <si>
    <t>35335457500;57203106346;24436275200</t>
  </si>
  <si>
    <t>Sutton, M. D.;Briggs, D. E.G.;Siveter, D. J.</t>
  </si>
  <si>
    <t>Sutton M.D.</t>
  </si>
  <si>
    <t>A three-dimensionally preserved fossil polychaete worm from the Silurian of Herefordshire, England</t>
  </si>
  <si>
    <t>10.1098/rspb.2001.1788</t>
  </si>
  <si>
    <t>2-s2.0-0035935695</t>
  </si>
  <si>
    <t>['particularly well', 'experimental measurements', 'element array', 'dramatic increase', 'couplings within']</t>
  </si>
  <si>
    <t>A novel hybrid cylindrical-Cartesian finite difference time domain (FDTD) method is presented, which permits a dramatic increase in the flexibility of the basic FDTD algorithm. It is shown to be particularly well-suited to the analysis of faceted conformal antenna arrays and its accuracy is demonstrated by comparison with experimental measurements of couplings within a 17-element array.</t>
  </si>
  <si>
    <t>1429-1431</t>
  </si>
  <si>
    <t>60020650;60020650;60020650;60002731;60002731</t>
  </si>
  <si>
    <t>7003625330;7401666872;35516118400;56232506200;57197601373</t>
  </si>
  <si>
    <t>Craddock, I. J.;Paul, D. L.;Railton, C. J.;Ball, G.;Watts, J.</t>
  </si>
  <si>
    <t>Bristol;London</t>
  </si>
  <si>
    <t>University of Bristol;QinetiQ</t>
  </si>
  <si>
    <t>60020650;60002731</t>
  </si>
  <si>
    <t>Craddock I.</t>
  </si>
  <si>
    <t>Cylindrical-Cartesian FDTD model of a 17-element conformal antenna array</t>
  </si>
  <si>
    <t>10.1049/el:20010973</t>
  </si>
  <si>
    <t>2-s2.0-0035935823</t>
  </si>
  <si>
    <t>['wave transmitter', 'wave signals', 'si substrate', 'photonic millimetre', 'demonstrated experimentally', 'carrier photodiode', '120 ghz']</t>
  </si>
  <si>
    <t>A planar slot antenna on an Si substrate for a photonic millimetre-wave transmitter that operates at the frequency of 120 GHz has been designed and characterised. By integrating a uni-travelling-carrier photodiode with the antenna, emission of millimetre-wave signals with a power of 250ŒºW has been demonstrated experimentally.</t>
  </si>
  <si>
    <t>1460-1461</t>
  </si>
  <si>
    <t>7202188531;7006744896</t>
  </si>
  <si>
    <t>Hirata, A.;Nagatsuma, T.</t>
  </si>
  <si>
    <t>120 GHz millimetre-wave antenna for integrated photonic transmitter</t>
  </si>
  <si>
    <t>10.1049/el:20010968</t>
  </si>
  <si>
    <t>2-s2.0-0035935824</t>
  </si>
  <si>
    <t>['rhodobacter sphaeroides', 'multiexciton spectrogram', 'microscopic parameters', 'microscopic description', 'exciton dynamics', 'exciton annihilation', 'eea ).', 'b850 ring', '18 bacteriochlorophyll']</t>
  </si>
  <si>
    <t>The multiexciton density matrix theory is utilized to achieve a microscopic description of exciton-exciton annihilation (EEA). We apply the theory to the 18 bacteriochlorophyll (BChl) molecules of the B850 ring of the light-harvesting complex LH2 of Rhodobacter sphaeroides. The simulation of the EEA process reproduces the intensity-dependent transient absorption kinetic experiments very well, and insight is obtained on microscopic parameters such as the internal conversion rate of BChl in LH2. The exciton dynamics and the different relaxation processes are visualized by constructing a multiexciton spectrogram.</t>
  </si>
  <si>
    <t>11391-11394</t>
  </si>
  <si>
    <t>60000762;60029170;60029170;60029170;60000762</t>
  </si>
  <si>
    <t>6602904633;6603743050;7006706612;7004251319;7102604218</t>
  </si>
  <si>
    <t>Br√ºggemann, Ben;Herek, Jennifer L.;Sundstr√∂m, Villy;Pullerits, T√µnu;May, Volkhard</t>
  </si>
  <si>
    <t>Sweden;Germany</t>
  </si>
  <si>
    <t>Lund;Berlin</t>
  </si>
  <si>
    <t>Lunds Universitet;Humboldt-Universit√§t zu Berlin</t>
  </si>
  <si>
    <t>60029170;60000762</t>
  </si>
  <si>
    <t>Br√ºggemann B.</t>
  </si>
  <si>
    <t>Microscopic theory of exciton annihilation: Application to the LH2 antenna system</t>
  </si>
  <si>
    <t>10.1021/jp012072y</t>
  </si>
  <si>
    <t>2-s2.0-0035936203</t>
  </si>
  <si>
    <t>['transient hole', 'system rather', 'stimulated emission', 'spectra recorded', 'significant difference', 'shorter wavelengths', 'selected wavelengths', 'room temperature', 'red tail', 'red chlorophylls', 'reaction center', 'pcc 6803', 'global analysis', 'excitation wavelength', 'excitation dynamics', 'eukaryotic organism', 'energy trapping', 'direct excitation', 'cyanobacterial ps', 'core antenna', 'burning spectroscopy', 'algal ps', '710 nm', '700 nm', '695 nm', '3 ps']</t>
  </si>
  <si>
    <t>Photosystem I particles from a eukaryotic organism, the green alga Chlamydomonas reinhardtii CC 2696, were studied by transient hole-burning spectroscopy at room temperature. Global analysis of the spectra recorded after excitation of chlorophyll a molecules in Photosystem I at selected wavelengths between 670 and 710 nm reveals excitation dynamics with subpicosecond, 2-3 ps, and 20-23 ps components. The subpicosecond and 2-3 ps components are ascribed to energy equilibration within the core antenna, whereas the 20-23 ps component is ascribed to energy trapping by the reaction center. Energy equilibration components describe both uphill and downhill energy transfer depending of the excitation wavelength. The initial transient absorbance bands after direct excitation of the red tail of the Qy transition band of chlorophyll a (at 700, 705, and 710 nm) are 25 nm wide and structured, revealing strongly coupled excited states among a group of molecules, most likely reaction center chlorophyll molecules. Excitation at shorter wavelengths (670, 680, and 695 nm) results in only 5-7 nm wide initial absorbance bands originating from photobleaching and stimulated emission of antenna chlorophyll molecules. The results are compared to the excitation dynamics of Photosystem I from the cyanobacterium Synechocystis sp. PCC 6803. The most significant difference is that the 2-3 ps phase describes internal excitation dynamics within higher-energy antenna chlorophyll molecules in the algal PS I system rather than between bulk and red chlorophylls, as observed in cyanobacterial PS I. No indications of core antenna red pigments absorbing above 700 nm were found in the preparation from Chlamydomonas. Independent of excitation wavelength, after at most a few picoseconds, all excitons are distributed over the same pool of chlorophyll molecules centered at ‚àº682 nm.</t>
  </si>
  <si>
    <t>11498-11506</t>
  </si>
  <si>
    <t>60003892-60014168;60003892;60003892;60003892;60003892;60003892;60003892</t>
  </si>
  <si>
    <t>6602198211;7202555428;6602820819;7407162691;7006774990;57203046340;7006933123</t>
  </si>
  <si>
    <t>Gibasiewicz, Krzysztof;Ramesh, V. M.;Melkozernov, Alexander N.;Lin, Su;Woodbury, Neal W.;Blankenship, Robert E.;Webber, Andrew N.</t>
  </si>
  <si>
    <t>Poland;United States</t>
  </si>
  <si>
    <t>Poznan;Tempe</t>
  </si>
  <si>
    <t>Uniwersytet im. Adama Mickiewicza w Poznaniu;Arizona State University</t>
  </si>
  <si>
    <t>60014168;60003892</t>
  </si>
  <si>
    <t>Gibasiewicz K.</t>
  </si>
  <si>
    <t>Excitation dynamics in the core antenna of PS I from Chlamydomonas reinhardtii CC 2696 at room temperature</t>
  </si>
  <si>
    <t>10.1021/jp012089g</t>
  </si>
  <si>
    <t>2-s2.0-0035936210</t>
  </si>
  <si>
    <t>['whole array', 'surrounding water', 'olfactory antennae', 'models revealed', 'many types', 'like structures', 'leaky behaviour', 'hairs rather', 'hairs flows', 'functions depends', 'fluid flow', 'fluid encountered', 'finite width', 'feeding appendages', 'describe examples', 'cylinders operating', 'captured material', 'capture molecules', 'brief review', 'animals use']</t>
  </si>
  <si>
    <t>Aesthetasc | Biofluiddynamics | Copepod</t>
  </si>
  <si>
    <t>Many types of animals use appendages bearing arrays of hair-like structures to capture molecules (e.g. olfactory antennae, gills) or particles (e.g. suspension-feeding appendages) from the surrounding water or air, and to locomote or move fluid past themselves. The performance of these functions depends on how much of the fluid encountered by the array of hairs flows through the gaps between the hairs rather than around the perimeter of the whole array. By modelling such arrays of hairs as rows of finite width of cylinders operating at low Reynolds numbers, the fluid velocity fields with respect to the hairs were calculated. Such models revealed a transition from non-leaky behaviour as Re was increased. The purpose of this paper is to provide a brief review of the features of this transition as revealed by models, and then to describe examples of how animals use the transition in fluid flow to perform particular functions: rejection of captured material by copepods, and sniffing by lobsters.</t>
  </si>
  <si>
    <t>1523-1532</t>
  </si>
  <si>
    <t>17-18</t>
  </si>
  <si>
    <t>Rayner, Jeremy M.V.</t>
  </si>
  <si>
    <t>Leeds</t>
  </si>
  <si>
    <t>University of Leeds</t>
  </si>
  <si>
    <t>Rayner J.M.V.</t>
  </si>
  <si>
    <t>Transitions in function at low Reynolds number: hair-bearing animal appendages</t>
  </si>
  <si>
    <t>10.1002/mma.213</t>
  </si>
  <si>
    <t>2-s2.0-0035950950</t>
  </si>
  <si>
    <t>['method presented', 'element samples', 'detected simultaneously', 'comparison method', '50 elements', '23 elements']</t>
  </si>
  <si>
    <t>A comparison method, utilizing neutron activation analysis followed by multidimensional spectrum analysis was proven to provide accurate quantification of the multi-element samples. In this study, 23 elements were detected simultaneously in a sample containing standard elements for neutron activation analysis. The method presented here can be applied for about 50 elements.</t>
  </si>
  <si>
    <t>373-376</t>
  </si>
  <si>
    <t>Journal of Radioanalytical and Nuclear Chemistry</t>
  </si>
  <si>
    <t>60015658;60015658;60015658;60015658;60015658</t>
  </si>
  <si>
    <t>15836321600;8379564900;8846124700;55702398900;56897695900</t>
  </si>
  <si>
    <t>Toh, Y.;Oshima, M.;Hatsukawa, Y.;Hayakawa, T.;Shinohara, N.</t>
  </si>
  <si>
    <t>Toh Y.</t>
  </si>
  <si>
    <t>Comparison method for neutron activation analysis with Œ≥-Œ≥ matrix</t>
  </si>
  <si>
    <t>10.1023/A:1017995003465</t>
  </si>
  <si>
    <t>2-s2.0-0035163886</t>
  </si>
  <si>
    <t>['volatiles used', 'vascular tissue', 'using solid', 'static adsorptions', 'spruce trees', 'samples collected', 'pupal chambers', 'porapak q', 'phase microextraction', 'parasitic wasps', 'oxygenated monoterpenes', 'odor samples', 'ms ).', 'mass spectrometry', 'isolated larvae', 'introduced microorganisms', 'entrance holes', 'electroantennographic detection', 'differences could', 'data support', 'compounds present', 'adsorbing phase']</t>
  </si>
  <si>
    <t>Bark beetle | Coleoptera | Host location | Hymenoptera | Ips typographus | Oxygenated monoterpenes | Pteromalidae | Rhopalicus tutela | Scolytidae</t>
  </si>
  <si>
    <t>Host location cues for parasitic wasps that attack bark beetle larvae concealed under the bark of spruce trees were analyzed by collecting odor samples from entrance holes into the bark beetle galleries, isolated larvae, and pupal chambers with or without bark beetle larvae. Odor samples were collected by dynamic headspace adsorptions on Porapak Q or static adsorptions by using solid-phase microextraction (SPME) with Carbowax - divinylbenzene as the adsorbing phase. Samples were analyzed by coupled gas chromatographic - electroantennographic detection (GC-EAD) and GC-mass spectrometry (GC-MS). The antennae of Rhopalicus tutela females responded primarily to oxygenated monoterpenes that are typical for damaged host trees. These compounds are attractive to bark beetle parasitoids in long-range host location, suggesting that they are used in both long- and short-range host location. No differences could be detected between samples collected from pupal chambers with or without mature larvae. Larvae outside pupal chambers emitted low quantities of the same compounds present in empty pupal chambers. The data support the hypothesis that volatiles used by host foraging parasitoids arise from the interaction between introduced microorganisms and the bark and/or vascular tissue of the host tree rather than from the bark beetle larvae.</t>
  </si>
  <si>
    <t>2219-2231</t>
  </si>
  <si>
    <t>Pettersson, Eva M.</t>
  </si>
  <si>
    <t>Volatiles from potential hosts of Rhopalicus tutela a bark beetle parasitoid</t>
  </si>
  <si>
    <t>10.1023/A:1012226820035</t>
  </si>
  <si>
    <t>2-s2.0-0035165725</t>
  </si>
  <si>
    <t>['possible detectors', 'direct measurement', 'called decigo']</t>
  </si>
  <si>
    <t>An overview is given on possible detectors in 10-2-10 Hz band. One such detector is called DECIGO (Decihertz Interferometer Gravitational Wave Observatory). It is argued that the direct measurement of the acceleration of the universe is possible using DECIGO.</t>
  </si>
  <si>
    <t>7006329449;7401819131;57212072133</t>
  </si>
  <si>
    <t>Seto, N.;Kawamura, S.;Nakamura, T.</t>
  </si>
  <si>
    <t>Seto N.</t>
  </si>
  <si>
    <t>Possibility of direct measurement of the acceleration of the universe using 0.1 Hz band laser interferometer gravitational wave antenna in space</t>
  </si>
  <si>
    <t>2-s2.0-37649031771</t>
  </si>
  <si>
    <t>221103/1-221103/4</t>
  </si>
  <si>
    <t>60024322;60029701;60119344</t>
  </si>
  <si>
    <t>Seto, Naoki;Kawamura, Seiji;Nakamura, Takashi</t>
  </si>
  <si>
    <t>Kyoto;Mitaka;Suita</t>
  </si>
  <si>
    <t>Yukawa Institute for Theoretical Physics;National Institutes of Natural Sciences - National Astronomical Observatory of Japan;Osaka University</t>
  </si>
  <si>
    <t>60119344;60029701;60024322</t>
  </si>
  <si>
    <t>2-s2.0-84988768710</t>
  </si>
  <si>
    <t>['¬© 2001', 'inflation may', 'directly measure', 'correlation analysis', 'binary sources', '1 hz']</t>
  </si>
  <si>
    <t>It may be possible to construct a laser interferometer gravitational wave antenna in space withh rms ‚àº 10‚àí27 at f»¨0.1 Hz in this century. Using this antenna, (1) typically 105 chirp signals of coalescing binary neutron stars per year may be detected with S/N‚àº104; (2) we can directly measure the acceleration of the universe by a 10 yr observation of binary neutron stars; and (3) the stochastic gravitational waves of Œ©GW‚â§10‚àí20predicted by the inflation may be detected by correlation analysis. Our formula for phase shift due to accelerating motion might be applied for binary sources of LISA. ¬© 2001 The American Physical Society.</t>
  </si>
  <si>
    <t>221103-221103-4</t>
  </si>
  <si>
    <t>Possibility of direct measurement of the acceleration of the universe using 0.1 hz band laser interferometer gravitational wave antenna in space</t>
  </si>
  <si>
    <t>10.1103/PhysRevLett.87.221103</t>
  </si>
  <si>
    <t>2-s2.0-85037251364</t>
  </si>
  <si>
    <t>['water penetrates', 'surrounding fluid', 'spatiotemporal patterns', 'spatial pattern', 'scale patterns', 'receptor area', 'physical capture', 'odor molecules', 'next flick', 'neural filtering', 'induced fluorescence', 'flow along', 'first step', 'fast downstroke', 'carrying fine', 'antennules flick']</t>
  </si>
  <si>
    <t>The first step in processing olfactory information, before neural filtering, is the physical capture of odor molecules from the surrounding fluid. Many animals capture odors from turbulent water currents or wind using antennae that bear chemosensory hairs. We used planar laser-induced fluorescence to reveal how lobster olfactory antennules hydrodynamically alter the spatiotemporal patterns of concentration in turbulent odor plumes. As antennules flick, water penetrates their chemosensory hair array during the fast downstroke, carrying fine-scale patterns of concentration into the receptor area. This spatial pattern, blurred by flow along the antennule during the downstroke, is retained during the slower return stroke and is not shed until the next flick.</t>
  </si>
  <si>
    <t>1948-1951</t>
  </si>
  <si>
    <t>60025038;60025038;60025038;60025038;60025038;60025038;60025038</t>
  </si>
  <si>
    <t>7005360614;7003673185;6602268513;7003637755;56893132800;7006225601;55472495900</t>
  </si>
  <si>
    <t>Koehl, M. A.R.;Koseff, J. R.;Crimaldi, J. P.;McCay, M. G.;Cooper, T.;Wiley, M. B.;Moore, P. A.</t>
  </si>
  <si>
    <t>Koehl M.</t>
  </si>
  <si>
    <t>Lobster sniffing: Antennute design and hydrodynamic fittering of information in an odor plume</t>
  </si>
  <si>
    <t>10.1126/science.1063724</t>
  </si>
  <si>
    <t>2-s2.0-0035976271</t>
  </si>
  <si>
    <t>167-182</t>
  </si>
  <si>
    <t>G√ºney, K.;Akda«ßli, A.</t>
  </si>
  <si>
    <t>10.2528/PIER00121402</t>
  </si>
  <si>
    <t>2-s2.0-0001042451</t>
  </si>
  <si>
    <t>['two 1', 'thz receiver', 'spherical mirror', 'simultaneously observed', 'reflected pulses', 'real one', 'limited two', 'limited spatial', 'demonstrate quasi']</t>
  </si>
  <si>
    <t>We demonstrate quasi-optical, diffraction-limited two-dimensional image production by means of reflected pulses of terahertz (THz) radiation. A spherical mirror is used to form a real one-to-one THz image of two 1-mm-diameter steel spheres, which is then scanned over a THz receiver. Diffraction-limited spatial (cross-range) resolution and THz pulse range resolution are simultaneously observed. ¬© 2001 Optical Society of America.</t>
  </si>
  <si>
    <t>1918-1920</t>
  </si>
  <si>
    <t>60006514;60006514</t>
  </si>
  <si>
    <t>7101668204;7005233382</t>
  </si>
  <si>
    <t>O'Hara, J.;Grischkowsky, D.</t>
  </si>
  <si>
    <t>Stillwater</t>
  </si>
  <si>
    <t>Oklahoma State University</t>
  </si>
  <si>
    <t>O'Hara J.</t>
  </si>
  <si>
    <t>Quasi-optic terahertz imaging</t>
  </si>
  <si>
    <t>10.1364/OL.26.001918</t>
  </si>
  <si>
    <t>2-s2.0-0001657786</t>
  </si>
  <si>
    <t>['wireless measurement', 'water content', 'sensor systems', 'sensor elements', 'sensor effect', 'saw transponders', 'saw transponder', 'saw reflection', 'road friction', 'rf signal', 'radar transceiver', 'radar echo', 'propagation mechanisms', 'power supply', 'operating principles', 'many cases', 'magnetic field', 'local transceiver', 'intersymbol interference', 'etc .,', 'directly attributed', 'certain measurand', 'art performance', 'accessed wirelessly']</t>
  </si>
  <si>
    <t>Acceleration | Local radar transceiver | Magnetic field | Passive saw transponder for sensing | Pressure | Temperature | Tire-road friction | Torque, water content of soil | Wireless measurement</t>
  </si>
  <si>
    <t>Surface acoustic wave (SAW) devices can be used as identification and sensor elements (SAW transponders) for measuring physical quantities such as temperature, pressure, torque, acceleration, humidity, etc., that do not need any power supply and may be accessed wirelessly. The complete wireless sensor system consists of such a SAW transponder and a local radar transceiver. An RF burst transmitted by the radar transceiver is received by the antenna of the SAW transponder. The passive transponder responds with an RF signal-like a radar echo-which can be received by the front-end of the local transceiver. Amplitude, frequency, phase and time of arrival of this RF response signal carry information about the SAW reflection and propagation mechanisms which in many cases can be directly attributed to the sensor effect for a certain measurand. Usually no intersymbol interference (ISI) due to environmental echoes occur, due to the high delay time of the SAW transponder in the order of some fj,s. The present work reviews the operating principles of such sensor systems and their state-of-the-art performance by way of some examples which include the wireless measurement of temperature, pressure, torque, acceleration, tire-road friction, magnetic field, and water content of soil. ¬© 2001 IEEE.</t>
  </si>
  <si>
    <t>1530437X</t>
  </si>
  <si>
    <t>IEEE Sensors Journal</t>
  </si>
  <si>
    <t>60000251-60021841;60000251-60098241-60018163;60000251-60072180;60021931</t>
  </si>
  <si>
    <t>7006133006;56228703100;7005791343;7102627598</t>
  </si>
  <si>
    <t>Reindl, Leonhard M.;Pohl, Alfred;Scholl, Gerd;Weigel, Robert</t>
  </si>
  <si>
    <t>Austria;Germany;Austria;Germany;Austria;United States</t>
  </si>
  <si>
    <t>Vienna;Munich;Linz;Clausthal-Zellerfeld;Vienna;New York</t>
  </si>
  <si>
    <t>Siemens AG Osterreich;EPCOS AG;Johannes Kepler University Linz;Technische Universit√§t Clausthal;Technische Universit√§t Wien;IEEE</t>
  </si>
  <si>
    <t>60098241;60072180;60021931;60021841;60018163;60000251</t>
  </si>
  <si>
    <t>Reindl L.M.</t>
  </si>
  <si>
    <t>SAW-Based radio sensor systems</t>
  </si>
  <si>
    <t>S1530437X01043421</t>
  </si>
  <si>
    <t>10.1109/JSEN.2001.923589</t>
  </si>
  <si>
    <t>2-s2.0-0001970270</t>
  </si>
  <si>
    <t>['symmetric representation', 'significant improvement', 'planet transit', 'millimetric wavelengths', 'maximum signal', 'mainly jupiter', 'lfi activities', 'general conditions', 'flight measurements', 'flight calibration', 'fast reconstruction', 'external planets', 'easily extended', 'crucial input', 'calibration accuracy', 'anisotropy experiment', 'also addressed', 'almost independently']</t>
  </si>
  <si>
    <t>Cosmic microwave background | Data analysis | Solar System; general | Space vehicles | Telescopes</t>
  </si>
  <si>
    <t>In-flight measurements of the shape of the antenna main beam is a crucial input to the data analysis pipeline of each high resolution Cosmic Microwave Background (CMB) anisotropy experiment. We study the main beam reconstruction achievable by the PLANCK Low Frequency Instrument (LFI) through the observation of external planets. Although we restrict our analysis to the 30 GHz LFI channel, the method can be easily extended to all the PLANCK frequency channels and to other CMB anisotropy experiments. We show that it is possible to fit the time ordered data from the external planets (mainly Jupiter and Saturn) to obtain an accurate, robust, simple and fast reconstruction of the main beam properties under very general conditions, almost independently of the calibration accuracy. In addition, we find that a bivariate Gaussian approximation of main beam shapes represents a significant improvement with respect to a symmetric representation. The impact of the most relevant systematic effects is also addressed. We demonstrate that by combining the recovery of the maximum signal at the planet transit with accurate in-flight calibration, it is possible to measure the intrinsic planet temperatures at millimetric wavelengths with &lt; 1% accuracy. This work is based on PLANCK-LFI activities.</t>
  </si>
  <si>
    <t>87-106</t>
  </si>
  <si>
    <t>60021199;60027509;60027509;60021199;60030318</t>
  </si>
  <si>
    <t>6603819488;9272122900;7004906256;8627117200;7004386449</t>
  </si>
  <si>
    <t>Burigana, C.;Natoli, P.;Vittorio, N.;Mandolesi, N.;Bersanelli, M.</t>
  </si>
  <si>
    <t>Milan;Rome;Rome</t>
  </si>
  <si>
    <t>Universit√† degli Studi di Milano;Universit√† degli Studi di Roma "Tor Vergata";Consiglio Nazionale delle Ricerche</t>
  </si>
  <si>
    <t>60030318;60027509;60021199</t>
  </si>
  <si>
    <t>In-flight main beam reconstruction for planck-LFI</t>
  </si>
  <si>
    <t>10.1023/A:1016338603042</t>
  </si>
  <si>
    <t>2-s2.0-0002541954</t>
  </si>
  <si>
    <t>['phase distribution', 'one side', 'calculate linear']</t>
  </si>
  <si>
    <t>We describe how antenna sum patterns can be controlled by modifying just the phase distribution of the excitation. As examples, we calculate linear and circular aperture distributions affording symmetric sum patterns with low side lobe levels, and linear aperture distributions affording patterns with low sidelobe levels on one side of the beam.</t>
  </si>
  <si>
    <t>60028419;60028419</t>
  </si>
  <si>
    <t>6701881810;7006865572</t>
  </si>
  <si>
    <t>Trastoy, A.;Ares, F.</t>
  </si>
  <si>
    <t>Trastoy A.</t>
  </si>
  <si>
    <t>Phase-only control of antenna sum patterns</t>
  </si>
  <si>
    <t>10.2528/PIER00012401</t>
  </si>
  <si>
    <t>2-s2.0-0002900461</t>
  </si>
  <si>
    <t>301049/98-0</t>
  </si>
  <si>
    <t>['time resolutions', 'specific type', 'solar activity', 'present examples', 'observational parameters', 'necessary software', 'idl 5', 'high time', 'different combinations', 'data acquisition', 'bss operates', 'ascii formats', '3 ms', '3 environment', '2500 mhz', '19 ut', '11 ut', '1000 ms', '100 channels', '10 mhz']</t>
  </si>
  <si>
    <t>Digital, decimetric (200-2500 MHz) Brazilian Solar Spectroscope (BSS) with high time (10-1000 ms) and frequency (1-10 MHz) resolution is in regular operation since April, 1998, at National Space Research Institute (INPE) at S√£o Jos√© dos Campos, Brazil. BSS operates in conjunction with a 9-m diameter polar mounted antenna. It allows to select suitable observing frequency range, frequency and time resolutions and data can be digitized up to 100 channels. BSS has capabilities of quasi-real time display of the ongoing dynamic spectra of the solar activity that enables the observer to modify observational parameters so as to suit a specific type of activity such as spikes and improve the quality of data acquisition and storage. Minimum detectable flux density of the spectroscope, for different combinations of the observational parameters, is ‚àº 3 s.f.u. Observations are carried out routinely from 11 UT to 19 UT. Necessary software for data acquisition and reductions has been developed in IDL 5.3 environment. Data are available in FITS and ASCII formats. Absolute timing accuracy of the station is less than 3 ms. Here, we present examples of the bursts which have been recorded by BSS and available display facilities.</t>
  </si>
  <si>
    <t>167-176</t>
  </si>
  <si>
    <t>Solar Physics</t>
  </si>
  <si>
    <t>60012729;60012729-60007654;60012729;60012729;60012729;60012729;60012729;60012729-60014901;60012729;60012729;60012729;60012729;60012729</t>
  </si>
  <si>
    <t>7003555403;57206454635;7004074003;7103077878;7004021938;6602604931;7102610603;6701541863;8686423500;56254173700;6603759863;6506290423;6603642017</t>
  </si>
  <si>
    <t>Sawant, H. S.;Subramanian, K. R.;Faria, C.;Fernandes, F. C.R.;Sobral, J. H.A.;Cecatto, J. R.;Rosa, R. R.;Vats, H. O.;Neri, J. A.C.F.;Alonso, E. M.B.;Mesquita, F. P.V.;Portezani, V. A.;Martinon, A. R.F.</t>
  </si>
  <si>
    <t>India;Brazil;India</t>
  </si>
  <si>
    <t>Ahmedabad;Sao Jose dos Campos;Bengaluru</t>
  </si>
  <si>
    <t>Physical Research Laboratory India;Instituto Nacional de Pesquisas Espaciais;Indian Institute of Astrophysics</t>
  </si>
  <si>
    <t>60014901;60012729;60007654</t>
  </si>
  <si>
    <t>Sawant H.</t>
  </si>
  <si>
    <t>Brazilian Solar Spectroscope (BSS)</t>
  </si>
  <si>
    <t>10.1023/A:1010366311616</t>
  </si>
  <si>
    <t>2-s2.0-0008253523</t>
  </si>
  <si>
    <t>['vertically set', 'two antennas', 'simultaneously transmitted', 'proposed scheme', 'paper proposes', 'one model', 'division multiplexing', 'based road', 'base station']</t>
  </si>
  <si>
    <t>Coded OFDM | DSRC | Transmitter diversity</t>
  </si>
  <si>
    <t>This paper proposes a coded orthogonal frequency-division multiplexing (COFDM) based road-to-vehicle communication system. The proposed system makes efficient use of COFDM in order to get the implicit transmitter diversity effect. This paper then evaluates the received signal power and bit error rate performance in two diversity models. In one model, two antennas are vertically set up on top of a base station (BS) post. The other model uses two BS and the same signal is simultaneously transmitted from both BS. Computer simulation results show that the proposed scheme is capable of obtaining the transmitter diversity effect in both models.</t>
  </si>
  <si>
    <t>IEEE Transactions on Intelligent Transportation Systems</t>
  </si>
  <si>
    <t>60024322;60025017;60024322</t>
  </si>
  <si>
    <t>35510315500;35413687500;7004324341</t>
  </si>
  <si>
    <t>Segawa, Yuichiro;Okada, Minoru;Komaki, Shozo</t>
  </si>
  <si>
    <t>Ikoma;Suita</t>
  </si>
  <si>
    <t>Nara Institute of Science and Technology;Osaka University</t>
  </si>
  <si>
    <t>60025017;60024322</t>
  </si>
  <si>
    <t>Segawa Y.</t>
  </si>
  <si>
    <t>Performance of COFDM-Based Transmitter Diversity in a Road-to-Vehicle Communication System</t>
  </si>
  <si>
    <t>S1524905001107519</t>
  </si>
  <si>
    <t>10.1109/6979.969364</t>
  </si>
  <si>
    <t>2-s2.0-0011858583</t>
  </si>
  <si>
    <t>['virgin females', 'study documents', 'remains difficult', 'obvious attempts', 'nutritive secretions', 'melanoplus differentialis', 'melanopline grasshoppers', 'males mating', 'internal spermatophores', 'found associated', 'first time', 'external genitalia', 'copulation duration', 'antenna pointing', 'already discharged']</t>
  </si>
  <si>
    <t>Copulation | Courtship | Mating | Mating effort | Melanoplus femurrubrum | Sperm | Sperm transfer</t>
  </si>
  <si>
    <t>Melanopline grasshoppers are known to transfer both sperm and nutritive secretions, from the accessory reproductive glands in the form of internal spermatophores, to females during mating. It remains difficult in most species, without extensive destructive sampling, to determine numbers transferred. This study documents that for Melanoplus differentialis, remnants of spermatophores, which have already discharged their contents into the spermatheca, can be found associated with the external genitalia after mating. For males mating for the first time and with virgin females, the numbers of spermatophore casings found were significantly positively correlated with copulation duration. Casings were not found on the external genitalia after most matings in M. femurrubrum. This study also examined mating behavior in M. differentialis and M. femurrubrum. In both species, mounting followed relatively simple behavior by the male, such as antenna pointing, indicating that the male was aware of a conspecific's presence. No obvious attempts at courtship were observed beyond preparations to mount.</t>
  </si>
  <si>
    <t>Journal of Orthoptera Research</t>
  </si>
  <si>
    <t>60025152;60004923</t>
  </si>
  <si>
    <t>57195621631;6504219415</t>
  </si>
  <si>
    <t>Hinn, Jerry C.;Niedzlek-Feaver, Marianne</t>
  </si>
  <si>
    <t>Cincinnati;Raleigh</t>
  </si>
  <si>
    <t>University of Cincinnati;NC State University</t>
  </si>
  <si>
    <t>Hinn J.</t>
  </si>
  <si>
    <t>Spermatophore number transferred increases linearly with copulation duration in Melanoplus differentialis (Orthoptera: Acrididae)</t>
  </si>
  <si>
    <t>10.1665/1082-6467(2001)010[0147:SNTILW]2.0.CO;2</t>
  </si>
  <si>
    <t>2-s2.0-0012509864</t>
  </si>
  <si>
    <t>['velocity field', 'unique concentration', 'tidal tails', 'tidal features', 'tail star', 'southern tail', 'significant contribution', 'several star', 'previous h', 'possible sites', 'outer length', 'optical tail', 'optical counterpart', 'northern tail', 'none along', 'ngc 4038', 'massive stars', 'main disks', 'main bodies', 'infrared imaging', 'including within', 'gravitating condensation', 'gaseous substructure', 'gas alone', 'forming regions', 'evolved stars', 'enough mass', 'emission associated', 'earlier h', 'dynamical mass', 'dark matter', 'companion system', 'channel h', 'bifurcated structure', 'bending away', 'array h', 'anywhere else', 'antennae ."']</t>
  </si>
  <si>
    <t>Galaxies: evolution | Galaxies: individual (NGC 4038/39) | Galaxies: interactions | Galaxies: ISM | Galaxies: kinematics and dynamics | Galaxies: peculiar</t>
  </si>
  <si>
    <t>We present new VLA C + D array H I observations and optical and near-infrared imaging of the well-known interacting system NGC 4038/39, "The Antennae." At low spatial resolution (‚àº40‚Ä≥), the radio data reach a limiting column density of ‚àº1019 cm-2 (2.5 œÉ), providing significantly deeper mapping of the tidal features than afforded by earlier H I maps. At relatively high spatial resolution (‚àº 10‚Ä≥), the radio data reveal a wealth of gaseous substructure both within the main bodies of the galaxies and along the tidal tails. In agreement with previous H I studies, we find that the northern tail has H I along its outer length but none along its base. We suggest that the H I at the base of this tail has been ionized by massive stars in the disk of NGC 4038. The gas in the southern tail has a bifurcated structure, with one filament lying along the optical tail and another running parallel to it but with no optical counterpart. The two filaments join just before the location of several star-forming regions near the end of the tail. The H I velocity field at the end of the tail is dominated by strong velocity gradients, which suggests that at this location the tail is bending away from us. We delineate and examine two regions within the tail previously identified as possible sites of a so-called tidal dwarf galaxy condensing out of the expanding tidal material. The tail velocity gradients mask any clear kinematic signature of a self-gravitating condensation in this region. A dynamical analysis suggests that there is not enough mass in gas alone for either of these regions to be self-gravitating. Conversely, if they are bound they require a significant contribution to their dynamical mass from evolved stars or dark matter. Even if there are no distinct dynamical tidal entities, it is clear that there is a unique concentration of gas, stars, and star-forming regions within the southern tail: the H I channel maps show clear evidence for a significant condensation near the tail star-forming regions, with the single-channel H I column densities higher than anywhere else in the system, including within the main disks. Finally, the data reveal H I emission associated with the edge-on "superthin" Scd galaxy ESO 572-G045, which lies just beyond the southern tidal tail of The Antennae, showing it to be a companion system.</t>
  </si>
  <si>
    <t>2969-2992</t>
  </si>
  <si>
    <t>60024185;60011173;60019537;60027550</t>
  </si>
  <si>
    <t>7005298115;7003809007;7402288331;55665757400</t>
  </si>
  <si>
    <t>Hibbard, J. E.;Van Der Hulst, J. M.;Barnes, J. E.;Rich, R. M.</t>
  </si>
  <si>
    <t>United States;United States;United States;Netherlands</t>
  </si>
  <si>
    <t>Los Angeles;Charlottesville;Honolulu;Groningen</t>
  </si>
  <si>
    <t>University of California, Los Angeles;National Radio Astronomy Observatory;University Hawaii Institute for Astronomy;University of Groningen, Kapteyn Astronomical Institute</t>
  </si>
  <si>
    <t>60027550;60024185;60019537;60011173</t>
  </si>
  <si>
    <t>Hibbard J.E.</t>
  </si>
  <si>
    <t>High-resolution H I mapping of NGC 4038/39 ("The Antennae") and its tidal dwarf galaxy candidates</t>
  </si>
  <si>
    <t>10.1086/324102</t>
  </si>
  <si>
    <t>2-s2.0-0012682859</t>
  </si>
  <si>
    <t>['using low', 'switching circuit', 'required inductance', 'reflection coefficient', 'radial switches', 'n diodes', 'mount plastic', 'loss bandwidth', 'line switch', 'line impedance', 'insertion loss', 'increased bandwidth', 'implementation results', 'ideal transmission', 'general case', 'encapsulated p', 'diode used', 'cost printed', 'analytical formulas']</t>
  </si>
  <si>
    <t>Microstrip array | Microstrip switch | Wide-band microwave switch</t>
  </si>
  <si>
    <t>This paper presents criteria for the design of radial switches, such as can be used in electronically steered circular array antennas for satellite communications mobile terminals. The choice of the switching circuit and diode used in each channel is discussed and the required inductance for the diode shunt capacitance compensation for lower insertion loss is given. Analytical formulas are derived for the general case of an ideal transmission-line switch to show the dependence of the return-loss bandwidth on the choices of the line impedance. Important optimization criteria for lower insertion loss and increased bandwidth are drawn. The criteria have been used to guide the design of economical i-band microstrip switches for use in INMARSAT/MSAT antenna arrays, using low-cost printed-circuits and surface-mount plastic-encapsulated p-i-n diodes. Implementation results for insertion loss, reflection coefficient, and isolation between channels are reported. ¬© 2001 IEEE.</t>
  </si>
  <si>
    <t>128-132</t>
  </si>
  <si>
    <t>60032619;60032619;60032619</t>
  </si>
  <si>
    <t>55574207016;7004919589;6603053727</t>
  </si>
  <si>
    <t>Wang, Qingyuan;Lecours, Michel;Vergnolle, Claude</t>
  </si>
  <si>
    <t>Quebec</t>
  </si>
  <si>
    <t>Universit√© Laval</t>
  </si>
  <si>
    <t>Wang Q.</t>
  </si>
  <si>
    <t>Criteria for wide-band radial switch design</t>
  </si>
  <si>
    <t>S0018948001000060</t>
  </si>
  <si>
    <t>10.1109/22.899972</t>
  </si>
  <si>
    <t>2-s2.0-0034825417</t>
  </si>
  <si>
    <t>Seventh Framework Programme</t>
  </si>
  <si>
    <t>FP7</t>
  </si>
  <si>
    <t>['two antennas', 'single symbols', 'provide space', 'previous attempts', 'full diversity']</t>
  </si>
  <si>
    <t>Diversity | Multipath channels | Multiple antennas | Space-time codes | Wireless communications</t>
  </si>
  <si>
    <t>It has been shown that a complex orthogonal design that provides full diversity and full transmission rate for a space-time block code is not possible for more than two antennas. Previous attempts have been concentrated in generalizing orthogonal designs which provide space-time block codes with full diversity and a high transmission rate. In this work, we design rate one codes which are quasi-orthogonal and provide partial diversity. The decoder of the proposed codes works with pairs of transmitted symbols instead of single symbols. ¬© 2001 IEEE.</t>
  </si>
  <si>
    <t>60014300-60110605</t>
  </si>
  <si>
    <t>Jafarkhani, Hamid</t>
  </si>
  <si>
    <t>San Jose;San Antonio</t>
  </si>
  <si>
    <t>Broadcom Inc., San Jose;AT&amp;T Inc.</t>
  </si>
  <si>
    <t>60110605;60014300</t>
  </si>
  <si>
    <t>Jafarkhani H.</t>
  </si>
  <si>
    <t>A quasi-orthogonal space-time block code</t>
  </si>
  <si>
    <t>S0090677801002604</t>
  </si>
  <si>
    <t>10.1109/26.898239</t>
  </si>
  <si>
    <t>2-s2.0-0035119053</t>
  </si>
  <si>
    <t>ECS-9809862</t>
  </si>
  <si>
    <t>['well behaved', 'vector potential', 'scalar potential', 'q factors', 'q circles', 'potential integral', 'object penetrates', 'numerical procedure', 'numerical implementation', 'new mixed', 'microstrip circuit', 'lorenz gauge', 'dyadic kernel', 'dr excited', 'dielectric resonator', 'dielectric objects', 'coupling coefficients']</t>
  </si>
  <si>
    <t>Boundary integral equations | Dielectric antennas | Dielectric bodies | Dielectric resonators | Electromagnetic coupling | Green's function | Microstrip circuits | Moment methods | Nonhomogeneous media | Numerical analysis</t>
  </si>
  <si>
    <t>A new mixed-potential integral-equation (MPIE) formulation is developed for the analysis of electromagnetic problems due to conducting or dielectric objects of arbitrary shape embedded in a planarly stratified medium. In the new MPIE formulation, the dyadic kernel of the vector potential is kept in the simple form originally developed by Sommerfeld. The scalar potential, which is related to the vector potential via the Lorenz gauge, is then represented by a double dot product of a dyadic kernel with a dyadic charge density. An extra line integral term, which is well behaved and nonsingular, will appear when the object penetrates an interface. The numerical implementation of the double dot product is found to be trivial if one takes advantage of the well-established basis functions in which the unknown current density is expressed. The new MPIE formulation is employed in conjunction with the triangular patch model to treat the problem of a dielectric resonator (DR) excited by microstrip circuit. A matched-load simulation procedure has been used to extract the network S-parameters of a DR microstrip circuit. The diameters of the Q circles have been measured to determine the coupling coefficients and the Q factors of the DR excited by a microstrip circuit. The validity of the new MPIE formulation and the numerical procedure have been verified by comparing the obtained S-parameters with available measurement data. ¬© 2001 IEEE.</t>
  </si>
  <si>
    <t>263-279</t>
  </si>
  <si>
    <t>7501895411;7004922524;7006839683</t>
  </si>
  <si>
    <t>Chen, Jingyang;Kishk, Ahmed A.;Glisson, Allen W.</t>
  </si>
  <si>
    <t>Applicationof a new MPIE formulation to the analysis of a dielectric resonator embedded in a multilayered medium coupled to a micro strip circuit</t>
  </si>
  <si>
    <t>S0018948001010663</t>
  </si>
  <si>
    <t>10.1109/22.903086</t>
  </si>
  <si>
    <t>2-s2.0-0035249683</t>
  </si>
  <si>
    <t>['waveguide modes', 'waveguide elements', 'scanning range', 'scan applications', 'numerically propagated', 'matching inserts', 'element pattern', 'dielectric regions', 'array problem', 'aperture fields']</t>
  </si>
  <si>
    <t>Matching | Phased array | Waveguide</t>
  </si>
  <si>
    <t>The classical moment method solution of the waveguide-array problem is extended to allow for generally shaped dielectric matching inserts in the waveguide-to-free-space transition region. The aperture electric field is represented in terms of waveguide modes. To account for the presence of the matching inserts, the aperture fields are numerically propagated through the dielectric regions. Novel matching configurations, which extend the scanning range of waveguide elements or can be used to shape the element pattern in limited-scan applications, are proposed and analyzed.</t>
  </si>
  <si>
    <t>355-361</t>
  </si>
  <si>
    <t>Davidovitz, Marat</t>
  </si>
  <si>
    <t>Hanscom AFB</t>
  </si>
  <si>
    <t>Davidovitz M.</t>
  </si>
  <si>
    <t>An approach to analysis of waveguide arrays with shaped dielectric inserts and protrusions</t>
  </si>
  <si>
    <t>S0018948001010778</t>
  </si>
  <si>
    <t>10.1109/22.903097</t>
  </si>
  <si>
    <t>2-s2.0-0035249913</t>
  </si>
  <si>
    <t>['upper dentition', 'specifically designed', 'simulate high', 'resistance could', 'pure translation', 'periodontal ligament', 'pdl ).', 'obvious difference', 'nasomaxillary complex', 'initial displacement', 'initial centres', 'horizontal traction', 'headgear resulted', 'force application', 'facial bones', 'different directions', 'complex displacement', 'araldit 208', '8 n']</t>
  </si>
  <si>
    <t>The purpose of this study was to investigate the initial displacement of the upper dentition and the nasomaxillary complex as a result of different directions of force application, and to determine the initial centres of resistance for both the upper dentition and the nasomaxillary complex. A macerated human skull with a well-aligned upper arch was used as one experimental model and Araldit 208 as a substitute for the periodontal ligament (PDL). Specifically designed 'antenna-headgear' was developed in an attempt to create different points of force application to simulate high-pull and horizontal traction, and orthopaedic force magnitudes of 8 N were applied to the upper dentition and the nasomaxillary complex. Double exposure holography was used to measure the initial displacement. Reproducibility of the technique was tested and found to be reliable. According to the registered fringe patterns, the force application transmitted by the headgear resulted in complex displacement of facial bones. Pure translation of the maxilla and the upper dentition was observed when the force vector passed by in the area of the key-ridge. No obvious difference was found between the centre of resistance of the upper dentition and the nasomaxillary complex. The location of two different centres of resistance could not be confirmed by measuring initial displacements on this macerated human skull.</t>
  </si>
  <si>
    <t>263-273</t>
  </si>
  <si>
    <t>European Journal of Orthodontics</t>
  </si>
  <si>
    <t>;;60033316</t>
  </si>
  <si>
    <t>6506971548;6701599579;7005620653</t>
  </si>
  <si>
    <t>Billiet, Toon;De Pauw, Guy;Dermaut, Luc</t>
  </si>
  <si>
    <t>Ghent</t>
  </si>
  <si>
    <t>Universiteit Gent</t>
  </si>
  <si>
    <t>Billiet T.</t>
  </si>
  <si>
    <t>Location of the centre of resistance of the upper dentition and the nasomaxillary complex. An experimental study</t>
  </si>
  <si>
    <t>10.1093/ejo/23.3.263</t>
  </si>
  <si>
    <t>2-s2.0-0035380249</t>
  </si>
  <si>
    <t>['terminal monosaccharide', 'several n', 'ring product', 'ring fragments', 'ring cleavages', 'ring cleavage', 'relative abundance', 'protonated monosaccharide', 'order ca', 'mass spectrometry', 'major species', 'linked glycans', 'ions produced', 'highest sensitivity', 'cu2 +.', 'copper gave', 'calcium giving', '4a cross', '2a cross']</t>
  </si>
  <si>
    <t>Maltoheptaose and several N-linked glycans were ionized by electrospray as adducts with the divalent cations Mg2+, Ca2+, Mn2+, Co2+ and Cu2+. [M + metal]2+ ions were the major species in all cases with calcium giving the highest sensitivity. In addition, copper gave [M + Cu]+ ions. Other cations gave singly charged ions only by elimination of a protonated monosaccharide. Fragmentation of the [M + metal]2+ ions produced both singly and doubly charged ions with the relative abundance of doubly charged ions decreasing in the order Ca &gt; Mg &gt; Mn &gt; Co &gt; Cu. Singly charged ions were formed by elimination of a protonated monosaccharide residue followed, either by successive monosaccharide residue losses, or by a 2,4A cross-ring cleavage of the reducing-terminal monosaccharide. Formation of doubly charged fragments from [M + metal]2+ ions involved successive monosaccharide-residue losses either with or without O,2A or 2,4A cross-ring cleavages of the reducing-terminal monosaccharide. Abundant diagnostic doubly charged ions formed by loss of the 3-antenna from the O,2A cross-ring product were specific to [M + Ca]2+ ions. Fragmentation of [M + Cu]+ ions was similar to that of the corresponding [M + H]+ ions in that most cross-ring fragments were absent. Copyright ¬© 2001 American Society for Mass Spectrometry.</t>
  </si>
  <si>
    <t>926-937</t>
  </si>
  <si>
    <t>Journal of the American Society for Mass Spectrometry</t>
  </si>
  <si>
    <t>Harvey, David J.</t>
  </si>
  <si>
    <t>University of Oxford Medical Sciences Division</t>
  </si>
  <si>
    <t>Harvey D.J.</t>
  </si>
  <si>
    <t>Ionization and collision-induced fragmentation of N-linked and related carbohydrates using divalent cations</t>
  </si>
  <si>
    <t>S1044030501002689</t>
  </si>
  <si>
    <t>10.1016/S1044-0305(01)00268-9</t>
  </si>
  <si>
    <t>2-s2.0-0035527777</t>
  </si>
  <si>
    <t>['two groups', 'stereomicroscope equipped', 'short nasus', 'reported differences', 'rather similar', 'ocular micrometer', 'nymph intercastes', 'new findings', 'morphometric data', 'morphological characteristics', 'minor soldiers', 'located near', 'individuals came', 'fifteen individuals', 'eucalyptus sp', 'cephalic characters', 'broad head', 'arboreal nest', 'abdominal features', '15 segments', '14 segments']</t>
  </si>
  <si>
    <t>Intermediate forms | Morphometric characters | Termites</t>
  </si>
  <si>
    <t>New findings of soldiers-nymph intercastes of N. aquilinus are reported, with morphometric data and comparisons with nymphs and soldiers from the same colony. The individuals came from an arboreal nest on an Eucalyptus sp. tree, located near a house in the city of Corrientes, Argentina. Intercastes, nymphs, major and minor soldiers (fifteen individuals of each category) were measured with a stereomicroscope equipped with an ocular micrometer. According to its morphological characteristics, the intercastes were separated in two groups. The individuals of the Group I were rather similar to nymphs: broad head, short nasus, fully pigmented eye spots, antennae with 14 and 15 segments (50% of the individuals in each category), well developed wing pads and abdomen with abundant fat tissue. On the contrary, the group II individuals were more similar to soldiers, on the size and form of the head-capsule, the development of nasus and the abdominal features. Antennae with 14 segments were found in 80% of these intercastes, while the rest of them had 15 segments. In spite of the reported differences, the individuals of both groups were closer to major soldiers considering the cephalic characters (LHR, LHW, MWH, HH) and to sexual nymphs regarding the measurements of TBL, MLP, MWP and LHT.</t>
  </si>
  <si>
    <t>389-397</t>
  </si>
  <si>
    <t>Sociobiology</t>
  </si>
  <si>
    <t>60003542;60003542</t>
  </si>
  <si>
    <t>8382800200;55980440600</t>
  </si>
  <si>
    <t>Laffont, Enrique Rafael;Torales, Gladys Josefina</t>
  </si>
  <si>
    <t>Corrientes</t>
  </si>
  <si>
    <t>Universidad Nacional del Nordeste</t>
  </si>
  <si>
    <t>Laffont E.</t>
  </si>
  <si>
    <t>New findings of nymph-soldier intercastes of Nasutitermes aquilinus (Isoptera, Termitidae, Nasutitermitinae)</t>
  </si>
  <si>
    <t>2-s2.0-0035538202</t>
  </si>
  <si>
    <t>['vacuum wall', 'vacuum chamber', 'rf heating', 'possible way', 'poloidal slits', 'interperiodica ".', 'heavy impurities', 'g .,', 'design features']</t>
  </si>
  <si>
    <t>A possible way to affect the influxes of heavy impurities into the plasma of a stellarator with poloidal slits in the vacuum wall (e.g., the W7-AS stellarator) by RF heating of the impurities is discussed. It is shown that the influxes can be reversed in direction by applying a relatively low RF power. The design features of the W7-AS stellarator are such that there is no need to place additional antennas inside the vacuum chamber. ¬© 2001 MAIK "Nauka|Interperiodica".</t>
  </si>
  <si>
    <t>1011-1016</t>
  </si>
  <si>
    <t>Grekov, D. L.</t>
  </si>
  <si>
    <t>Grekov D.</t>
  </si>
  <si>
    <t>One possible way to affect the impurity influx into the plasma of a stellarator with poloidal slits in the vacuum wall</t>
  </si>
  <si>
    <t>10.1134/1.1426134</t>
  </si>
  <si>
    <t>2-s2.0-0035542381</t>
  </si>
  <si>
    <t>['uniramous appendages', 'strongly constrained', 'polyramous antenna', 'leg combinations', 'genotype consisted', 'fruit flies', 'entrenched characters', 'developmental processes', 'created bi']</t>
  </si>
  <si>
    <t>Are evolutionarily entrenched phenotypes highly constrained developmentally? We explored this question in the case of the uniramous appendages of fruit flies. We created bi- and polyramous antenna/leg combinations in four different genotypes. Each genotype consisted of two relevant mutations. We suggest that not all entrenched characters are strongly constrained by developmental processes and that there exists sufficient natural genetic variation to alter highly conserved phenotypes.</t>
  </si>
  <si>
    <t>424-431</t>
  </si>
  <si>
    <t>60016849;60011132;60016849</t>
  </si>
  <si>
    <t>6508245988;7005435099;7202920071</t>
  </si>
  <si>
    <t>Dworkin, Ian M.;Tanda, Soichi;Larsen, Ellen</t>
  </si>
  <si>
    <t>Toronto;Athens</t>
  </si>
  <si>
    <t>University of Toronto;Ohio University</t>
  </si>
  <si>
    <t>60016849;60011132</t>
  </si>
  <si>
    <t>Dworkin I.</t>
  </si>
  <si>
    <t>Are entrenched characters developmentally constrained? Creating biramous limbs in an insect</t>
  </si>
  <si>
    <t>10.1046/j.1525-142X.2001.01047.x</t>
  </si>
  <si>
    <t>2-s2.0-0035544652</t>
  </si>
  <si>
    <t>Enterprise Ireland</t>
  </si>
  <si>
    <t>['spillover losses', 'rights reserved', 'overmoded detector', 'moded systems', 'matching description', 'isotropic impedance', 'frequency instrument', 'first approach', 'coupling efficiency', 'couple independently']</t>
  </si>
  <si>
    <t>Bolometric detectors | Far-IR | Multi-moded horn antennas</t>
  </si>
  <si>
    <t>Multi-moded horn antennas are now being proposed for far-IR space imaging systems in which diffraction limited resolution is not required (e.g. the High-Frequency Instrument (HFI) on the ESA PLANCK Surveyor). In such systems individual modes in the waveguide filter section feeding the horn can couple independently to an overmoded detector (such as a bolometer in an integrating cavity). The number of modes is chosen to optimize the coupling efficiency to the source without compromising any spillover losses. We consider in detail the case of a cylindrically symmetric corrugated configuration, presenting two alternative techniques for modelling such few-moded systems. The first approach is based on a mode-matching description of propagation in a non-uniform waveguide structure, while the second approach makes use of hybrid mode solutions for a waveguide with corrugated walls assuming a uniform but non-isotropic impedance. We present practical examples comparing the radiation patterns predicted by both models. ¬© 2001 Elsevier Science B.V. All rights reserved.</t>
  </si>
  <si>
    <t>515-528</t>
  </si>
  <si>
    <t>60026281;60026281;60026281;60022109;60022109</t>
  </si>
  <si>
    <t>55587645400;6701832445;8329955000;6603609024;7006368713</t>
  </si>
  <si>
    <t>Murphy, J. Anthony;Colgan, Ruth;O'Sullivan, Creidhe;Maffei, Bruno;Ade, Peter</t>
  </si>
  <si>
    <t>Ireland;United Kingdom</t>
  </si>
  <si>
    <t>Maynooth;London</t>
  </si>
  <si>
    <t>Maynooth University;Queen Mary University of London</t>
  </si>
  <si>
    <t>60026281;60022109</t>
  </si>
  <si>
    <t>Murphy J.</t>
  </si>
  <si>
    <t>Radiation patterns of multi-moded corrugated horns for far-IR space applications</t>
  </si>
  <si>
    <t>S1350449501000639</t>
  </si>
  <si>
    <t>10.1016/S1350-4495(01)00063-9</t>
  </si>
  <si>
    <t>2-s2.0-0035546758</t>
  </si>
  <si>
    <t>['thermal component', 'stomata density', 'significantly higher', 'seedlings presented', 'previously dark', 'photosynthetic induction', 'pa signals', 'oxygen evolution', 'leaf thickness', 'interpreted considering', 'higher steady', 'gas uptake', 'cuttings reached', 'cuttings obtained', 'b ratio', 'adult trees']</t>
  </si>
  <si>
    <t>Chlorophyll fluorescence | Clone differences, gas uptake, leaf thickness | Oxygen evolution, photobaric signal | Photothermal signal | Stomata density</t>
  </si>
  <si>
    <t>Photosynthetic induction in leaves of four-month-old Eucalyptus urograndis seedlings and of cuttings obtained from adult trees that were previously dark-adapted was studied by the in vivo and in situ Open Photoacoustic Cell Technique. Results for the gas exchange component of the photoacoustic (PA) signal were interpreted considering that the gas up-take component would have a phase angle nearly opposite to that of the oxygen evolution component. By subtracting the thermal component from the total PA signal, we studied the competition between gas uptake and oxygen evolution during the photosynthetic induction. Seedlings presented a net oxygen evolution prior to cuttings, but cuttings reached a higher steady-state photosynthetic activity. The chlorophyll (Chl) a/b ratio and the Chl fluorescence induction characteristic Fv/Fm were significantly higher for cuttings, while there was no difference between samples in stomata density and leaf thickness. Thus the differences in PA signals of seedlings and cuttings are associated to differences between the photosystem 2 antenna systems of these samples.</t>
  </si>
  <si>
    <t>489-495</t>
  </si>
  <si>
    <t>60008088;60029570;60029570;60029570;60006028</t>
  </si>
  <si>
    <t>6603873464;7003519313;35466586700;35613042200;7006346326</t>
  </si>
  <si>
    <t>Barja, P. R.;Mansanares, A. M.;Da Silva, E. C.;Magalh√£es, A. C.N.;Alves, P. L.C.A.</t>
  </si>
  <si>
    <t>Campinas;Sao Paulo;Sao Paulo</t>
  </si>
  <si>
    <t>Universidade Estadual de Campinas;Universidade de S√£o Paulo;Universidade Estadual Paulista "J√∫lio de Mesquita Filho"</t>
  </si>
  <si>
    <t>60029570;60008088;60006028</t>
  </si>
  <si>
    <t>Barja P.</t>
  </si>
  <si>
    <t>Photosynthetic induction in Eucalyptus urograndis seedlings and cuttings measured by an open photoacoustic cell</t>
  </si>
  <si>
    <t>10.1023/A:1015687525198</t>
  </si>
  <si>
    <t>2-s2.0-0035560456</t>
  </si>
  <si>
    <t>['particular applications']</t>
  </si>
  <si>
    <t>An overview is given on the solutions to the free space electromagnetic problem. The advantages as well as the particular applications of each solution are highlighted.</t>
  </si>
  <si>
    <t>31-32, 35</t>
  </si>
  <si>
    <t>DECEMBER/JANUARY</t>
  </si>
  <si>
    <t>CAD benchmark</t>
  </si>
  <si>
    <t>2-s2.0-0035560710</t>
  </si>
  <si>
    <t>['¬© 2001', 'lobe level', 'antenna array', 'allerton press']</t>
  </si>
  <si>
    <t>A method is proposed for managing the side lobe level in an antenna array on the basis of maximizing a general integral energy functional. It is shown that this maximization substantially reduces the side-lobe level. ¬© 2001 by Allerton Press, Inc.</t>
  </si>
  <si>
    <t>Automatic Control and Computer Sciences</t>
  </si>
  <si>
    <t>100329638;100329638</t>
  </si>
  <si>
    <t>55400504700;8358451900</t>
  </si>
  <si>
    <t>Manuilov, B. P.;Bashli, P. N.</t>
  </si>
  <si>
    <t>Rostov-na-Donu</t>
  </si>
  <si>
    <t>Rostov Mil. Inst. for Rocket Defense</t>
  </si>
  <si>
    <t>Energy optimization and defining the direction pattern of a monopulse antenna array with a low side lobe level</t>
  </si>
  <si>
    <t>2-s2.0-0035563486</t>
  </si>
  <si>
    <t>['solved using', 'programming problem', 'power level', 'optimization models', 'appropriate role', 'also note']</t>
  </si>
  <si>
    <t>Cellular networks | Integer programming | Modeling | Planning</t>
  </si>
  <si>
    <t>Deployment of cellular networks involves substantial capital investment. Competition motivates service providers to minimize these costs while maintaining service quality. We develop a cost-minimizing planning model that simultaneously determines three important variables - base station location, power level and frequency group assignments for the antennas at each selected base station. It can represent different antenna configurations and frequency groups commonly used in practice. The integer-programming problem is solved using a Lagrangian relaxation based heuristic and computational tests indicate good solution quality for reasonably large problems. We also note the appropriate role of such optimization models in the overall planning process.</t>
  </si>
  <si>
    <t>287-306</t>
  </si>
  <si>
    <t>Annals of Operations Research</t>
  </si>
  <si>
    <t>60018319;60018319</t>
  </si>
  <si>
    <t>55735088000;7006644149</t>
  </si>
  <si>
    <t>Dutta, Amitava;Hsu, Vernon</t>
  </si>
  <si>
    <t>Fairfax</t>
  </si>
  <si>
    <t>George Mason University</t>
  </si>
  <si>
    <t>Dutta A.</t>
  </si>
  <si>
    <t>Cellular Network Design Site Selection and Frequency Planning</t>
  </si>
  <si>
    <t>10.1023/A:1014522011336</t>
  </si>
  <si>
    <t>2-s2.0-0035566339</t>
  </si>
  <si>
    <t>['useful antennas', 'relative relevance', 'precisely evaluated', 'practical parameters', 'multilayered media', 'mom ).', 'input impedances', 'function ga', 'connected vertical']</t>
  </si>
  <si>
    <t>Within the framework of a mixed potential integral equation (MPIE) formulation, a precise theoretical treatment of connected vertical and horizontal metallisations embedded in multilayered media is proposed. In particular, it is shown that Sommerfeld's choice for the vector potential Green's function GA can still be applied, provided that additional line integrals are taken into account in the formulation of the method of moments (MoM). The latter are precisely evaluated to ascertain their relative relevance and to quantify their influence on the predictions of practical parameters, such as input impedances, of some useful antennas.</t>
  </si>
  <si>
    <t>365-368</t>
  </si>
  <si>
    <t>60022195;60022195</t>
  </si>
  <si>
    <t>6603352178;7006665188</t>
  </si>
  <si>
    <t>Grzegorczyk, T. M.;Mosig, J. R.</t>
  </si>
  <si>
    <t>Grzegorczyk T.</t>
  </si>
  <si>
    <t>Line charge distributions arising in the integral equation treatment of bent scatterers in stratified media</t>
  </si>
  <si>
    <t>10.1049/ip-map:20010753</t>
  </si>
  <si>
    <t>2-s2.0-0035568943</t>
  </si>
  <si>
    <t>['passband width', 'measured results', 'filter roll', 'beamsplitter generates', 'array dimensions', '30 ghz']</t>
  </si>
  <si>
    <t>The performance of a very low loss frequency selective surface (FSS) comprising two air spaced planar arrays of linear slot elements is reported. The beamsplitter generates a low loss passband response with a very sharp transmission roll-off with frequency. Simulated and measured results in the 30 GHz and 300 GHz wavebands are used to quantify the performance improvement compared to a conventional multilayer dielectrically backed conducting ring FSS. The paper also discusses the effect of the array dimensions on the passband width and filter roll-off rate.</t>
  </si>
  <si>
    <t>7102125229;35562114200;6506670748</t>
  </si>
  <si>
    <t>Cahill, R.;Vardaxoglou, J. C.;Jayawardene, M.</t>
  </si>
  <si>
    <t>Cahill R.</t>
  </si>
  <si>
    <t>Two-layer mm-wave FSS of linear slot elements with low insertion loss</t>
  </si>
  <si>
    <t>10.1049/ip-map:20010767</t>
  </si>
  <si>
    <t>2-s2.0-0035569031</t>
  </si>
  <si>
    <t>['slot antenna', 'return loss', 'results obtained', 'quadrature hybrid', 'polarised antenna', 'planar structures', 'parasitically excited', 'orthogonally located', 'integrated unit', 'computational modelling', 'cavity mode', 'arrangement based']</t>
  </si>
  <si>
    <t>A strip-line fed cavity backed 'quad-slot' antenna is described in which two parallel slot pairs are orthogonally located in the tri-plate ground plane to form the dual-polarised antenna. Two of the orthogonally placed slots are fed from a quadrature hybrid while the other two are parasitically excited by the cavity mode. The hybrid and the slot antenna are designed and constructed as an integrated unit to minimise the return loss into the 'receiver' port and hence maximise antenna sensitivity in passive tagging applications. The results obtained from computational modelling of the arrangement based on the moment method analysis of planar structures is compared with measurement and shown to be substantially in agreement.</t>
  </si>
  <si>
    <t>357-362</t>
  </si>
  <si>
    <t>60019656;60019656;60019656;60019656;60019656</t>
  </si>
  <si>
    <t>7007049394;57214269260;6603899725;12242741000;7401996601</t>
  </si>
  <si>
    <t>Sangster, A. J.;Smith, P.;McErlean, E.;Sinclair, K.;Jacobs, R.</t>
  </si>
  <si>
    <t>Heriot-Watt University</t>
  </si>
  <si>
    <t>Sangster A.</t>
  </si>
  <si>
    <t>Dual-polarised stripline fed slot antenna incorporating signal cancellation</t>
  </si>
  <si>
    <t>10.1049/ip-map:20010768</t>
  </si>
  <si>
    <t>2-s2.0-0035570128</t>
  </si>
  <si>
    <t>['typical characteristics', 'sufficiently close', 'single patch', 'one another', 'mainly realised', 'impedance bandwidth', 'filled substrate', 'equivalent circuit', 'broadband operation', 'broadband feature', 'antenna design', 'antenna achieves', '5 %.', '10 db']</t>
  </si>
  <si>
    <t>A square microstrip patch antenna with broadband operation is demonstrated. With an air-filled substrate of thickness around 0.1Œª0 and one patch edge shorted by three symmetrical shorting pins, the antenna achieves an impedance bandwidth (return loss ‚â§ - 10 dB) of 67.5%. The broadband feature of the antenna is mainly realised by exciting three resonant modes in a single patch and making them sufficiently close to one another. Details of the antenna design, equivalent circuit, and typical characteristics are presented and discussed both theoretically and experimentally.</t>
  </si>
  <si>
    <t>418-422</t>
  </si>
  <si>
    <t>60003196;60003196;60003196</t>
  </si>
  <si>
    <t>57034292300;55540764000;7102038872</t>
  </si>
  <si>
    <t>Wang, Y. J.;Lee, C. K.;Koh, W. J.</t>
  </si>
  <si>
    <t>DSO National Laboratories</t>
  </si>
  <si>
    <t>Single-patch and single-layer square microstrip antenna with 67.5% bandwidth</t>
  </si>
  <si>
    <t>10.1049/ip-map:20010748</t>
  </si>
  <si>
    <t>2-s2.0-0035570131</t>
  </si>
  <si>
    <t>['wideband operation', 'matching network', 'extremely simple', 'cylindrical structure']</t>
  </si>
  <si>
    <t>A new wideband precision direction finding antenna is introduced. A 7-element printed log-periodic dipole array antenna is modified to become a direction finding antenna by bending it into a cylindrical structure. This antenna is extremely simple and there is no need for a matching network for wideband operation. Cardioid radiation patterns are obtained and presented.</t>
  </si>
  <si>
    <t>363-364</t>
  </si>
  <si>
    <t>7401732478;7004839408</t>
  </si>
  <si>
    <t>Liang, X.;Chia, Y. W.M.</t>
  </si>
  <si>
    <t>Liang X.</t>
  </si>
  <si>
    <t>New precision wideband direction finding antenna</t>
  </si>
  <si>
    <t>10.1049/ip-map:20010769</t>
  </si>
  <si>
    <t>2-s2.0-0035570335</t>
  </si>
  <si>
    <t>['wave travelling', 'radial waveguide', 'proposed method', 'practical method', 'data published', 'coupling wires', 'calculated results']</t>
  </si>
  <si>
    <t>A practical method is presented for determining the lengths of the coupling wires (pins) in circular antenna arrays excited by a wave travelling in a radial waveguide. The validity of the proposed method is confirmed by comparing the calculated results with data published in the literature.</t>
  </si>
  <si>
    <t>413-417</t>
  </si>
  <si>
    <t>6602802826;7005691179</t>
  </si>
  <si>
    <t>Pazin, L.;Leviatan, Y.</t>
  </si>
  <si>
    <t>Pazin L.</t>
  </si>
  <si>
    <t>Uniform amplitude excitation of radiating elements in array antenna pin-fed from radial waveguide</t>
  </si>
  <si>
    <t>10.1049/ip-map:20010747</t>
  </si>
  <si>
    <t>2-s2.0-0035570377</t>
  </si>
  <si>
    <t>['waveguide aperture', 'verified using', 'reflection characteristics', 'optimised using', 'optimisation results', 'initially related', 'ground plane', 'edge effects', 'array size', 'array geometry', 'approximate analysis', 'antenna performance', 'analytical formula']</t>
  </si>
  <si>
    <t>A high gain planar antenna has been investigated, using an optimised partially reflecting surface (PRS) placed in front of a waveguide aperture in a ground plane. The antenna performance is initially related to the reflection characteristics of the PRS array following an approximate analysis. The array geometry is optimised using an analytical formula. The optimisation results are verified using a full wave model taking into account the edge effects. The array size for maximum antenna efficiency has also been investigated.</t>
  </si>
  <si>
    <t>345-350</t>
  </si>
  <si>
    <t>60000891;60000891</t>
  </si>
  <si>
    <t>6602642495;35562114200</t>
  </si>
  <si>
    <t>Feresidis, A. P.;Vardaxoglou, J. C.</t>
  </si>
  <si>
    <t>Loughborough</t>
  </si>
  <si>
    <t>Loughborough University</t>
  </si>
  <si>
    <t>Feresidis A.</t>
  </si>
  <si>
    <t>High gain planar antenna using optimised partially reflective surfaces</t>
  </si>
  <si>
    <t>10.1049/ip-map:20010828</t>
  </si>
  <si>
    <t>2-s2.0-0035571798</t>
  </si>
  <si>
    <t>['throws light', 'scan angle', 'obtained simply', 'infinite embedding', 'infinite array', 'formulation given', 'element spacing', 'element must', 'determined numerically', 'answer depends']</t>
  </si>
  <si>
    <t>In this note, the conditions for infinite embedding of an element in a uniform linear array of dipoles are investigated. This relates to how far from the ends of the array the element must be to exhibit an impedance indistinguishably different from what would be the case were it a member of an infinite array with the same inter-element spacing. Not surprisingly, the answer depends on the scan angle and in the general case needs to be determined numerically from the formulation given. However there is one special case for which a fully analytic solution can be obtained simply and this throws light on what is to be expected in other circumstances.</t>
  </si>
  <si>
    <t>147-150</t>
  </si>
  <si>
    <t>Journal of Electrical and Electronics Engineering, Australia</t>
  </si>
  <si>
    <t>Green, Harry E.</t>
  </si>
  <si>
    <t>Green H.E.</t>
  </si>
  <si>
    <t>Infinite embedding in a linear array of dipoles</t>
  </si>
  <si>
    <t>2-s2.0-0035574413</t>
  </si>
  <si>
    <t>['tpdb would', 'simple algorithm', 'schemes based', 'providing two', 'promising candidate', 'novel two', 'multirate ds', 'implementation complexity', 'estimation algorithm', 'downlink transmission', 'downlink capacity', 'computer simulations', 'cdma system', 'capacity performance', 'capacity evaluation', 'based ds', 'base station', 'analysis model', 'also confirmed']</t>
  </si>
  <si>
    <t>Antenna array | Downlink beamforming | DS-CDMA</t>
  </si>
  <si>
    <t>The downlink capacity of frequency division duplex (FDD) based DS-CDMA system can be improved if multielement antenna array is equipped at the base station. In this paper, a novel two-path downlink beamforming (TPDB) scheme is proposed to reduce multiple access interference as well as providing two-order path diversity in downlink. An analysis model is presented for the capacity evaluation of multirate DS-CDMA system with base station antenna array, and the capacity performance of the TPDB is compared with other schemes based on this model. The comparison results show that the TPDB would be a promising candidate for the downlink transmission if both performance and implementation complexity are considered. Moreover, a simple algorithm is proposed for the steering vector estimation in the TPDB, and the robustness of this estimation algorithm in the presence of fading and interference is also confirmed by computer simulations.</t>
  </si>
  <si>
    <t>227-242</t>
  </si>
  <si>
    <t>Zhou, Yan;Chin, Fran√ßois;Liang, Ying Chang;Ko, Chi Chung</t>
  </si>
  <si>
    <t>A low complexity downlink beamforming scheme for DS-CDMA system</t>
  </si>
  <si>
    <t>10.1023/A:1012523019404</t>
  </si>
  <si>
    <t>2-s2.0-0035575862</t>
  </si>
  <si>
    <t>['using small', 'time application', 'reference stations', 'primary ann', 'novel approach', 'mobile station', 'level perceptron', 'known positions', 'improved version', 'first model', 'estimated location', 'data obtained', 'ann multi']</t>
  </si>
  <si>
    <t>Artificial neural network | GSM | Positioning</t>
  </si>
  <si>
    <t>In this paper we present a novel approach to the automatic GSM mobile station location. The approach is based on measurement of radio signal strengths from a number of the neighboring base stations (antennas) and estimation of the mobile station position using trained artificial neural network (ANN) models. First, we present an improved version of our previous positioning back propagation (BP) ANN multi-level perceptron (MLP) model that further improves positioning accuracy. Then, we extend the MLP primary ANN model by introducing correctional factors obtained from a number of reference stations with known positions. Two new models with the improved location accuracy, both aimed at real-time application, are presented. The first model is using differential range to improve the estimated location of the mobile station. The second is using small-scale secondary neural networks trained with data obtained from reference stations, in addition to the primary ANN, to correct location accuracy.</t>
  </si>
  <si>
    <t>205-226</t>
  </si>
  <si>
    <t>Salcic, Zoran</t>
  </si>
  <si>
    <t>Auckland</t>
  </si>
  <si>
    <t>The University of Auckland</t>
  </si>
  <si>
    <t>Salcic Z.</t>
  </si>
  <si>
    <t>GSM mobile station location using reference stations and artificial neural networks</t>
  </si>
  <si>
    <t>10.1023/A:1012597605017</t>
  </si>
  <si>
    <t>2-s2.0-0035576413</t>
  </si>
  <si>
    <t>['terminal antennomere', 'situated beneath', 'several types', 'several species', 'sensory fields', 'sensory field', 'selected hydradephagans', 'particular area', 'palpal apices', 'one family', 'often grouped', 'multiporous plate', 'long sensilla', 'like sensillum', 'like sensilla', 'like projection', 'labial palps', 'hydrocanthus oblongus', 'hydradephaga whereas', 'greatly enlarged', 'either short', 'cuticular collar', 'complex sensillum', 'coleoptera ).', 'antennal surface', 'also located']</t>
  </si>
  <si>
    <t>Aquatic beetles | Cuticular sensory receptors</t>
  </si>
  <si>
    <t>The sensilla on the terminal antennomere of selected Hydradephagans (Coleoptera) are modified in several distinct ways as compared to the sensilla on the terminal antennomere of Geadephagans (Coleoptera). There are no long sensilla of any type on antennae of Hydradephagans, the sensilla are either short, peg-like sensilla that may be recessed in the antennal surface or they are multiporous plate-like sensilla. Multiporous plate-like sensilla have not been found on the antennae of Geadephagans. A pit sensillum occurs on the antennae of one family, Gyrinidae, in the Hydradephaga whereas it is found on the antennae of several species from the families of Geadephaga. The sensilla on the terminal antennomere of Hydradephaga are often grouped into sensory fields that could be located on a particular area of the antennomere. Sensory fields are also located on the apices of the maxillary and labial palps and the most unique sensory fields occur in the Noteridae. The maxillary palpal apex of Hydrocanthus oblongus (Noteridae) is bifurcate and a sensory field with several types of sensilla is at the apex of each branch. The terminal labial palpomere is greatly enlarged and has a long, slender sensory field at the apex and a secondary sensory field on a thumb-like projection. The sensilla on the palpal apices are more diverse and complex in form as compared to the sensilla on the palps of Geadephaga. The most complex sensillum has a cuticular collar and a dome that is divided into six or seven triangular sections. The dome maybe opened or closed and a peg-like sensillum with a very wide apical pore is situated beneath the dome. ¬© 2001 Wiley-Liss, Inc.</t>
  </si>
  <si>
    <t>1059910X</t>
  </si>
  <si>
    <t>Microscopy Research and Technique</t>
  </si>
  <si>
    <t>Baker, Gerald T.</t>
  </si>
  <si>
    <t>Distribution patterns and morphology of sensilla on the apical segment of the antennae and palpi of hydradephaga (Coleoptera: Adephaga)</t>
  </si>
  <si>
    <t>10.1002/jemt.1181</t>
  </si>
  <si>
    <t>2-s2.0-0035576446</t>
  </si>
  <si>
    <t>['various kinds', 'undefined number', 'ultrastructural investigations', 'strongly suggest', 'still needed', 'socket sensillum', 'sheath cells', 'sensory neurons', 'remarkable number', 'release sites', 'parasitic wasps', 'numerous pores', 'new terminology', 'multiporous sensilla', 'multiporous plates', 'movable structures', 'morphological characters', 'gustatory function', 'found exclusively', 'female antennae', 'exocrine glands', 'different functions', 'cellular components', 'behavioral observations', 'antennal plates']</t>
  </si>
  <si>
    <t>Accessory glands | Multiporous plates | Platygastridae | Scelionidae | Semiochemicals | Ultrastructure</t>
  </si>
  <si>
    <t>In parasitic wasps, various kinds of antennal plates have been interpreted as olfactory organs due to the presence of numerous pores. However, on the basis of ultrastructural investigations, some of these multiporous plates were revealed as being release sites of exocrine glands while others were postulated to have a gustatory function. Such sensilla, present only on female antennae, show unique features, found exclusively in Platygastroidea, with some differences between Scelionidae and Platygastridae. The cuticular apparatus consists of a short basiconic shaft with an apical multiporous area, the pores of which are covered by movable structures. The cellular components are made up of a remarkable number of sensory neurons, from 200 to 220, and an undefined number of sheath cells. These multiporous sensilla have tubular accessory glands that release their secretion through the socket sensillum only in scelionids. These morphological characters, combined with behavioral observations, strongly suggest a gustatory function, although electrophysiological studies are still needed to confirm this. A new terminology for antennal multiporous plates is discussed in relation to their different functions. ¬© 2001 Wiley-Liss, Inc.</t>
  </si>
  <si>
    <t>350-358</t>
  </si>
  <si>
    <t>60031624;60003003;60003003</t>
  </si>
  <si>
    <t>6602746609;7005718466;55538304000</t>
  </si>
  <si>
    <t>Isidoro, Nunzio;Romani, Roberto;Bin, Ferdinando</t>
  </si>
  <si>
    <t>Ancona;Perugia</t>
  </si>
  <si>
    <t>Universit√† Politecnica delle Marche;Universit√† degli Studi di Perugia</t>
  </si>
  <si>
    <t>60031624;60003003</t>
  </si>
  <si>
    <t>Isidoro N.</t>
  </si>
  <si>
    <t>Antennal multiporous sensilla: Their gustatory features for host recognition in female parasitic wasps (insecta, hymenoptera: Platygastroidea)</t>
  </si>
  <si>
    <t>10.1002/jemt.1183</t>
  </si>
  <si>
    <t>2-s2.0-0035576904</t>
  </si>
  <si>
    <t>['two subtypes', 'total numbers', 'three types', 'sensilla trichodea', 'sensilla coeloconica', 'sensilla chaetica', 'sensilla campaniformia', 'sensilla basiconica', 'sensilla auricillica', 'possible function', 'olfactory trichoid', 'odours perceived', 'nine flagellomeres', 'hunting predominantly', 'ground beetles', 'four subtypes', 'five subtypes', 'diurnal activity', 'distribution pattern', 'beetles consist', 'approximately 1', 'antennal sensilla', '800 pegs', '000 hairs']</t>
  </si>
  <si>
    <t>Antennae | Distribution pattern | Number | SEM | Sensilla | Typology</t>
  </si>
  <si>
    <t>The typology, number, and distribution pattern of antennal sensilla of the ground beetle Platynus dorsalis (Pontoppidan) (Coleoptera, Carabidae) were studied using scanning electron microscopy. The 4.3-4.6-mm-long filiform antennae of the beetles consist of the scape, pedicel, and nine flagellomeres. In both sexes, four subtypes of sensilla chaetica, five subtypes of sensilla basiconica, sensilla trichodea, two subtypes of sensilla campaniformia, sensilla auricillica, and sensilla coeloconica were distinguished. The possible function of the sensilla was discussed and three types of sensilla were considered as olfactory, sensilla trichodea and sensilla basiconica types 1 and 2. Olfactory sensilla form two separate, dorsal and ventral, fields of sensilla on the flagellomeres, which seems to be common in ground beetles. The total numbers of olfactory trichoid (approximately 1,000 hairs) and basiconic sensilla type 1 (1,700-1,800 pegs) on the antennae of P. dorsalis are 5-7 times higher than on the antennae of the ground beetle Bembidion lampros, suggesting that nocturnally active P. dorsalis is much more sensitive to odours perceived by these sensilla than B. lampros with diurnal activity and hunting predominantly by sight. No remarkable sexual differences in the types, numbers, and distribution of antennal sensilla were found in P. dorsalis. ¬© 2001 Wiley-Liss, Inc.</t>
  </si>
  <si>
    <t>339-349</t>
  </si>
  <si>
    <t>60068854;60068854;60068854;60068880;60068856</t>
  </si>
  <si>
    <t>6602410812;6507901694;7006419065;6602227559;7004105800</t>
  </si>
  <si>
    <t>Merivee, Enno;Ploomi, Angela;Luik, Anne;Rahi, M√§rt;Sammelselg, V√§ino</t>
  </si>
  <si>
    <t>Estonia;Estonia;Estonia</t>
  </si>
  <si>
    <t>Tartu;Tartu;Tartu</t>
  </si>
  <si>
    <t>Zooloogia Ja Botaanika Instituut;Tartu √úlikool;Estonian University of Life Sciences</t>
  </si>
  <si>
    <t>60068880;60068856;60068854</t>
  </si>
  <si>
    <t>Merivee E.</t>
  </si>
  <si>
    <t>Antennal sensilla of the ground beetle Platynus dorsalis (pontoppidan, 1763) (coleoptera, carabidae)</t>
  </si>
  <si>
    <t>10.1002/jemt.1182</t>
  </si>
  <si>
    <t>2-s2.0-0035577070</t>
  </si>
  <si>
    <t>['two trichoid', 'two coeloconic', 'two basiconic', 'trichoid sensilla', 'single annulus', 'orcs ).', 'one auriculate', 'narrow range', 'latter type', 'large panel', 'former type', 'first type', 'electrophysiological responses', 'either one', 'coeloconic type', 'broad range', 'averages 38', 'anterograde labeling', 'antennal lobe', 'antennal flagellum', 'annulus 21', '40 œºm', '216 sensilla']</t>
  </si>
  <si>
    <t>Antennal lobe | Chemosensory | Electron microscopy | Electrophysiology | Receptor cell</t>
  </si>
  <si>
    <t>The antennal flagellum of female Manduca sexta bears eight sensillum types: two trichoid, two basiconic, one auriculate, two coeloconic, and one styliform complex sensilla. The first type of trichoid sensillum averages 34 Œºm in length and is innervated by two sensory cells. The second type averages 26 Œºm in length and is innervated by either one or three sensory cells. The first type of basiconic sensillum averages 22 Œºm in length, while the second type averages 15 Œºm in length. Both types are innervated by three bipolar sensory cells. The auriculate sensillum averages 4 Œºm in length and is innervated by two bipolar sensory cells. The coeloconic type-A and type-B both average 2 Œºm in length. The former type is innervated by five bipolar sensory cells, while the latter type, by three bipolar sensory cells. The styliform complex sensillum occurs singly on each annulus and averages 38-40 Œºm in length. It is formed by several contiguous sensilla. Each unit is innervated by three bipolar sensory cells. A total of 2,216 sensilla were found on a single annulus (annulus 21) of the flagellum. Electrophysiological responses from type-A trichoid sensilla to a large panel of volatile odorants revealed three different subsets of olfactory receptor cells (ORCs). Two subsets responded strongly to only a narrow range of odorants, while the third responded strongly to a broad range of odorants. Anterograde labeling of ORCs from type-A trichoid sensilla revealed that their axons projected mainly to two large female glomeruli of the antennal lobe. ¬© 2001 Wiley-Liss, Inc.</t>
  </si>
  <si>
    <t>307-329</t>
  </si>
  <si>
    <t>60004092;60023324</t>
  </si>
  <si>
    <t>Shields, Vonnie D.C.;Hildebrand, John G.</t>
  </si>
  <si>
    <t>Recent advances in insect olfaction, specifically regarding the morphology and sensory physiology of antennal sensilla of the female sphinx moth Manduca sexta</t>
  </si>
  <si>
    <t>10.1002/jemt.1180</t>
  </si>
  <si>
    <t>2-s2.0-0035577496</t>
  </si>
  <si>
    <t>['putative odorant', 'possible evolution', 'olfactory sensilla', 'obps ),', 'obp localization', 'obp expression', 'maxillary palp', 'insect species', 'expression mosaic', 'electron microscope', 'drosophila melanogaster', 'binding proteins']</t>
  </si>
  <si>
    <t>Antenna | Immunoelectron microscopy | Maxillary palp | Olfaction | Sensillum basiconicum | Sensillum coeloconicum | Sensillum trichodeum</t>
  </si>
  <si>
    <t>Deciphering the genome of the fruitfly, Drosophila melanogaster, has revealed 39 genes coding for putative odorant-binding proteins (OBPs), more than are known at present for any other insect species. Using specific antibodies, the expression mosaic of five such OBPs (OS-E, OS-F, LUSH, PBPRP2, PBPRP5) on the antenna and maxillary palp has been mapped in the electron microscope. It was found that (1) OBP expression does correlate with morphological sensillum types and subtypes, (2) several OBPs may be co-localized in the same sensillum, and (3) OBP localization is not restricted to olfactory sensilla. The expression of PBPRP2 in antennal epidermis sheds some light on the possible evolution of OBPs. ¬© 2001 Wiley-Liss, Inc.</t>
  </si>
  <si>
    <t>297-306</t>
  </si>
  <si>
    <t>60005460-60031855;60005455;60014739;60028970;60005455;60028970;60014739;60005460</t>
  </si>
  <si>
    <t>7004021722;6602791023;57218082373;7501839480;7402114946;6701781315;7410359171;7003953871</t>
  </si>
  <si>
    <t>Shanbhag, S. R.;Hekmat-Scafe, D.;Kim, M. S.;Park, S. K.;Carlson, J. R.;Pikielny, C.;Smith, D. P.;Steinbrecht, R. A.</t>
  </si>
  <si>
    <t>India;United States;United States;Germany;United States</t>
  </si>
  <si>
    <t>Mumbai;Piscataway;Dallas;Pocking;New Haven</t>
  </si>
  <si>
    <t>Tata Institute of Fundamental Research, Mumbai;Rutgers Robert Wood Johnson Medical School;UT Southwestern Medical School;Max Planck Institute for Ornithology;Yale University</t>
  </si>
  <si>
    <t>60031855;60028970;60014739;60005460;60005455</t>
  </si>
  <si>
    <t>Shanbhag S.R.</t>
  </si>
  <si>
    <t>Expression mosaic of odorant-binding proteins in Drosophila olfactory organs</t>
  </si>
  <si>
    <t>10.1002/jemt.1179</t>
  </si>
  <si>
    <t>2-s2.0-0035577788</t>
  </si>
  <si>
    <t>MEXT</t>
  </si>
  <si>
    <t>['structured oligoporphyrin', 'separated state', 'obtained results', 'long lifetime', 'high efficiency', 'gold surface', 'chemical bonds', 'assembled monolayer', 'antenna chlorophylls']</t>
  </si>
  <si>
    <t>C -(porphyrin)-(ferrocene) 60 | Porphyrin oligomer with 21 porphyrin units | Self-assembled monolayer</t>
  </si>
  <si>
    <t>Guidelines for the design of molecules with a long lifetime of the charge-separated state and for the formation of a self-assembled monolayer were studied by preparing various model compounds linking donor and acceptor with chemical bonds. Based on the obtained results we designed and prepared the SAMs of C60-(porphyrin)-(ferrocene)-(CH2)11SH on a gold surface and observed a photocurrent with high efficiency (25% quantum yield). In addition, a well-defined, rigid-sheet-structured oligoporphyrin with 21 porphyrin chromophores was prepared as a model for antenna chlorophylls.</t>
  </si>
  <si>
    <t>31-36</t>
  </si>
  <si>
    <t>Journal of Inclusion Phenomena</t>
  </si>
  <si>
    <t>35427031400;7006272128;7203087315</t>
  </si>
  <si>
    <t>Sakata, Yoshiteru;Imahori, Hiroshi;Sugiura, Ken Ichi</t>
  </si>
  <si>
    <t>Sakata Y.</t>
  </si>
  <si>
    <t>Molecule-based artificial photosynthesis</t>
  </si>
  <si>
    <t>10.1023/A:1014473722233</t>
  </si>
  <si>
    <t>2-s2.0-0035605591</t>
  </si>
  <si>
    <t>['water medium', 'receiver antenna', 'new source', 'lossy media', 'layer depth', 'first results', 'experimental research', 'effective depth', 'effect consist', 'dependence deff', 'antenna parameters']</t>
  </si>
  <si>
    <t>The near field effect has been discovered in thermal radio emission of lossy media. The effect consist in the fact that the effective depth of the received emission formation layer deff proves to be less than the skin-layer depth and depends on the size of receiver antenna and its height above the medium surface h. The dependence deff(D,h) has been obtained from measurements of the emission of temperature stratified water medium at wavelength 31 cm using a specially developed electrically small antenna. The results of experimental research of antenna parameters are presented. We propose to use the measurements of received emission dependence on D and h as a new source of information about depth temperature distribution. Methods of the solution of corresponding inverse problems have been developed and the first results of subsurface temperature profile retrieval in the water medium have been obtained.</t>
  </si>
  <si>
    <t>263-270</t>
  </si>
  <si>
    <t>Physics of Low-Dimensional Structures</t>
  </si>
  <si>
    <t>60115148;60115148;60115148;60115148</t>
  </si>
  <si>
    <t>7003967651;7004434939;7005400467;6602562983</t>
  </si>
  <si>
    <t>Gaikovich, K. P.;Reznik, A. N.;Vaks, V. L.;Yurasova, N. V.</t>
  </si>
  <si>
    <t>Kstovo</t>
  </si>
  <si>
    <t>The Institute for Physics of Microstructures of the Russian Academy of Sciences</t>
  </si>
  <si>
    <t>Gaikovich K.</t>
  </si>
  <si>
    <t>Microwave Near-Field Subsurface Radiothermometry</t>
  </si>
  <si>
    <t>2-s2.0-0035615176</t>
  </si>
  <si>
    <t>97-1372</t>
  </si>
  <si>
    <t>['thermal motion', 'stable plasma', 'space plasma', 'simple formula', 'regular medium', 'random irregularities', 'point source', 'mean field', 'irregular plasma', 'ionospheric conditions', 'investigated using', 'homogeneous plasma', 'electron density', 'electromagnetic radiation', 'effectively used', 'direct calculation', 'correlation function', 'calculate numerically', 'born approximation', 'basic properties', 'analytical point', 'ambient particles', 'always present', '2000 ),', '1989 ).', '1968 ),']</t>
  </si>
  <si>
    <t>Basic properties of quasi-thermal noise spectrum in irregular plasma have been investigated using an analytical point of view. A simple formula for the plasma frequency splitting effect has been obtained for ionospheric conditions. A passive electric antenna, immersed in a stable plasma, detects the fluctuations of the electric potential due to thermal motion of the ambient particles. Properties of this quasi-thermal noise spectrum in homogeneous plasma are relatively well known and are effectively used for diagnostics of space plasma (Aksenov et al., 1978; Trakhtengerts and Chugunov, 1978; Kellog, 1981; Meyer-Vernet and Perche, 1989). Especially, in the Earth's ionosphere or solar wind plasma, random irregularities of electron density are always present. These irregularities may substantially change properties of these media through electromagnetic radiation and may also modify quasi-thermal noise spectrum, which depends on the effective dielectric permittivity tensor. This tensor is defined as the dielectric permittivity tensor of some imaginary 'effective' regular medium in which the field of point source is the same as the mean field in the medium with random irregularities (Ryzhov, Tamoikin and Tatarskii, 1965; Ryzhov 1968). Since the correlation function of electric field fluctuations in random medium may be expressed through the effective dielectric constant tensor (Ryzhov, 1968), it may be used for direct calculation of quasi-thermal noise spectrum. In Zabotin et al. (2000), the Born approximation was used to calculate numerically the effective dielectric permittivity tensor and the modified noise spectrum while we analytically estimate herein the modified noise spectrum.</t>
  </si>
  <si>
    <t>319-322</t>
  </si>
  <si>
    <t>60025383;60025383;60011774;60011774</t>
  </si>
  <si>
    <t>6603728715;6603464091;7004417147;57214301844</t>
  </si>
  <si>
    <t>Zabotin, Nikolay A.;Bronin, Andrey G.;Chugunov, Yury V.;Mareev, Evgene A.</t>
  </si>
  <si>
    <t>Rostov-on-Don;Nizhny Novgorod</t>
  </si>
  <si>
    <t>Southern Federal University;Institute of Applied Physics of the Russian Academy of Sciences</t>
  </si>
  <si>
    <t>60025383;60011774</t>
  </si>
  <si>
    <t>Zabotin N.A.</t>
  </si>
  <si>
    <t>Analytical approach to calculate quasi-thermal noise spectrum in irregular plasma</t>
  </si>
  <si>
    <t>10.1023/A:1012294101017</t>
  </si>
  <si>
    <t>2-s2.0-0035621649</t>
  </si>
  <si>
    <t>['separation facilities', 'selection principles', 'necessary conditions', 'isotope separation', 'heating selectivity', 'heated component', 'contemporary state', 'antenna systems']</t>
  </si>
  <si>
    <t>Contemporary state of investigations on isotope separation in plasma using selective ion-cyclotron resonance heating (ICR) is considered. The most attention is paid to the necessary conditions of heating selectivity, plasma creation methods in isotopes, ICR-separation facilities, and the selection of antenna systems for the heating and selection principles of more heated component. Experimental results obtained at different isotope mixtures separation are presented. Copyright ¬© 2001 by Dubinov, Kornilova, Selemir.</t>
  </si>
  <si>
    <t>443-452</t>
  </si>
  <si>
    <t>Physics of Particles and Nuclei</t>
  </si>
  <si>
    <t>60069258;60069258;60069258</t>
  </si>
  <si>
    <t>7006063366;6603726216;7005751529</t>
  </si>
  <si>
    <t>Dubinov, A. E.;Kornilova, I. Yu;Selemir, V. D.</t>
  </si>
  <si>
    <t>Sarov</t>
  </si>
  <si>
    <t>All-Russian Research Institute of Experimental Physics</t>
  </si>
  <si>
    <t>Dubinov A.E.</t>
  </si>
  <si>
    <t>Isotope separation in plasmas by the ion-cyclotron resonance method</t>
  </si>
  <si>
    <t>2-s2.0-0035628436</t>
  </si>
  <si>
    <t>N 97-1372</t>
  </si>
  <si>
    <t>['wind spacecraft', 'used particularly', 'thermal noise', 'spacecraft potential', 'space plasmas', 'situ diagnostics', 'qtn data', 'present paper', 'photoelectron perturbations', 'magnetized plasmas', 'especially complicated', 'effective tools', 'dipole antenna', 'different conditions', 'data acquired', '1978 ).']</t>
  </si>
  <si>
    <t>Quasi-thermal noise (QTN) spectroscopy is one of the most effective tools for in situ diagnostics in space plasmas (Meyer-Vernet et al., 1998; Meyer-Vernet and Perche, 1989; Chugunov and Trakhtengerts, 1978). This method produces routine measurements of the bulk electron density and temperature; recently it has been extended to measure the ion bulk speed. Among the advantages of the method its immunity to spacecraft potential and photoelectron perturbations should be noted. Quasi-thermal noise spectroscopy is used particularly on Ulysses and Wind. However for the interpretation of QTN data the calculation of the noise voltage induced on antennas under different conditions is necessary. This question is especially complicated and so far insufficiently studied in magnetized plasmas. In the present paper we calculate the spectrum of the noise voltage induced on a dipole antenna in the upper hybrid frequency range. The computations are adapted to the interpretation of data acquired on the Ulysses and Wind spacecraft.</t>
  </si>
  <si>
    <t>313-316</t>
  </si>
  <si>
    <t>60011774;60011774;60011774;60003674;60003674;60003674</t>
  </si>
  <si>
    <t>7004417147;6601977296;57214301844;6603343012;55928618200;6603962056</t>
  </si>
  <si>
    <t>Chugunov, Yury V.;Kazarova, Anna Yu;Mareev, Eugene A.;Moncuquet, Michel;Issautier, Karine;Meyer-Vernet, Nicole</t>
  </si>
  <si>
    <t>Russian Federation;France</t>
  </si>
  <si>
    <t>Nizhny Novgorod;Paris</t>
  </si>
  <si>
    <t>Institute of Applied Physics of the Russian Academy of Sciences;L'Observatoire de Paris</t>
  </si>
  <si>
    <t>60011774;60003674</t>
  </si>
  <si>
    <t>Quasi-thermal noise spectra measured by a dipole antenna in the upper hybrid frequency band</t>
  </si>
  <si>
    <t>10.1023/A:1012285814221</t>
  </si>
  <si>
    <t>2-s2.0-0035643737</t>
  </si>
  <si>
    <t>['size range', 'organized multi', 'large distances', 'incident light', 'fine tuning', 'external device', 'excitation energy', 'component arrangement', '3000 nm']</t>
  </si>
  <si>
    <t>Energy migration | Energy transfer | Light harvesting | Supramolecular | Zeolite L</t>
  </si>
  <si>
    <t>A photonic antenna system is an organized multi-component arrangement in which several chromophoric molecular species absorb the incident light and channel the excitation energy to a common acceptor component. Photonic antenna materials, based on dye-zeolite L composites, collect excitation energy and transport it over large distances. Fine tuning of dye-loaded zeolite L photonic antenna materials in the size range of 30-3000 nm was realized. Stationary and time-resolved luminescence experiments on an ensemble and space and time resolved luminescence measurements on single crystal antenna materials have been carried out. Coupling of the photonic antenna information to an external device is in progress.</t>
  </si>
  <si>
    <t>1009-1013</t>
  </si>
  <si>
    <t>Chimia</t>
  </si>
  <si>
    <t>Calzaferri, Gion</t>
  </si>
  <si>
    <t>Calzaferri G.</t>
  </si>
  <si>
    <t>Organic-inorganic composites as photonic antenna</t>
  </si>
  <si>
    <t>2-s2.0-0035655451</t>
  </si>
  <si>
    <t>['wide gaps', 'tree seedlings', 'successional status', 'succession species', 'succession plants', 'species exhibited', 'simulated tree', 'similar degree', 'shade cloth', 'several pioneer', 'results demonstrate', 'reduced size', 'reduced photoinhibition', 'plants exhibited', 'plants acclimated', 'pioneer species', 'pioneer plants', 'periodic high', 'neotropical forest', 'much stronger', 'may contribute', 'maximum chl', 'light stress', 'light conditions', 'large gaps', 'increased chl', 'higher contents', 'high value', 'gap size', 'full sunlight', 'frames covered', 'fm ).', 'extractable uv', 'direct sunlight', 'different widths', 'better performance', 'b ratios', 'b ratio', 'also increased', 'absorbing substances', 'absorbing compounds']</t>
  </si>
  <si>
    <t>Carotenoids | Chloropbyll fluorescence | Photoinhibition | Photosystem II | UV-B-absorbing compounds | Xanthophyll cycle</t>
  </si>
  <si>
    <t>Acclimation to periodic high-light stress was studied in tree seedlings from a neotropical forest. Seedlings of several pioneer and late-succession species were cultivated under simulated tree-fall gap conditions; they were placed under frames covered with shade cloth with apertures of different widths that permitted defined periods of daily leaf exposure to direct sunlight. During direct sun exposure, all plants exhibited a marked reversible decline in potential photosystem II (PSII) efficiency, determined by means of the ratio of variable to maximum Chl a fluorescence (Fv/Fm). The decline in Fv/Fm under full sunlight was much stronger in late-succession than in pioneer species. For each gap size, all species exhibited a similar degree of de-epoxidation of violaxanthin in direct sunlight and similar pool sizes of xanthophyll cycle pigments. Pool sizes increased with increasing gap size. Pioneer plants possessed high levels of Œ≤-carotene that also increased with gap size, whereas Œ±-carotene decreased. In contrast to late-succession plants, pioneer plants were capable of adjusting their Chl a/b ratio to a high value in wide gaps. The content of extractable UV-B-absorbing compounds was highest in the plants acclimated to large gaps and did not depend on the successional status of the plants. The results demonstrate a better performance of pioneer species under high-light conditions as compared with late-succession plants, manifested by reduced photoinhibition of PSII in pioneer species. This was not related to increased pool size and turnover of xanthophyll cycle pigments, nor to higher contents of UV-B-absorbing substances. High Œ≤-carotene levels and increased Chl a/b ratios, i.e. reduced size of the Chl a and b binding antennae, may contribute to photoprotection in pioneer species.</t>
  </si>
  <si>
    <t>1345-1352</t>
  </si>
  <si>
    <t>Plant, Cell and Environment</t>
  </si>
  <si>
    <t>60025310;60025310;60000745;60030522</t>
  </si>
  <si>
    <t>7202049459;7006378737;7003357337;7102196432</t>
  </si>
  <si>
    <t>Krause, G. H.;Koroleva, O. Y.;Dalling, J. W.;Winter, K.</t>
  </si>
  <si>
    <t>Washington, D.C.;Dusseldorf;Urbana</t>
  </si>
  <si>
    <t>Smithsonian Tropical Research Institute;Heinrich-Heine-Universit√§t D√ºsseldorf;University of Illinois Urbana-Champaign</t>
  </si>
  <si>
    <t>60030522;60025310;60000745</t>
  </si>
  <si>
    <t>Krause G.</t>
  </si>
  <si>
    <t>Acclimation of tropical tree seedlings to excessive light in simulated tree-fall gaps</t>
  </si>
  <si>
    <t>10.1046/j.0016-8025.2001.00786.x</t>
  </si>
  <si>
    <t>2-s2.0-0035659075</t>
  </si>
  <si>
    <t>Univerzita Palack√©ho v Olomouci</t>
  </si>
  <si>
    <t>3150 3012</t>
  </si>
  <si>
    <t>['wheat leaves', 'thylakoid membrane', 'several methods', 'photosystem ii', 'new method', 'light excitation', 'four types', 'fitted simultaneously', 'different structure', 'different intensities', 'antenna heterogeneity']</t>
  </si>
  <si>
    <t>Connectivity | DCMU | Fluorescence induction | Model | PS II antenna heterogeneity</t>
  </si>
  <si>
    <t>Several methods for determination of the antenna heterogeneity of Photosystem II from fluorescence rise curves measured with DCMU have been developed so far. Using these methods, two, three or four types of Photosystem II with respect to the antenna heterogeneity were determined. However, the accuracy of some of these methods is under debate. Here, we present a new method for the determination of the antenna heterogeneity of Photosystem II. The method is based on direct simultaneous fitting of several fluorescence rise curves measured with DCMU at different intensities of light excitation. As several curves measured under different light conditions are fitted simultaneously by the same model, reliability and accuracy in determination of model parameters increase. Our method was applied to two plant materials with different structure of the thylakoid membrane: wheat leaves and cells of green alga Chlamydomonas reinhardtii.</t>
  </si>
  <si>
    <t>247-257</t>
  </si>
  <si>
    <t>60003367-60009424;60003367;60003367;60003367</t>
  </si>
  <si>
    <t>35234137600;6603219820;56004052800;7003863450</t>
  </si>
  <si>
    <t>Laz√°r, Du≈°an;Tomek, Pavel;Il√≠k, Petr;Nau≈°, Jan</t>
  </si>
  <si>
    <t>Czech Republic;Czech Republic</t>
  </si>
  <si>
    <t>Ceske Budejovice;Olomouc</t>
  </si>
  <si>
    <t>Jihoƒçesk√° Univerzita v ƒåesk√Ωch Budƒõjovic√≠ch;Univerzita Palack√©ho v Olomouci</t>
  </si>
  <si>
    <t>60009424;60003367</t>
  </si>
  <si>
    <t>Laz√°r D.</t>
  </si>
  <si>
    <t>Determination of the antenna heterogeneity of Photosystem II by direct simultaneous fitting of several fluorescence rise curves measured with DCMU at different light intensities</t>
  </si>
  <si>
    <t>10.1023/A:1012973402023</t>
  </si>
  <si>
    <t>2-s2.0-0035661406</t>
  </si>
  <si>
    <t>['voltage high', 'v characteristics', 'periodic antenna', 'mixer device', 'frequency band', 'electrodes patterned', 'critical current', 'ambient temperature', '970 ghz', '5 k', '2 ghz', '1 mv']</t>
  </si>
  <si>
    <t>The first experimental data are presented on the observation of a response of a noise signal applied to a tunable-by-voltage high-TC Josephson mixer operating in a self-pumping mode within the frequency band of f = 750-970 GHz at ambient temperature T = 12.5 K. The mixer device was a thin-film YBaCuO bicrystal Josephson junction coupled with the electrodes patterned in log-periodic antenna. Experimental junctions exhibit RSJ-like I-V characteristics with a product of ICRN ‚âà 2 mV (IC is the critical current and RN is the normal state resistance). Down-converted signal response was examined at an intermediate frequency band within 1-2 GHz by means of the Fourier transform spectroscopy technique. Evaluated from Fourier transform spectrograms clear double-side band mixer response functions were registered at any of the fixed bias voltages in the range of V = 1.65-2.1 mV.</t>
  </si>
  <si>
    <t>1005-1008</t>
  </si>
  <si>
    <t>Superconductor Science and Technology</t>
  </si>
  <si>
    <t>60029225;60029225;60029225;60001512</t>
  </si>
  <si>
    <t>6701751755;7006421840;7004994812;6701611551</t>
  </si>
  <si>
    <t>Constantinian, Karen Y.;Ovsyannikov, Gennady A.;Borisenko, Igor V.;Yagoubov, Pavel</t>
  </si>
  <si>
    <t>Moscow;Utrecht</t>
  </si>
  <si>
    <t>Kotelnikov Institute of Radioengineering and Electronics (IRE) of Russian Academy of Sciences;SRON Netherlands Institute for Space Research</t>
  </si>
  <si>
    <t>60029225;60001512</t>
  </si>
  <si>
    <t>Constantinian K.</t>
  </si>
  <si>
    <t>Observation of a voltage-tunable sub-mm wave response from a YBCO josephson device, operating in self-pumping mode</t>
  </si>
  <si>
    <t>S0953204801273503</t>
  </si>
  <si>
    <t>10.1088/0953-2048/14/12/304</t>
  </si>
  <si>
    <t>2-s2.0-0035668155</t>
  </si>
  <si>
    <t>['phase shifters', 'mems switches', 'mems devices', 'large number', 'input characteristics', 'employing rf', 'design concepts', 'connected segments', 'communications satellites', 'beam width', 'based radars', 'antenna geometry', 'also discussed', '63 ¬∞', '25 ¬∞']</t>
  </si>
  <si>
    <t>In this paper, design concepts of reconfigurable and electronically steered antennas based on a new fractal antenna and RF-MEMS devices are presented. As modern telecommunications extend towards higher frequencies, the advantages of employing RF-MEMS switches, phase shifters, and miniaturized fractal antennas become more significant. The input characteristics of the Hilbert curve fractal antenna can be made frequency agile by incorporating RF switches along its length. In addition, due to the large number of connected segments in this antenna geometry, reconfigurable radiation characteristics can be obtained by adding just a few additional line segments to interconnect these through semiconductor or RF-MEMS switches. The beam peak direction can be shifted by 63¬∞ and the beam width can be changed by up to 25¬∞ by this approach. An electronically steered antenna with micromachined phase shifters using tunable ferroelectric barium strontium titanate thin film is also discussed. These MEMS-based antenna systems find applications in communications satellites and electronically scanned arrays for space-based radars.</t>
  </si>
  <si>
    <t>1211-1223</t>
  </si>
  <si>
    <t>7004212421;36039583900</t>
  </si>
  <si>
    <t>Vinoy, K. J.;Varadan, V. K.</t>
  </si>
  <si>
    <t>Design of reconfigurable fractal antennas and RF-MEMS for space-based systems</t>
  </si>
  <si>
    <t>S0964172601301593</t>
  </si>
  <si>
    <t>10.1088/0964-1726/10/6/310</t>
  </si>
  <si>
    <t>2-s2.0-0035672652</t>
  </si>
  <si>
    <t>N00014-98-1-0176</t>
  </si>
  <si>
    <t>['signal arrivals', 'sequence spread', 'reduced ds', 'receiver signal', 'numerical results', 'noise ratio', 'multisensor array', 'interference mitigation', 'improved performance', 'fundamental role', 'frequency signatures', 'desired signals', 'combined spatial', 'angular separation']</t>
  </si>
  <si>
    <t>Array processing | Direct-sequence spread-spectrum communication | Interference suppression | Subspace projection | Time-frequency distribution</t>
  </si>
  <si>
    <t>Combined spatial and time-frequency signatures of signal arrivals at a multisensor array are used for nonstationary interference suppression in direct-sequence spread-spectrum (DS/SS) communications. With random PN spreading code and deterministic nonstationary interferers, the use of antenna arrays offers increased DS/SS signal dimensionality relative to the interferers. Interference mitigation through a spatio-temporal subspace projection technique leads to reduced DS/SS signal distortion and improved performance over the case of a single antenna receiver. The angular separation between the interference and desired signals is shown to play a fundamental role in trading off the contribution of the spatial and time-frequency signatures to the interference mitigation process. The expressions of the receiver signal-to-interference-noise ratio (SINR) implementing subspace projections are derived, and numerical results are provided.</t>
  </si>
  <si>
    <t>3005-3014</t>
  </si>
  <si>
    <t>60000251-60000009;60000251-60000009</t>
  </si>
  <si>
    <t>56848471800;35242065300</t>
  </si>
  <si>
    <t>Zhang, Yimin;Amin, Moeness G.</t>
  </si>
  <si>
    <t>New York;Villanova</t>
  </si>
  <si>
    <t>IEEE;Villanova University</t>
  </si>
  <si>
    <t>60000251;60000009</t>
  </si>
  <si>
    <t>Array processing for nonstationary interference suppression in DS/SS communications using subspace projection techniques</t>
  </si>
  <si>
    <t>S1053587X01104976</t>
  </si>
  <si>
    <t>10.1109/78.969509</t>
  </si>
  <si>
    <t>2-s2.0-0035673464</t>
  </si>
  <si>
    <t>['well predicted', 'moment ),', 'incidence nonperpendicular', 'fold axis', 'final expressions', 'backscatter pattern']</t>
  </si>
  <si>
    <t>Dihedral corner reflectors | Radar absorbing materials | Radar cross section</t>
  </si>
  <si>
    <t>The backscattering radar cross section (RCS) of nonorthogonal dihedral corner reflectors coated by RAM (radar absorbing materials) is formulated by the method of PO (physical optics), where singly, doubly, and triply reflected contributions are considered. The final expressions are analytical and allow for the incidence nonperpendicular to the fold axis of the reflector. The results are compared with ones of MoM (method of moment), which shows that the trend of backscatter pattern of the dihedral corner reflector can be well predicted by this method.</t>
  </si>
  <si>
    <t>100327651;100327651</t>
  </si>
  <si>
    <t>8612720700;7403659227</t>
  </si>
  <si>
    <t>Yin, H.;Huang, P.</t>
  </si>
  <si>
    <t>National Electromagnetic Scattering Laboratory</t>
  </si>
  <si>
    <t>Yin H.</t>
  </si>
  <si>
    <t>PO analysis for RCS of nonorthogonal dihedral corner reflectors coated by RAM</t>
  </si>
  <si>
    <t>2-s2.0-0035673954</t>
  </si>
  <si>
    <t>['thermal noise', 'reflected signal', 'poorly measured', 'new approach', 'future air', 'first high', 'first demonstration', 'differential delay', 'crater lake', 'coastal region', 'cm precision', 'altimetric error', 'also serves', '1 second']</t>
  </si>
  <si>
    <t>Differences in electromagnetic path delay, between direct Global Positioning System (GPS) signals and those reflected from the surface of Crater Lake, have led to lake surface height estimates with 2-cm precision in 1 second. This is the first high-precision altimetric demonstration with GPS from sufficient altitude (‚âà 480 m) to probe fundamental experimental errors, which bear on future air- and spaceborne passive GPS altimetry. It also serves as the first demonstration of a new approach to altimetric remote sensing in the coastal region, an area that is poorly measured by conventional radar altimetry. Time-series analyses suggest that tropospheric and thermal noise fluctuations dominate the altimetric error in this experiment. Estimating the differential delay from several simultaneously visible satellites may enable tropospheric error estimation and correction. Thermal noise on the reflected signal will be reduced with fully polarimetric observations and larger antenna apertures.</t>
  </si>
  <si>
    <t>4343-4346</t>
  </si>
  <si>
    <t>6603893366;7102144083;6701677824;7402865879</t>
  </si>
  <si>
    <t>Treuhaft, R. N.;Lowe, S. T.;Zuffada, C.;Chao, Y.</t>
  </si>
  <si>
    <t>Treuhaft R.</t>
  </si>
  <si>
    <t>2-cm GPS altimetry over Crater lake</t>
  </si>
  <si>
    <t>10.1029/2001GL013815</t>
  </si>
  <si>
    <t>2-s2.0-0035674976</t>
  </si>
  <si>
    <t>['track distributions', 'simulation results', 'process similar', 'penalty method', 'operates directly', 'nonlinear programming', 'nlp technique', 'method eliminates', 'measurement process', 'em algorithm', 'direction finding', 'contact states', 'batch method', 'assumed known', 'array data', 'also developed']</t>
  </si>
  <si>
    <t>Antenna arrays | MAP estimation | Nonlinear programming | Target tracking</t>
  </si>
  <si>
    <t>A multiple target track estimation method that operates directly from array data is presented. The maximum a-posteriori (MAP) estimator for contact states is derived for temporally uncorrelated signals and uncorrelated contact tracks, where the number of contacts is assumed known, This estimator is an iterative algorithm employing a nonlinear programming (NLP) penalty method in conjunction with an expectation-maximization (EM) algorithm. The NLP technique is used to find the MAP track estimate based on the synthetic signal estimates produced by the EM algorithm. This method eliminates the data association step of traditional multitarget tracking approaches by conditioning the measurement process on individual target state distributions. It results in a process similar to the EM algorithm for direction finding, with an additional penalty term imposed by the track distributions. The algorithm is derived as a batch method. An extension to support sequential tracking is also developed. Simulation results for a relevant submarine towed array scenario are presented and discussed.</t>
  </si>
  <si>
    <t>2950-2961</t>
  </si>
  <si>
    <t>113088529;60000251-60018319;60000251-60018319</t>
  </si>
  <si>
    <t>6508197217;7401917132;6603861418</t>
  </si>
  <si>
    <t>Zarnich, Robert E.;Bell, Kristine L.;Van Trees, Harry L.</t>
  </si>
  <si>
    <t>Fairfax;New York;Washington</t>
  </si>
  <si>
    <t>George Mason University;IEEE;Advanced Systems and Technology Office</t>
  </si>
  <si>
    <t>60018319;60000251;113088529</t>
  </si>
  <si>
    <t>Zarnich R.</t>
  </si>
  <si>
    <t>A unified method for measurement and tracking of contacts from an array of sensors</t>
  </si>
  <si>
    <t>S1053587X01104915</t>
  </si>
  <si>
    <t>10.1109/78.969504</t>
  </si>
  <si>
    <t>2-s2.0-0035676969</t>
  </si>
  <si>
    <t>['ten days', 'standard errors', 'standard error', 'south dimension', 'relative position', 'negligibly small', 'gps data', 'equations se', 'equation sn', 'derived three', 'denoted sn', 'denoted l', 'delay parameters', 'chord distance', 'adequately approximated']</t>
  </si>
  <si>
    <t>Continuously operating reference stations applications | GPS baseline accuracy | GPS positional time dependency accuracy</t>
  </si>
  <si>
    <t>Ten days of GPS data from 1998 were processed to determine how the accuracy of a derived three-dimensional relative position vector between GPS antennas depends on the chord distance (denoted L) between these antennas and on the duration of the GPS observing session (denoted T). It was found that the dependence of accuracy on L is negligibly small when (a) using the 'final' GPS satellite orbits disseminated by the International GPS Service, (b) fixing integer ambiguities, (c) estimating appropriate neutral-atmosphere-delay parameters, (d) 26 km ‚â§ L ‚â§ 300 km, and (e) 4 h ‚â§ T ‚â§ 24 h. Under these same conditions, the standard error for the relative position in the north-south dimension (denoted Sn and expressed in mm) is adequately approximated by the equation Sn = kn/T0.5 with kn = 9.5 ¬± 2.1 mm h0.5 and T expressed in hours. Similarly, the standard errors for the relative position in the east-west and in the up-down dimensions are adequately approximated by the equations Se = ke/T0.5 and Su = ku/T0.5, respectively, with ke = 9.9 ¬± 3.1 mm ¬∑ h0.5 and ku = 36.5 ¬± 9.1 mm ¬∑ h0.5.</t>
  </si>
  <si>
    <t>633-640</t>
  </si>
  <si>
    <t>Journal of Geodesy</t>
  </si>
  <si>
    <t>60027716;60027716;60027716;60027716;60027716</t>
  </si>
  <si>
    <t>6602382794;6701737328;17347184600;7102823799;7004123800</t>
  </si>
  <si>
    <t>Eckl, M. C.;Snay, R. A.;Soler, T.;Cline, M. W.;Mader, G. L.</t>
  </si>
  <si>
    <t>Eckl M.</t>
  </si>
  <si>
    <t>Accuracy of GPS-derived relative positions as a function of interstation distance and observing-session duration</t>
  </si>
  <si>
    <t>10.1007/s001900100204</t>
  </si>
  <si>
    <t>2-s2.0-0035677723</t>
  </si>
  <si>
    <t>['santia longisetosa', 'pereopods 2', 'pacific coast', 'new species', 'long setae', 'head bearing', 'family santiidae', 'article 2', 'antenna 1']</t>
  </si>
  <si>
    <t>Santia longisetosa, a new species of the family Santiidae (Isopoda: Asellota) is described from the Pacific coast of Shikoku, Japan. The new species differs from its congeners in having a long robust sensory seta distalventrally on each propodus of pereopods 2-7, the nearly straight frontal margin of the head bearing some long setae, and 2 long robust sensory setae distallaterally on article 2 of antenna 1.</t>
  </si>
  <si>
    <t>929-937</t>
  </si>
  <si>
    <t>8289476000;7006578515</t>
  </si>
  <si>
    <t>Shimomura, M.;Mawatari, S. F.</t>
  </si>
  <si>
    <t>Shimomura M.</t>
  </si>
  <si>
    <t>A new asellote isopod of the genus Santia Sivertsen and Holthuis, 1980 (Crustacea: Isopoda: Asellota: Santiidae) from Japan</t>
  </si>
  <si>
    <t>2-s2.0-0035678392</t>
  </si>
  <si>
    <t>['wave codes', 'transient states', 'temporal resolution', 'sheared flow', 'returning microwave', 'reflecting layer', 'propagation velocity', 'perturbation amplitude', 'passive spectroscopy', 'obtained directly', 'normal onto', 'measured profile', 'doppler shift', 'doppler reflectometry', 'dimensional full', 'diagnostic potential', 'cutoff surface', 'bragg condition', 'antenna system', '50 œºs']</t>
  </si>
  <si>
    <t>Doppler reflectometry is characterized by a finite tilt angle of the probing microwave beam with respect to the normal onto the cutoff surface. According to the Bragg condition the diagnostic selects density perturbations with wave number K‚ä• in the reflecting layer. From the Doppler shift of the returning microwave the propagation velocity of these perturbations v‚ä• can be obtained directly. The signal intensity contains information about the perturbation amplitude. The diagnostic potential of Doppler reflectometry is demonstrated both numerically by the use of two-dimensional full-wave codes and experimentally by an antenna system with variable tilt angle installed at the W7-AS stellarator. During stationary plasma conditions the measured profile of the propagation velocity v‚ä• (r) is dominated by the E √ó B velocity of the plasma, which is obtained from passive spectroscopy. Transient states of the plasma can be followed with a temporal resolution of less than 50 Œºs. Thus, Doppler reflectometry allows us to investigate the interdependence of sheared flow and turbulence on that timescale.</t>
  </si>
  <si>
    <t>1641-1660</t>
  </si>
  <si>
    <t>60026838;60015815;60026838;60026838;60026838</t>
  </si>
  <si>
    <t>7201493893;6701390883;6604077344;57208450364;22969076800</t>
  </si>
  <si>
    <t>Hirsch, M.;Holzhauer, E.;Baldzuhn, J.;Kurzan, B.;Scott, B.</t>
  </si>
  <si>
    <t>S0741333501248660</t>
  </si>
  <si>
    <t>10.1088/0741-3335/43/12/302</t>
  </si>
  <si>
    <t>2-s2.0-0035683265</t>
  </si>
  <si>
    <t>['two greater', 'sawtoothing discharges', 'radial profile', 'latter situation', 'identical plasmas', 'fwcd efficiency', 'fast waves', 'energetic ions', 'eighth harmonics', 'current driven', 'antenna phasings']</t>
  </si>
  <si>
    <t>Current driven by the fast Alfv√©n wave is measured at the fourth and eighth harmonics of the deuterium ion cyclotron frequency in identical plasmas on the DIII-D tokamak. In non-sawtoothing discharges with neutral beam injection heating, the radial profile of the fast wave current drive (FWCD) is determined by the response of the loop voltage profile to co- and counter-antenna phasings. The dimensionless current drive efficiency is a factor of two greater for the eighth harmonic case compared to the fourth harmonic case. Modelling of the fast wave absorption using a ray tracing code shows that the decrease in FWCD efficiency for the latter situation can be explained by high harmonic damping of the fast waves on energetic ions.</t>
  </si>
  <si>
    <t>1747-1758</t>
  </si>
  <si>
    <t>60013901;60024266;60013901;60030612;60013901;60022195;60013901</t>
  </si>
  <si>
    <t>35074760600;7004436911;7003507968;7005597256;7003617702;7006050699;7004204756</t>
  </si>
  <si>
    <t>Petty, C. C.;Baity, F. W.;DeGrassie, J. S.;Mau, T. K.;Pinsker, R. I.;Porkolab, M.;Prater, R.</t>
  </si>
  <si>
    <t>San Diego;Oak Ridge;Cambridge;San Diego</t>
  </si>
  <si>
    <t>University of California, San Diego;Oak Ridge National Laboratory;Massachusetts Institute of Technology;General Atomics</t>
  </si>
  <si>
    <t>60030612;60024266;60022195;60013901</t>
  </si>
  <si>
    <t>Petty C.</t>
  </si>
  <si>
    <t>Fast wave current drive at high ion cyclotron harmonics on DIII-D</t>
  </si>
  <si>
    <t>S0741333501244674</t>
  </si>
  <si>
    <t>10.1088/0741-3335/43/12/308</t>
  </si>
  <si>
    <t>2-s2.0-0035683576</t>
  </si>
  <si>
    <t>R01HL045120</t>
  </si>
  <si>
    <t>['variable phase', 'transverse electromagnetic', 'single system', 'significant improvement', 'rights reserved', 'resulta show', 'possible ports', 'port excitations', 'numerical tuning', 'model including', 'human head', 'head model', 'fixed magnitude', 'field produced', 'electromagnetic interactions', 'computational methods', '8 tesla']</t>
  </si>
  <si>
    <t>B field | Numerical optimization | TEM Resonator | Ultra high field</t>
  </si>
  <si>
    <t>In this work, computational methods were utilized to optimize the field produced by the transverse electromagnetic (TEM) resonator in the presence of the human head at 8 Tesla. Optimization was achieved through the use of the classifical finite difference time domain (FDTD) method and a TEM resonatior loaded with an anatomically detailed himan head model with a resolution of 2 mm √ó 2 mm. The head model was developed from 3D MR images. To account for the electromagnetic interactions between the coil and the tissue, the coil and the head were treated as a single system at all the steps of the model including, numerical tuning and excitation. In addition to 2, 3, 4, 6, and 10-port excitations, an antenna array concept was utilized by driving all the possible ports (24) of a 24-strut TEM resonator. The resulta show that the significant improvement in the circularly polarized component of the transverse magnetic field could be obtained when using multiple ports and variable phase and fixed magnitude, or variable phase and variable magnitude excitations. ¬© 2001 Elsevier Science Inc. All rights reserved.</t>
  </si>
  <si>
    <t>1339-1347</t>
  </si>
  <si>
    <t>0730725X</t>
  </si>
  <si>
    <t>Magnetic Resonance Imaging</t>
  </si>
  <si>
    <t>60003500;60003500;60003500;60003500;60003500;60003500</t>
  </si>
  <si>
    <t>7005981395;26040905400;7003601468;7003450207;55717911000;7005708102</t>
  </si>
  <si>
    <t>Ibrahim, Tamer S.;Lee, Robert;Baertlein, Brian A.;Abduljalil, Amir M.;Zhu, Hui;Robitaille, Pierre Marie L.</t>
  </si>
  <si>
    <t>Ibrahim T.</t>
  </si>
  <si>
    <t>Effect of RF coil excitation on field inhomogeneity at ultra high fields: A field optimized TEM resonatior</t>
  </si>
  <si>
    <t>S0730725X01004040</t>
  </si>
  <si>
    <t>10.1016/S0730-725X(01)00404-0</t>
  </si>
  <si>
    <t>2-s2.0-0035685766</t>
  </si>
  <si>
    <t>['tribolium ortholog', 'tribolium castaneum', 'three insects', 'similar interaction', 'result seen', 'pb function', 'pb ).', 'oncopeltus fasciatus', 'mxp transcription', 'milkweed bug', 'least within', 'labium depends', 'labial appendages', 'hox genes', 'homeotic transformation', 'greatly reduced', 'drosophila melanogaster', 'drosophila embryogenesis', 'double mutants', 'different transformation', 'described recently', 'cx function', 'cx ),']</t>
  </si>
  <si>
    <t>The role of Hox genes in the development of insect gnathal appendages has been examined in three insects: the fruitfly, Drosophila melanogaster; the milkweed bug, Oncopeltus fasciatus; and the red flour beetle, Tribolium castaneum. In each of these organisms, the identity of the labium depends on the homeotic genes Sex combs reduced (Scr) and proboscipedia (pb). Loss of pb function in each of the three insects results in homeotic transformation of the labial appendages to legs. In contrast, loss of Scr function yields a different transformation in each species. Interestingly, mutations in Cephalothorax (Cx), the Tribolium ortholog of Scr, transform the labial appendages to antennae, a result seen in the other insects only when both pb and Scr are removed. We show here that the Tribolium labial appendages also develop as antennae in double mutants. Further, we demonstrate that expression of the Tribolium proboscipedia ortholog maxillopedia (mxp) is greatly reduced or absent in the labium of Cx mutant larvae. Thus, in the wild-type labial segment, Cx function is required (directly or indirectly) for mxp transcription. A similar interaction between Scr and pb during Drosophila embryogenesis has been described recently. Thus, this regulatory paradigm appears to be conserved at least within the Holometabola.</t>
  </si>
  <si>
    <t>1643-1648</t>
  </si>
  <si>
    <t>Genetics</t>
  </si>
  <si>
    <t>60000689-60001989-60032179;60032179;60000689;60001989;60000689</t>
  </si>
  <si>
    <t>6602804024;57035490700;7501419302;7006635758;7003910465</t>
  </si>
  <si>
    <t>DeCamillis, Mark A.;Lewis, David L.;Brown, Susan J.;Beeman, Richard W.;Denell, Robin E.</t>
  </si>
  <si>
    <t>Madison;Washington, D.C.;Manhattan</t>
  </si>
  <si>
    <t>University of Wisconsin-Madison;USDA Agricultural Research Service;Kansas State University</t>
  </si>
  <si>
    <t>60032179;60001989;60000689</t>
  </si>
  <si>
    <t>DeCamillis M.A.</t>
  </si>
  <si>
    <t>Interactions of the Tribolium Sex combs reduced and proboscipedia orthologs in embryonic labial development</t>
  </si>
  <si>
    <t>2-s2.0-0035692150</t>
  </si>
  <si>
    <t>['wireless systems', 'wireless research', 'successful deployment', 'scale wireless', 'research traditions', 'required coverage', 'range communications', 'project group', 'prime candidate', 'personal computing', 'pcc ),', 'offer short', 'late 1997', 'key aspect', 'generation systems', 'frequently debated', 'fourth generation', 'ensuing research', 'deployed infrastructures', 'current third', 'communications program', 'article presents', 'also helped', '4gw project']</t>
  </si>
  <si>
    <t>A "fourth generation" of wireless systems, likely to appear after the successful deployment of the current third-generation systems, is frequently debated these days. This article presents some of the results of the Fourth Generation Wireless project (4GW) of the Personal Computing and Communications program (PCC), the major Swedish academic research effort on future communications systems, launched in late 1997. In the 4GW project, scenarios have been used as tools for formulating relevant research topics related to future wireless systems. By working with scenarios the project group has been able to challenge some of the assumptions commonly made in the field of wireless research. Since the project group is multidisciplinary, the work has also helped the members of the project group to understand the differences between the research traditions to which they belong. The scenarios, as well as the ensuing research into various wireless related topics, point to a vision of fourth-generation systems where "low-hierarchy" user-deployed infrastructures are the prime candidate. Fourth-generation systems will offer short- to moderate-range communications with very high data rates (&gt;100 Mb/s). They are likely to employ array signal processing and ad hoc operation to provide the required coverage. A key aspect of their design will be the fact that they will be deployed in environments where large-scale wireless, and wired, infrastructures are already in operation.</t>
  </si>
  <si>
    <t>25-31</t>
  </si>
  <si>
    <t>60002014;60002014;60002014;60002014;60002014;60002014;60002014;60000990</t>
  </si>
  <si>
    <t>16174617700;6603589641;6507191129;6507579512;6603191778;55483641600;7102225810;56243223900</t>
  </si>
  <si>
    <t>Bria, Aurelian;Gessler, Fredrik;Queseth, Olav;Stridh, Rickard;Unbehaun, Matthias;Jiang, Wu;Zander, Jens;Flament, Maxime</t>
  </si>
  <si>
    <t>Stockholm;Gothenburg</t>
  </si>
  <si>
    <t>The Royal Institute of Technology (KTH);Chalmers University of Technology</t>
  </si>
  <si>
    <t>60002014;60000990</t>
  </si>
  <si>
    <t>Bria A.</t>
  </si>
  <si>
    <t>4th-generation wireless infrastructures: Scenarios and research challenges</t>
  </si>
  <si>
    <t>10.1109/98.972165</t>
  </si>
  <si>
    <t>2-s2.0-0035693417</t>
  </si>
  <si>
    <t>['uncertainty region', 'synchronization time', 'strategy employed', 'spatially white', 'search strategy', 'results reveal', 'proper selection', 'path channels', 'optimum number', 'nonuniform interference', 'multipath spread', 'general found', 'dimensional approach', 'conventional delay', 'considerable impact', 'available domain', 'angular domains', 'angular domain', 'angular cells', 'also investigated', 'acquisition performance']</t>
  </si>
  <si>
    <t>Antenna array | Code acquisition | Initial synchronization | Search in time and angular domains | Two-dimensional code acquisition</t>
  </si>
  <si>
    <t>The extension of conventional delay-domain code ac quisition to the angular domain is explored in this paper. The uncertainty region is partitioned into a number of delay and angular cells. In single-path channels where the interference is modeled as temporarily and spatially white, there exists an optimum number of angular cells minimizing the mean acquisition time. Mean acquisition times up to three times shorter can be attained with the two-dimensional approach. A rather similar behavior is in general found in Lth-order equal amplitude multipath channels, where paths are contiguous in the delay or angular domains. The strategy employed to search through the uncertainty region may have a considerable impact on acquisition performance. Results reveal that the search should proceed not in the direction of the multipath spread but in the other available domain. Proper selection of the search strategy can reduce the synchronization time by a factor of up to two. Two-dimensional code acquisition in scenarios with spatially nonuniform interference is also investigated. In general, acquisition performance is degraded by the presence of nonuniform interference in the angular domain.</t>
  </si>
  <si>
    <t>2441-2451</t>
  </si>
  <si>
    <t>60012954;60000251-60012954;60000251-60012954</t>
  </si>
  <si>
    <t>7403031970;35607319300;55395977000</t>
  </si>
  <si>
    <t>Katz, Marcos D.;Iinatti, Jari H.J.;Glisic, Savo</t>
  </si>
  <si>
    <t>Oulu;New York</t>
  </si>
  <si>
    <t>Oulun Yliopisto;IEEE</t>
  </si>
  <si>
    <t>60012954;60000251</t>
  </si>
  <si>
    <t>Katz M.D.</t>
  </si>
  <si>
    <t>Two-dimensional code acquisition in time and angular domains</t>
  </si>
  <si>
    <t>S0733871601103082</t>
  </si>
  <si>
    <t>10.1109/49.974609</t>
  </si>
  <si>
    <t>2-s2.0-0035694106</t>
  </si>
  <si>
    <t>['wise removal', 'tibial comb', 'sucking sites', 'sucking duration', 'significantly affected', 'sequential segment', 'removed predators', 'progressive reduction', 'fabr ).', 'eye blinding', 'eye blinded', 'entire antennae', 'coated predators', 'capturing response', 'approach response', 'also observed', 'affected significantly']</t>
  </si>
  <si>
    <t>The predaceous reduviid Rhynocoris kumarii uses its antennae, eyes and tibial comb to predate tobacco cutworm Spodoptera litura (Fabr). A delayed arousal response was observed in the antennectomized, eye blinded and tibial comb-coated predators. The predators whose entire antennae had been removed showed significant delayed approach but the approach response was not affected significantly in the blinded and tibial comb-coated reduviid predators. Capturing response was significantly affected in pedicel and entire antennae-removed predators, and blinded and tibial comb-coated predators. Antennectomy, eye blinding and tibial comb coating did not cause any impact in the act of paralysing the prey. Progressive reduction in sucking duration and the number of sucking sites were observed as a function of sequential segment-wise removal of antennae. A reduction in the sucking duration and number of sucking sites were also observed in blinded and tibial comb coated predators.</t>
  </si>
  <si>
    <t>519-525</t>
  </si>
  <si>
    <t>60070211;60070211</t>
  </si>
  <si>
    <t>7003492107;7006599400</t>
  </si>
  <si>
    <t>Claver, M. A.;Ambrose, Dunston P.</t>
  </si>
  <si>
    <t>Palayamkottai</t>
  </si>
  <si>
    <t>St.Xavier's College, Palayamkottai</t>
  </si>
  <si>
    <t>Claver M.</t>
  </si>
  <si>
    <t>Impact of antennectomy, eye blinding and tibial comb coating on the predatory behaviour of Rhynocoris kumarii Ambrose and Livingstone (Het., Reduviidae) on Spodoptera litura Fabr. (Lep., Noctuidae)</t>
  </si>
  <si>
    <t>10.1046/j.1439-0418.2001.00565.x</t>
  </si>
  <si>
    <t>2-s2.0-0035696218</t>
  </si>
  <si>
    <t>['two receivers', 'scattering problem', 'receiving loops', 'receiver systems', 'prototype system', 'numerical simulations', 'new vetem', 'new enhanced', 'low frequencies', 'hopping approach', 'fft algorithm', 'extremely slow', 'convergence rate', 'conjugate gradient', 'buried targets', 'better snr', 'background clutter', 'accurate analysis']</t>
  </si>
  <si>
    <t>Buried object detection | Conjugate gradient fast Fourier transform (CG-FFT) | Electromagnetic scattering | Frequency hopping | Loop antennas | Loop-tree basis | Low frequencies | Numerical analysis</t>
  </si>
  <si>
    <t>In this paper, numerical simulations of a new enhanced very early time electromagnetic (VETEM) prototype system are presented, where a horizontal transmitting loop and two horizontal receiving loops are used to detect buried targets, in which three loops share the same axis and the transmitter is located at the center of receivers. In the new VETEM system, the difference of signals from two receivers is taken to eliminate strong direct-signals from the transmitter and background clutter and furthermore to obtain a better SNR for buried targets. Because strong coupling exists between the transmitter and receivers, accurate analysis of the three-loop antenna system is required, for which a loop-tree basis function method has been utilized to overcome the low-frequency breakdown problem. In the analysis of scattering problem from buried targets, a conjugate gradient (CG) method with fast Fourier transform (FFT) is applied to solve the electric field integral equation. However, the convergence of such CG-FFT algorithm is extremely slow at very low frequencies. In order to increase the convergence rate, a frequency-hopping approach has been used. Finally, the primary, coupling, reflected, and scattered magnetic fields are evaluated at receiving loops to calculate the output electric current. Numerous simulation results are given to interpret the new VETEM system. Comparing with other single-transmitter-receiver systems, the new VETEM has better SNR and ability to reduce the clutter.</t>
  </si>
  <si>
    <t>2702-2712</t>
  </si>
  <si>
    <t>60000251-60005244;60000251-60000745;60000251-60000745;60013140;60013140</t>
  </si>
  <si>
    <t>55342807700;26643168800;7004153439;55471313100;56601672300</t>
  </si>
  <si>
    <t>Cui, Tie Jun;Chew, Weng Cho;Aydiner, Alaeddin A.;Wright, D. L.;Smith, D. V.</t>
  </si>
  <si>
    <t>Denver;Nanjing;Urbana;New York</t>
  </si>
  <si>
    <t>United States Geological Survey Central Region;Southeast University;University of Illinois Urbana-Champaign;IEEE</t>
  </si>
  <si>
    <t>60013140;60005244;60000745;60000251</t>
  </si>
  <si>
    <t>Cui T.</t>
  </si>
  <si>
    <t>Detection of buried targets using a new enhanced very early time electromagnetic (VETEM) prototype system</t>
  </si>
  <si>
    <t>S0196289201092841</t>
  </si>
  <si>
    <t>10.1109/36.975004</t>
  </si>
  <si>
    <t>2-s2.0-0035696791</t>
  </si>
  <si>
    <t>Center for Wireless Communications, University of California, San Diego</t>
  </si>
  <si>
    <t>CWC</t>
  </si>
  <si>
    <t>['various parameters', 'techniques used', 'spatial independence', 'spatial correlation', 'realistic model', 'optimum receiver', 'optimum number', 'often unrealizable', 'narrowband case', 'initial acquisition', 'improving performance', 'effective way', 'earlier attempts', 'communication system', 'antenna elements', 'antenna diversity', 'also study']</t>
  </si>
  <si>
    <t>Acquisition | Antenna diversity | Correlated fading | DS-CDMA | Frequency diversity | MC-CDMA | Mobile communications</t>
  </si>
  <si>
    <t>Antenna diversity is an effective way of improving performance of a communication system, especially for initial acquisition in a narrowband code division multiple access (CDMA) system that operates in a flat fading environment. Earlier attempts to analyze such systems assume independent fading at various antenna elements. However, the diversity gain predicted by these analyses is often unrealizable, since the assumption about the independence of the fades is unrealistic in a spatially constrained system. We relax the assumption about the spatial independence of the fades by employing a realistic model for spatial correlation. Also, we obtain an optimum receiver for initial acquisition that takes into account the particulars of the spatial correlation and present a technique for the analysis of this receiver. We also study the diversity gain available for various parameters of the spatial correlation model and conclude that there exists an optimum number of the antenna elements for an initial acquisition system, based on the spatial correlation of the fades. Further, we consider a wideband muiticarrier CDMA system with correlated fades among its subcarriers, which also employs antenna diversity, and apply the techniques used in the narrowband case to obtain an optimum receiver and analyze its performance. Finally, we study the tradeoff between the diversity gain available and the noncoherent loss incurred as the numbers of subcarriers and antenna elements are changed.</t>
  </si>
  <si>
    <t>2406-2419</t>
  </si>
  <si>
    <t>60000251-60121655;60000251-60121655</t>
  </si>
  <si>
    <t>6603464793;7102877674</t>
  </si>
  <si>
    <t>Shamain, Prasad K.;Milstein, Laurence B.</t>
  </si>
  <si>
    <t>The Electrical and Computer Engineering Department;IEEE</t>
  </si>
  <si>
    <t>60121655;60000251</t>
  </si>
  <si>
    <t>Shamain P.</t>
  </si>
  <si>
    <t>Acquisition of direct sequence spread spectrum signals with correlated fading</t>
  </si>
  <si>
    <t>S0733871601103100</t>
  </si>
  <si>
    <t>10.1109/49.974606</t>
  </si>
  <si>
    <t>2-s2.0-0035696846</t>
  </si>
  <si>
    <t>['wave propagation', 'various positions', 'transmitter antennas', 'theoretical predictions', 'terrain parameters', 'terminal antennas', 'surrounding obstacles', 'sensitivity analysis', 'scattering phenomena', 'realistic elevations', 'probabilistic approach', 'portugal ),', 'path loss', 'parametric model', 'overlay profiles', 'multiple diffraction', 'loss dependence', 'buildings surrounding', 'antennas relative', 'actual areas', 'account single']</t>
  </si>
  <si>
    <t>Diffraction | Land mobile radio | Land mobile radio cellular systems | Land mobile radio propagation factors | Scattering</t>
  </si>
  <si>
    <t>In this work, we continue the analysis of a probabilistic approach and the corresponding stochastic multi-parametric model of wave propagation in built-up areas with randomly distributed buildings. We concentrate on the influence of buildings overlay profiles on signal spatial decay, and on path-loss dependence in the frequency domain within UHF/X-band urban propagation channels. Using different buildings' overlay profiles, the field-intensity attenuation along radio paths is examined, taking into account single-scattering and multiple-scattering phenomena, and diffraction from buildings' corners and rooftops, for various positions of receiver and transmitter antennas with respect to surrounding obstacles. The comparison between experimental and theoretical predictions was motivated by the proposed stochastic multi-parametric model and the experimental data obtained for actual areas in Jerusalem (Israel) and Lisbon (Portugal), as well as by other models of multiple diffraction. The discussion is presented for realistic elevations of both terminal antennas to assess the accuracy and limits of the proposed stochastic model. A sensitivity analysis of the influence on the path loss of built-up terrain parameters and the elevation of antennas relative to the buildings surrounding them is presented.</t>
  </si>
  <si>
    <t>181-191</t>
  </si>
  <si>
    <t>60027161;60027161;60027161;60081037;60081037;60081037</t>
  </si>
  <si>
    <t>7003773766;55422024400;7005674896;7201719903;6507999877;57224301255</t>
  </si>
  <si>
    <t>Blaunstein, N.;Katz, D.;Censor, D.;Freedman, A.;Matityahu, I.;Gur-Arie, I.</t>
  </si>
  <si>
    <t>Petah Tiqwa;Beer Sheba</t>
  </si>
  <si>
    <t>Innowave-ECI Wireless Systems, Ltd., Israel;Ben-Gurion University of the Negev</t>
  </si>
  <si>
    <t>60081037;60027161</t>
  </si>
  <si>
    <t>Blaunstein N.</t>
  </si>
  <si>
    <t>Prediction of loss characteristics in built-up areas with various buildings overlay profiles</t>
  </si>
  <si>
    <t>10.1109/74.979548</t>
  </si>
  <si>
    <t>2-s2.0-0035698840</t>
  </si>
  <si>
    <t>['various parameters', 'using capacitive', 'termination designs', 'several options', 'ratio computations', 'proposed cavity', 'printed cavity', 'physical characteristics', 'inductive loadings', 'backed spirals', 'backed spiral', 'also presented', 'also given']</t>
  </si>
  <si>
    <t>Baluns | Broadband antennas | Cavity backed antennas | Cavity resonators | Dielectric loaded antennas | Microstrip couplers | Reactively loaded antennas | Slot antennas | Spiral antennas</t>
  </si>
  <si>
    <t>When compared to printed cavity-backed spirals, slot spiral antennas offer the possibility of designs that are conformal and very thin. In this paper, we discuss the physical characteristics of a cavity-backed slot spiral, as well as the associated infinite balun and termination designs. Simulations of the proposed cavity-backed spiral are presented and used to optimize the antenna's various parameters. Comparisons of measurements and calculations are also given, to validate the gain and axial-ratio computations. Several options for miniaturizing this design, using capacitive and inductive loadings, are also presented.</t>
  </si>
  <si>
    <t>15-26</t>
  </si>
  <si>
    <t>60025778;60025778-100467092-60027271;60025778</t>
  </si>
  <si>
    <t>7102576479;6603911095;7007076790</t>
  </si>
  <si>
    <t>Volakis, J. L.;Nurnberger, M. W.;Filipoviƒá, D. S.</t>
  </si>
  <si>
    <t>Washington, D.C.;Ann Arbor;Natick</t>
  </si>
  <si>
    <t>Naval Research Laboratory;University of Michigan, Ann Arbor;Radiation Laboratory</t>
  </si>
  <si>
    <t>60027271;60025778;100467092</t>
  </si>
  <si>
    <t>Volakis J.</t>
  </si>
  <si>
    <t>A broadband cavity-backed slot spiral antenna</t>
  </si>
  <si>
    <t>10.1109/74.979491</t>
  </si>
  <si>
    <t>2-s2.0-0035698955</t>
  </si>
  <si>
    <t>['sidelobe levels', 'satisfactory sum', 'planar arrays', 'phase distribution', 'oval footprints', 'one side', 'low ripple', 'initial excitation', 'circular apertures', 'calculate linear', 'affording patterns']</t>
  </si>
  <si>
    <t>Antenna arrays | Antenna radiation patterns | Circular arrays | Current distribution | Linear arrays | Phase control | Phased arrays | Planar arrays | Shaped beam antennas</t>
  </si>
  <si>
    <t>Satisfactory sum or shaped antenna radiation patterns can often be synthesized by modifying just the phase distribution of an initial excitation by an arbitrary amplitude distribution. As examples, we calculate linear and circular apertures with uniform, Taylor, or cosine-section amplitude distributions, affording symmetric sum patterns with low sidelobe levels or symmetric shaped patterns with low ripple and sidelobe levels; linear aperture distributions, affording patterns with low sidelobe levels on one side of the beam; and planar arrays, with uniform or cosine-section amplitude distributions affording œÜ-symmetric or elongated-oval footprints.</t>
  </si>
  <si>
    <t>45-54</t>
  </si>
  <si>
    <t>60028419;60028419;60028419</t>
  </si>
  <si>
    <t>6701881810;7006865572;7202825573</t>
  </si>
  <si>
    <t>Trastoy, Ana;Ares, Francisco;Moreno, Eduardo</t>
  </si>
  <si>
    <t>Phase-only control of antenna sum and shaped patterns through null perturbation</t>
  </si>
  <si>
    <t>10.1109/74.979495</t>
  </si>
  <si>
    <t>2-s2.0-0035699008</t>
  </si>
  <si>
    <t>Nokia</t>
  </si>
  <si>
    <t>EB</t>
  </si>
  <si>
    <t>['time coding', 'simple way', 'receive antennas', 'new bandwidth', 'multiple transmit', 'combining space', 'also proposed']</t>
  </si>
  <si>
    <t>Concatenated coding | Diversity methods | Trelliscoded modulation</t>
  </si>
  <si>
    <t>A new bandwidth and power efficient signaling scheme is proposed that achieves high data rates over wideband radio channels exploiting the bandwidth efficient OFDM modulation, multiple transmit and receive antennas and large frequency selectivity offered in typical low mobility indoor environments. Owing to its maximum transmit diversity gain and large coding gain, space-frequency-time turbo coded modulation strongly outperforms other space-frequency-time coding schemes recently proposed in literature. A simple way of combining space-frequency-time coding with OFDM delay diversity for cost effective exploitation of more than two transmit antennas is also proposed in this paper.</t>
  </si>
  <si>
    <t>480-482</t>
  </si>
  <si>
    <t>60000251-60001738;60000251-60001738;60000251-60001738</t>
  </si>
  <si>
    <t>6602090333;7004091452;7003450405</t>
  </si>
  <si>
    <t>Tujkovic, Djordje;Juntti, Markku;Latva-aho, Matti</t>
  </si>
  <si>
    <t>Centre for Wireless Communications;IEEE</t>
  </si>
  <si>
    <t>60001738;60000251</t>
  </si>
  <si>
    <t>Tujkovic D.</t>
  </si>
  <si>
    <t>Space-frequency-time turbo coded modulation</t>
  </si>
  <si>
    <t>S1089779801110690</t>
  </si>
  <si>
    <t>10.1109/4234.974492</t>
  </si>
  <si>
    <t>2-s2.0-0035699548</t>
  </si>
  <si>
    <t>['self impedance', 'scattering theory', 'scattering impedance', 'quite different', 'mutual impedance', 'load terminals', 'load current', 'also discussed']</t>
  </si>
  <si>
    <t>Electromagnetic engineering education | Impedance | Scattering | Transmission line theory | Transmission lines | Two-port circuits</t>
  </si>
  <si>
    <t>A college homework problem, dealing with a loaded transmission line, is reviewed. The setup is then treated as a two-port distributed network. The law of conservation of power is explained with the aid of a scattering theory. Two coupled circuit relations are then formulated. One, associated with the load terminals, is quite different from the conventional equation involving the self impedance and the mutual impedance. An effective impedance function, designated as the scattering impedance, is introduced to facilitate the formulation. The result of applying the Rayleigh/Carson reciprocity theorem to find the expression of the load current is also discussed.</t>
  </si>
  <si>
    <t>158-162</t>
  </si>
  <si>
    <t>Tai, C. T.</t>
  </si>
  <si>
    <t>Tai C.</t>
  </si>
  <si>
    <t>A loaded transmission line as a two-port network</t>
  </si>
  <si>
    <t>10.1109/74.979542</t>
  </si>
  <si>
    <t>2-s2.0-0035701179</t>
  </si>
  <si>
    <t>['systematic design', 'support structures', 'solar panels', 'since installation', 'recent expansion', 'near field', 'known techniques', 'illustrated using', 'field results', 'confined areas', 'antenna design', 'analysis approach']</t>
  </si>
  <si>
    <t>Antenna measurements | Antennas | Computer aided analysis | Computer aided engineering | Electromagnetic analysis | Reflector antennas | Satellite antennas | Satellite communication | Software</t>
  </si>
  <si>
    <t>The recent expansion in terrestrial and space communications often requires antennas to be installed in very confined areas on a tower or spacecraft. Since installation and structure variables increasingly dominate overall communications system performance, analysis of such structures can be very important. The structures of interest are often in the near field of the antenna, but most antenna design and analysis tools produce far-field results. A common satellite communications scenario involves scatterers such as solar panels or support structures that degrade antenna performance, especially if either the scatterers or the antenna can move in relation to each other. A systematic design and analysis approach that uses several well-known techniques in a cooperative design environment is presented, and illustrated using a scenario.</t>
  </si>
  <si>
    <t>38-44</t>
  </si>
  <si>
    <t>7004037207;7004270570;8362621300</t>
  </si>
  <si>
    <t>Paynter, G. F.;Burnside, W. D.;Lee, T. H.</t>
  </si>
  <si>
    <t>Paynter G.</t>
  </si>
  <si>
    <t>A systematic approach to design and analysis of antennas on complex platforms</t>
  </si>
  <si>
    <t>10.1109/74.979494</t>
  </si>
  <si>
    <t>2-s2.0-0035703368</t>
  </si>
  <si>
    <t>['reflector antennas', 'main reflector', 'geometric parameters', 'fully characterized', 'elliptical aperture', 'dragonian dual', 'classical offset', 'circular aperture', 'antenna system', '20 parameters']</t>
  </si>
  <si>
    <t>Multireflector antennas | Offset reflector antennas | Reflector antenna blockage | Reflector antennas</t>
  </si>
  <si>
    <t>A procedure for the design of classical offset-Dragonian dual-reflector antennas from combinations of geometric parameters was proposed. A list of 20 parameters was provided from which the antenna system was fully characterized. The main reflector (MR) consisted of a circular aperture and the subrefelctor (SR) consisted of an elliptical aperture.</t>
  </si>
  <si>
    <t>Granet, Christophe</t>
  </si>
  <si>
    <t>Designing classical Dragonian offset dual-reflector antennas from combinations of prescribed geometric parameters</t>
  </si>
  <si>
    <t>10.1109/74.979502</t>
  </si>
  <si>
    <t>2-s2.0-0035703432</t>
  </si>
  <si>
    <t>['thereby increasing', 'temporal equalization', 'stage soft', 'square error', 'single interferer', 'selective time', 'reversal equalizer', 'processing direction', 'previous approach', 'posteriori probability', 'output equalizer', 'new ste', 'multiple antennas', 'minimum mean', 'interference ratio', 'global evolution', 'generation high', 'following map', 'evolutionary path', 'edge system', 'delayed decision', 'channel truncation', 'channel interference', 'branch receiver']</t>
  </si>
  <si>
    <t>Adaptive antennas | Soft-output detection | Spatial-temporal equalization | Time-reversal equalization | Timing recovery</t>
  </si>
  <si>
    <t>The radio interface EDGE (Enhanced Data rates for Global Evolution) is currently being standardized as an evolutionary path from GSM and TDMA-IS136 for third-generation high-speed data wireless systems. For the EDGE system with multiple antennas, spatial-temporal equalization (STE) can reduce intersymbol interference and co-channel interference, thereby increasing the capacity and range. In this paper, we propose two new techniques to improve the performance of a previously proposed STE: a fast timing recovery algorithm for a selective time-reversal equalizer and a two-stage soft-output equalizer. The new timing recovery algorithm determines the estimated burst timing and processing direction by computing the minimum mean-square error (MMSE) for decision feedback equalizers in both the forward and reverse time directions. The two-stage soft-output equalizer is the cascade of a delayed decision-feedback sequence estimator (DDFSE) and maximum a posteriori probability (MAP) estimator. The DDFSE provides better noise variance estimation and channel truncation for the following MAP. The performance of the new STE is evaluated for the EDGE. At 10% block error rate, the two-branch receiver requires a 3-7-dB lower signal-to-interference ratio (SIR) than the previous approach. Compared with the one-branch receiver, the two-branch receiver requires a 4-dB lower SNR with noise only, and a 10-27-dB lower SIR with a single interferer.</t>
  </si>
  <si>
    <t>2124-2134</t>
  </si>
  <si>
    <t>60000251-60033010;60000251-60021032;60000251-60012230</t>
  </si>
  <si>
    <t>7401472034;57195633181;7102662778</t>
  </si>
  <si>
    <t>Zeng, Hanks H.;Li, Ye;Winters, Jack H.</t>
  </si>
  <si>
    <t>Santa Clara;Atlanta;Middletown;New York</t>
  </si>
  <si>
    <t>Intel Corporation;Georgia Institute of Technology;AT&amp;T Laboratories Middletown;IEEE</t>
  </si>
  <si>
    <t>60033010;60021032;60012230;60000251</t>
  </si>
  <si>
    <t>Zeng H.</t>
  </si>
  <si>
    <t>Improved spatial-temporal equalization for EDGE: A fast selective-direction MMSE timing recovery algorithm and two-stage soft-output equalizer</t>
  </si>
  <si>
    <t>S0090677801106227</t>
  </si>
  <si>
    <t>10.1109/26.974259</t>
  </si>
  <si>
    <t>2-s2.0-0035703909</t>
  </si>
  <si>
    <t>['stationary krylov', 'several solvers', 'memory requirements', 'ltsa ).', 'integral method', 'based solver', 'also given']</t>
  </si>
  <si>
    <t>Boundary integral equations | FDTD methods | Finite element boundary integral method | Finite element methods | Iterative matrix solvers | Iterative methods | Matrix decomposition | Matrix inversion</t>
  </si>
  <si>
    <t>We discuss the application of non-stationary Krylov-subspace-based iterative solvers to linear systems resulting from the application of the Finite-Element/Boundary-Integral Method. A fairly new conjugate-gradient-based solver, BICGSTAB(l) [1] is further described. The performance of several solvers is tested on a linearly tapered slot antenna (LTSA). Results showing convergence characteristics and memory requirements are also given.</t>
  </si>
  <si>
    <t>124-131</t>
  </si>
  <si>
    <t>60025778;60025778;60025778;60025778</t>
  </si>
  <si>
    <t>6701565590;6603715743;6603827791;7102576479</t>
  </si>
  <si>
    <t>Topsakal, Erdem;Kindt, Rick;Sertel, Kubilay;Volakis, John</t>
  </si>
  <si>
    <t>Topsakal E.</t>
  </si>
  <si>
    <t>Evaluation of the BICGSTAB(l) algorithm for the Finite-Element/Boundary-Integral Method</t>
  </si>
  <si>
    <t>10.1109/74.979531</t>
  </si>
  <si>
    <t>2-s2.0-0035704241</t>
  </si>
  <si>
    <t>['scatterers within', 'relative positions', 'relative height', 'reflected signal', 'radar antenna', 'particular scatterers', 'incoherent summation', 'electromagnetic frequency', 'either height', 'complex target', 'complex objects', 'backscattered power', 'author shows']</t>
  </si>
  <si>
    <t>Identifying interference patterns originating from particular scatterers on complex objects above an electromagnetic smooth surface can be difficult, especially if the scatterers are not dominant. The author shows the existence of an incoherent scattering space where the relative positions of the scatterers in either height or range are irrelevant and where the backscattered power is the result of an incoherent summation of the reflected fields comprising the target. The incoherent scattering space is defined as that space where the maximum multipath phase shift between the scatterers is smaller than œÄ/2. Owing to the small relative phase shift between the scatterers within this space, the fluctuations of the reflected signal are small and a point reflector may hence substitute the complex target. The existence of the space is determined by the height of the radar antenna, the relative height of the scatterers, the range and the electromagnetic frequency.</t>
  </si>
  <si>
    <t>343-347</t>
  </si>
  <si>
    <t>Norland, R.</t>
  </si>
  <si>
    <t>Moss</t>
  </si>
  <si>
    <t>IKT System Partner AS</t>
  </si>
  <si>
    <t>Norland R.</t>
  </si>
  <si>
    <t>Multipath scattering from complex targets</t>
  </si>
  <si>
    <t>10.1049/ip-rsn:20010357</t>
  </si>
  <si>
    <t>2-s2.0-0035706825</t>
  </si>
  <si>
    <t>['standard strip', 'spotlight operation', 'spotlight modes', 'spotlight mode', 'special cases', 'spaceborne systems', 'raw data', 'particular case', 'new algorithm', 'microwave images', 'map case', 'mainly oriented', 'key point', 'hybrid strip', 'generalised approach', 'focusing capability', 'experiments carried', 'data acquired', 'conventional strip', 'azimuth convolution', 'algorithm extends']</t>
  </si>
  <si>
    <t>A new algorithm is presented for processing SAR data acquired in the hybrid strip-map/spotlight SAR configuration whose acquisition mode allows the generation of microwave images with an azimuth resolution better than that obtained in the strip-map case and with an imaged area larger than that achieved in the spotlight operation. The algorithm extends the focusing capability of conventional strip-map processing techniques to the hybrid SAR data; this result is achieved by generalising a recently proposed two-step focusing technique for spotlight SAR data processing, the spotlight mode being a particular case of the more general hybrid one. The key point of the procedure is the first filtering step which implements an azimuth convolution between the raw data and a chirp signal whose rate is selected, in the generalised approach, depending on the characteristics of the hybrid acquisition mode. Following this stage, standard strip-map processing procedures can be used to implement the second processing step, leading to fully focused SAR images. The algorithm, mainly oriented to spaceborne systems, is simple and efficient and allows the design of a generalised processing code suitable for data acquired in the hybrid strip-map/spotlight SAR configuration including the strip-map and spotlight modes as special cases. Experiments carried out on simulated data clarify the rationale of the method and confirm its validity.</t>
  </si>
  <si>
    <t>363-372</t>
  </si>
  <si>
    <t>60001111;60001111;60001111;60001111;60001111</t>
  </si>
  <si>
    <t>7003896636;6506174014;56375405600;7005348278;21934618600</t>
  </si>
  <si>
    <t>Lanari, R.;Zoffoli, S.;Sansosti, E.;Fornaro, G.;Serafino, F.</t>
  </si>
  <si>
    <t>Consiglio Nazionale delle Ricerche, Institute for Electromagnetic Sensing of the Environment</t>
  </si>
  <si>
    <t>Lanari R.</t>
  </si>
  <si>
    <t>New approach for hybrid strip-map/spotlight SAR data focusing</t>
  </si>
  <si>
    <t>10.1049/ip-rsn:20010662</t>
  </si>
  <si>
    <t>2-s2.0-0035707091</t>
  </si>
  <si>
    <t>['works initiated', 'well adapted', 'variable coefficients', 'taylor describes', 'systems governed', 'symbolic calculations', 'second part', 'scattered field', 'pure appl', 'pseudodifferential operators', 'order conditions', 'order condition', 'method involves', 'maxwell system', 'ieee trans', 'give rise', 'first part', 'elaborate calculations', 'complete second', 'complete order', 'approach proved', 'algorithm leading', '478 ],', '161 ],']</t>
  </si>
  <si>
    <t>Approximate solution | Artificial boundary conditions | Maxwell system | Pseudodifferential operators | Strictly hyperbolic systems</t>
  </si>
  <si>
    <t>In [Comm. Pure Appl. Math., 28 (1975), pp. 457-478], M. E. Taylor describes a constructive diagonalization method to investigate the reflection of singularities of the solution to first-order hyperbolic systems. According to further works initiated by Engquist and Majda, this approach proved to be well adapted to the construction of artificial boundary conditions. However, in the case of systems governed by pseudodifferential operators with variable coefficients, Taylor's method involves very elaborate calculations of the symbols of the operators. Hence, a direct approach may be difficult when dealing with high-order conditions. This motivates the first part of this paper, where a recursive explicit formulation of Taylor's method is stated for microlocally strictly hyperbolic systems. Consequently, it provides an algorithm leading to symbolic calculations which can be handled by a computer algebra system. In the second part, an application of the method is investigated for the construction of local radiation boundary conditions on arbitrarily shaped surfaces for the transverse electric Maxwell system. It is proved that they are of complete order, provided the introduction of a new symbols class well adapted to the Maxwell system. Next, a complete second-order condition is designed, and when used as an on-surface radiation condition [G. A. Kriegsmann, A. Taflove, and K. R. Umashankar, IEEE Trans. Antennas and Propagation, 35 (1987), pp. 153-161], it can give rise to an ultrafast numerical approximate solution of the scattered field.</t>
  </si>
  <si>
    <t>1877-1905</t>
  </si>
  <si>
    <t>SIAM Journal on Applied Mathematics</t>
  </si>
  <si>
    <t>60027245;60027245</t>
  </si>
  <si>
    <t>6602086177;6603247644</t>
  </si>
  <si>
    <t>Antoine, Xavier;Barucq, Helene</t>
  </si>
  <si>
    <t>Antoine X.</t>
  </si>
  <si>
    <t>Microlocal diagonalization of strictly hyperbolic pseudodifferential systems and application to the design of radiation conditions in electromagnetism</t>
  </si>
  <si>
    <t>S0036139999353826</t>
  </si>
  <si>
    <t>10.1137/S0036139999353826</t>
  </si>
  <si>
    <t>2-s2.0-0035707433</t>
  </si>
  <si>
    <t>['wave antenna', 'tuning bandwidth', 'right beam', 'one terminal', 'local oscillator', 'lo frequency', 'field pattern', 'agree well', '8 ghz', '7 ghz', '5 ghz', '48 ¬∞.', '22 ¬∞).', '158 ¬∞', '136 ¬∞']</t>
  </si>
  <si>
    <t>Dual-beam asymmetrically scanning | Resistive upconverter</t>
  </si>
  <si>
    <t>A dual-beam asymmetrical scanning microstrip leaky-wave antenna (LWA) has been demonstrated in this paper. A HEMT resistive upconverter output is connected to one terminal of the LWA, and a local oscillator (LO) signal is connected to the other terminal. In this experiment, we set the LO frequency at 9.5 GHz so that the right beam is fixed at 48¬∞. By changing the IF frequency from 0.7 GHz to 1.5 GHz, the module of the LWA can steer the left main beam of the far-field pattern from 136¬∞ to 158¬∞ (the total scanning angle of 22¬∞). Comparisons between the measured and theoretical results indicate that the design can achieve the asymmetrically scanning capability and agree well over the tuning bandwidth of 0.8 GHz.</t>
  </si>
  <si>
    <t>492-494</t>
  </si>
  <si>
    <t>60000251-60004879;113088091;60012370</t>
  </si>
  <si>
    <t>7501637046;7005929706;7005109058</t>
  </si>
  <si>
    <t>Wang, Chien Jen;Sheu, Yu Hau;Jou, Christina F.</t>
  </si>
  <si>
    <t>Taiwan;Taiwan;United States;Taiwan</t>
  </si>
  <si>
    <t>Hsinchu;Taichung;New York;Hsin-chu</t>
  </si>
  <si>
    <t>National Chiao Tung University;Feng Chia University;IEEE;Elite Semiconductor Memory Technology Inc.</t>
  </si>
  <si>
    <t>60012370;60004879;60000251;113088091</t>
  </si>
  <si>
    <t>A dual-beam asymmetrically scanning leaky-wave antenna by utilizing a HEMT resistive upconverter</t>
  </si>
  <si>
    <t>S1531130901111219</t>
  </si>
  <si>
    <t>10.1109/7260.974556</t>
  </si>
  <si>
    <t>2-s2.0-0035707992</t>
  </si>
  <si>
    <t>['simulated performance', 'simulated design', 'simply fed', 'potential application', 'pcs ).', 'particularly suitable', 'multiband operation', 'manufacturing errors', 'ka band', 'good tolerance', 'good agreement', 'experimental results', 'element arrays', 'coaxial connector', 'also described']</t>
  </si>
  <si>
    <t>A new coaxial continuous transverse stub (CTS) array is proposed, designed, constructed, and tested. It is an omni-directional low cost antenna array which provides good impedance matching characteristics and good tolerance to manufacturing errors. It can be simply fed by a coaxial connector and is particularly suitable for millimeter wave personal communication systems (PCS). It is shown that this type of radiating element provides high percentage of radiation, and for the simulated design of single- and multiple-element arrays, S 11 was below -10 dB across a 6 GHz frequency span at the Ka band. A three-element prototype Coaxial CTS antenna array was designed, constructed, and tested in the X-band. Experimental results were in good agreement with the simulated performance. Potential application of this new antenna array in multiband operation is also described.</t>
  </si>
  <si>
    <t>489-491</t>
  </si>
  <si>
    <t>60000251-60025488;60000251-60025488;60000251-60025488;60000251-60025488</t>
  </si>
  <si>
    <t>34769915200;8551577700;57204699205;6603573789</t>
  </si>
  <si>
    <t>Iskander, Magdy F.;Zhang, Zhijun;Yun, Zhengqing;Isom, Robert</t>
  </si>
  <si>
    <t>Salt Lake City;New York</t>
  </si>
  <si>
    <t>The University of Utah;IEEE</t>
  </si>
  <si>
    <t>60025488;60000251</t>
  </si>
  <si>
    <t>Coaxial continuous transverse stub (CTS) array</t>
  </si>
  <si>
    <t>S1531130901111220</t>
  </si>
  <si>
    <t>10.1109/7260.974555</t>
  </si>
  <si>
    <t>2-s2.0-0035708922</t>
  </si>
  <si>
    <t>Mother and Child Health Foundation</t>
  </si>
  <si>
    <t>MCHF</t>
  </si>
  <si>
    <t>['pivot helix', 'patients 1', 'patient 2', 'mild insensitivity', 'mild hyperammonaemia', 'like structure', 'important role', 'gtp inhibition', 'glutamate dehydrogenase', 'genetic results', 'gdh gene', 'gdh enzyme', 'gdh activity', 'gdh ).', 'g446d mutations', 'g446d based', 'dosage effect', 'different locations', 'control subjects', 'congenital hyperinsulinism', 'clinical phenotype', 'causing gene', 'bovine gdh']</t>
  </si>
  <si>
    <t>Glutamate dehydrogenase | Hyperammonaemia | Hyperinsulinism | Hypoglycaemia</t>
  </si>
  <si>
    <t>Congenital hyperinsulinism and hyperammonaemia (CHH) is caused by dysregulation of glutamate dehydrogenase (GDH). We characterised the GDH gene in two Japanese patients with CHH. Patient 1 showed late-onset and mild hypoglycaemic episodes and mild hyperammonaemia, compared with patient 2. In GDH activity of lymphoblasts, patient 1 showed twofold higher basal GDH activity than control subjects and mild insensitivity for GTP inhibition. Patient 2 showed severe insensitivity for GTP inhibition, and similar allosteric stimulation by ADP in the controls. Genetic studies identified heterozygous and de novo L413V and G446D mutations in patients 1 and 2, respectively. COS cell expression study confirmed that both mutations were disease-causing gene. The insensitivity for GTP inhibition in L413V and G446D was emphasised in COS cell expression system as a result of the dosage effect of mutant GDH gene. L413V showed less impairment of GDH than G446D based on biochemical and genetic results, which was consistent with the clinical phenotype. Based on the structure of bovine GDH, G446D was located in GTP binding site of pivot helix and its surroundings, while L413V was located in Œ±-helix of antenna-like structure. These different locations of mutations gave different effects on GDH enzyme. The antenna-like structure plays an important role in GDH activity.</t>
  </si>
  <si>
    <t>931-937</t>
  </si>
  <si>
    <t>European Journal of Human Genetics</t>
  </si>
  <si>
    <t>60172319;60172319;60172319;60172319;60172319;60172319;60172319</t>
  </si>
  <si>
    <t>7203027346;7202082525;57196896946;19633289900;7401949009;7006021507;36964292700</t>
  </si>
  <si>
    <t>Fujioka, Hiroki;Okano, Yoshiyuki;Inada, Hiroshi;Asada, Minoru;Kawamura, Tomoyuki;Hase, Yutaka;Yamano, Tsunekazu</t>
  </si>
  <si>
    <t>Osaka</t>
  </si>
  <si>
    <t>Osaka City University Graduate School of Medicine</t>
  </si>
  <si>
    <t>Fujioka H.</t>
  </si>
  <si>
    <t>Molecular characterisation of glutamate dehydrogenase gene defects in Japanese patients with congenital hyperinsulinism/hyperammonaemia</t>
  </si>
  <si>
    <t>10.1038/sj.ejhg.5200749</t>
  </si>
  <si>
    <t>2-s2.0-0035712268</t>
  </si>
  <si>
    <t>['system prior', 'static nature', 'simulation models', 'service disruption', 'recovery time', 'recovery mechanisms', 'new scheme', 'network architectures', 'initialization parameters', 'excessive delay', 'digital services', 'cms ).', 'cable modems']</t>
  </si>
  <si>
    <t>Cable modems | Cable television | CATV | DOCSIS | Fault recovery | HFC | Ranging process | Simulation</t>
  </si>
  <si>
    <t>Wide scale power outages can cause serious disruptions to digital services over community antenna television (CATV) networks. This can result in long service recovery times for some or all of the cable modems (CMs). In this paper, the recovery mechanisms of the Data Over Cable Service Interface Specification (DOCSIS) protocol, due to service disruption, are studied. We propose a new scheme for the ranging of modems, namely persistent ranging algorithm (PRA) and two different simulation models have been developed for this purpose. The simulation results show that the static nature of the registration and initialization parameters can introduce an excessive delay in the recovery time of the system. Minimum recovery times of 820 s and 975 s (two ranging opportunities/second) for network architectures with 400CMs and 500CMs, respectively, on a single upstream channel were obtained. In order to validate the accuracy of the simulation models a set of experiments was performed on a CATV network testbed. The testbed results revealed that the simulation models produced are realistic and offer reliable estimates of large-scale network topologies. Extensions to the DOCSIS MAC protocol in which the status of the system prior to disruption is used have reported a decrease of up to 42% in the recovery time of the system.</t>
  </si>
  <si>
    <t>377-385</t>
  </si>
  <si>
    <t>6506874236;6602576322;7005289962</t>
  </si>
  <si>
    <t>Sdralia, Vaia;Tzerefos, Polychronis;Smythe, Colin</t>
  </si>
  <si>
    <t>Recovery analysis of the DOCSIS protocol after service disruption</t>
  </si>
  <si>
    <t>S0018931601112862</t>
  </si>
  <si>
    <t>10.1109/11.979375</t>
  </si>
  <si>
    <t>2-s2.0-0035716389</t>
  </si>
  <si>
    <t>['upper silesia', 'typical case', 'theoretical interpretation', 'second part', 'real radargrams', 'poland ),', 'particular case', 'old coal', 'obtained radargrams', 'mining district', 'may reach', 'locating sinkholes', 'gpr technique', 'gpr data', 'formulate suggestions', 'first part', 'existing structures', 'clues concerning', 'best technique']</t>
  </si>
  <si>
    <t>Applied geophysics | Coal mining | Field measurements | GPR | Ground-penetrating radar | Sinkholes | Theoretical modelling | Upper Silesia</t>
  </si>
  <si>
    <t>Using a RAMAC-GPR with a 200 MHz antenna, we obtained radargrams in an old coal-mining district of Upper Silesia (Poland), where exploitation holes represent a danger of collapse for existing structures. Despite some drawbacks, GPR methods seem to be the best technique for mapping and monitoring these holes, which may reach the surface after some time. In the first part of this paper, we show actual field measurements for a typical case, and in the second part we present preliminary theoretical investigations. We construct 2D synthetic radargrams based on the information we obtained from available geological data and the interpretation of the real radargrams. Thus, we formulate suggestions on how to optimize the methodology of locating sinkholes by the GPR technique, and give some clues concerning the theoretical interpretation of GPR data in this particular case.</t>
  </si>
  <si>
    <t>377-389</t>
  </si>
  <si>
    <t>Acta Geodaetica et Geophysica Hungarica</t>
  </si>
  <si>
    <t>60017351;60017351;60017351;112065019;60017351;60000964</t>
  </si>
  <si>
    <t>36879130800;7006803468;6602220011;7006323553;6602976240;54990689300</t>
  </si>
  <si>
    <t>Zi»©tek, J.;Karczewski, J.;Tomecka-Sucho≈Ñ, S.;Carcione, J.;Padoan, G.;Denis, C.</t>
  </si>
  <si>
    <t>Poland;Belgium;Italy</t>
  </si>
  <si>
    <t>Krakow MP;Liege;Opicina</t>
  </si>
  <si>
    <t>AGH University of Science and Technology;Universit√© de Li√®ge;Osservatorio Geosico Sperimentale</t>
  </si>
  <si>
    <t>60017351;60000964;112065019</t>
  </si>
  <si>
    <t>Zi»©tek J.</t>
  </si>
  <si>
    <t>Observations and results of GPR modelling of sinkholes in Upper Silesia (Poland)</t>
  </si>
  <si>
    <t>10.1556/AGeod.36.2001.4.1</t>
  </si>
  <si>
    <t>2-s2.0-0035717405</t>
  </si>
  <si>
    <t>Swedish National Board for Industrial and Technical Development</t>
  </si>
  <si>
    <t>['transverse slots', 'transverse directions', 'spectral self', 'spectral domain', 'spectral admittance', 'scattering parameters', 'mutual admittances', 'mutual admittance', 'moment method', 'measured data', 'inverse transformed', 'integral equations', 'induced currents', 'cylindrical structures', 'computed results']</t>
  </si>
  <si>
    <t>Aperture admittance | Cylindrical structures | Moment method | Waveguide slot antenna</t>
  </si>
  <si>
    <t>The self and mutual admittances of transverse slots in arbitrary conducting cylindrical structures are computed. The analysis is performed in the spectral domain, where all fields and currents have been Fourier transformed along the structure. There are, however, no transformations in the transverse directions. A system of integral equations for cylindrical structures are formulated and solved with the moment method. The induced currents on the structure can thus be determined and used to compute the spectral self and mutual admittance of the slots. The spectral admittance is inverse transformed and included in the overall slot antenna analysis. The analysis is rigorous with trigonometric basis function expansions at the inner and outer slot apertures. Computed results on scattering parameters in the waveguide show good agreement with measured data.</t>
  </si>
  <si>
    <t>1733-1738</t>
  </si>
  <si>
    <t>Wettergren, Johan</t>
  </si>
  <si>
    <t>Wettergren J.</t>
  </si>
  <si>
    <t>Admittance of transverse waveguide slots in cylindrical structures</t>
  </si>
  <si>
    <t>S0018926X01091827</t>
  </si>
  <si>
    <t>10.1109/8.982453</t>
  </si>
  <si>
    <t>2-s2.0-0035719231</t>
  </si>
  <si>
    <t>['wave model', 'undesired range', 'test zone', 'sphere enclosing', 'selectable number', 'range field', 'plane wave', 'pattern subtraction', 'measured pattern', 'iterative procedure', 'improved estimate', 'far field', 'error patterns', 'compensated pattern']</t>
  </si>
  <si>
    <t>Anechoic chamber | Antenna measurements | Electromagnetic</t>
  </si>
  <si>
    <t>Plane wave, pattern subtraction (PWPS) range compensation improves the performance of far field and compact, antenna pattern measurement systems by compensating errors introduced by antenna measurement facility (range) imperfections. The range-field model consists of a plane wave that represents an ideal range field plus a selectable number of plane waves representing range field imperfections. The error patterns introduced by the undesired range-field plane waves are estimated and subtracted from the measured pattern to produce a compensated pattern. This compensated pattern is used to obtain an improved estimate of the error patterns. This iterative procedure is continued until the compensation algorithm converges. The antenna measurement range field is measured on the surface of a sphere enclosing the test zone, and a plane-wave model of this range field is constructed.</t>
  </si>
  <si>
    <t>1843-1851</t>
  </si>
  <si>
    <t>60000251-60015099;60000251-60015099</t>
  </si>
  <si>
    <t>6601911049;7004378350</t>
  </si>
  <si>
    <t>Leatherwood, Daniel A.;Joy, Edward B.</t>
  </si>
  <si>
    <t>Atlanta;New York</t>
  </si>
  <si>
    <t>Georgia Tech Research Institute;IEEE</t>
  </si>
  <si>
    <t>60015099;60000251</t>
  </si>
  <si>
    <t>Leatherwood D.</t>
  </si>
  <si>
    <t>Plane wave, pattern subtraction, range compensation</t>
  </si>
  <si>
    <t>S0018926X01108100</t>
  </si>
  <si>
    <t>10.1109/8.982468</t>
  </si>
  <si>
    <t>2-s2.0-0035719232</t>
  </si>
  <si>
    <t>['waveguide apertures', 'topped patterns', 'tem modes', 'strip structures', 'optimized structures', 'mode parallel', 'high quality', 'geometrical parameters', 'galerkin method', 'frequency band', 'formulated problem', 'floquet modes', 'finite slow']</t>
  </si>
  <si>
    <t>Antenna arrays | Antenna radiation patterns</t>
  </si>
  <si>
    <t>A two-dimensional (2-D) model of a corrugated-rod antenna array in the form of an infinite periodic array of finite slow-wave strip structures arranged above the apertures of two- or three-mode parallel-plate waveguides excited by TEM modes is analyzed. The formulated problem is solved by the method of matching the waveguide and Floquet modes on the waveguide apertures in combination with the Galerkin method for calculation of the currents on the strips. The geometrical parameters of the strip structures are optimized for shaping the flat-topped element patterns. It is shown that high quality of the flat-topped patterns in the element spacing range from 0.65 to 1.3 of wavelength is achieved if the excitation of the optimized structures is performed with using the second and third reflected waveguide modes returned back to the apertures with the corresponding optimum phases. The presented examples also show that the shape of the obtained patterns keeps well at least in a 10% frequency band.</t>
  </si>
  <si>
    <t>1763-1768</t>
  </si>
  <si>
    <t>60000251-60096210</t>
  </si>
  <si>
    <t>Skobelev, Sergei P.</t>
  </si>
  <si>
    <t>Joint-Stock Company Radiophyzika;IEEE</t>
  </si>
  <si>
    <t>60096210;60000251</t>
  </si>
  <si>
    <t>Skobelev S.</t>
  </si>
  <si>
    <t>Shaping of flat-topped element patterns in an array of slow-wave strip structures excited by parallel-plate waveguides</t>
  </si>
  <si>
    <t>S0018926X01108197</t>
  </si>
  <si>
    <t>10.1109/8.982457</t>
  </si>
  <si>
    <t>2-s2.0-0035719234</t>
  </si>
  <si>
    <t>['wave analysis', 'spectral domain', 'rigorous full', 'radiation pattern', 'properly imposing', 'presented method', 'polarization levels', 'parametric analysis', 'new set', 'measurements showing', 'good agreement', 'efficient implementation', 'boundary conditions', 'also carried']</t>
  </si>
  <si>
    <t>A rigorous full-wave analysis in the spectral domain for trapezoidal patch antennas is presented in this paper. Particularly, a new set of entire domain basis functions for an efficient implementation of the method of moments (MoM) is carried out by properly imposing the boundary conditions. The simulated results obtained through the presented method are compared to the measurements showing a good agreement. Finally, a parametric analysis of the main antenna features (matching, radiation pattern, cross-polarization levels) is also carried out.</t>
  </si>
  <si>
    <t>1773-1776</t>
  </si>
  <si>
    <t>60000251-60012630;60000251-60073283</t>
  </si>
  <si>
    <t>7004207954;56627149300</t>
  </si>
  <si>
    <t>Bilotti, F.;Vegni, C.</t>
  </si>
  <si>
    <t>Rome;Rome;New York</t>
  </si>
  <si>
    <t>Alenia Aeronautica;Universit√† degli Studi Roma Tre;IEEE</t>
  </si>
  <si>
    <t>60073283;60012630;60000251</t>
  </si>
  <si>
    <t>Bilotti F.</t>
  </si>
  <si>
    <t>Rigorous and efficient full-wave analysis of trapezoidal patch antennas</t>
  </si>
  <si>
    <t>S0018926X01108215</t>
  </si>
  <si>
    <t>10.1109/8.982459</t>
  </si>
  <si>
    <t>2-s2.0-0035719264</t>
  </si>
  <si>
    <t>['wireless communications', 'vector channels', 'typical line', 'spatial signatures', 'smart antennas', 'small movement', 'small displacements', 'results show', 'proper operation', 'propagation scenarios', 'periodic fluctuations', 'nlos scenario', 'mobile user', 'mobile transmitter', 'mobile subscriber', 'losls ),', 'los scenario', 'local scatterer', 'experimentally investigate', 'exhibit small', 'doas ),', 'conducted using', 'complex attenuations', 'antenna array']</t>
  </si>
  <si>
    <t>Adaptive antenna arrays | Direction-of-arrival (DOA) estimation | Path attenuation | Propagation measurements | Spatial signatures | Vector channels</t>
  </si>
  <si>
    <t>In wireless communications, the performance of a smart antenna system depends heavily upon vector channels describing channel propagation between an antenna array and a mobile subscriber. The smart antennas perform quite well in stationary mobile environments in which channel propagation characteristics are stable. However, in dynamic wireless environments where the mobile user is in motion, knowledge of how vector channels are affected is necessary for the proper operation of smart antennas. Here, we experimentally investigate the variation of vector channel parameters such as spatial signatures, directions-of-arrival (DOAs), and complex path attenuations with small movement (2Œª) of the mobile under typical line-of-sight (LOS), line-of-sight with local scatterer (LOSLS), and nonline-of-sight (NLOS) propagation scenarios. The experiments are conducted using a 1.8-GHz smart antenna testbed developed at The University of Texas at Austin and a mobile transmitter. The results show that with small displacements, DOAs remain approximately unchanged and spatial signatures change due primarily to complex attenuations. Spatial signatures are very susceptible to the movement in the NLOS scenario, reaching up to 90% relative angle change within 2Œª displacement. However, in the LOS scenario, they exhibit small and periodic fluctuations with a period of 0.6Œª.</t>
  </si>
  <si>
    <t>1695-1702</t>
  </si>
  <si>
    <t>60000251-60028583;60000251-60030003;60000251-60030003;60000251-60013372</t>
  </si>
  <si>
    <t>7003901755;55501062900;7404265004;35613152700</t>
  </si>
  <si>
    <t>Kavak, Adnan;Yang, Weidong;Xu, Guanghan;Vogel, Wolfhard J.</t>
  </si>
  <si>
    <t>United States;Turkey;United States;United States</t>
  </si>
  <si>
    <t>San Jose;Kocaeli;Austin;New York</t>
  </si>
  <si>
    <t>Cisco Systems;Kocaeli √úniversitesi;The University of Texas at Austin;IEEE</t>
  </si>
  <si>
    <t>60030003;60028583;60013372;60000251</t>
  </si>
  <si>
    <t>Characteristics of vector propagation channels in dynamic mobile scenarios</t>
  </si>
  <si>
    <t>S0018926X01076463</t>
  </si>
  <si>
    <t>10.1109/8.982448</t>
  </si>
  <si>
    <t>2-s2.0-0035719272</t>
  </si>
  <si>
    <t>['voltage source', 'time dependence', 'performance evaluation', 'method proposed', 'input characteristics', 'good agreement', 'gap voltage', 'fifteenth period', 'fdtd technique', 'fdtd results', 'experimental results', 'efficient tool', 'difference time', 'desired frequency', 'computed results', 'complex structures', 'comparison reveals', 'coaxial model', 'absolute gains', 'absolute gain']</t>
  </si>
  <si>
    <t>Cavity resonator | Finite-difference time-domain (FDTD) technique | Slot antenna</t>
  </si>
  <si>
    <t>The finite-difference time-domain (FDTD) method is considered a versatile and efficient tool for the solution of Maxwell's equations in complex structures for any time dependence. In this paper, we show an antenna feed model suitable for performance evaluation of a cavity-backed slot antenna using the FDTD technique. The gap voltage and the coaxial feed models are examined, and their input characteristics and absolute gains are compared. Analytical results show that the input characteristics are estimated with fewer time steps for the coaxial model than for the conventional gap voltage model. Furthermore, we show how to calculate absolute gains and radiation patterns using the coaxial model and a sinusoidal voltage source at the desired frequency. The computed results of the absolute gain converge after the fifteenth period of the voltage source for the coaxial model and are in good agreement with the experimental results. On the other hand, the absolute gain is observed to fluctuate when the gap voltage model is used. The performance evaluation and comparison reveals that the coaxial model is an appropriate feed model for use in the analysis of the performance of the cavity-backed slot antenna using the FDTD technique. The good agreement of the FDTD results with the experimental measurements demonstrates the effectiveness of the model and the method proposed.</t>
  </si>
  <si>
    <t>1712-1717</t>
  </si>
  <si>
    <t>60000251-60014652;60000251-60014652;60000251-60014652</t>
  </si>
  <si>
    <t>Sapporo;New York</t>
  </si>
  <si>
    <t>Hokkaido University;IEEE</t>
  </si>
  <si>
    <t>60014652;60000251</t>
  </si>
  <si>
    <t>Considerations on performance evaluation of cavity-backed slot antenna using the FDTD technique</t>
  </si>
  <si>
    <t>S0018926X01091803</t>
  </si>
  <si>
    <t>10.1109/8.982450</t>
  </si>
  <si>
    <t>2-s2.0-0035719325</t>
  </si>
  <si>
    <t>N00014‚Äì01-1‚Äì0210</t>
  </si>
  <si>
    <t>['true solution', 'required evaluation', 'radiation problems', 'proposed method', 'numerical examples', 'novel hybridization', 'multifrontal algorithm', 'mixed functional', 'method produces', 'memory requirement', 'mathematical analysis', 'magnetic fields', 'interior resonance', 'integration surface', 'greatly reduces', 'great potential', 'finite element', 'electromagnetic scattering', 'cpu time', 'computational domain', 'boundary integrals', 'adaptive abc']</t>
  </si>
  <si>
    <t>Boundary integral equations (BIE) | Electromagnetic scattering | Finite element methods (FEM) | Numerical analysis | Radar cross section</t>
  </si>
  <si>
    <t>A novel hybridization of the finite element (FE) and boundary integral methods is presented for an efficient and accurate numerical analysis of electromagnetic scattering and radiation problems. The proposed method derives an adaptive numerical absorbing boundary condition (ABC) for the finite element solution based on boundary integral equations. Unlike the standard finite element-boundary integral approach, the proposed method is free of interior resonance and produces a purely sparse system matrix, which can be solved very efficiently. Unlike the traditional finite element-absorbing boundary condition approach, the proposed method uses an arbitrarily shaped truncation boundary placed very close to the scatterer/radiator to minimize the computational domain; and more importantly, the method produces a solution that converges to the true solution of the problem. To demonstrate its great potential, the proposed method is implemented using higher order curvilinear vector elements. A mixed functional is designed to yield both electric and magnetic fields on an integration surface, without numerical differentiation, to be used in the calculation of the adaptive ABC. The required evaluation of boundary integrals is carried out using the multilevel fast multipole algorithm, which greatly reduces both the memory requirement and CPU time. The finite element equations are solved efficiently using the multifrontal algorithm. A mathematical analysis is conducted to study the convergence of the method. Finally, a number of numerical examples are given to illustrate its accuracy and efficiency.</t>
  </si>
  <si>
    <t>1794-1806</t>
  </si>
  <si>
    <t>60000251-60000745;60000251-60000745</t>
  </si>
  <si>
    <t>57193398500;7403588231</t>
  </si>
  <si>
    <t>Liu, Jian;Jin, Jian Ming</t>
  </si>
  <si>
    <t>Urbana;New York</t>
  </si>
  <si>
    <t>University of Illinois Urbana-Champaign;IEEE</t>
  </si>
  <si>
    <t>60000745;60000251</t>
  </si>
  <si>
    <t>A novel hybridization of higher order finite element and boundary integral methods for electromagnetic scattering and radiation problems</t>
  </si>
  <si>
    <t>S0018926X01091918</t>
  </si>
  <si>
    <t>10.1109/8.982462</t>
  </si>
  <si>
    <t>2-s2.0-0035719331</t>
  </si>
  <si>
    <t>['wave phenomena', 'rich variety', 'printed arrays', 'part ii', 'infinite array', 'frequency solution', 'finite distance', 'efficient analysis', 'diffraction generalization', 'array edge']</t>
  </si>
  <si>
    <t>Diffraction | High frequency | Patch array antennas</t>
  </si>
  <si>
    <t>A uniform, high-frequency solution is presented for the electromagnetic field radiated at finite distance by a semi-infinite array of elementary electric dipoles placed on an infinite grounded dielectric slab. This solution is useful for the efficient analysis of printed arrays. The field is represented in terms of a series encompassing propagating and evanescent truncated Floquet waves together with their corresponding diffracted rays, which arise from the edge of the array. The high-frequency formulation also includes surface and leaky wave contributions excited at the array edge. The diffracted waves contain discontinuities which compensate the disappearance of surface, leaky and truncated Floquet waves at their pertinent shadow boundaries. The rich variety of wave phenomena and the corresponding Geometrical Theory of Diffraction generalization will be presented in Part II of this paper.</t>
  </si>
  <si>
    <t>1667-1678</t>
  </si>
  <si>
    <t>60000251-60002838;60000251-60002838;60000251-60002838</t>
  </si>
  <si>
    <t>56631460600;56041272900;7005998607</t>
  </si>
  <si>
    <t>Polemi, Alessia;Toccafondi, Alberto;Maci, Stefano</t>
  </si>
  <si>
    <t>Siena;New York</t>
  </si>
  <si>
    <t>Universit√† degli Studi di Siena;IEEE</t>
  </si>
  <si>
    <t>60002838;60000251</t>
  </si>
  <si>
    <t>Polemi A.</t>
  </si>
  <si>
    <t>High-frequency green's function for a semi-infinite array of electric dipoles on a grounded slab- Part I: Formulation</t>
  </si>
  <si>
    <t>S0018926X01076499</t>
  </si>
  <si>
    <t>10.1109/8.982445</t>
  </si>
  <si>
    <t>2-s2.0-0035719354</t>
  </si>
  <si>
    <t>['surface waves', 'radiation caused', 'practical interest', 'periodic structures', 'paper discusses', 'finite fss', 'certain types', 'bistatic directions']</t>
  </si>
  <si>
    <t>Finite FSS | Frequency selective surfaces (FSS) | Surface waves</t>
  </si>
  <si>
    <t>This paper discusses the presence of surface waves on periodic structures in general and on frequency selective surfaces (FSS) in particular. While certain types of surface waves can exist on infinite as well as finite periodic structures, this investigation centers around the types that can exist only on finite FSS. Radiation caused by these surface waves may lead to a significant scattering increase in the backscatter as well as the bistatic directions. Thus, this paper is of both theoretical and practical interest.</t>
  </si>
  <si>
    <t>1782-1793</t>
  </si>
  <si>
    <t>60000251-60003500;60000251-60003500;60003500;60000251-60003500</t>
  </si>
  <si>
    <t>35550481500;7801381244;35551756400;7004052296</t>
  </si>
  <si>
    <t>Munk, Ben A.;Janning, Dan S.;Pryor, Jonothan B.;Marhefka, Ronald J.</t>
  </si>
  <si>
    <t>Munk B.</t>
  </si>
  <si>
    <t>Scattering from surface waves on finite FSS</t>
  </si>
  <si>
    <t>S0018926X01091840</t>
  </si>
  <si>
    <t>10.1109/8.982461</t>
  </si>
  <si>
    <t>2-s2.0-0035720890</t>
  </si>
  <si>
    <t>N00014-99-1-0043</t>
  </si>
  <si>
    <t>['vhf version', 'measured data', 'good efficiency', 'design process']</t>
  </si>
  <si>
    <t>Conical antennas | Folded antennas | Helix antennas</t>
  </si>
  <si>
    <t>A novel conical monopole antenna composed of multiple spiral wires for the HF to VHF frequency bands is presented. The antenna exhibits broad bandwidth and good efficiency in an electrically small package. Broadbanding and impedance matching techniques used during the design process of this antenna are described. Measured data from a VHF version of this antenna is shown. The performance of this antenna is then compared to the performance of other electrically small antennas.</t>
  </si>
  <si>
    <t>1777-1781</t>
  </si>
  <si>
    <t>60000251-60006711;60000251-60013372</t>
  </si>
  <si>
    <t>9735019300;16454983700</t>
  </si>
  <si>
    <t>Dobbins, Justin A.;Rogers, Robert L.</t>
  </si>
  <si>
    <t>Austin;Houston;New York</t>
  </si>
  <si>
    <t>The University of Texas at Austin;NASA Johnson Space Center;IEEE</t>
  </si>
  <si>
    <t>60013372;60006711;60000251</t>
  </si>
  <si>
    <t>Dobbins J.</t>
  </si>
  <si>
    <t>Folded conical helix antenna</t>
  </si>
  <si>
    <t>S0018926X01108161</t>
  </si>
  <si>
    <t>10.1109/8.982460</t>
  </si>
  <si>
    <t>2-s2.0-0035720910</t>
  </si>
  <si>
    <t>['wave band', 'structure consists', 'rotating mode', 'ring slot', 'plate waveguide', 'minimizing even', 'coplanar waveguide', 'boresite beam']</t>
  </si>
  <si>
    <t>Cavity | Concentric array radial line slot antenna (CA-RLSA) | Coplanar waveguide (CPW) | Feeding circuit | Planar | Ring slot</t>
  </si>
  <si>
    <t>For a concentric array radial line slot antenna with a boresite beam, a rotating mode should be excited. A planar feeding circuit exciting a rotating mode in a parallel-plate waveguide is proposed in this paper. The structure consists of a coplanar waveguide, ring slot, and cavity, which is planar and suitable for integrating and minimizing even in a millimeter-wave band. The experimental results agree well with the simulation.</t>
  </si>
  <si>
    <t>1862-1867</t>
  </si>
  <si>
    <t>60025084;60025084;60031126</t>
  </si>
  <si>
    <t>7202927995;7404663417;35495699200</t>
  </si>
  <si>
    <t>Jin, Ronghong;Zhu, Hongwen;Ando, Makoto</t>
  </si>
  <si>
    <t>Tokyo;Shanghai</t>
  </si>
  <si>
    <t>Tokyo Institute of Technology;Shanghai Jiao Tong University</t>
  </si>
  <si>
    <t>60031126;60025084</t>
  </si>
  <si>
    <t>Jin R.</t>
  </si>
  <si>
    <t>A feeding circuit with CPW for CA-RLSA</t>
  </si>
  <si>
    <t>S0018926X0107644X</t>
  </si>
  <si>
    <t>10.1109/8.982470</t>
  </si>
  <si>
    <t>2-s2.0-0035720911</t>
  </si>
  <si>
    <t>00-15-96734</t>
  </si>
  <si>
    <t>['vlf waves', 'transmitting system', 'plasma density', 'ionospheric conditions', 'guided modes', 'enhanced density', 'efficient excitation', 'channel end', 'antenna coupling', 'ambient plasma', 'ambient medium']</t>
  </si>
  <si>
    <t>Anisotropic media | Electromagnetic radiation</t>
  </si>
  <si>
    <t>We study wave emission from a transmitting system consisting of a magnetic-field-aligned cylindrical plasma channel of enhanced density and a loop antenna immersed in it. An ambient medium is assumed to be a cold uniform magnetoplasma. It is found that when the plasma density in the near-antenna zone increases, the total power radiated from the antenna increases considerably due to the efficient excitation of guided modes on the channel. We consider the emission of these modes from the channel end, assuming that the plasma density in the channel decreases gradually with distance from the loop. It is shown that under ionospheric conditions this transmitting system can be useful for improving the antenna coupling to VLF waves of the ambient plasma.</t>
  </si>
  <si>
    <t>1645-1648</t>
  </si>
  <si>
    <t>60008673;60008673;60008673</t>
  </si>
  <si>
    <t>7103405138;6506764892;6701600128</t>
  </si>
  <si>
    <t>Kudrin, Alexander V.;Lyakh, Mikhail Yu;Zaboronkova, Tatyana M.</t>
  </si>
  <si>
    <t>Wave emission from an open-ended cylindrical channel in a cold magnetoplasma</t>
  </si>
  <si>
    <t>S0018926X01108355</t>
  </si>
  <si>
    <t>10.1109/8.982442</t>
  </si>
  <si>
    <t>2-s2.0-0035720938</t>
  </si>
  <si>
    <t>['sufficient generality', 'slot array', 'radiation patterns', 'measured data', 'mathematical model', 'homogeneous material', 'flush mounting', 'cavity filled', 'calculated results', 'allow analysis']</t>
  </si>
  <si>
    <t>Cavity | Mode matching | Slot</t>
  </si>
  <si>
    <t>A cavity-backed rectangular 4-slot array can be used to emulate a monopole where flush mounting is required. The impedance and radiation patterns of this type of antenna are investigated. A mathematical model is developed with sufficient generality to allow analysis of a cavity filled with any homogeneous material. Several specific configurations are analyzed. Calculated results are compared with measured data.</t>
  </si>
  <si>
    <t>1718-1721</t>
  </si>
  <si>
    <t>60000251-60002959;60000251-60017536</t>
  </si>
  <si>
    <t>8243793900;7410158021</t>
  </si>
  <si>
    <t>De Schweinitz, David D.;Lee, Choon S.</t>
  </si>
  <si>
    <t>Dallas;Bethesda;New York</t>
  </si>
  <si>
    <t>Southern Methodist University;Lockheed Martin Corporation;IEEE</t>
  </si>
  <si>
    <t>60017536;60002959;60000251</t>
  </si>
  <si>
    <t>De Schweinitz D.</t>
  </si>
  <si>
    <t>Rectangular cavity-backed 4-slot array</t>
  </si>
  <si>
    <t>S0018926X0110815X</t>
  </si>
  <si>
    <t>10.1109/8.982451</t>
  </si>
  <si>
    <t>2-s2.0-0035720939</t>
  </si>
  <si>
    <t>['ultrawide bandwidth', 'ultra wide', 'special merits', 'receive signals', 'new technique', 'hostile detection', 'covert detection', 'combines median', 'artifacts caused', 'apodization filtering']</t>
  </si>
  <si>
    <t>Apodization | Image processing | Random noise radar | Ultra wide-band</t>
  </si>
  <si>
    <t>When applied in airborne imaging surveillance, ultra wide-band (UWB) random noise radars have their special merits. Because of the randomness and the ultrawide bandwidth of the transmit and receive signals, such radars can be used for covert detection and identification, and are immune from hostile detection and jamming while preserving very high range resolution. However, the images are plagued with artifacts caused by high range sidelobes. In this paper, a new technique for the range sidelobe suppression of UWB random noise radar, which combines median and apodization filtering, is proposed. Computational and experimental results show the effectiveness of this image enhancement procedure.</t>
  </si>
  <si>
    <t>1836-1842</t>
  </si>
  <si>
    <t>Range sidelobe suppression technique for coherent ultra wide-band random noise radar imaging</t>
  </si>
  <si>
    <t>S0018926X01091888</t>
  </si>
  <si>
    <t>10.1109/8.982467</t>
  </si>
  <si>
    <t>2-s2.0-0035720948</t>
  </si>
  <si>
    <t>['two methods', 'slot cut', 'radiation field', 'periodic slots', 'outer shield', 'outer conductor', 'frequency band', 'experimental results', 'dyadic green', 'different periods', 'difference time', 'coupling losses', 'coupling loss', 'coaxial cable', 'classical methods', 'accurately obtained', '500 mhz']</t>
  </si>
  <si>
    <t>Dyadic green's function | Finite-difference time-domain (FDTD) method | Leaky coaxial cables | Leaky wave antenna | Periodic structure | Slot array</t>
  </si>
  <si>
    <t>Frequency band and coupling loss are the two important parameters of leaky coaxial cables with periodic slots, frequency band can be predicted by analyzing the arrangement of the slots on the outer shield of the cable, but the coupling loss is not so easy to determine by classical methods. In this paper, the finite-difference time-domain (FDTD) method is used to calculate the electric field distribution in the slot cut in the outer conductor of the coaxial cable. The dyadic Green's Function is then used to calculate the radiation field of the equivalent surface magnetic current densities. By these two methods, the coupling losses of the leaky coaxial cables with different periods, sizes and shapes of the slots can be accurately obtained. Some results in this paper were verified by the experimental results of the leaky coaxial cables designed for railway mobile communications with a frequency band of 100-500 MHz.</t>
  </si>
  <si>
    <t>1723-1732</t>
  </si>
  <si>
    <t>60000251-60013983;60000251-60013983</t>
  </si>
  <si>
    <t>56023493300;7005780321</t>
  </si>
  <si>
    <t>Wang, Jun Hong;Mei, Kenneth K.</t>
  </si>
  <si>
    <t>Wang J.H.</t>
  </si>
  <si>
    <t>Theory and analysis of leaky coaxial cables with periodic slots</t>
  </si>
  <si>
    <t>S0018926X01108124</t>
  </si>
  <si>
    <t>10.1109/8.982452</t>
  </si>
  <si>
    <t>2-s2.0-0035721063</t>
  </si>
  <si>
    <t>['wave systems', 'wave antenna', 'wave analysis', 'therefore suitable', 'substrate lens', 'printed antenna', 'impedance bandwidth', 'frequency span', 'cost materials', 'back surface', '60 db', '38 ghz']</t>
  </si>
  <si>
    <t>Antennas | Microstrip antennas</t>
  </si>
  <si>
    <t>A low-cost, high-gain, millimeter-wave antenna is presented. The antenna is composed of a proximity-coupled microstrip patch mounted on the back surface of a substrate lens. The antenna utilizes low dielectric constant, low-cost materials and is therefore suitable to many commercial millimeter-wave systems. A full-wave analysis was developed to analyze the performance of the printed antenna and a prototype was developed for operation at 38 GHz. The impedance bandwidth of the prototype was 8% and the gain was approximately 30 dBi across this frequency span with a front-to-back ratio greater than 60 dB.</t>
  </si>
  <si>
    <t>1769-1772</t>
  </si>
  <si>
    <t>60000251-60011362;60000251-60011362</t>
  </si>
  <si>
    <t>6603111605;35478779700</t>
  </si>
  <si>
    <t>Mall, L.;Waterhouse, R. B.</t>
  </si>
  <si>
    <t>Mall L.</t>
  </si>
  <si>
    <t>Millimeter-wave proximity-coupled microstrip antenna on an extended hemispherical dielectric lens</t>
  </si>
  <si>
    <t>S0018926X01108240</t>
  </si>
  <si>
    <t>10.1109/8.982458</t>
  </si>
  <si>
    <t>2-s2.0-0035721219</t>
  </si>
  <si>
    <t>['selected scatterers', 'monostatically depolarize', 'forward scattering', 'fixed rotation', 'depolarize even', 'circular polarization', 'also included', '180 ¬∞.']</t>
  </si>
  <si>
    <t>Depolarization | Electromagnetic scattering | Electromagnetic theory | Polarization | Symmetry</t>
  </si>
  <si>
    <t>It is shown that a body of arbitrary material constitution, but invariant under a fixed rotation, must be periodic and will not monostatically depolarize under linear polarization axial incidence if reciprocal, unless the body is invariant under a rotation by 180¬∞. For circular polarization, the result is more general, the body will not depolarize even if it is not reciprocal. Forward scattering and other considerations are also included. The theory is illustrated by application to a few selected scatterers.</t>
  </si>
  <si>
    <t>1868-1874</t>
  </si>
  <si>
    <t>60005304;60000251-60005304</t>
  </si>
  <si>
    <t>14066997400;6603583945</t>
  </si>
  <si>
    <t>Cesar Monzon, J.;Kesler, Oren B.</t>
  </si>
  <si>
    <t>Waltham;New York</t>
  </si>
  <si>
    <t>Raytheon;IEEE</t>
  </si>
  <si>
    <t>60005304;60000251</t>
  </si>
  <si>
    <t>Cesar Monzon J.</t>
  </si>
  <si>
    <t>On the depolarization of bodies invariant under a rotation</t>
  </si>
  <si>
    <t>S0018926X01056411</t>
  </si>
  <si>
    <t>10.1109/8.982471</t>
  </si>
  <si>
    <t>2-s2.0-0035722397</t>
  </si>
  <si>
    <t>['tip region', 'ray optics', 'radome size', 'procedure combines', 'practical simulations', 'physical optics', 'measured data', 'large radomes', 'large radome', 'intensive work', 'efficient analysis', 'dielectric radome', 'computational time', 'calculated far']</t>
  </si>
  <si>
    <t>Antenna radome | Axi-symmetric radome | Hybrid moment method | Physical optics (PO)</t>
  </si>
  <si>
    <t>Over the last three decades, intensive work has been done to develop techniques aimed at accurate and efficient analysis of antenna radome systems. Some recent applications involve radars operating in the millimeter wave range and for those cases the radome size can be on the order of one hundred wavelengths or so in length. For practical simulations of such large radomes, a hybrid physical optics-method of moments (PO-MoM) technique is presented for accurate and efficient analysis of electrically large radomes. The procedure combines the Method Of Moments (MoM) for modeling the tip region of the dielectric radome and ray optics in conjunction with physical optics (PO) for treating the flatter smooth section of the radome. Calculated far-field patterns using the new technique agree well with measured data for a reflector antenna radiating in the presence of a large radome. The computational time for simulating the performance of a 46 Œª reflector in the presence of an 88 Œª long radome was a mere 4 h on a 233 MHz PC.</t>
  </si>
  <si>
    <t>1657-1666</t>
  </si>
  <si>
    <t>60025778;60025778;60000251-60025778;60000251-102041407</t>
  </si>
  <si>
    <t>57213203204;7403324500;7102576479;57225736983</t>
  </si>
  <si>
    <t>Abdel Moneum, M. A.;Shen, Z.;Volakis, J. L.;Graham, O.</t>
  </si>
  <si>
    <t>Ann Arbor;New York;Woodland Hills</t>
  </si>
  <si>
    <t>University of Michigan, Ann Arbor;IEEE;Science and Applied Technology, Inc.</t>
  </si>
  <si>
    <t>60025778;60000251;102041407</t>
  </si>
  <si>
    <t>Abdel Moneum M.A.</t>
  </si>
  <si>
    <t>Hybrid PO-MoM analysis of large axi-symmetric radomes</t>
  </si>
  <si>
    <t>S0018926X01108276</t>
  </si>
  <si>
    <t>10.1109/8.982444</t>
  </si>
  <si>
    <t>2-s2.0-0035722434</t>
  </si>
  <si>
    <t>['recent years', 'radiation element', 'planar one', 'omnidirectional pattern', 'narrow beams', 'elevation plane', 'element proposed', 'easily integrated', 'different collinear', 'collinear arrays', 'beam elements', 'back wide', 'azimuthal plane', 'azimuth plane', 'array configurations', '6 ghz']</t>
  </si>
  <si>
    <t>Microstrip antennas | Omnidirectional antennas | Printed antennas</t>
  </si>
  <si>
    <t>In recent years, the need for omnidirectional (in the azimuth plane) antennas with narrow beams in the elevation plane, for wireless applications increased considerably. The antennas are used in many frequency bands anywhere from 0.8 to 6 GHz, in a variety of configurations. The different collinear-array configurations are designed using back-to-back wide-beam elements or by simply using radiating elements with an intrinsic omnidirectional pattern. The motivation for this work was to devise a radiation element which has an omnidirectional pattern in the azimuth plane and allows for the design and fabrication of arrays that can be easily integrated with other collinear arrays to generate a multitasking omnidirectional antenna. The element proposed in this paper is a patch, which was built in a cylindrical geometry rather than a planar one, and which generates an omnidirectional pattern in the azimuthal plane.</t>
  </si>
  <si>
    <t>1746-1753</t>
  </si>
  <si>
    <t>60000251-100568969;60000251-60159855;60000251-60000990</t>
  </si>
  <si>
    <t>56039602600;7003852951;7101988263</t>
  </si>
  <si>
    <t>Herscovici, Naftali;Sipus, Zvonimir;Kildal, Per Simon</t>
  </si>
  <si>
    <t>Croatia;Sweden;United States;United States</t>
  </si>
  <si>
    <t>Zagreb;Gothenburg;New York;Nashua</t>
  </si>
  <si>
    <t>University of Zagreb, Faculty of Electrical Engineering and Computing;Chalmers University of Technology;IEEE;Spike Broadband Systems, Inc.</t>
  </si>
  <si>
    <t>60159855;60000990;60000251;100568969</t>
  </si>
  <si>
    <t>The cylindrical omnidirectional patch antenna</t>
  </si>
  <si>
    <t>S0018926X01076487</t>
  </si>
  <si>
    <t>10.1109/8.982455</t>
  </si>
  <si>
    <t>2-s2.0-0035722453</t>
  </si>
  <si>
    <t>NSC88-2218-E002-027</t>
  </si>
  <si>
    <t>['technique presented', 'signal cyclostationarity', 'sensor elements', 'proposed methods', 'performing signal', 'making use', 'integer part', 'direct application', 'coherent sois', 'coherent signals', 'b ham', 'also presented', '8 ],']</t>
  </si>
  <si>
    <t>Cyclostationary signals | Direction finding | Uniform linear array</t>
  </si>
  <si>
    <t>By exploiting the signal cyclostationarity, conjugate Cyclic MUSIC presented in [8], has been shown to be effective in performing signal-selective direction finding. However, a direct application of conjugate Cyclic MUSIC in the presence of coherent signals of interest (SOIs) will result in ambiguity. To tackle the drawback of conjugate Cyclic MUSIC, we present a scheme called Hankel approximation method (HAM) in conjunction with conjugate Cyclic MUSIC to cope with the performance deterioration due to coherent SOIs for a uniform linear array. Theoretical analysis shows that at least 2K sensor elements are required to resolve K coherent SOIs. Making use of the forward/backward (F/B) technique presented in [6], F/B HAM is further developed, which requires [3K/2] sensor elements to decorrelate K coherent SOIs, where [x] represents the integer part of x. Several simulation examples are also presented for illustrating the effectiveness of the proposed methods.</t>
  </si>
  <si>
    <t>1821-1826</t>
  </si>
  <si>
    <t>56092244800;56948251900</t>
  </si>
  <si>
    <t>Lee, Yung Ting;Lee, Ju Hong</t>
  </si>
  <si>
    <t>Direction-finding methods for cyclostationary signals in the presence of coherent sources</t>
  </si>
  <si>
    <t>S0018926X01108112</t>
  </si>
  <si>
    <t>10.1109/8.982465</t>
  </si>
  <si>
    <t>2-s2.0-0035722454</t>
  </si>
  <si>
    <t>7 000 928</t>
  </si>
  <si>
    <t>['solved using', 'rectangular slot', 'percentage bandwidth', 'peak resistance', 'nonequatorial plane', 'moment method', 'mom ).', 'magnetic current', 'latitude angle', 'integral equation', 'good agreement', 'expansion coefficients', 'excited asymmetrically', 'analyzed rigorously', 'also studied']</t>
  </si>
  <si>
    <t>Green's function | Mode matching | Moment methods (MoM) | Slot antennas | Spherical antennas</t>
  </si>
  <si>
    <t>The zonal slot cut on a conducting spherical cavity is analyzed rigorously. The slot is excited asymmetrically, which excites higher order azimuthal modes. The Green function approach is used to formulate an integral equation for the magnetic current in the slot, which is solved using the moment method (MoM). New numerical integration. In this case, the solution is very easy to implement with extremely short computation time. The effects of the latitude angle on the peak resistance and percentage bandwidth are investigated. Furthermore, the cavity resonance modes and their degeneracy are examined by plotting the expansion coefficients of the magnetic current. In addition, the problem of the rectangular slot in the nonequatorial plane is also studied. Measurements were carried out and good agreement between theory and experiment is obtained.</t>
  </si>
  <si>
    <t>1739-1745</t>
  </si>
  <si>
    <t>Analysis of the zonal and rectangular slots on a conducting spherical cavity</t>
  </si>
  <si>
    <t>S0018926X01108094</t>
  </si>
  <si>
    <t>10.1109/8.982454</t>
  </si>
  <si>
    <t>2-s2.0-0035722518</t>
  </si>
  <si>
    <t>['wide range', 'well folded', 'structural characterization', 'several csps', 'sensory proteins', 'residue protein', 'residue 52', 'recombinant csp', 'positions 5', 'nmr spectra', 'nmr data', 'loop 48', 'large quantities', 'insect species', 'first report', 'expressed one', 'csps ).', 'coiled segments', 'chemical communication', 'called chemo', 'antennal proteins', '13072 da']</t>
  </si>
  <si>
    <t>Biochemical characterization | Chemosensory protein | Lepidoptera | NMR | Periplasmic expression</t>
  </si>
  <si>
    <t>A group of ubiquitous small proteins (average 13 kDa) has been isolated from several sensory organs of a wide range of insect species. They are believed to be involved in chemical communication and perception (olfaction or taste) and have therefore been called chemo-sensory proteins (CSPs). Several CSPs have been identified in the antennae and proboscis of the moth Mamestra brassicae. We have expressed one of the antennal proteins (CSPMbraA6) in large quantities as a soluble recombinant protein in Escherichia coli periplasm. This 112-residue protein is a highly soluble monomer of 13072 Da with a pI of 5.5. NMR data (1H and 15N) indicate that CSPMbraA6 is well folded and contains seven Œ± helices (59 amino acids) and two short extended structures (12 amino acids) from positions 5 to 10 and from 107 to 112. Thirty-seven amino acids are involved in Œ≤ turns and coiled segments and four amino acids are not assigned in the NMR spectra (the N-terminus and the residue 52 in the loop 48-53), probably due to their mobility. This is the first report on the expression and structural characterization of a recombinant CSP.</t>
  </si>
  <si>
    <t>4731-4739</t>
  </si>
  <si>
    <t>60102127;60102127;60004560;60010954;60003274;60102127;60102127;60102127</t>
  </si>
  <si>
    <t>6602896947;7005966903;6603566728;6602949180;6601961667;7006765066;56216587300;56211778600</t>
  </si>
  <si>
    <t>Campanacci, Val√©rie;Mosbah, Amor;Bornet, Olivier;Wechselberger, Rainer;Jacquin-Joly, Emmanuelle;Cambillau, Christian;Darbon, Herv√©;Tegoni, Mariella</t>
  </si>
  <si>
    <t>France;Netherlands;France;France</t>
  </si>
  <si>
    <t>Marseille;Utrecht;Marseille;Versailles</t>
  </si>
  <si>
    <t>Aix Marseille Universit√©;Bijvoet Center for Biomolecular Research;IBSM Institut de Biologie Structurale et Microbiologie;Centre de recherche √éle-de-France-Versailles - Grignon</t>
  </si>
  <si>
    <t>60102127;60010954;60004560;60003274</t>
  </si>
  <si>
    <t>Campanacci V.</t>
  </si>
  <si>
    <t>Chemosensory protein from the moth Mamestra brassicae: Expression and secondary structure from &lt;sup&gt;1&lt;/sup&gt;H and &lt;sup&gt;15&lt;/sup&gt;N NMR</t>
  </si>
  <si>
    <t>10.1046/j.1432-1327.2001.02398.x</t>
  </si>
  <si>
    <t>2-s2.0-0035724406</t>
  </si>
  <si>
    <t>['white light', 'thermal deactivation', 'strong polarized', 'strong irradiation', 'polarized absorption', 'photoacoustic spectra', 'irreversible changes', 'film stretching', 'confident anisotropy', 'complexes due', 'absorbance showed']</t>
  </si>
  <si>
    <t>Absorption | Bacteriochlorophyll | Carotenoids | Chromophore | Light-harvesting complex | Purple photosynthetic bacteria | Thermal deactivation</t>
  </si>
  <si>
    <t>The cells of purple photosynthetic bacterium Rhodobacter sphaeroides embedded in stretched polymer films were irradiated by strong polarized "white light" with an electric vector parallel to the direction of film stretching. The polarized absorption and photoacoustic spectra before and after strong irradiation were measured. Measurements of absorbance showed no confident anisotropy before and after strong irradiation. In contradiction, the photoacoustic method showed after strong irradiation some changes in anisotropy of thermal deactivation due to the perturbation of the fate of excitations. The increase in yield of thermal deactivation, higher in a region of light-harvesting complex 2, can be explained by the irreversible changes in the conformation of the complexes due to strong irradiance reported up to now predominantly for thylakoid antenna complexes.</t>
  </si>
  <si>
    <t>461-465</t>
  </si>
  <si>
    <t>60008555;60008555</t>
  </si>
  <si>
    <t>6701314706;6506461680</t>
  </si>
  <si>
    <t>Goc, J.;Klecha, K.</t>
  </si>
  <si>
    <t>Poznan</t>
  </si>
  <si>
    <t>Politechnika Poznanska</t>
  </si>
  <si>
    <t>Goc J.</t>
  </si>
  <si>
    <t>The polarized photoacoustic spectra of Rhodobacter sphaeroides cells embedded in polymer and strongly irradiated by polarized radiation</t>
  </si>
  <si>
    <t>10.1023/A:1015103015297</t>
  </si>
  <si>
    <t>2-s2.0-0035727419</t>
  </si>
  <si>
    <t>N0 FMRX-CT96-0081</t>
  </si>
  <si>
    <t>['ultrastructural responses', 'synthesis rates', 'strong light', 'significant decrease', 'response capacity', 'pigment composition', 'like morphology', 'light regime', 'light intensities', 'genus prosthecochloris', 'cultures grown', 'characteristic appendages', 'cells appeared', 'cell perimeter', 'blue shift', 'area ratio', '98 nm', '5œºmol quanta', '5 nm', '232 nm', '1 ).']</t>
  </si>
  <si>
    <t>Antenna pigments | Chlorosomes | Light response | Prosthecae | Prosthecochloris</t>
  </si>
  <si>
    <t>The morphology (mainly prosthecae length), ultrastructure, and antenna pigment composition of the green sulfur bacterium Prosthecochloris aestuarii changed when grown under different light intensities. At light intensities of 0.5 and 5Œºmol quanta m-2 s-1, the cells had a star-like morphology. Prosthecae, the characteristic appendages of the genus Prosthecochloris, were 232 nm and 194 nm long, respectively. In contrast, when grown at 100 Œºmol quanta m-2 s-1, these appendages were shorter (98 nm) and the cells appeared more rod-shaped. Transmission electron microscopy revealed a significant decrease in the cell perimeter to area ratio and in the number of chlorosomes per linear Œºm of membrane as light intensity increased. In addition to these morphological and ultrastructural responses, Prosthecochloris aestuarii exhibited changes in its pigment composition as a function of light regime. Lower specific pigment content and synthesis rates were found in cultures grown at light intensities above 5 Œºmol quanta m-2 s-1. A blue shift in the bacteriochlorophyll (BChl) c Qy absorption maximum of up to 17.5 nm was observed under saturating light conditions (100 Œºmol quanta m-2 s-1). This displacement was accompanied by changes in the composition of BChl c homologs and by a very low carotenoid content. The morphological, ultrastructural and functional changes exhibited by Prosthecochloris aestuarii revealed the strong light-response capacity of this bacterium to both high and low photonflux densities.</t>
  </si>
  <si>
    <t>278-284</t>
  </si>
  <si>
    <t>Archives of Microbiology</t>
  </si>
  <si>
    <t>60027769;60009952;60009952;60009952;60009952</t>
  </si>
  <si>
    <t>6602678626;7006512815;6508187786;6602279426;7004177191</t>
  </si>
  <si>
    <t>Guyoneaud, Remy;Borrego, Carles M.;Mart√≠nez-Planells, Asunci√≥n;Buitenhuis, Erik T.;Garcia-Gil, Jes√∫s L.</t>
  </si>
  <si>
    <t>France;Spain</t>
  </si>
  <si>
    <t>Pau;Girona</t>
  </si>
  <si>
    <t>Universite de Pau et des Pays de L'Adour;Universitat de Girona</t>
  </si>
  <si>
    <t>60027769;60009952</t>
  </si>
  <si>
    <t>Guyoneaud R.</t>
  </si>
  <si>
    <t>Light responses in the green sulfur bacterium Prosthecochloris aestuarii: Changes in prosthecae length, ultrastructure, and antenna pigment composition</t>
  </si>
  <si>
    <t>10.1007/s002030100320</t>
  </si>
  <si>
    <t>2-s2.0-0035728784</t>
  </si>
  <si>
    <t>Ministeriet for F√∏ devarer, Landbrug og Fiskeri</t>
  </si>
  <si>
    <t>['varied considerably', 'three levels', 'thermal dissipation', 'sinensis l', 'saturated etr', 'radiative dissipation', 'ps ii', 'photosystem ii', 'natural light', 'lowest npq', 'light saturation', 'light acclimation', 'kept open', 'intact leaves', 'hl hibiscus', 'highest light', 'higher etr', 'high flux', 'grown plants', 'excess energy', 'etr measured', 'energy input', 'energy balance', 'electron transport', 'close correlation', 'chrysanthemum inducum', 'chlorophyll fluorescence', 'cairo red', 'action range']</t>
  </si>
  <si>
    <t>Chrysanthemum inducum-hybrid | Hibiscus rosa-sinensis | Light acclimation | Modulated chlorophyll fluorescence | Non-photochemical quenching | Photosynthesis | Redox state of Q A | Spathiphyllum wallisii | The photosynthetic electron transport chain</t>
  </si>
  <si>
    <t>Chrysanthemum inducum-hybrid 'Coral Charm', Hibiscus rosa-sinensis L. 'Cairo Red' and Spathiphyllum wallisii Regel 'Petit' were grown in natural light in a greenhouse at three levels of irradiance using permanent shade screens. Light acclimation of photosynthesis was characterized using modulated chlorophyll a fluorescence of intact leaves. A close correlation was found between the degree of reduction of the primary electron acceptor QA of Photosystem II (PS II) approximated as the fluorescence parameter 1-qP, and light acclimation. The action range of 1-qP was 0-0.4 from darkness to full irradiance around noon, within the respective light treatments in the greenhouse, indicating that most PS II reaction centres were kept open. In general, the index for electron transport (ETR) measured by chlorophyll fluorescence was higher for high-light (HL) than intermediate-(IL) and low-light (LL) grown plants. However, HL Chrysanthemum showed 40% higher ETR than HL Hibiscus at light saturation, despite identical redox states of QA. The light acclimation of the non-radiative dissipation of excess energy in the antenna, NPQ, varied considerably between the species. However, when normalized against qP, a strong negative correlation was found between thermal dissipation and ETR measured by chlorophyll fluorescence. To be able to accommodate a high flux of electrons through PS II, the plants with the highest light-saturated ETR had the lowest NPQ/qP. The possibility of using chlorophyll fluorescence for quantification of the energy balance between energy input and utilization in PS II in intact leaves is discussed.</t>
  </si>
  <si>
    <t>299-310</t>
  </si>
  <si>
    <t>Rosenqvist, Eva</t>
  </si>
  <si>
    <t>Tjele</t>
  </si>
  <si>
    <t>Det Jordbrugsvidenskabelige Fakultet, Aarhus Universitet</t>
  </si>
  <si>
    <t>Rosenqvist E.</t>
  </si>
  <si>
    <t>Light acclimation maintains the redox state of the PS II electron acceptor Q&lt;inf&gt;A&lt;/inf&gt; within a narrow range over a broad range of light intensities</t>
  </si>
  <si>
    <t>10.1023/A:1014742422775</t>
  </si>
  <si>
    <t>2-s2.0-0035729642</t>
  </si>
  <si>
    <t>Bacterial antenna complex | MALDI-TOF/MS | N-terminal methylation | NMR</t>
  </si>
  <si>
    <t>Re-identification of the N-terminal amino acid residue and its modification of Œ≤-polypeptide of light-harvesting complex I from Rhodospirillum rubrum</t>
  </si>
  <si>
    <t>10.1023/A:1014795023684</t>
  </si>
  <si>
    <t>2-s2.0-0035730286</t>
  </si>
  <si>
    <t>['predatory mode', 'northernmost record', 'northern chile', 'genus caprellina', 'detail based', 'clinging behaviour', 'caprellina longicollis', 'antenna 2']</t>
  </si>
  <si>
    <t>Caprellina longicollis (Nicolet, 1849) is redescribed and figured in detail based on specimens newly collected from Coquimbo, central-northern Chile, which represents the northernmost record of the species. The dominant posture observed for this species in clinging behaviour on its substrate was the "upright posture". The combination of weak swimming setae on antenna 2 and the long gnathopod 2 basis suggests a predatory mode of life. A key to the species of the genus Caprellina is here included.</t>
  </si>
  <si>
    <t>1291-1303</t>
  </si>
  <si>
    <t>Guerra-Garc√≠a, J. M.</t>
  </si>
  <si>
    <t>Redescription of Caprellina longicollis (Nicolet, 1849) (amphipoda, caprellidea, phtisicidae) from Chile, with notes on ontogenetic development and clinging behaviour</t>
  </si>
  <si>
    <t>10.1163/15685400152885246</t>
  </si>
  <si>
    <t>2-s2.0-0035737238</t>
  </si>
  <si>
    <t>['wide range', 'travelling wave', 'ponderomotive potential', 'plasma production', 'plasma core', 'first time', 'fast waves', 'directly measured', 'demonstrated using', 'combline antenna', 'beat wave', 'antenna designed', '2m tokamak']</t>
  </si>
  <si>
    <t>Several innovative applications of a travelling wave (combline) antenna designed for fast wave current drive have been demonstrated for the first time in the JFT-2M tokamak. High energy electrons of at least 10 keV were produced in the plasma core by highly directional fast waves in electron cyclotron heated plasmas. The ponderomotive potential of the beat wave, produced by fast waves at two different frequencies, was directly measured for the first time by a heavy ion beam probe. Plasma production was demonstrated using the wave fields excited by the combline antenna over a wide range of toroidal magnetic fields (0.5-2.2 T).</t>
  </si>
  <si>
    <t>1767-1775</t>
  </si>
  <si>
    <t>60015658;60015658;60000099;60000099;60015970;60015658;60025272;60025272;60015658;60015658;60015658;60013901;60013901;60013901;60013901</t>
  </si>
  <si>
    <t>57214216089;57209192153;16027087800;7005938557;35355809200;7202656118;8964973200;7102555668;7404269925;56972296400;37020889600;7006111874;7003617702;35074760600;7101872584</t>
  </si>
  <si>
    <t>Ogawa, T.;Hoshino, K.;Kanazawa, S.;Saigusa, M.;Ido, T.;Kawashima, H.;Kasuya, N.;Takase, Y.;Kimura, H.;Miura, Y.;Takahashi, K.;Moeller, C. P.;Pinsker, R. I.;Petty, C. C.;Phelps, D. A.</t>
  </si>
  <si>
    <t>Japan;Japan;Japan;United States;Japan</t>
  </si>
  <si>
    <t>Tokyo;Toki;Kashiwa;San Diego;Mito</t>
  </si>
  <si>
    <t>The University of Tokyo;National Institutes of Natural Sciences - National Institute for Fusion Science;Japan Atomic Energy Agency;General Atomics;Ibaraki University</t>
  </si>
  <si>
    <t>60025272;60015970;60015658;60013901;60000099</t>
  </si>
  <si>
    <t>Radiofrequency experiments in JFT-2M: Demonstration of innovative applications of a travelling wave antenna</t>
  </si>
  <si>
    <t>10.1088/0029-5515/41/12/304</t>
  </si>
  <si>
    <t>2-s2.0-0035741289</t>
  </si>
  <si>
    <t>NSC-87-2811-m-008-0018</t>
  </si>
  <si>
    <t>['surface wind', 'russian okean', 'retrievals due', 'rar image', 'rainfall rate', 'radiosonde reports', 'precipitating clouds', 'heavy clouds', 'form clouds', 'antenna smoothing', '29 july', '15 mm']</t>
  </si>
  <si>
    <t>Precipitation | Real aperture radar | SSM/I | Total cloud liquid water content | Total water vapor content | Tropical cyclone</t>
  </si>
  <si>
    <t>The distributions of total water vapor content, total cloud liquid water content, precipitation and surface wind were derived for tropical cyclone Herb during the period of 29 July-1 August 1996 from the F10, and F11 Defense Meteorological Satellite Special Sensor Microwave Imager (SSM/I) and Russian Okean-7 satellite X band Real Aperture Radar (RAR) observations. The observations on 29 July when the RAR image was taken were investigated in detail. Using a satellite RAR enables us to estimate both the surface wind field under heavy clouds and the location of individual rain cells with rainfall rate &gt; 10-15 mm/h which are undistinguishable on SSM/I-retrievals due to antenna smoothing. Precipitating clouds were localized mainly within a broad spiral band adjoining to the typhoon from the south. Nonprecipitating clouds prevailed north of the center. Comparison of radar and passive microwave images demonstrates the need for better spatial resolution to distinguish precipitation falling from convective and strati-form clouds. The set of total water vapor content distributions revealed cyclonic movement of dry airflow around the typhoon center confirmed by radiosonde reports.</t>
  </si>
  <si>
    <t>19-39</t>
  </si>
  <si>
    <t>Global Atmosphere and Ocean System</t>
  </si>
  <si>
    <t>100984874;100984874;100984874;100984874;100984874</t>
  </si>
  <si>
    <t>7004081465;57137098900;57194385951;6603179076;7202371102</t>
  </si>
  <si>
    <t>Mitnik, Leonid;Chen, Kun Shan;Wang, Jough Tai;Mitnik, Maia;Hsu, Ming Kuang</t>
  </si>
  <si>
    <t>National Central University</t>
  </si>
  <si>
    <t>Mitnik L.</t>
  </si>
  <si>
    <t>Satellite microwave observations of typhoon Herb (1996) near Taiwan</t>
  </si>
  <si>
    <t>2-s2.0-0035742042</t>
  </si>
  <si>
    <t>['spatial distribution', 'sensory mechanisms', 'results support', 'related chemical', 'prey detection', 'prey capture', 'plankton extract', 'plankton detection', 'plankton captured', 'paddlefish swimming', 'long rostrum', 'little changed', 'individually encapsulated', 'general pattern', 'feed normally', 'extensive array', 'encapsulated plankton', 'certain conditions', 'ampullary electroreceptors', 'agarose particles']</t>
  </si>
  <si>
    <t>Artemia salina | Daphnia magna | Electrosensory | Paddlefish | Planktivore | Polyodon spathula | Prey detection</t>
  </si>
  <si>
    <t>The long rostrum of the paddlefish Polyodon spathula supports an extensive array of ampullary electroreceptors and has been proposed to function as an antenna for detecting planktonic prey. Evidence in support of this hypothesis is presented in experiments that preclude the use of other sensory mechanisms for plankton detection. Paddlefish swimming in a recirculating observation chamber are shown to feed normally in the dark when prey-related chemical and hydrodynamic sensory cues are masked or attenuated. Specifically, we demonstrate that the spatial distribution of plankton captured by paddlefish is little changed when the plankton are individually encapsulated in agarose, when a high background concentration of plankton extract is added to the chamber, when the nares are plugged and under turbulent water flow conditions. Paddlefish also discriminate between encapsulated plankton and 'empty' agarose particles of the same size. Although capture distributions differed somewhat under certain conditions, the general pattern and effectiveness of prey capture were not disrupted by these procedures. These results support the conclusion that paddlefish, as zooplanktivores, rely on their passive electric sense for prey detection.</t>
  </si>
  <si>
    <t>1381-1389</t>
  </si>
  <si>
    <t>60030171;60030171;60030171;60030171;60030171</t>
  </si>
  <si>
    <t>7007036550;6508143142;36726484300;6602629287;7403670520</t>
  </si>
  <si>
    <t>Wilkens, Lon A.;Wettring, Barbara;Wagner, Eva;Wojtenek, Winfried;Russell, David</t>
  </si>
  <si>
    <t>St. Louis</t>
  </si>
  <si>
    <t>University of Missouri-St. Louis</t>
  </si>
  <si>
    <t>Wilkens L.</t>
  </si>
  <si>
    <t>Prey detection in selective plankton feeding by the paddlefish: Is the electric sense sufficient?</t>
  </si>
  <si>
    <t>2-s2.0-0035745045</t>
  </si>
  <si>
    <t>['via modulation', 'tunnel experiments', 'transepithelial potential', 'specific pheromones', 'several hours', 'serotonin altered', 'sensillum preparation', 'pheromone response', 'peak amplitude', 'oscillatory intervals', 'octopamine reduced', 'male moths', 'flight activity', 'electrical properties', 'effects directly', 'different targets', 'dependent manner', 'dependent increases', 'biogenic amines', 'amines affect', 'accessory cells', '8 min']</t>
  </si>
  <si>
    <t>Action potential | Manduca sexta | Octopamine | Oscillation | Pheromone sensillum | Serotonin | Tip recording | Transepithelial potential</t>
  </si>
  <si>
    <t>The biogenic amine octopamine is known to enhance the sensitivity of male moths to their species-specific pheromones in flight-tunnel experiments. This sensitization of pheromone-guided upwind flight is at least partly due to octopamine-dependent increases in the peak nerve impulse frequency of the pheromone response of olfactory receptor neurons. It is not known, however, whether octopamine exerts its effects directly on the electrical properties of the olfactory receptor neurons or indirectly, via modulation of the accessory cells of the sensillum. In extracellular tip recordings of pheromone-dependent trichoid sensilla on the antennae of male Manduca sexta moths, we investigated the effects of octopamine and serotonin on the transepithelial potential, which is generated by the activity of V-ATPases in sensillar accessory cells. In addition, the action potential activity of unstimulated olfactory receptor neurons was examined in the presence of biogenic amines. Under constant environmental conditions, the transepithelial potential oscillated regularly with periods of 2-8 min and with a 1-25 mV peak-to-peak amplitude over periods of several hours. These oscillatory intervals were interrupted by periods of relatively stable transepithelial potential, correlated with flight activity by the moth. Octopamine reduced the amplitude of the transepithelial potential oscillation and decreased the resistance of the sensillum preparation in a dose-dependent manner. Serotonin altered the waveform of the transepithelial potential, but did not change the resistance of the preparation. Thus, both amines affect the accessory cells, but have different targets in the regulation of the transepithelial potential. Neither amine significantly influenced the spontaneous action potential activity of the olfactory receptor neurons.</t>
  </si>
  <si>
    <t>2781-2794</t>
  </si>
  <si>
    <t>60012556;60012556;60012556;60012556</t>
  </si>
  <si>
    <t>6506031021;6507046090;57197167229;7003691160</t>
  </si>
  <si>
    <t>Dolzer, Jan;Krannich, Steffi;Fischer, Karin;Stengl, Monika</t>
  </si>
  <si>
    <t>Marburg</t>
  </si>
  <si>
    <t>Philipps-Universit√§t Marburg</t>
  </si>
  <si>
    <t>Dolzer J.</t>
  </si>
  <si>
    <t>Oscillations of the transepithelial potential of moth olfactory sensilla are influenced by octopamine and serotonin</t>
  </si>
  <si>
    <t>2-s2.0-0035745811</t>
  </si>
  <si>
    <t>['total range', 'showed preferences', 'properties described', 'one interneuron', 'interneurones coded', 'five interneurons', 'experimental evidence', 'electrical stimulation', 'distinct sectors', 'different afferents', 'dendritic arborizations', 'conduction velocity', 'central origin', 'cell body', 'behavioural roles', 'axons descended', 'antennal movements', '4 ms']</t>
  </si>
  <si>
    <t>Antenna | Cricket | Descending brain interneurone | Efference copy | Gryllus bimaculatus | Gryllus campestris | Insect | Mechanoreception | Vision</t>
  </si>
  <si>
    <t>We investigated five different descending brain interneurons with dendritic arborizations in the deutocerebrum in the crickets Gryllus bimaculatus and G. campestris. These interneurones convey specific antennal mechanosensory information to the ventral nerve cord and all responded to forced antennal movements. These interneurones coded for velocity and showed preferences for distinct sectors of the total range of antennal movements. Their axons descended into the posterior connective either ipsilateral or contalateral to the cell body. Electrical stimulation of sensory nerves indicated that the interneurons received input from different afferents of the two antennal base segments. One interneuron had a particularly large axon with a conduction velocity of 4.4 ms-1. This was the only one of the five interneurons that also received visual input. Its activity was reduced during voluntary antennal movements. The reduction in activity occurred even after de-efferentation of the antenna, indicating that it had a central origin. Although we do not have experimental evidence for behavioural roles for the descending antennal mechanosensory interneurons, the properties described here suggest an involvement in the perception of objects in the path of the cricket.</t>
  </si>
  <si>
    <t>2265-2275</t>
  </si>
  <si>
    <t>7102580075;7005736995</t>
  </si>
  <si>
    <t>Gebhardt, Michael;Honegger, Hans Willi</t>
  </si>
  <si>
    <t>Gebhardt M.</t>
  </si>
  <si>
    <t>Physiological characterisation of antennal mechanosensory descending interneurons in an insect (Gryllus bimaculatus, Gryllus campestris) brain</t>
  </si>
  <si>
    <t>2-s2.0-0035745844</t>
  </si>
  <si>
    <t>['vertical position', 'vertical component', 'unit impulses', 'typically phasic', 'tonic discharge', 'three subgroups', 'spike frequency', 'representative sensilla', 'reliable information', 'periplaneta americana', 'medial groups', 'mechanosensitive hairs', 'kept deflected', 'joint movement', 'horizontal position', 'horizontal component', 'hair sensilla', 'hair plates', 'hair deflection', 'extracellular recordings', 'dorsal group', 'basal segment', 'antennal direction', 'angular movements']</t>
  </si>
  <si>
    <t>Antenna | Cockroach | Hair plate | Mechanoreceptor | Periptaneta americana | Proprioception</t>
  </si>
  <si>
    <t>Arthropods have hair plates that are clusters of mechanosensitive hairs, usually positioned close to joints, which function as proprioceptors for joint movement. We investigated how angular movements of the antenna of the cockroach (Periplaneta americana) are coded by antennal hair plates. A particular hair plate on the basal segment of the antenna, the scapal hair plate, can be divided into three subgroups: dorsal, lateral and medial. The dorsal group is adapted to encode the vertical component of antennal direction, while the lateral and medial groups are specialized for encoding the horizontal component. Of the three subgroups of hair sensilla, those of the lateral scapal hair plate may provide the most reliable information about the horizontal position of the antenna, irrespective of its vertical position. Extracellular recordings from representative sensilla of each scapal hair plate subgroup revealed the form of the single-unit impulses in response to hair deflection. The mechanoreceptors were characterized as typically phasic-tonic. The tonic discharge was sustained indefinitely (&gt;20 min) as long as the hair was kept deflected. The spike frequency in the transient (dynamic) phase was both velocity- and displacement-dependent, while that in the sustained (steady) phase was displacement-dependent.</t>
  </si>
  <si>
    <t>4301-4309</t>
  </si>
  <si>
    <t>7102406019;7103300201</t>
  </si>
  <si>
    <t>Okada, J.;Toh, Y.</t>
  </si>
  <si>
    <t>Okada J.</t>
  </si>
  <si>
    <t>Peripheral representation of antennal orientation by the scapal hair plate of the cockroach Periplaneta americana</t>
  </si>
  <si>
    <t>2-s2.0-0035746179</t>
  </si>
  <si>
    <t>['widespread use', 'report outlines', 'practical use', 'mmw devices', 'measurement methods', 'low cost', 'high performance', 'features required', 'essential techniques', 'develop technologies', 'crl millimeter', 'creating millimeter', 'also addressed']</t>
  </si>
  <si>
    <t>Antenna-circuit integration | Communication devices | Millimeter-wave | Semiconductor devices | Test and measurement techniques</t>
  </si>
  <si>
    <t>The CRL Millimeter-wave Device Group undertakes research to develop technologies for creating millimeter-wave (MMW wireless communication devices with high performance and practicality. Such equipment is essential for use in future MMW communication systems and for their dissemination to the public. This research program addresses the development of high-performance MMW circuit components and innovation in MMW radio equipment construction. These activities are to be pursued in conjunction with the outcome of the concurrently undertaken Semiconductor Device Research program. Our research and development of MMW devices has the aim of establishing key technologies for widespread use of the millimeter-wave frequency spectrum and of enabling the features required for practical use - compactness, highperformance, and low cost. Testing and measurement methods are also addressed under this program as essential techniques in developing MMW communication devices. This report outlines our program on MMW communication device technologies.</t>
  </si>
  <si>
    <t>100326510;100326510;100326510;100326510</t>
  </si>
  <si>
    <t>35350619100;6701573989;26531988600;55805208800</t>
  </si>
  <si>
    <t>Matsui, Toshiaki;Kiyokawa, Masahiro;Yasuda, Hiroaki;Li, Keren</t>
  </si>
  <si>
    <t>Yokosuka Radio Commun. Research Ctr.</t>
  </si>
  <si>
    <t>Matsui T.</t>
  </si>
  <si>
    <t>Research on millimeter-wave communication devices including test and measurement techniques</t>
  </si>
  <si>
    <t>2-s2.0-0035758454</t>
  </si>
  <si>
    <t>['possible applications', 'pathfinder plus', 'ground equipment', 'conducting r', 'broadcasting system', 'broadcasting services', 'base stations', '2002 using']</t>
  </si>
  <si>
    <t>Airship | High altitude platform | Multibeam antenna | Solar plane | Stratospheric platform</t>
  </si>
  <si>
    <t>Telecommunication and broadcasting systems using radio-relay/base stations on board the high altitude platforms are expected to create the largest business market among its' possible applications. Telecommunications Advanced Organization (TAO) and Communications Research Laboratory (CRL) is conducting R&amp;D on the telecom and broadcasting system to demonstrate its feasibility. Prototype onboard equipment and ground equipment are being developed on schedule in the fixed, mobile, and broadcasting services. The performance of them will be demonstrated and evaluated in the preliminary flight test planned in 2002 using a helicopter, a jet and a stratospheric unmanned solar plane, Pathfinder Plus, which was developed by NASA, before the flight test using the low-altitude powered test airship being developed by National Aerospace Laboratory.</t>
  </si>
  <si>
    <t>33-48</t>
  </si>
  <si>
    <t>100326510;100326510</t>
  </si>
  <si>
    <t>7103322075;6603898698</t>
  </si>
  <si>
    <t>Miura, Ryu;Oodo, Masayuki</t>
  </si>
  <si>
    <t>Miura R.</t>
  </si>
  <si>
    <t>R &amp; D program on telecom and broadcasting system using high altitude platform stations</t>
  </si>
  <si>
    <t>2-s2.0-0035758455</t>
  </si>
  <si>
    <t>['uses directions', 'tracking performance', 'scatter modeling', 'public facilities', 'proposed system', 'proposed millimeter', 'new system', 'mobile terminals', 'fiber technique', 'experimental results', 'base stations', 'base station', 'array antenna', 'angular velocities']</t>
  </si>
  <si>
    <t>We describe a new system for high-speed wireless access systems between base stations and mobile terminals. In the proposed system, the base stations are located along street or in public facilities and formulate the antenna beam toward mobile terminals to utilize the millimeter wave efficiently. The base station has an array antenna and tracks mobile terminals by using a new tracking algorithm. A radio-on-fiber technique is used to simplify and miniaturize the components of the base station. We propose a new tracking algorithm that uses directions-of-arrival, angular velocities of mobile terminals, and scatter modeling in multipath communications channels to improve the tracking performance. We also developed experimental equipment to demonstrate the feasibility of the proposed millimeter-wave broadband wireless access system and the efficiency of the tracking algorithm using an array antenna system. Finally, we discuss our simulation and experimental results.</t>
  </si>
  <si>
    <t>81-98</t>
  </si>
  <si>
    <t>7403222711;57200644677</t>
  </si>
  <si>
    <t>Tsuji, Hiroyuki;Ogawa, Hiroyo</t>
  </si>
  <si>
    <t>2-s2.0-0035758545</t>
  </si>
  <si>
    <t>['wireless distribution', 'wired system', 'wave band', 'recently catv', 'measure intended', 'link budget', 'isolated island', 'gunma prefecture', 'ghz band', 'frequency band', 'broadband internet', 'area studded', 'also described']</t>
  </si>
  <si>
    <t>Broadband transmission | CATV system with wireless distribution | Improvement of the poor reception area | Millimeter-wave</t>
  </si>
  <si>
    <t>CATV (Community Antenna TV) has been started as a measure intended to improve the poor reception area since 1955 at the spa of Ikaho in Gunma prefecture. Recently CATV has come into the limelight as a multi program distributor and a new transmission media of the broadband Internet. The percentage of household CATV sets is 22% in 2000 in Japan. The wireless distributed CATV system is able to complement the wired system. It is serviceable in where the cable cannot lay, such as the area studded with houses or isolated island. In this paper, an advanced CATV system with wireless distribution is mentioned. The frequency band is the millimeter-wave band, because it has the characteristic of allowing broadband transmission and miniaturization of devices. The link budget of the test system using 60-GHz band is also described.</t>
  </si>
  <si>
    <t>125-130</t>
  </si>
  <si>
    <t>Tsuzuku, Aiichiro</t>
  </si>
  <si>
    <t>Tsuzuku A.</t>
  </si>
  <si>
    <t>An advanced CATV system with wireless distribution</t>
  </si>
  <si>
    <t>2-s2.0-0035758563</t>
  </si>
  <si>
    <t>['wavelength maximum', 'two transitions', 'standard conditions', 'shift occurs', 'poor correlation', 'ph 8', 'lh2 samples', 'lh2 ),', 'ectothiorhodospira sp', 'corresponding cd', 'concomitant modifications', 'b850 could', 'b850 arises', 'absorption shifts', '842 nm']</t>
  </si>
  <si>
    <t>Bacteriochlorophyll | Circular dichroism | Light harvesting system</t>
  </si>
  <si>
    <t>Acidic/chaotropic conditions induce a 14 nm reversible blueshift of the 850 nm band of the Ectothiorhodospira sp. antenna complex two (LH2), from 856 to 842 nm. This shift occurs with concomitant but practically irreversible blue shift, strong intensity amplification and inversion of corresponding CD signal. Assuming that B850 arises from two transitions we simulated CD spectra corresponding to LH2 samples in acidic/chaotropic buffer conditions and after reversion to pH 8/standard conditions of buffer. The poor correlation between the absorption shifts and corresponding CD of B850 could be explained by a change in the position of the wavelength maximum of both transitions with concomitant modifications of their respective rotational strengths.</t>
  </si>
  <si>
    <t>61-66</t>
  </si>
  <si>
    <t>Journal of Biochemistry, Molecular Biology and Biophysics</t>
  </si>
  <si>
    <t>Buche, Andr√©</t>
  </si>
  <si>
    <t>Zaragoza</t>
  </si>
  <si>
    <t>CSIC - Estacion Experimental de Aula Dei EEAD</t>
  </si>
  <si>
    <t>Buche A.</t>
  </si>
  <si>
    <t>On the reorganisation of the LH2 850 nm band of Ectothiorhodospira sp. after acidic/chaotropic treatment</t>
  </si>
  <si>
    <t>2-s2.0-0035761079</t>
  </si>
  <si>
    <t>University of Pennsylvania</t>
  </si>
  <si>
    <t>['undesired paths', 'tipath environment', 'testing antenna', 'rotation angle', 'required bandwidth', 'receiving voltage', 'range profile', 'plotted according', 'multipath waves', 'mismatch problem', 'mismatch effect', 'input impedance', 'gating technique', 'gain pattern', 'filtered response', 'field responses', 'experimental results', 'desired path', 'degradation sources', 'coherently measured', 'antenna pattern', 'antenna gain']</t>
  </si>
  <si>
    <t>In this paper antenna measurements in the presence of multipath waves are discussed. Methods are proposed to diagnose the degradation sources of a compact range measurement system operating at a frequency much lower than the designed frequency range. A range-gating technique is employed to improve the capability of the compact range measurement system. With this technique, the field responses over a bandwidth for each rotation angle are coherently measured, and the fast Fourier transform is applied to obtain the range profile. A suitable window function is applied to extract the desired path and eliminate all other undesired paths. The antenna pattern is plotted according to the filtered response of the desired path. We have expressed the receiving voltage of a testing antenna in terms of its gain pattern and input impedance of the testing antenna operating in mul-tipath environment. If the bandwidth of the testing antenna is very narrow and the mismatch problem is very serious over the required bandwidth, an algorithm is proposed to compensate the mismatch effect so that the obtained radiation pattern and the antenna gain are more accurate. Numerical and experimental results have verified the effectiveness of our method.</t>
  </si>
  <si>
    <t>157-178</t>
  </si>
  <si>
    <t>60005429;60005429;60005429</t>
  </si>
  <si>
    <t>35722152600;55926483000;7003516904</t>
  </si>
  <si>
    <t>Li, H. J.;Liu, T. Y.;Leou, J. L.</t>
  </si>
  <si>
    <t>Li H.J.</t>
  </si>
  <si>
    <t>Antenna measurements in the presence of multipath waves</t>
  </si>
  <si>
    <t>10.2528/PIER00020901</t>
  </si>
  <si>
    <t>2-s2.0-0038459086</t>
  </si>
  <si>
    <t>['tubular glands', 'strongly narrowed', 'staphyliniform families', 'spercheus cerisyi', 'premental fringes', 'potential synapomorphy', 'plan feature', 'partly correlated', 'median ridge', 'like mentum', 'large mola', 'hypopharyngeal complex', 'functional interpretation', 'fimbriate galea', 'dense clypeal', 'characteristic feature', 'character stales', 'breathing function', 'apical parts']</t>
  </si>
  <si>
    <t>Filter feeding | Head morphology | Hydrophiloidea | Phylogeny | Spercheus cerisyi</t>
  </si>
  <si>
    <t>Internal and external head structures of adults of Hydrophiloidea and some other representatives of Staphyliniformia were examined. The head of Spercheus cerisyi is described in detail. A functional interpretation is presented and character stales are compared to those found in other members of staphyliniform families. The head of adults of Spercheus is characterised by many autapomorphic features, which are partly correlated with the unusual filter feeding habits. Dense clypeal, labral and premental fringes of hairs, modifications of the apical parts of the maxilla, tubular glands in the labrum and labium, and the proventriculus are autapomorphics of Spercheidae. Antennae with breathing function, a large, plate-like mentum and a fimbriate galea are derived features shared by adults of Hydraenidae and adults of Hydrophiloidea. The presence of tube-like mandibular glands is a potential synapomorphy of Hydrophiloidea and Histeroidea (= Hydrophiloidea s. Lawrence and Newton 1995). A labio-hypopharyngeal complex, which is strongly narrowed between the maxillae, with the mesal walls attached to each other, is a characteristic feature of adults of Staphyliniformia. A preoral feeding apparatus with mandibles with a pubescent subapical lobe, ventromesal longitudinal brush and a large mola, a median ridge of the epipharynx, and a median ridge or process of the hypopharynx is considered as a ground-plan feature of a clade comprising Myxophaga and Polyphaga.</t>
  </si>
  <si>
    <t>473-484</t>
  </si>
  <si>
    <t>Annales Zoologici</t>
  </si>
  <si>
    <t>60029507;60029507;60008042</t>
  </si>
  <si>
    <t>7003701948;7005059615;55397043300</t>
  </si>
  <si>
    <t>Beutel, Rolf Georg;Anton, Eric;Bernhard, Detlef</t>
  </si>
  <si>
    <t>Jena;Leipzig</t>
  </si>
  <si>
    <t>Friedrich-Schiller-Universit√§t Jena;Universit√§t Leipzig</t>
  </si>
  <si>
    <t>60029507;60008042</t>
  </si>
  <si>
    <t>Beutel R.</t>
  </si>
  <si>
    <t>Head structures of adults of Spercheus (Coleoptera: Spercheidae): Their function and possible significance to Staphyliniform phylogeny</t>
  </si>
  <si>
    <t>2-s2.0-0039246896</t>
  </si>
  <si>
    <t>['viable method', 'total cost', 'system configuration', 'software package', 'simulated annealing', 'service coverage', 'service area', 'sensitivity analysis', 'research shows', 'propagation environment', 'paper deals', 'optimal location', 'modeling concept', 'mathematical modeling', 'good quality', 'factors intrinsic', 'configuration decision', 'cdma technology', 'base station', 'antenna height']</t>
  </si>
  <si>
    <t>This paper deals with the mathematical modeling and optimization of a code division multiple access (CDMA) cellular system configuration that seeks the optimal location, power, and antenna height of each base station in a service area, in order to optimize call quality, service coverage and total cost of system configuration. The factors affecting optimum selection are the non-uniform spatial demand in the service area, the propagation environment, the interference among users and among base stations, and other factors intrinsic to CDMA technology. The simulated annealing method supplemented by a demand allocation algorithm is implemented in a software package to solve this complex multiobjective nonlinear optimization problem. This research shows that simulated annealing is a viable method for obtaining "good quality" solutions to the wireless system configuration problem. A realistic case study dealing with the design of a cellular system configuration for the city of Cambridge, MA, and its surroundings, is developed to illustrate the modeling concept and the steps of the algorithm. Sensitivity analysis is performed to further analyze the configuration decision.</t>
  </si>
  <si>
    <t>60028628;101701958</t>
  </si>
  <si>
    <t>7004681176;6506325098</t>
  </si>
  <si>
    <t>Melachrinoudis, Emanuel;Rosyidi, Bakhtiar</t>
  </si>
  <si>
    <t>United States;Indonesia</t>
  </si>
  <si>
    <t>Boston;Jakarta</t>
  </si>
  <si>
    <t>Northeastern University;PT. Telekomunikasi Indonesia</t>
  </si>
  <si>
    <t>Melachrinoudis E.</t>
  </si>
  <si>
    <t>Optimizing the Design of a CDMA Cellular System Configuration with Multiple Criteria</t>
  </si>
  <si>
    <t>10.1023/A:1014574028174</t>
  </si>
  <si>
    <t>2-s2.0-0041885130</t>
  </si>
  <si>
    <t>['vibratory response', 'suppress vibration', 'structural dynamics', 'satellite size', 'paper discusses', 'modal truncation', 'modal space', 'low stiffness', 'launch size', 'inflation pressure', 'inflated torus', 'inflatable torus', 'inflatable structures', 'inflatable space', 'gossamer structures', 'first observer', 'based structures', 'also known']</t>
  </si>
  <si>
    <t>Satellite antenna design requirements are driving the satellite size to dimensions that cannot be launched into space using current technology. In order to reduce the launch size and mass of satellites, inflatable structures, also known as gossamer structures, are being considered. Inflatable space-based structures are susceptible to vibration disturbance due to their low stiffness and damping. This paper discusses the structural dynamics and vibration suppression via piezoelectric actuators of an inflatable torus. A commercial finite element package, ANSYS, is used to model the inflated torus. The effect of torus aspect ratio and inflation pressure on the vibratory response of the structure is investigated. The interaction with the torus of the surface-mounted piezoelectric patches, made of PVDF, is modeled using Euler-Bernoulli beam theory. A state space representation is created of the model in modal space and modal truncation is performed. Traditional control tools are used to suppress vibration in the structure. First observer-based full state feedback is used, then direct output velocity feedback is explored. ¬© 2002 Sage Publications.</t>
  </si>
  <si>
    <t>819-833</t>
  </si>
  <si>
    <t>1045389X</t>
  </si>
  <si>
    <t>Journal of Intelligent Material Systems and Structures</t>
  </si>
  <si>
    <t>60022476;60027090</t>
  </si>
  <si>
    <t>55483999700;7101824262</t>
  </si>
  <si>
    <t>Lewis, Jackson A.;Inman, Daniel J.</t>
  </si>
  <si>
    <t>Blacksburg;Boulder</t>
  </si>
  <si>
    <t>Virginia Polytechnic Institute and State University;Ball Aerospace</t>
  </si>
  <si>
    <t>60027090;60022476</t>
  </si>
  <si>
    <t>Lewis J.A.</t>
  </si>
  <si>
    <t>Finite element modeling and active control of an inflated torus using piezoelectric devices</t>
  </si>
  <si>
    <t>10.1106/3BP2-MKEK-VYYV-2QL8</t>
  </si>
  <si>
    <t>2-s2.0-0041963105</t>
  </si>
  <si>
    <t>['waves propagating', 'waves propagate', 'wave numbers', 'vice versa', 'two types', 'symmetric bank', 'propagation characteristics', 'group velocities', 'ferrite film', 'different widths', 'different frequencies', 'dielectric layer', 'backward waves', 'antenna radiating']</t>
  </si>
  <si>
    <t>Propagation characteristics (trajectories, wave numbers, and the directions of phase and group velocities) of backward magnetostatic surface waves of different frequencies and directions are calculated. The waves propagate in a ferrite-dielectric-metal structure magnetized by a magnetostatic field Hg profiled as a symmetric bank. The propagation characteristics are calculated for different widths of the dielectric layer and orientations of the antenna radiating the waves. It is shown that the magnetostatic surface waves propagate in channels of the same two types as in a ferrite film. However, unlike waves propagating in other nonuniformly magnetized structures, all the waves propagating in the structure under study (the forward and backward waves and the second-order forward wave, when it exists) can only propagate in a channel of the same type. Conditions are determined under which the extraordinary backward wave propagating in the direction of a forward wave may be transformed into forward and backward waves and vice versa.</t>
  </si>
  <si>
    <t>1356-1365</t>
  </si>
  <si>
    <t>7103014591;57197316982</t>
  </si>
  <si>
    <t>Zubkov, V. I.;Shcheglov, V. I.</t>
  </si>
  <si>
    <t>Zubkov V.</t>
  </si>
  <si>
    <t>Backward Magnetostatic Surface Waves in a Ferrite-Dielectric-Metal Structure Magnetized by a Bank-Shaped Nonuniform Field</t>
  </si>
  <si>
    <t>2-s2.0-0042261955</t>
  </si>
  <si>
    <t>['throughput performance', 'tap weights', 'ssma network', 'slotted aloha', 'simulation results', 'show fh', 'packet throughput', 'packet consists', 'packet combining', 'average number', 'adaptive processor']</t>
  </si>
  <si>
    <t>Adaptive spatial filtering | FH/SSMA | Packet combining</t>
  </si>
  <si>
    <t>In this paper, packet throughput is analyzed and simulated for a show FH/SSMA packet radio network with adaptive antenna array and packet combining in a Rayleigh fading channel with shadowing. The packet throughput is defined as the average number of captured packets per slot. To enhance the throughput performance, an adaptive spatial filtering through adaptive antenna array and a packet combining scheme are employed. As a random access protocol, slotted ALOHA is considered, and synchronous memoryless hopping patterns are assumed. A packet consists of code-words from an (n, k) RS (Reed-Solomon) code. The tap weights of an adaptive processor is updated by RLS (recursive-least-square) algorithm. From the simulation results, it is shown that a pre-processing by adaptive antenna array and a post-processing by packet combining are very effective to improve reception performance of an FH/SSMA network.</t>
  </si>
  <si>
    <t>37-47</t>
  </si>
  <si>
    <t>60108075-60013682</t>
  </si>
  <si>
    <t>Kim, Jin Young</t>
  </si>
  <si>
    <t>SK Telecom Co., Ltd.;Seoul National University</t>
  </si>
  <si>
    <t>60108075;60013682</t>
  </si>
  <si>
    <t>Adaptive Spatial Filtering for an FH/SSMA Packet Radio Network with Packet Combining</t>
  </si>
  <si>
    <t>10.1023/A:1011333613059</t>
  </si>
  <si>
    <t>2-s2.0-0042376118</t>
  </si>
  <si>
    <t>['voltage screens', 'vlsi products', 'various type', 'utmost importance', 'top priorities', 'text discusses', 'tddb testing', 'stacking faults', 'several hours', 'semiconductor stress', 'selected set', 'product yield', 'product level', 'processing monitoring', 'predetermined value', 'perimeter structures', 'packaged levels', 'overall impact', 'one correlation', 'new methodology', 'metallic contamination', 'metal levels', 'measurement procedures', 'integrated circuits', 'installed based', 'initial value', 'induced defects', 'identifying weaknesses', 'hot carriers', 'good indicator', 'following topics', 'final assembly', 'fail criterion', 'extrinsic parts', 'excellent correlation', 'especially designed', 'duration ranging', 'diffusion perimeters', 'device stability', 'defect level', 'basic tool', 'antenna structures', 'adopted based', '5 mm2', '3 nm', '10 nm', '1 meter']</t>
  </si>
  <si>
    <t>Burn-in | Dielectric breakdown | Dislocation | Ionic | Metallic | NBTI | Screen | Voltage ramp</t>
  </si>
  <si>
    <t>Installing appropriate quality and reliability monitoring procedures for ultrathin gate dielectrics is of utmost importance. Ensuring the integrity of VLSI products and unwavering customer satisfaction are the top priorities. Several key strategic avenues have been pursued to accomplish those priorities. First, basic tool and processing monitoring and measurement procedures are put into place for categories such as metallic contamination, foreign material control, and semiconductor stress-induced defects such as dislocations and stacking faults. Second, a new voltage ramp breakdown test, especially designed for ultrathin gate dielectrics, is installed based on a one-to-one correlation with TDDB testing, from which a fail criterion for minimum required breakdown voltage of the distribution is defined. The voltage ramp test is capable of identifying weaknesses or failures for either the intrinsic or extrinsic parts of the failure rate distribution. The voltage ramp test is installed at various processing levels starting with post suicide probing (PSP) utilizing very large oxide area/perimeter structures (area &gt; 0.5 mm2/chip, and perimeter &gt; 1 meter/chip) with both shallow trench isolation (STI) and diffusion perimeters. Third, a voltage breakdown test is put into place for in-line charging effects at various processing levels. The structure used employs minimum polysilicon linewidth devices and contains a nonantenna reference device as well as a variety of antenna structures for various design levels starting with polysilicon and including all via, contact, and metal levels. Such a dielectric breakdown test for charging is also well correlated with other device failure mechanisms such as hot carriers. Fourth, a new methodology was adopted based on a one-to-one quantitative correlation between lifetime as derived from accelerated TDDB testing and the initial value of gate dielectric leakage at a predetermined value(s) of voltage(s). This excellent correlation was verified for gate dielectric thickness ranging from 10 nm to below 3 nm. Fifth, at product level, the standby I-4dQ and Ida. currents are measured and tracked for changes under accelerated stress conditions for numerous scan chains. This measurement is a good indicator of the defect level on products and the overall impact of ultrathin gate dielectric on product yield and reliability. Finally, various type of voltage screens and burn-in with duration ranging from few seconds to several hours (at wafer and packaged levels) can be implemented (at least on a selected set of products) to monitor and improve the reliability of the final assembly. Accordingly, the body of the text discusses the following topics: monitoring of gate dielectric reliability, monitoring of device stability, monitoring of thin dielectric initial leakage, semiconductor stress induced defects, metallic contamination, and reliability of integrated circuits. ¬© 2001 IEEE.</t>
  </si>
  <si>
    <t>60-68</t>
  </si>
  <si>
    <t>IEEE Transactions on Device and Materials Reliability</t>
  </si>
  <si>
    <t>Abadeer, W. W.</t>
  </si>
  <si>
    <t>Sunnyvale</t>
  </si>
  <si>
    <t>Global Foundries, Inc.</t>
  </si>
  <si>
    <t>Abadeer W.</t>
  </si>
  <si>
    <t>Reliability monitoring and screening issues with ultrathin gate dielectric devices</t>
  </si>
  <si>
    <t>S1530438801059145</t>
  </si>
  <si>
    <t>10.1109/7298.946460</t>
  </si>
  <si>
    <t>2-s2.0-0042860978</t>
  </si>
  <si>
    <t>['whole structure', 'tension spring', 'structure presented', 'structural analysis', 'stowed one', 'parabolic antenna', 'hexahedron module', 'geometrical relation', 'geometrical constraint', 'extra force', 'diagonal rod', 'diagonal members', 'deployed configuration', 'deployable power', 'deploy associated']</t>
  </si>
  <si>
    <t>Analysis of geometrical constraint | Closed loop of strut | Deployable parabolic antenna | Hexahedral module | Stretchy member</t>
  </si>
  <si>
    <t>Based on the hexahedron module, a space deployable truss antenna is presented in the paper. The parabolic antenna can stow and deploy associated with the stretch and shorten of the diagonal members. The deployable power is acted by the tension spring in the diagonal rod, and no need for extra force. The geometrical relation of the whole structure's rods is complex, so it is necessary to analyze the geometrical constraint of the structure from the deployed configuration to the stowed one. From the results of the structural analysis, the structure presented in this paper is practical.</t>
  </si>
  <si>
    <t>107-116</t>
  </si>
  <si>
    <t>Journal of the International Association for Shell and Spatial Structures</t>
  </si>
  <si>
    <t>60003970;60003970;60003970</t>
  </si>
  <si>
    <t>57206191177;7006774686;7403214817</t>
  </si>
  <si>
    <t>Yue, Jianru;Guan, Fuling;Hu, Qibiao</t>
  </si>
  <si>
    <t>Hangzhou</t>
  </si>
  <si>
    <t>Yue J.</t>
  </si>
  <si>
    <t>The structural and geometrical constraint analysis of a parabolic deployable antenna</t>
  </si>
  <si>
    <t>2-s2.0-0042941912</t>
  </si>
  <si>
    <t>['wave spectrometer', 'three types', 'temperature superconductor', 'radiation pattern', 'radiated power', 'planar antennas', 'phased arrays', 'oscillation linewidth', 'josephson junctions', 'experimentally investigated', 'cryogenic submillimeter', 'bicrystal boundary']</t>
  </si>
  <si>
    <t>Integrated quasioptical submillimeter-wave oscillators based on high-temperature superconductor (HTSC) Josephson junctions on a bicrystal boundary are designed, fabricated, and experimentally investigated. The junctions are integrated with three types of planar antennas: log-periodic, double-dipole, and double-slot. To increase the radiated power, narrow the radiation pattern, and decrease the oscillation linewidth, the antennas with junctions are incorporated into phased arrays. A cryogenic submillimeter-wave spectrometer and tester are designed with the use of such sources.</t>
  </si>
  <si>
    <t>1404-1410</t>
  </si>
  <si>
    <t>60029225-60068856;60070881-60000990;60000990;60000990-60007457;60000990;60000990-60068856;60029225</t>
  </si>
  <si>
    <t>7006847399;7003397976;6507004865;6603640679;7005238756;6507170798;7005834598</t>
  </si>
  <si>
    <t>Tarasov, M. G.;Stepantsov, E. A.;Lindstrem, T.;Kalabukhov, A. S.;Ivanov, Z. G.;Lykhmus, A.;Vystavkin, A. H.</t>
  </si>
  <si>
    <t>Russian Federation;Estonia;Russian Federation;Russian Federation;Sweden</t>
  </si>
  <si>
    <t>Moscow;Tartu;Moscow;Moscow;Gothenburg</t>
  </si>
  <si>
    <t>Shubnikov Institute of Crystallography, Russian Academy of Sciences;Tartu √úlikool;Kotelnikov Institute of Radioengineering and Electronics (IRE) of Russian Academy of Sciences;Lomonosov Moscow State University;Chalmers University of Technology</t>
  </si>
  <si>
    <t>60070881;60068856;60029225;60007457;60000990</t>
  </si>
  <si>
    <t>Tarasov M.</t>
  </si>
  <si>
    <t>Quasioptical Submillimeter-Wave Sources Based on HTSC Josephson Junctions</t>
  </si>
  <si>
    <t>2-s2.0-0043264324</t>
  </si>
  <si>
    <t>6 PO4A 010 17</t>
  </si>
  <si>
    <t>['various samples', 'various pools', 'various pigments', 'various excitation', 'various contributions', 'two groups', 'small amount', 'similar sets', 'present paper', 'polarized spectra', 'polarized absorption', 'pigments absorbing', 'pigment samples', 'one wavelength', 'observation wavelengths', 'observation wavelength', 'model system', 'living organisms', 'largest component', 'highly oriented', 'global analysis', 'fluorescence spectra', 'fluorescence observation', 'fluorescence excited', 'film stretching', 'differing orientation', 'differences occur', 'data obtained', 'bacteriochlorophyll c', 'bacteria samples', 'bacteria sample', 'artificial oligomers', 'antenna transferring', '750 nm', '680 nm', '670 nm', '183 ns']</t>
  </si>
  <si>
    <t>Bacteriochlorophyll c | Green bacteria | Lifetime of fluorescence | Oligomers of bacteriochlorophyll c | Polarized spectroscopy | Polymer films</t>
  </si>
  <si>
    <t>Polarized absorption and fluorescence spectra of bacteriochlorophyll c and green photosynthetic bacterium Prostheecochloris aestuarii cells and cell fragments embedded in stretched polymer film were measured. In pigment samples the artificial oligomers of bacteriochlorophyll c (with absorption about 750 nm) and other forms of this pigment and bacteriopheophytin (with absorption at 670 nm) were present. In bacteria samples, embedded in polymer, oligomers were in high degree disaggregated and as a result the absorption about 670 nm was observed. Previously for similar sets of samples the decay of fluorescence excited only at one wavelength was analyzed on three exponential components, but exact lifetime values of these components for various samples were different. The aim of present paper was to check if these differences occur because of various contributions to decay from three well defined forms or if they were related to the existence of several pigment forms with slightly different lifetimes. The global analysis of data obtained for various excitation and observation wavelengths of fluorescence were done. From this analysis it follows that the second situation occurs. For a model system containing artificial oligomers the largest component of decay has a œÑ4 of about 0.183 ns or 0.136 ns depending on observation wavelength. For the bacteria sample, in which the emission at 680 nm is the superposition from various pigments, global analysis done for various excitation wavelengths shows also that the œÑ values differ depending on the regions of fluorescence observation. From polarized spectra, it follows that in the model system the pigments absorbing at 670 nm are randomly distributed whereas oligomers are highly oriented. In bacteria fragments absorbing at 670 nm pigment molecules can be divided into two groups: one oriented along the axis of film stretching and the second practically randomly distributed. In living organisms, under some conditions, small amount of 670 nm pigments can be present and can work as excitation energy traps or as antenna transferring the excitation. Present results show that the role of various pools of 670 nm absorbing pigments can be different because of their differing orientation.</t>
  </si>
  <si>
    <t>53-63</t>
  </si>
  <si>
    <t>Journal of Fluorescence</t>
  </si>
  <si>
    <t>60008555;60008555;60014653;60014653;60014653;60008555</t>
  </si>
  <si>
    <t>6701314706;6701531868;24453104500;24174462300;6601959506;57204227660</t>
  </si>
  <si>
    <t>Goc, Jacek;Dudkowiak, Alina;Gryczy≈Ñski, Zygmunt;Gryczy≈Ñski, Ignacy;Zelent, Bogumil;FraÃßckowiak, Danuta</t>
  </si>
  <si>
    <t>United States;Poland</t>
  </si>
  <si>
    <t>Baltimore;Poznan</t>
  </si>
  <si>
    <t>University of Maryland, Baltimore (UMB);Politechnika Poznanska</t>
  </si>
  <si>
    <t>60014653;60008555</t>
  </si>
  <si>
    <t>Spectral Properties of Bacteriochlorophyll c in Organisms and in Model Systems</t>
  </si>
  <si>
    <t>10.1023/A:1016699616249</t>
  </si>
  <si>
    <t>2-s2.0-0043283844</t>
  </si>
  <si>
    <t>['wave telescope', 'temperature detectors', 'temperature anisotropies', 'special multi', 'reflector submillimeter', 'polarization properties', 'polarization characteristics', 'optical performance', 'large field', 'focal plane', 'defocusing effects', 'beam dual', '857 ghz']</t>
  </si>
  <si>
    <t>Dual reflector | ESA PLANCK Surveyor | Physical optics | Polarization | Submillimeter waves</t>
  </si>
  <si>
    <t>We present physical optics simulations of the multi-beam dual-reflector submillimeter-wave telescope on the ESA PLANCK surveyor designed for measuring the temperature anisotropies and polarization characteristics of the cosmic microwave background. The telescope is of a non-conventional Gregorian configuration, with two ellipsoidal reflectors providing a very large field of view at the focal plane where the array of 76 horn antennas feeding low-temperature detectors is located. We analyse the defocusing effects of the system, the polarization properties of the telescope, and the optical performance of the high-frequency channels based on special multi-moded horns operating at 545 and 857 GHz.</t>
  </si>
  <si>
    <t>173-184</t>
  </si>
  <si>
    <t>60026281-60068535;60026281;60011439</t>
  </si>
  <si>
    <t>57197665465;55587645400;57202572509</t>
  </si>
  <si>
    <t>Yurchenko, Vladimir;Murphy, John Anthony;Lamarre, Jean Michel</t>
  </si>
  <si>
    <t>Ukraine;Ireland;France</t>
  </si>
  <si>
    <t>Kharkiv;Maynooth;Orsay</t>
  </si>
  <si>
    <t>O. Ya. Usikov Institute for Radiophysics and Electronics of the National Academy of Sciences of Ukraine;Maynooth University;Institut d'Astrophysique Spatiale</t>
  </si>
  <si>
    <t>60068535;60026281;60011439</t>
  </si>
  <si>
    <t>Yurchenko V.</t>
  </si>
  <si>
    <t>Fast physical optics simulations of the multi-beam dual-reflector submillimeter-wave telescope on the ESA PLANCK surveyor</t>
  </si>
  <si>
    <t>10.1023/A:1010778007547</t>
  </si>
  <si>
    <t>2-s2.0-0043284748</t>
  </si>
  <si>
    <t>['real lobster', 'quadratic function', 'ocean floor', 'lobsters use', 'length measured', 'bending due', 'analysis presented']</t>
  </si>
  <si>
    <t>Lobsters use their antennae to navigate among obstacles along the ocean floor. Effective ambulation requires that the lobster, or a biomimetic lobster robot whose behavior is patterned after a real lobster, must distinguish behveen antenna bending due to contact and bending due to flow. The analysis presented here shows that the key feature appears to be the taper of the antennae. The curvature of a tapered antenna due to an end-load is nearly constant whereas the curvature distribution due to flow is nearly a quadratic function of the arc-length measured from the tip of the antenna.</t>
  </si>
  <si>
    <t>Journal of Applied Mechanics, Transactions ASME</t>
  </si>
  <si>
    <t>14039976900;14040919800;7401506968</t>
  </si>
  <si>
    <t>Barnes, T. G.;Truong, T. Q.;Adams, G. G.</t>
  </si>
  <si>
    <t>Barnes T.</t>
  </si>
  <si>
    <t>Large deflection analysis of a biomimetic lobster robot antenna due to, contact and flow</t>
  </si>
  <si>
    <t>10.1115/1.1406955</t>
  </si>
  <si>
    <t>2-s2.0-0242602941</t>
  </si>
  <si>
    <t>['site investigation', 'presented along', 'pore pressures', 'new 370', 'methods overestimate', 'interesting characteristics', 'different methods', 'dense fine', 'construction stages', 'compared herein', 'also monitored', 'actual settlement', 'actual measurements']</t>
  </si>
  <si>
    <t>Cemented sand | Deformation modulus | Ring raft | Settlement | Soil pressure</t>
  </si>
  <si>
    <t>The performance of a 55 m diameter ring shaped raft for the new 370 m high antenna tower in Kuwait is monitored with time by an extensive instrumentation program. The raft is embedded at a depth of 18 m on very dense fine to medium partially cemented sand. Different methods of settlement predictions employed during the design and initial construction stages are compared herein with actual measurements. Most of these methods overestimate the actual settlement. Pore pressures and contact soil pressures beneath the raft were also monitored. Based on the site investigation and the in situ tests carried out, the unique and interesting characteristics of these deposits are presented along with their effect on observed foundation performance. Several problems encountered during the design and construction stages are discussed.</t>
  </si>
  <si>
    <t>92-113</t>
  </si>
  <si>
    <t>Kuwait Journal of Science and Engineering</t>
  </si>
  <si>
    <t>60038812;60038812</t>
  </si>
  <si>
    <t>7005195101;7003666223</t>
  </si>
  <si>
    <t>Ismael, Nabil F.;Al-Sanad, Hasan</t>
  </si>
  <si>
    <t>Kuwait</t>
  </si>
  <si>
    <t>Kuwait City</t>
  </si>
  <si>
    <t>Kuwait University</t>
  </si>
  <si>
    <t>Ismael N.</t>
  </si>
  <si>
    <t>Performance of a ring raft for antenna tower on cemented sand in Kuwait</t>
  </si>
  <si>
    <t>2-s2.0-0347715163</t>
  </si>
  <si>
    <t>['synthesized aperture', 'objects reconstructed', 'object using', 'known property', 'certain range']</t>
  </si>
  <si>
    <t>A method for constructing the image of an object from a Doppler signal reflected by the object using a synthesized antenna aperture is proposed. The technique is based on the known property of a synthesized aperture to focus to a certain range. Cartograms of the objects reconstructed by using Doppler signals are presented.</t>
  </si>
  <si>
    <t>Instruments and Experimental Techniques</t>
  </si>
  <si>
    <t>Yushchenko, V. P.</t>
  </si>
  <si>
    <t>Novosibirsk State Technical University</t>
  </si>
  <si>
    <t>Yushchenko V.</t>
  </si>
  <si>
    <t>A Method for Scanning the Internal Structure of an Object by a Synthesized Aperture using a Doppler Signal</t>
  </si>
  <si>
    <t>10.1023/A:1017598532616</t>
  </si>
  <si>
    <t>2-s2.0-0442298843</t>
  </si>
  <si>
    <t>['suggested system', 'reduce interference', 'polarization discrimination', 'multipath effects', 'multicellular system', 'high capacity', 'fixed nature', 'entire network']</t>
  </si>
  <si>
    <t>Multicarrier transmission | O-CDMA | Spread-spectrum | Wireless access</t>
  </si>
  <si>
    <t>In this paper, we suggest applying multicarrier spread spectrum (MC-SS) techniques to fixed wireless access applications. Due to the fixed nature of subscribers in these applications, cross-polarization discrimination and directional subscriber antennas can be used to reduce interference in a multicellular system. Power control schemes are applied on both uplink and downlink. The suggested system has a high capacity and uses a simple multiaccess layer. It is robust against multipath effects and can provide service coverage not only to line-of-sight (LOS) but also to nearly LOS subscribers. Only a single carrier frequency is used in the entire network. ¬© 2002 Plenum Publishing Corporation.</t>
  </si>
  <si>
    <t>189-201</t>
  </si>
  <si>
    <t>;60001439-60011410-60013346</t>
  </si>
  <si>
    <t>7410061828;7005636245</t>
  </si>
  <si>
    <t>Li, Junsong;Kavehrad, Mohsen</t>
  </si>
  <si>
    <t>Alexandria;Worcester;University Park</t>
  </si>
  <si>
    <t>National Science Foundation;Worcester Polytechnic Institute;Pennsylvania State University</t>
  </si>
  <si>
    <t>60013346;60011410;60001439</t>
  </si>
  <si>
    <t>Multicarrier orthogonal-CDMA for fixed wireless access applications</t>
  </si>
  <si>
    <t>2-s2.0-10844272412</t>
  </si>
  <si>
    <t>['uda antennas', 'two back', 'relay efficiency', 'passive repeater', 'paper presents', 'copyright sbmo', 'cellular communication', 'back yagi', '30 ¬∞.']</t>
  </si>
  <si>
    <t>This paper presents an analysis of a passive repeater for mobile communication consisting of an arrangement of two back-to-back Yagi-Uda antennas and reflectors appropriately designed to enhance the relay efficiency in cellular communication. The analysis will consider the redirection of the signal in azimuth and elevation, from 0 to -30¬∞. Copyright SBMO.</t>
  </si>
  <si>
    <t>76-83</t>
  </si>
  <si>
    <t>Journal of Microwaves and Optoelectronics</t>
  </si>
  <si>
    <t>60015043;60015043;60015043</t>
  </si>
  <si>
    <t>25025831200;25025769600;6602432734</t>
  </si>
  <si>
    <t>Chaves, Juliane Iten;Junior, Anton Gora;Descardeci, Jos√© Ricardo</t>
  </si>
  <si>
    <t>Curitiba</t>
  </si>
  <si>
    <t>Universidade Federal do Parana</t>
  </si>
  <si>
    <t>Chaves J.</t>
  </si>
  <si>
    <t>Design of passive retransmitting system for cellular communication</t>
  </si>
  <si>
    <t>2-s2.0-12444292920</t>
  </si>
  <si>
    <t>['¬© 2001', 'rights reserved', 'rich oxides', 'probe measurements', 'plasma ramp', 'memory cells', 'hardware marginality', 'electrochemical society', 'different vendors', 'dielectric films', 'deposition pressure', 'charging performance', 'charging damage', 'antenna transistors', 'also demonstrated']</t>
  </si>
  <si>
    <t>In this paper, Kelvin-probe measurements, antenna transistors, and electrically programmable read-only memory cells are used to minimize the influence of hardware marginality on charging damage during plasma-enhanced chemical vapor deposition of dielectric films. It is shown that charging during tetraethosiloxane (TEOS) deposition can be reduced by increasing the deposition pressure and optimizing the plasma ramp-down after deposition. It is also demonstrated that differences in the charging performance between tools from different vendors during the deposition of silicon-rich oxides can be smoothed out if a double radio frequency process replaces the traditional single radio frequency deposition. ¬© 2001 The Electrochemical Society. [DOI: 10.1149/1.1414289] All rights reserved.</t>
  </si>
  <si>
    <t>Journal of the Electrochemical Society</t>
  </si>
  <si>
    <t>Cacciato, Antonio</t>
  </si>
  <si>
    <t>NXP Semiconductors</t>
  </si>
  <si>
    <t>Cacciato A.</t>
  </si>
  <si>
    <t>Minimizing the Effects of Hardware Marginality on Charging Damage during Plasma-Enhanced Chemical Vapor Dielectric Deposition</t>
  </si>
  <si>
    <t>10.1149/1.1414289</t>
  </si>
  <si>
    <t>2-s2.0-1542652186</t>
  </si>
  <si>
    <t>Institut national des sciences de l'Univers</t>
  </si>
  <si>
    <t>INSU,CNRS</t>
  </si>
  <si>
    <t>['waves rad1', 'vxworks real', 'used either', 'two subsystems', 'time package', 'sun sparc', 'set times', 'optical receiver', 'operated using', 'observations cover', 'multichannel acousto', 'instruments including', 'fully automated', 'frequency range', 'data compression', 'data acquisition', 'dat tapes', 'daily operation', 'athens operating', '688 mhz']</t>
  </si>
  <si>
    <t>Instrumentation | Radiospectrograph | Solar radio astronomy | Solar radio bursts</t>
  </si>
  <si>
    <t>We present the new solar radiospectrograph of the University of Athens operating at the Thermopylae Station since 1996. Observations cover the frequency range from 110 to 688 MHz. The radiospectrograph has a 7-meter parabolic antenna and two receivers operating in parallel. One is a sweep frequency receiver and the other a multichannel acousto-optical receiver. The data acquisition system consists of a front-end VME based subsystem and a Sun Sparc-5 workstation connected through Ethernet. The two subsystems are operated using the VxWorks real-time package. The daily operation is fully automated: pointing of the antenna to the sun, starting and stopping the observations at pre-set times, data acquisition, data compression by 'silence suppression', and archiving on DAT tapes. The instrument can be used either by itself to study the onset and evolution of solar radio bursts or in conjunction with other instruments including the Nan√ßay Decametric Array and the WIND/WAVES RAD1 and RAD2 low frequency receivers to study associated interplanetary phenomena.</t>
  </si>
  <si>
    <t>60028900;60028900;60028900;60003674;60003674;60003674;60004716;60028900;60028900;60028900;60027722;60027722;</t>
  </si>
  <si>
    <t>57217030033;6701667971;7801572243;7004310314;57197930599;6603346586;35582854400;6603143833;56209462400;6603136071;6506624772;6506608702;6504289348</t>
  </si>
  <si>
    <t>Caroubalos, C.;Maroulis, D.;Patavalis, N.;Bougeret, J. L.;Dumas, G.;Perche, C.;Alissandrakis, C.;Hillaris, A.;Moussas, X.;Preka-Papadema, P.;Kontogeorgos, A.;Tsitsipis, P.;Kanelakis, G.</t>
  </si>
  <si>
    <t>Greece;Greece;Greece;France</t>
  </si>
  <si>
    <t>Athens;Lamia;Ioannina;Paris</t>
  </si>
  <si>
    <t>National and Kapodistrian University of Athens;Technologiko Ekpaideutiko Idrima, Lamias;University of Ioannina;L'Observatoire de Paris</t>
  </si>
  <si>
    <t>60028900;60027722;60004716;60003674</t>
  </si>
  <si>
    <t>Caroubalos C.</t>
  </si>
  <si>
    <t>The new multichannel radiospectrograph artemis-IV/hecate, of the University of Athens</t>
  </si>
  <si>
    <t>10.1023/A:1011178517069</t>
  </si>
  <si>
    <t>2-s2.0-18044386550</t>
  </si>
  <si>
    <t>['six 22', 'single dish', 'signals leaking', 'russian equivalent', 'reference antenna', 'recorded coherently', 'recently commenced', 'real data', 'pure simulation', 'project designed', 'processed offline', 'paper summarises', 'orbit satellite', 'oh masers', 'microwave links', 'interfering signals', 'interference suppression', 'includes data', 'following systems', 'feed receiver', 'fast clocks', 'current contents', 'compact disk', 'best implement', 'astronomical sources', 'allowing use']</t>
  </si>
  <si>
    <t>Instrumentation: detectors | Interferometers | Methods: data analysis | Techniques: interferometric</t>
  </si>
  <si>
    <t>Digital signal processing is one of many valuable tools for suppressing unwanted signals or interference. Building hardware processing engines seems to be the way to best implement some classes of interference suppression but is, unfortunately, expensive and time-consuming, especially if several mitigation techniques need to be compared. Simulations can be useful, but are not a substitute for real data. CSIRO's Australia Telescope National Facility has recently commenced a 'software radio telescope' project designed to fill the gap between dedicated hardware processors and pure simulation. In this approach, real telescope data are recorded coherently, then processed offline. This paper summarises the current contents of a freely available database of base band recorded data that can be used to experiment with signal processing solutions. It includes data from the following systems: single dish, multi-feed receiver; single dish with reference antenna; and an array of six 22 m antennas with and without a reference antenna. Astronomical sources such as OH masers, pulsars and continuum sources subject to interfering signals were recorded. The interfering signals include signals from the US Global Positioning System (GPS) and its Russian equivalent (GLONASS), television, microwave links, a low-Earth-orbit satellite, various other transmitters, and signals leaking from local telescope systems with fast clocks. The data are available on compact disk, allowing use in general purpose computers or as input to laboratory hardware prototypes.</t>
  </si>
  <si>
    <t>105-113</t>
  </si>
  <si>
    <t>Publications of the Astronomical Society of Australia</t>
  </si>
  <si>
    <t>60005920;60005920;60005920;60005920;60007478;60005920;60030804;60005920;60005920;60011173;60005920;60005920;60005920;60005920;60029470;60030804</t>
  </si>
  <si>
    <t>7404446663;7403694899;7404032342;7003659819;6603563094;15037975000;6602206438;7004146312;7007125062;7005074442;6504141712;35588969500;8297694500;6701523464;6603440878;7006316008</t>
  </si>
  <si>
    <t>Bell, Jon F.;Hall, Peter J.;Wilson, Warwick E.;Sault, Robert J.;Smegal, Rick J.;Smith, Malcolm R.;Van Straten, Willem;Kesteven, Michael J.;Ferris, Richard H.;Briggs, Frank H.;Carrad, Graham J.;Sinclair, Malcom W.;Gough, Russell G.;Sarkissian, John M.;Bunton, John D.;Bailes, Matthew</t>
  </si>
  <si>
    <t>Australia;Australia;Netherlands;United States;Australia</t>
  </si>
  <si>
    <t>Melbourne;Melbourne;Groningen;Mountain View;Sydney</t>
  </si>
  <si>
    <t>Swinburne University of Technology;Commonwealth Scientific and Industrial Research Organization;University of Groningen, Kapteyn Astronomical Institute;SETI Institute;Australia Telescope National Facility</t>
  </si>
  <si>
    <t>60030804;60029470;60011173;60007478;60005920</t>
  </si>
  <si>
    <t>Bell J.F.</t>
  </si>
  <si>
    <t>Base band data for testing interference mitigation algorithms</t>
  </si>
  <si>
    <t>10.1071/AS01006</t>
  </si>
  <si>
    <t>2-s2.0-18044386974</t>
  </si>
  <si>
    <t>['would lead', 'usual practice', 'urban environments', 'uniform theory', 'traced towards', 'theoretical curves', 'serious loss', 'reduced complexity', 'rays follow', 'ray paths', 'ray could', 'putting effort', 'proposed non', 'proposed model', 'propagation paths', 'predictive sense', 'predictive nature', 'oos paths', 'mobile environment', 'microcellular environment', 'lay emphasis', 'given receiver', 'francis ltd', 'experimental results', 'diffraction also', 'computation rural']</t>
  </si>
  <si>
    <t>A simplified, computationally efficient radio-wave propagation model is proposed for the microcellular environment to calculate the path loss characteristics of the line-of-sight (LOS) and out-of-sight (OOS) paths in rural and urban environments. This method is based on ray-tracing through combined multiple two-dimensional (2D) planes and the use of a proposed non-reaching ray technique based on the uniform theory of diffraction and Fermat's principle. This paper is a generalization of the use of 2D plane models in the mobile environment. Rather than putting effort into predicting the environment, which is the usual practice, we lay emphasis on the way the ray could be traced towards the mobile in a predictive sense which would lead to reduced complexity of ray-tracing execution time without any serious loss of accuracy. We have utilized the predictive nature of reflections and diffractions to model the propagation paths in terms of multiple 2D planes. It is understood that while the rays follow only reflections, be it from buildings or ground, they will traverse in a well defined plane for a given receiver's position. The same is true for diffraction also. Multiple image theory is used to simplify the ray paths for computation Rural and urban environments are considered as streets of LOS and OOS paths. Path loss characteristics are determined as a function of polarization, base station antenna height and the diffracted field component Validation of the theoretical curves is achieved by the experimental results to confirm the efficiency of the proposed model. ¬© 2001 Taylor &amp; Francis Ltd.</t>
  </si>
  <si>
    <t>7409845791;6603461420</t>
  </si>
  <si>
    <t>Rajanish, ;Vedavathy, T. S.</t>
  </si>
  <si>
    <t xml:space="preserve">Rajanish </t>
  </si>
  <si>
    <t>10.1080/0020721011009311 2</t>
  </si>
  <si>
    <t>2-s2.0-21544454974</t>
  </si>
  <si>
    <t>['ray reception', 'quality criterion', 'optimal reception', 'introduced based', 'interperiojica ".', 'functional minimum', 'data processing', 'antenna system', 'allows us']</t>
  </si>
  <si>
    <t>Results of the ionospheric signal processing are reported. The quality criterion (functional minimum) for data processing is introduced based on the theory of optimal reception. The quality criterion makes it possible to isolate the case of a single-ray reception. In this case, the reliability in measuring angular signal characteristics increases, which allows us to correct instrumental errors of the antenna system. Copyright ¬© 2001 by MAIK "Naula/InterperioJica".</t>
  </si>
  <si>
    <t>771-775</t>
  </si>
  <si>
    <t>Geomagnetism and Aeronomy</t>
  </si>
  <si>
    <t>Pakhotin, V. A.</t>
  </si>
  <si>
    <t>Kaliningrad</t>
  </si>
  <si>
    <t>Immanuel Kant Baltic Federal University</t>
  </si>
  <si>
    <t>Pakhotin V.</t>
  </si>
  <si>
    <t>The use of the quality criterion in the reception of ionospheric signals</t>
  </si>
  <si>
    <t>2-s2.0-23044530131</t>
  </si>
  <si>
    <t>['tracking radars', 'tracking radar', 'sea surface', 'reflected signal', 'main lobe', 'ground enters', 'flying targets', 'elevation plane', 'communications system']</t>
  </si>
  <si>
    <t>TRACKING-RADAR performance degrades considerably in the elevation plane for low-flying targets.1 This is because the multipath phenomenon creates serious problems for tracking radars at low elevation angles. A reflected signal from the sea surface or ground enters through the main lobe of the antenna and the resultant signals fluctuate drastically. In a communications system, the result is a loss of a link for a time, but for a tracking radar, it is a continuous system failure.</t>
  </si>
  <si>
    <t>55-62</t>
  </si>
  <si>
    <t>Microwaves and RF</t>
  </si>
  <si>
    <t>60080515;60080515;60080515;60015465</t>
  </si>
  <si>
    <t>7006446492;8700445100;57190585813;57201816183</t>
  </si>
  <si>
    <t>Borkar, V. G.;Renuka, A.;Ghosh, A.;Kapoor, A. K.</t>
  </si>
  <si>
    <t>New Delhi;Dehradun</t>
  </si>
  <si>
    <t>Ministry of Defence Government Of India;Defence Research and Development Organisation India</t>
  </si>
  <si>
    <t>60080515;60015465</t>
  </si>
  <si>
    <t>Simulation method identifies multipath tracking errors</t>
  </si>
  <si>
    <t>2-s2.0-24044458949</t>
  </si>
  <si>
    <t>['special class', 'reciprocal four', 'power split', 'port device', 'phase shifters', 'insertion loss', 'important characteristics', 'hybrid network', 'feed networks', 'directional couplers', 'directional coupler', 'balanced mixers', 'balanced amplifiers', 'antenna arrays', 'amplitude balance']</t>
  </si>
  <si>
    <t>DIRECTIONAL couplers play key roles in balanced and double-balanced mixers, balanced amplifiers, dividers, combiners, phase shifters, attenuators, modulators, discriminators, and feed networks in antenna arrays. A directional coupler is a reciprocal four-port device which provides two outputs when a signal is applied to its input. A hybrid network (or 3-dB directional coupler) is a special class of directional coupler in which the signals at the two output ports are equal.1,2,3,4 The important characteristics of directional couplers are coupling, directivity, isolation, matching, insertion loss, phase and amplitude balance, power split, and bandwidth.</t>
  </si>
  <si>
    <t>79-94</t>
  </si>
  <si>
    <t>Maloratsky, Leo</t>
  </si>
  <si>
    <t>Cedar Rapids</t>
  </si>
  <si>
    <t>Rockwell Collins</t>
  </si>
  <si>
    <t>Maloratsky L.</t>
  </si>
  <si>
    <t>Understand the basics of microstrip directional couplers</t>
  </si>
  <si>
    <t>2-s2.0-24044461140</t>
  </si>
  <si>
    <t>['one key', 'mask requirements', 'low cost', 'applicable standards', 'also meeting']</t>
  </si>
  <si>
    <t>One key to the success of LMDS will be to provide adequate antenna gain at low cost, while also meeting the radiation-mask requirements of applicable standards.</t>
  </si>
  <si>
    <t>Izadian, Jamal S.</t>
  </si>
  <si>
    <t>Izadian J.</t>
  </si>
  <si>
    <t>Considering antenna options for LMDS</t>
  </si>
  <si>
    <t>2-s2.0-24044499687</t>
  </si>
  <si>
    <t>['telephone manufacturers', 'service providers', 'rf radiation', 'power received', 'mobile unit', 'measurement accuracy', 'battery life', 'appropriate coverage', 'accurate measurements']</t>
  </si>
  <si>
    <t>MEASUREMENT accuracy is important to mobile-telephone manufacturers and to service providers. Power and frequency are two key parameters that must be generated and measured by a mobile unit to ensure proper operation within specified limits. Accurate measurements of the power received and transmitted by the mobile unit will ensure that battery life is maximized, RF radiation is minimized, and appropriate coverage is realized.</t>
  </si>
  <si>
    <t>Hendrickson, Ryan</t>
  </si>
  <si>
    <t>Agilent Technologies</t>
  </si>
  <si>
    <t>Hendrickson R.</t>
  </si>
  <si>
    <t>Clarify antenna gain for accurate mobile measurements</t>
  </si>
  <si>
    <t>2-s2.0-24044508957</t>
  </si>
  <si>
    <t>['using radars', 'sky antennas', 'interperiodica ".', 'basic parameters']</t>
  </si>
  <si>
    <t>A method for determining the basic parameters of the ionosphere for the measured correlation functions of incohcrent-scatter (IS) signals is considered. The experimental data presented were obtained at Kharkov by using radars with the zenith and all-sky antennas. Copyright ¬© 2001 by MAIK "Nauka/Interperiodica".</t>
  </si>
  <si>
    <t>353-356</t>
  </si>
  <si>
    <t>Lysenko, V. N.</t>
  </si>
  <si>
    <t>Institute of Ionosphere NAS and MES of Ukraine</t>
  </si>
  <si>
    <t>Lysenko V.</t>
  </si>
  <si>
    <t>Measuring the vertical component of the plasma-drift velocity and kinetic temperatures in the ionosphere</t>
  </si>
  <si>
    <t>2-s2.0-24344434777</t>
  </si>
  <si>
    <t>['phase information', 'performed using', 'object plane', 'numerical simulation', 'interperiodica ".', 'field radar', 'adaptive algorithm']</t>
  </si>
  <si>
    <t>To estimate the realizability of a portable subsurface near-field radar, numerical simulation of a multielement holographic antenna array was performed using the short-wave diffraction theory. An adaptive algorithm for processing the amplitude-phase information, which ensure an optimal space resolution in the object plane, was proposed. Copyright ¬© 2001 by MAIK "Nauka/Interperiodica".</t>
  </si>
  <si>
    <t>245-253</t>
  </si>
  <si>
    <t>60014036;60014036</t>
  </si>
  <si>
    <t>57225745413;57210975022</t>
  </si>
  <si>
    <t>Vinogradov, V. A.;Popov, A. V.</t>
  </si>
  <si>
    <t>Pushkov Institute of Terrestrial Magnetism, Ionosphere and Radiowave Propagation, Russian Academy of Sciences</t>
  </si>
  <si>
    <t>Vinogradov V.A.</t>
  </si>
  <si>
    <t>Modeling of the holographic subsurface radar</t>
  </si>
  <si>
    <t>2-s2.0-24744448748</t>
  </si>
  <si>
    <t>['time intervals', 'present paper', 'power law', 'observed dynamics', 'morning sector', 'magnetic antenna', 'isolated elements', 'interperiodica ".', 'equatorial plane', 'elf range', 'distribution function', 'collective dynamics', 'chorus train', 'chorus emissions']</t>
  </si>
  <si>
    <t>Chorus emissions in the VLF-ELF range, measured with a magnetic antenna on board the MAG-ION 5 satellite near the equatorial plane at 10¬∞-30¬∞ invariant latitudes in the morning sector, are analyzed in the present paper. It has been shown that the distribution function of the time intervals between the occurrence of isolated elements in the chorus train at L = 3-5 has the form of the power law. Such a form of the distribution function points to a punctuated equilibrium regime in the collective dynamics of the chorus generation region. Physical and mathematical models enabling us to explain the observed dynamics in the region of low-frequency chorus generation have been proposed. Copyright ¬© 2001 by MAIK "Nauka/Interperiodica".</t>
  </si>
  <si>
    <t>457-461</t>
  </si>
  <si>
    <t>60069629;60069629;60011774;60031627;60031627</t>
  </si>
  <si>
    <t>57195623641;7006329110;7005959656;56633972000;6701762982</t>
  </si>
  <si>
    <t>Kozelov, B. V.;Titova, E. E.;Trakhtengerts, V. Yu;Jiricek, F.;Triska, P.</t>
  </si>
  <si>
    <t>Russian Federation;Czech Republic;Russian Federation</t>
  </si>
  <si>
    <t>Apatity;Prague;Nizhny Novgorod</t>
  </si>
  <si>
    <t>Polar Geophysical Institute, Russian Academy of Science;Institute of Atmospheric Physics of the Academy of Sciences of the Czech Republic;Institute of Applied Physics of the Russian Academy of Sciences</t>
  </si>
  <si>
    <t>60069629;60031627;60011774</t>
  </si>
  <si>
    <t>Kozelov B.V.</t>
  </si>
  <si>
    <t>Collective dynamics of chorus emissions inferred from MAGION 5 satellite data</t>
  </si>
  <si>
    <t>2-s2.0-24744458438</t>
  </si>
  <si>
    <t>['wave travel', 'system level', 'signal processing', 'real targets', 'processing center', 'preliminary stage', 'position system', 'phase binding', 'path sections', 'path length', 'level analysis', 'inclined plane', 'horizontal plane', 'following sequence', 'common center', 'basic potentialities']</t>
  </si>
  <si>
    <t>There is presented a system-level analysis of basic potentialities for developing a radio holographic system, which are governed by possibilities of phase binding (synchronization) of individual antenna positions to a common center of SHF-signal processing and control and possibilities of binding the positions to a common geometric system of coordinates. The following sequence is proposed for determination of path length of wave travel: from processing center to antenna position along synchronization line; from antenna position along perpendicular to the point of intersection with horizontal plane and from the latter along perpendicular to inclined plane a normal to which is beamed to target. Determination of the length of these path sections as accurate as 1/6 of wavelength, solves the problem of phasing (synchronization) and alignment of antenna of multi-position system at a preliminary stage or on a system level which is followed by phasing and alignment to real targets. ¬© 2001 Begell House, Inc.</t>
  </si>
  <si>
    <t>30-42</t>
  </si>
  <si>
    <t>Gorobets, N. N.</t>
  </si>
  <si>
    <t>Gorobets N.</t>
  </si>
  <si>
    <t>A system-level analysis of possibilities for developing a multi-position space-coherent radar (Radio Holographic) system. synchronization (Phasing) of antenna positions. preliminary adjustments of common antenna. determination of number of positions</t>
  </si>
  <si>
    <t>2-s2.0-27844459147</t>
  </si>
  <si>
    <t>['disk antennas', 'directional characteristics', 'band antennas', 'approximate calculations', 'angle two']</t>
  </si>
  <si>
    <t>Disk antenna array as an element of wide-band antennas with wide-angle two-dimensional electric scanning is considered. A method for the approximate calculations of the directional characteristics of the disk antennas is considered. The method is based on the formerly developed theory of the ring concentric antenna arrays. ¬© 2001 Begell House, Inc.</t>
  </si>
  <si>
    <t>112-117</t>
  </si>
  <si>
    <t>Voskresensky, D. I.</t>
  </si>
  <si>
    <t>Voskresensky D.</t>
  </si>
  <si>
    <t>The disk antenna</t>
  </si>
  <si>
    <t>2-s2.0-27844610908</t>
  </si>
  <si>
    <t>['significant path', 'receiver site', 'realistic way', 'propagation direction', 'precise reconstruction', 'measured data', 'manifold analyses', 'input multiple', 'effectively exploited', 'doppler shift', 'array architectures', 'aperture domains']</t>
  </si>
  <si>
    <t>In this paper a parametric modelling approach for double-directional radio channels is introduced that is based on measured data. The MIMO (multiple-input multiple-output) measurement principle using multiple antennas at both the transmitter and receiver site can be effectively exploited to estimate the propagation direction, delay and Doppler shift of any significant path at both ends of the wireless link simultaneously. From the estimated parameter sets a precise reconstruction of the multidimensional wave field in the aperture domains of time, frequency and space is possible. Since this way the measurement antenna properties are excluded from the channel, the influence of a variety of other array architectures can be investigated with the reconstructed wave field. This builds the basis for manifold analyses and simulations of MIMO transmission links in a very realistic way.</t>
  </si>
  <si>
    <t>IEE Colloquium (Digest)</t>
  </si>
  <si>
    <t>60030040;60030040;60030040;60030040;60030040</t>
  </si>
  <si>
    <t>7006664708;6602170616;6602356809;6602948048;56785154500</t>
  </si>
  <si>
    <t>Thom√§, Reiner S.;Hampicke, Dirk;Landmann, Markus;Sommerkorn, Gerd;Richter, Andreas</t>
  </si>
  <si>
    <t>MIMO measurement for double-directional channel modelling</t>
  </si>
  <si>
    <t>2-s2.0-28044467850</t>
  </si>
  <si>
    <t>['vcir ).', 'variant characteristics', 'used directly', 'tune delay', 'transmitting antenna', 'time variance', 'superresolution techniques', 'realistic link', 'radio channel', 'precise characterization', 'perfect design', 'multipath propagation', 'mimo aspects', 'measurement data', 'level simulation', 'joint estimation']</t>
  </si>
  <si>
    <t>3G and 4G mobile communication systems consider multiple antennas at both receiver and transmitter for reaching enhanced channel capacity at well defined quality of service. Perfect design of such systems requires profound knowledge of the radio channel, especially its time-variant characteristics in various radio environments. A precise characterization of the radio channel is given by the vector channel impulse response (VCIR). In Multi Input Multiple Output (MIMO) systems the VCIR is measured for each transmitting antenna to a configured RX antenna array. The time variance of the radio channel requires high speed recording of VCIRs with respect to the maximum Doppler frequency. The presented vector channel sounder covers all MIMO aspects. Up to 256 MIMO channels can be configured by software. Broadband technique grants for high time resolution. Superresolution techniques can be used for joint estimation of tune delay, direction of arrival and direction of departure with respect to multipath propagation. The measurement data can be used directly (as stored radio channel) as well as indirectly (as derived channel model) for realistic link- and system- level simulation.</t>
  </si>
  <si>
    <t>100847374;100847374;60030040;60030040;60030040</t>
  </si>
  <si>
    <t>6505581748;7005724457;7006664708;6602948048;6602170616</t>
  </si>
  <si>
    <t>Wirnitzer, Walter;Br√ºckner, Dirk;Thom√§, Reiner S.;Sommerkorn, Gerd;Hampicke, Dirk</t>
  </si>
  <si>
    <t>Ilmenau;</t>
  </si>
  <si>
    <t>Technischen Universit√§t Ilmenau;MEDAV Digitale Signalverarbeitung GmbH</t>
  </si>
  <si>
    <t>60030040;100847374</t>
  </si>
  <si>
    <t>Wirnitzer W.</t>
  </si>
  <si>
    <t>Broadband vector channel sounder for MIMO channel measurement</t>
  </si>
  <si>
    <t>2-s2.0-30844434814</t>
  </si>
  <si>
    <t>['uncorrelated fading', 'time trellis', 'rich scattering', 'receive ends', 'rate performance', 'propagation environment', 'input multi', 'identify trends', 'ideal channel', 'fading correlation', 'correlation levels', 'communication systems', 'coded multi', 'antenna system', 'antenna arrays']</t>
  </si>
  <si>
    <t>Multi-Input Multi-Output (MIMO) communication systems can deliver the maximum capacity potential in an ideal channel with rich scattering and uncorrelated fading between paths. Fading correlation is an undesirable effect arising from factors in the propagation environment and the geometry of the antenna arrays. In this paper, we study the impact of fading correlation on the error-rate performance of a space-time trellis-coded multi-antenna system, under a range of correlation levels at the transmit and receive ends, and identify trends from the observations.</t>
  </si>
  <si>
    <t>7404280428;14014449300;7202876045</t>
  </si>
  <si>
    <t>Roberts, R. S.;Sweeney, P.;Saunders, S. R.</t>
  </si>
  <si>
    <t>Roberts R.</t>
  </si>
  <si>
    <t>Impact of spatial correlation in the fading channel on the performance of a multi-antenna system</t>
  </si>
  <si>
    <t>2-s2.0-30844440762</t>
  </si>
  <si>
    <t>['variant systems', 'variant channel', 'time filter', 'time analogy', 'systems functions', 'simple space', 'multiple antennas', 'corresponding space', 'called mimo', 'address time']</t>
  </si>
  <si>
    <t>Channel modelling today has to address time-variant systems with multiple antennas at the transmitter and at the receiver, the so-called MIMO (multiple input multiple output) systems. In order to describe this time-variant channel with spatially distributed antennas by a simple space-time filter, spatial system functions are defined, which are based on a space-time analogy of Bellos "physical-intuitive" systems functions. In addition, the paper in hand considers space-time correlation functions and introduces the corresponding space-time filter approach.</t>
  </si>
  <si>
    <t>60018353;60018353;60018353</t>
  </si>
  <si>
    <t>6603252772;6603019196;7007049752</t>
  </si>
  <si>
    <t>Lohse, Nadja;Bronzel, Marcus;Fettweis, Gerhard</t>
  </si>
  <si>
    <t>Lohse N.</t>
  </si>
  <si>
    <t>MIMO signal description for spatial-variant filter generation</t>
  </si>
  <si>
    <t>2-s2.0-30844442576</t>
  </si>
  <si>
    <t>['use multi', 'uplink capacity', 'reception antennas', 'point communications', 'actually tested']</t>
  </si>
  <si>
    <t>We propose in this paper to use multi-user detection techniques on the 2G GSM system allowing either higher data rates for point to point communications or multi-user transmissions thus increasing the uplink capacity. Multi-user detection techniques are applicable in such non spread spectrum systems if the number of reception antennas is equal or larger than the number of transmitters. This system is actually tested in subway propagation conditions for an IST funded project named ESCORT.</t>
  </si>
  <si>
    <t>60107883;60107883;60107883</t>
  </si>
  <si>
    <t>56067224200;11538779300;56133035000</t>
  </si>
  <si>
    <t>Chenu-Tournier, Marc;Morgand, Philippe;Pirez, Didier</t>
  </si>
  <si>
    <t>Gennevilliers</t>
  </si>
  <si>
    <t>Thales Communications &amp; Security</t>
  </si>
  <si>
    <t>Chenu-Tournier M.</t>
  </si>
  <si>
    <t>Multi-user detection using MIMO channel estimator applied to GSM communications</t>
  </si>
  <si>
    <t>2-s2.0-30844449223</t>
  </si>
  <si>
    <t>['single bounce', 'scatterers increases', 'scatterer redundancy', 'rays leads', 'n increases', 'mimo capacity', 'mimo array', 'make comparisons', 'longer linear', 'linear offering', 'independent elements', 'general clustering', 'clusters arrive', 'clustering model', 'cluster arrive', 'channel conditions', 'azimuth angle', 'also increase']</t>
  </si>
  <si>
    <t>Published experimental results suggest that in indoor environments multipath rays arrive in clusters. The clusters arrive with a uniform probability density in azimuth angle, whilst rays within a cluster arrive with a Laplacian probability density with angular spread œÉ. Using Monte Carlo type simulations, assuming 'narrowband' channel conditions and 'single bounce' scattering between TX and RX, we make comparisons between the MIMO capacity of Rayleigh matrix channels with independent elements and matrix channels constructed using this clustering model. We confirm, as intuition would expect, that in general clustering of rays leads to a decrease in capacity, due to increased spatial correlation across a MIMO array. In addition, we find that the MIMO channel capacity can also increase as the number of scatterers increases through scatterer redundancy or diversity. Further, we look at the growth of capacity with n the minimum of the number of antennas at TX and RX; for independent Rayleigh matrix channels this growth is known to be linear offering the possibility of unprecedented spectral efficiencies as n increases. However, taking published results at 7GHz that suggest an angular spread œÉ ‚âà 25¬∞, we find that the growth of capacity with n, although no longer linear, is still significant compared to optimal RX Diversity with maximal ratio combining.</t>
  </si>
  <si>
    <t>Khatri, B. S.</t>
  </si>
  <si>
    <t>Philips Research</t>
  </si>
  <si>
    <t>Khatri B.</t>
  </si>
  <si>
    <t>Effect on capacity of clustering in indoor MIMO channels</t>
  </si>
  <si>
    <t>2-s2.0-30844452685</t>
  </si>
  <si>
    <t>['transmitting data', 'transmitter knows', 'throughput varies', 'signal accordingly', 'receive antennas', 'rayleigh fading', 'multiple transmit', 'mobile station', 'maximise throughput', 'high rates', 'hdr network', 'generates results', 'full power', 'favours users', 'eigen value', 'different numbers', 'constantly monitoring', 'channel conditions', 'channel coefficients', 'base station']</t>
  </si>
  <si>
    <t>High Data Rate (HDR) is a method for transmission of wireless packet data at high rates which is based on code division multiple access (CDMA) technology. It is designed to maximise throughput on the downlink by transmitting data from the base station (BS) to the mobile station (MS) at the highest data rate that can be supported by the channel. This is achieved by constantly monitoring the channel conditions and adapting the modulation and coding of the signal accordingly. At any time the BS will be transmitting at full power to a single user selected using proportional fairness scheduling. This favours users when their channels are at their best. We have developed a model which simulates an HDR network with multiple transmit and receive antennas. The model, which includes correlated shadowing and Rayleigh fading, generates results for throughput using proportional fairness scheduling. For N transmit antennas it is assumed that the transmitter knows the channel coefficients and forms N orthogonal 'eigen value' channels between the BS and MS. We give results showing how the throughput varies with the number of users per cell for different numbers of transmit and receive antennas.</t>
  </si>
  <si>
    <t>;60027272</t>
  </si>
  <si>
    <t>7003930793;55498731300</t>
  </si>
  <si>
    <t>Dinnis, A. K.;Thompson, J. S.</t>
  </si>
  <si>
    <t>Dinnis A.</t>
  </si>
  <si>
    <t>Effect of transmit and receive antenna diversity on a high data rate packet CDMA wireless system</t>
  </si>
  <si>
    <t>2-s2.0-30844454047</t>
  </si>
  <si>
    <t>['temporal response', 'performance evaluation', 'pedestrian traffic', 'paper presents', 'mimo channels', 'input multiple', 'human body', 'geometrical optics', 'efficient solution', 'capacity bounds', '4 bits', '1 bits']</t>
  </si>
  <si>
    <t>The use of Multiple-Input Multiple-Output (MIMO) channels has recently attracted considerable interest as an approach that can yield significant capacity gains over conventional smart antenna arrays. This paper presents a new channel model for MIMO systems operating in populated indoor environments. The model is based on geometrical optics and a detailed radar cross-section (RCS) representation of the human body, and it is capable of estimating the temporal response and the capacity bounds for MIMO channels in the presence of pedestrian traffic. For a single room environment, the new channel model predicts an increase in capacity from 19.1 bits/s/Hz to 31.4 bits/s/Hz solely caused by the movement of pedestrians. The new channel modelling technique offers an efficient solution to the performance evaluation of MIMO wireless systems in populated indoor environments.</t>
  </si>
  <si>
    <t>60020730;60020730</t>
  </si>
  <si>
    <t>7003566126;8369159500</t>
  </si>
  <si>
    <t>Scanlon, W. G.;Ziri-Castro, K.</t>
  </si>
  <si>
    <t>Modelling of MIMO channels for the populated indoor environment</t>
  </si>
  <si>
    <t>2-s2.0-30844460139</t>
  </si>
  <si>
    <t>['strongly depends', 'single parameter', 'said receiver', 'results reported', 'recent results', 'prediction found', 'powerful low', 'polynomial expansion', 'mitigate interference', 'measured recently', 'measured data', 'little behind', 'interference ratio', 'input multiple', 'good performance', 'complexity tools', 'complex receivers', 'communication channels', 'combat crosstalk', '5 antennas', '2 ].']</t>
  </si>
  <si>
    <t>Polynomial expansion detectors introduced in [1] combined with recent results in random matrix theory were found to be powerful low-complexity tools to mitigate interference on multiple-input multiple-output (MIMO) communication channels [2]. The random matrix model of communication via antenna arrays proposed in [3] characterizes the channel in terms of its asymptotic eigenvalue distribution by a single parameter. Reference [4] generalises the polynomial expansion in [2] to multiple-input-multiple-output (MIMO) communication channels promising very good performance at complexity per bit that grows only linearly with the number of antennas. The reliability of the results reported in [4] strongly depends on the accuracy of the used asymptotic random matrix model to describe the antenna array channel. In this paper, we provide performance results of said receiver in terms of bit error rate and signal-to-interference ratio for communication over real-world MIMO channels that were measured recently in our office in Vienna. Computer simulations show that, for more than 5 antennas, performance with measured data is close to the prediction found with the asymptotic random matrix models used in [4] and only little behind the performance of far more complex receivers, such as the linear MMSE receiver, that involve matrix inversions to combat crosstalk.</t>
  </si>
  <si>
    <t>60009854;60009854</t>
  </si>
  <si>
    <t>6602211855;7404245964</t>
  </si>
  <si>
    <t>Cottatellucci, Laura;M√ºller, Ralf R.</t>
  </si>
  <si>
    <t>Forschungszentrum Telekommunikation Wien</t>
  </si>
  <si>
    <t>Cottatellucci L.</t>
  </si>
  <si>
    <t>Performance assessment of polynomial expansion detectors in MIMO channels with measured data</t>
  </si>
  <si>
    <t>2-s2.0-30844460140</t>
  </si>
  <si>
    <t>['two users', 'spectral efficiency', 'significant increase', 'physical channel', 'downlink operation', 'data estimation', 'channel interference', 'base stations', 'additive noise', '1 ].']</t>
  </si>
  <si>
    <t>In multiple-access communication systems co-channel interference can be mitigated by applying multiuser detection instead of treating the interference as additive noise [1]. In this paper we focus on downlink operation in a GSM-like TDMA network and investigate multiuser channel estimation and data symbol detection of two users that share the same physical channel in two adjacent cells. Such a scenario would allow a significant increase in spectral efficiency. We assume no synchronization between the base stations. Mobile terminals exploit multiple receive antennas. We propose a simple iterative receiver algorithm that performs joint channel and data estimation. The performance is evaluated by simulations.</t>
  </si>
  <si>
    <t>;;60009854</t>
  </si>
  <si>
    <t>7003545882;6603338550;7404245964</t>
  </si>
  <si>
    <t>Lonƒçar, Maja;Mecklenbr√§uker, Christoph F.;M√ºller, Ralf R.</t>
  </si>
  <si>
    <t>Lonƒçar M.</t>
  </si>
  <si>
    <t>Joint channel and data estimation for asynchronous GSM users</t>
  </si>
  <si>
    <t>2-s2.0-30844463010</t>
  </si>
  <si>
    <t>['time coding', 'radio interfaces', 'mobile communications', 'global system', 'antenna arrays', 'also analyzed']</t>
  </si>
  <si>
    <t>In this paper we investigate how to increase the capacity of GSM (Global System for Mobile communications) radio interfaces in subway tunnel environments by means of antenna arrays and Space-Time Coding (STC) techniques. We demonstrate that the wireless channels encountered in subway tunnels behave as flat fading channels with strong spatial correlations. We also analyzed the performance of several STC techniques that do not introduce spatial correlation and, thus, maximize transmission rate. These techniques are evaluated with experimental channels measured at the subway of Paris.</t>
  </si>
  <si>
    <t>60104665;60023610;60104665;60023610;60104665;60023610;60104665</t>
  </si>
  <si>
    <t>7101769574;24779654600;6507996321;6603076454;7004669030;57189299510;7003924509</t>
  </si>
  <si>
    <t>Baudet, J.;Gonz√°lez-L√≥pez, M.;Degardin, D.;Dapena, A.;Lienard, M.;Castedo, L.;Degauque, P.</t>
  </si>
  <si>
    <t>Lille;A Coruna</t>
  </si>
  <si>
    <t>Universit√© de Lille;Universidade da Coru√±a</t>
  </si>
  <si>
    <t>60104665;60023610</t>
  </si>
  <si>
    <t>Baudet J.</t>
  </si>
  <si>
    <t>Performance of space time coding in subway tunnel environments</t>
  </si>
  <si>
    <t>2-s2.0-30844463011</t>
  </si>
  <si>
    <t>['various back', 'umts systems', 'six antennas', 'paper describes', 'back tests', 'antenna array', 'angular spread']</t>
  </si>
  <si>
    <t>The paper describes a multi-channel sounder designed and implemented at UMIST. The sounder operates simultaneously at the two frequency bands allocated for UMTS systems and will be used for angle of arrival measurements using either sectored antennas or an antenna array. Multiple transmit multiple receive antenna measurements will also be carried out. Preliminary results demonstrating the performance of the sounder are presented from various back to back tests. Measurements in an indoor environment using sectored antennas shows the spatial mutlipath structure over six antennas each covering sixty degrees of angular spread.</t>
  </si>
  <si>
    <t>7003713925;11540294300;7004655437</t>
  </si>
  <si>
    <t>Salous, S.;Fillipides, P.;Hawkins, I.</t>
  </si>
  <si>
    <t>Salous S.</t>
  </si>
  <si>
    <t>A multi-channel sounder architecture for spatial and MIMO characterisation of the mobile radio channel</t>
  </si>
  <si>
    <t>2-s2.0-30844465730</t>
  </si>
  <si>
    <t>['transmitter power', 'transmitter depends', 'transmission based', 'time applications', 'statistical properties', 'simplifies coding', 'simple formula', 'signal processing', 'short time', 'rich scattering', 'reliable operation', 'radio waves', 'power distribution', 'paper reports', 'mimo channel', 'input multiple', 'indoor environments', 'fair comparison', 'channel information']</t>
  </si>
  <si>
    <t>Multiple-input multiple-output (MIMO) techniques may increase the capacity of wireless local area networks (WLANs) since they profit from rich scattering of radio waves in indoor environments. On the other hand, much signal processing must be performed in a very short time to reach practical data rates. This paper reports on elementary steps towards MIMO transmission when the channel is known to the transmitter. In most cases, channel information can be obtained at the transmitter by means of reciprocity. Linear channel inversion (LCI) may then be employed allowing simple processing suitable for real-time applications. In contrast to signal processing at the receiver, LCI offers isotropic noise gain which simplifies coding. On the other hand, power distribution at the transmitter depends on the statistical properties of the MIMO channel. Results in the case of Rayleigh fading indicate that at least one additional antenna is needed at the transmitter for reliable operation. A simple formula for the mean transmitter power is reported and confirmed by simulation. Performance can now be expressed in terms of transmitter power and a fair comparison with transmission based on signal processing at the receiver is possible.</t>
  </si>
  <si>
    <t>;;;60011055</t>
  </si>
  <si>
    <t>7003452680;6602676667;7003871700;7004911213</t>
  </si>
  <si>
    <t>Jungnickel, Volker;Haustein, Thomas;Jorswieck, Eduard;Von Helmolt, Clemens</t>
  </si>
  <si>
    <t>Fraunhofer Institute for Telecommunications, Heinrich-Hertz-Institut, HHI</t>
  </si>
  <si>
    <t>Jungnickel V.</t>
  </si>
  <si>
    <t>A MIMO WLAN based on linear channel inversion</t>
  </si>
  <si>
    <t>2-s2.0-30844470006</t>
  </si>
  <si>
    <t>['width 2b', 'two regions', 'thus makes', 'spherical bessel', 'paper presents', 'numerical results', 'method employs', 'intermediate zones', 'hankel functions', 'first kind', 'fields radiated', 'exact solution', 'em fields', 'dyadic green', 'analysis general']</t>
  </si>
  <si>
    <t>This paper presents an alternative vector analysis of the electromagnetic (EM) fields radiated from electrically small thin square and rectangular loop antennas of arbitrary length 2a and width 2b. This method employs the dyadic Green's function (DGF) in the derivation of the EM radiated fields and thus makes the analysis general, compact and straightforward. Both near- and far-zones are considered so that the EM radiated fields are expressed in terms of the vector wave eigenfunctions. Not only the exact solution of the EM fields in the near and far zones outside the region (where sqrt(a2 + b2) is derived by use of spherical Hankel functions of the first kind, but also the closed series form of the EM fields radiated in the near zone inside the region 0 ‚â§ r &lt; b is obtained in series of spherical Bessel functions of the first kind. The two regions between the radial distances b and sqrt(a2 + b2) which are defined as intermediate zones are characterized by both the spherical Bessel and Hankel functions of the first kind. Validity of the numerical results is discussed and clarified.</t>
  </si>
  <si>
    <t>181-193</t>
  </si>
  <si>
    <t>7501449136;8108589100;7102006113</t>
  </si>
  <si>
    <t>Li, L. W.;Lim, C. P.;Leong, M. S.</t>
  </si>
  <si>
    <t>Near fields of electrically small thin square and rectangular loop antennas</t>
  </si>
  <si>
    <t>10.2528/PIER00062202</t>
  </si>
  <si>
    <t>2-s2.0-33748491954</t>
  </si>
  <si>
    <t>['transparent source', 'tie antenna', 'soil parameters', 'radiation properties', 'numerical verifications', 'lossy soil', 'influences due', 'ground interface', 'fdtd methods', 'far end', 'different positions', 'complicated due', 'also discussed']</t>
  </si>
  <si>
    <t>Bow-tie antenna | Ground penetrating radar (GPR) | The finitedifference time-domain (FDTD) method</t>
  </si>
  <si>
    <t>The study of bow-tie antenna for pulse-radiation in a ground penetrating radar system is complicated due to the existence of reflections from the feed, the far end of the antenna, the air-ground interface and their interactions. The FDTD methods are applied in this paper by incorporating a transparent source, a bow-tie antenna above the ground, and a lossy soil to investigate the issues. Numerical verifications are conducted to check the accuracy of the method. The radiation properties are demonstrated by near-field radiation patterns and time domain waveforms at different positions. The influences due to different antenna heights and soil parameters are also discussed in detail.</t>
  </si>
  <si>
    <t>131-132</t>
  </si>
  <si>
    <t>60025578;60025578;60025578;60025578</t>
  </si>
  <si>
    <t>14720538500;6603257632;8295054900;14719248600</t>
  </si>
  <si>
    <t>Yi, Zhan;Changhong, Liang;Guangyou, Fang;Hongwei, Yuan</t>
  </si>
  <si>
    <t>Yi Z.</t>
  </si>
  <si>
    <t>A study of near-field radiation pattern of bow-tie dipole on ground</t>
  </si>
  <si>
    <t>2-s2.0-33749120787</t>
  </si>
  <si>
    <t>['two antennas', 'target relative', 'rotating angle', 'resolution radar', 'range scaling', 'range image', 'radar wavelength', 'radar target', 'proposed method', 'proposed algorithm', 'new approach', 'must investigate', 'eniulational data', 'determine especially', 'coherent accumulation']</t>
  </si>
  <si>
    <t>Coherent accumulation | Cross-range scaling | Interferometry | Inverse synthetic aperture radar (ISAR)</t>
  </si>
  <si>
    <t>As the ordinary low resolution radar can not distinguish the radar target both at range and azimuth, if we apply the technology of inverse synthetic aperture radar (ISAR) to resolve the difference among Doppler frequency of the scatters on the target, we can obtain a fine resolution cross-range image. The cross-range scale depends on both radar wavelength and rotating angle of target relative to radarline-of-sight (RLOS) during the coherent accumulation. The former is known while the latter is difficult to determine especially in the case of ISAR. But we must investigate the method of cross-range scaling of low-resolution radar, as it is very important to radar target classification and recognition. In this paper, a new approach is proposed which is based on the principle of interferometric inverse synthetic aperture. We apply the proposed algorithm to the eniulational data of two antennas. The processing results show that the proposed method is correct and effective.</t>
  </si>
  <si>
    <t>127-128</t>
  </si>
  <si>
    <t>60025578;60025578</t>
  </si>
  <si>
    <t>14720471500;7201781364</t>
  </si>
  <si>
    <t>Zhenglin, Jiang;Zheng, Bao</t>
  </si>
  <si>
    <t>Zhenglin J.</t>
  </si>
  <si>
    <t>A new method of cross-range scaling of low resolution radar</t>
  </si>
  <si>
    <t>2-s2.0-33749155651</t>
  </si>
  <si>
    <t>['two subgroups', 'trimers indicates', 'temperature spectroscopy', 'spectral lines', 'single ps', 'single molecule', 'single chl', 'selective excitation', 'protein environment', 'protein complexes', 'pool absorbing', 'photosynthetic pigment', 'optical transitions', 'molecules absorbing', 'low temperature', 'individual pigments', 'fluorescence emission', 'excitation energy', 'dimeric nature', 'detailed analysis', 'chl state', 'antenna chlorophylls', '680 nm', '675 nm']</t>
  </si>
  <si>
    <t>Single molecule spectroscopy was applied to unravel the energy transfer pathway in photosynthetic pigment-protein complexes. Detailed analysis of excitation and fluorescence emission spectra has been made for peripheral plant antenna LHC II and Photosystem I from cyanobacterium Synechococcus elongatus. Optical transitions of individual pigments were resolved under non-selective excitation of antenna chlorophylls. High-resolution fluorescence spectroscopy .of individual plant antenna LHC II indicates that at low temperature the excitation energy is localized on the red most Chl a pool absorbing at 680 nm. More than one pigment molecule is responsible for the fluorescence emission of the LHC II trimer. The spectral lines of single Chl a molecules absorbing at 675 nm are broadened because of the Foerster energy transfer towards the red-most pigments. Low-temperature spectroscopy on single PS I trimers indicates that two subgroups of pigments which are present in the red antenna pool differs by the strength of the coupling with the protein environment and by the efficiency of the triplet state quenching. Based on single molecule and hole burning data we envisage the dimeric nature of the strongly phonon coupled red-most Chl state. ¬© 2001 r.</t>
  </si>
  <si>
    <t>486-489</t>
  </si>
  <si>
    <t>Optika i Spektroskopiya</t>
  </si>
  <si>
    <t>60015815;60015815;60015815;60015815;60015815;60015815;60015815</t>
  </si>
  <si>
    <t>6603745032;6603667898;6507283815;8415584800;57213787985;8085444400;7003408400</t>
  </si>
  <si>
    <t>Jelezko, F.;Tietz, C.;Gerken, U.;Thews, E.;Schuler, S.;Wechsler, A.;Wrachtrup, J.</t>
  </si>
  <si>
    <t>Jelezko F.</t>
  </si>
  <si>
    <t>Single molecule spectroscopy on photosynthetic pigment-protein complexes</t>
  </si>
  <si>
    <t>2-s2.0-33749984842</t>
  </si>
  <si>
    <t>165-187</t>
  </si>
  <si>
    <t>10.2528/PIER01060501</t>
  </si>
  <si>
    <t>2-s2.0-33847334152</t>
  </si>
  <si>
    <t>RP950646</t>
  </si>
  <si>
    <t>['weighting functions', 'trigonometric basis', 'scanning features', 'scanning characteristics', 'scanning angle', 'normalized patterns', 'moments together', 'layered structure', 'field distribution', 'feed point', 'fast convergence', 'entire domain', 'currents nearby']</t>
  </si>
  <si>
    <t>In this paper, the scanning characteristics of an infinite stacked microstrip phased array in a three-layered structure are analyzed. In the analysis of the field distribution, the spectral-domain Galerkin Method of Moments together with the planar dyadic Green's function is applied. An attachment mode current is employed to model the singularity of currents nearby the feed point so as to facilitate the fast convergence. The currents on all patches are expanded in terms of the trigonometric basis and weighting functions in the entire domain. The normalized patterns of the infinite microstrip array are computed in this paper and the scanning features of the antenna against the scanning angle and frequency are discussed in both the E- and H-planes.</t>
  </si>
  <si>
    <t>155-179</t>
  </si>
  <si>
    <t>7406680306;35581072400;7501449136;7102006113;7102523120</t>
  </si>
  <si>
    <t>Liu, Z. F.;Kooi, P. S.;Li, L. W.;Leong, M. S.;Yeo, T. S.</t>
  </si>
  <si>
    <t>Liu Z.F.</t>
  </si>
  <si>
    <t>A method of moments analysis of a microstrip phased array in three-layered structures</t>
  </si>
  <si>
    <t>10.2528/PIER00062201</t>
  </si>
  <si>
    <t>2-s2.0-33947115140</t>
  </si>
  <si>
    <t>University of Miami</t>
  </si>
  <si>
    <t>['parasitic patch', 'nearly equal', 'maximum gain', 'input impedance', 'high gain', 'half wavelength', 'fed patch', 'experimental values', 'electromagnetic fields', 'difference time', 'current distribution', 'antenna structure', '43 dbi']</t>
  </si>
  <si>
    <t>The finite-difference time-domain (FDTD) method is applied to the probe-fed square patch microstrip antenna stacked a parasitic patch for high gain. The input impedance, the directivity, the far field radiation patterns and the near field distributions are calculated and the relation between the antenna structure and the high gain is investigated The calculated input impedance and radiation patterns agree well with the experimental values. When the size of parasitic patch is nearly equal to the fed patch and the distance between the fed patch and the parasitic patch is about a half wavelength, the maximum gain of 9.43 dBi is obtained. In this case, the region between the fed patch and the parasitic patch forms a resonator. Then, the amplitude of current distribution on the parasitic patch becomes large and its phase is opposite to the current on the fed patch. The amplitude of electromagnetic fields of the space between the patches are increased.</t>
  </si>
  <si>
    <t>29-43</t>
  </si>
  <si>
    <t>60019983;60019983;60028493</t>
  </si>
  <si>
    <t>7003869703;57193726608;35608208100</t>
  </si>
  <si>
    <t>Nishiyama, E.;Aikawa, M.;Egashira, S.</t>
  </si>
  <si>
    <t>Kumamoto;Saga</t>
  </si>
  <si>
    <t>Sojo University;Saga University</t>
  </si>
  <si>
    <t>60028493;60019983</t>
  </si>
  <si>
    <t>Nishiyama E.</t>
  </si>
  <si>
    <t>FDTD analysis of stacked microstrip antenna with high gain</t>
  </si>
  <si>
    <t>10.2528/PIER00091501</t>
  </si>
  <si>
    <t>2-s2.0-33947138495</t>
  </si>
  <si>
    <t>['zone field', 'radiation characteristics', 'radiated fields', 'numerical results', 'loop antenna', 'grounded multi', 'far zones', 'exact representations', 'dyadic green', 'current carried', 'closed form']</t>
  </si>
  <si>
    <t>The technique of dyadic Green's function (DGF) expressed in terms of the normalised cylindrical vector wave functions is adopted in this study for examining the electromagnetic fields excited by one thin circular loop antenna above a (un)grounded multi-layered chiral slabs. The current carried on such a circular loop antenna is expressed in a generalized Fourier series so as to incorporate practical situations. Thereby, exact representations of the radiated fields in both near and far zones are obtained in closed form, in a superposition of the right-and left-handed circularly polarized waves. Furthermore, numerical results are presented to show the radiation characteristics of the loop antenna in different layered chiral slab structures. The contributions of the lower- as well as higher-order current excitations to the far-zone field are examined in detail.</t>
  </si>
  <si>
    <t>131-156</t>
  </si>
  <si>
    <t>35239370900;7501449136;7102523120;7102006113</t>
  </si>
  <si>
    <t>Yin, W. Y.;Li, L. W.;Yeo, T. S.;Leong, M. S.</t>
  </si>
  <si>
    <t>Yin W.</t>
  </si>
  <si>
    <t>Electromagnetic fields of a thin Circula loop antenna above a (UN)grounded multi-layered chiral slabs: The non-uniform current excitation</t>
  </si>
  <si>
    <t>10.2528/PIER00031304</t>
  </si>
  <si>
    <t>2-s2.0-34147107265</t>
  </si>
  <si>
    <t>['‚ àöa2', 'width 2b', 'various sizes', 'spherical bessel', 'rectangular loops', 'paper presents', 'numerical results', 'mom analysis', 'large loops', 'inner regions', 'hankel functions', 'general form', 'first kind', 'fields radiated', 'far zones', 'expressed analytically', 'em fields', 'dyadic green', 'closed form', 'azimuth angle', 'analysis general']</t>
  </si>
  <si>
    <t>This paper presents a method of moments (MoM) analysis, obtains the non-uniform current distribution in closed form, and computes the resulted radiated patterns in both near and far zones, of square and rectangular loop antennas with electrically larger perimeter. An oblique incident field in its general form is considered in the formulation of the non-uniform current distributions. In the Galerkin's MoM analysis, the Fourier exponential series is considered as the full-domain basis function series. As a result, the current distributions along the square and rectangular loops are expressed analytically in terms of the azimuth angle for various sizes of large loops. Finally, an alternative vector analysis of the electromagnetic (EM) fields radiated from thin rectangular loop antennas of arbitrary length 2a and width 2b is introduced. This method which employs the dyadic Green's function (DGF) in the derivation of the EM radiated fields makes the analysis general, compact and straightforward in both near-and far-zones. The EM radiated fields are expressed in terms of the vector wave eigenfunctions. Not only ‚àöhe exact solution of the EM fields in the near and far zones outside ‚àöa2 + b2 are derived by the use of the spherical Bessel and Hankel functions of the first kind respectively, but also the inner regions between a and ‚àöa2 + b2 are characterized by both the spherical Bessel and Hankel functions of the first kind. Validity of the numerical results is discussed and clarified.</t>
  </si>
  <si>
    <t>117-141</t>
  </si>
  <si>
    <t>60026293;60026293-60017161;60017161</t>
  </si>
  <si>
    <t>8108589100;7501449136;7102006113</t>
  </si>
  <si>
    <t>Lim C.</t>
  </si>
  <si>
    <t>Method of moments analysis of electrically large thin square and rectangular loop antennas: Near-and far-zone fields</t>
  </si>
  <si>
    <t>10.2528/PIER01042402</t>
  </si>
  <si>
    <t>2-s2.0-37049003405</t>
  </si>
  <si>
    <t>['unwanted azimuths', 'technique utilizes', 'rocket flights', 'pure two', 'one realizes', 'new technique', 'minimize returns', 'magnetic equator', 'faraday rotation', 'elevation angle', 'copyright 2001', '110 km']</t>
  </si>
  <si>
    <t>A new technique for measuring E region plasma density profiles in the equatorial electrojet using a bistatic coherent scatter radar is described. The technique utilizes the Faraday rotation of the obliquely and coherently scattered signal. Plasma density versus altitude is inferred from the rate of Faraday rotation as a function of range and elevation angle. A narrow beam width is required to minimize returns from unwanted azimuths, but this can be achieved in a bistatic experiment using relatively small antenna arrays with widely spaced elements. We give a sample time sequence of daytime electron density profiles that were measured with the new technique at altitudes between 95 and 110 km. Scatter from pure two-stream waves makes it possible to measure both the bottomside and topside density profiles during the day. The importance of this new technique becomes evident when one realizes that only a few rocket flights have provided density profiles through these altitudes at the magnetic equator; the region has been inaccessible to any remote sensing technique until now. Copyright 2001 by the American Geophysical Union.</t>
  </si>
  <si>
    <t>30371-30380</t>
  </si>
  <si>
    <t>2000JA001101</t>
  </si>
  <si>
    <t>A12</t>
  </si>
  <si>
    <t>60026610;60071234</t>
  </si>
  <si>
    <t>7004264630;7004796051</t>
  </si>
  <si>
    <t>Hysell, D. L.;Chau, J. L.</t>
  </si>
  <si>
    <t>Peru;United States</t>
  </si>
  <si>
    <t>Lima;Clemson</t>
  </si>
  <si>
    <t>Radio Observatorio de Jicamarca Lima;Clemson University</t>
  </si>
  <si>
    <t>60071234;60026610</t>
  </si>
  <si>
    <t>Hysell D.L.</t>
  </si>
  <si>
    <t>Inferring E region electron density profiles at Jicamarca from Faraday rotation of coherent scatter</t>
  </si>
  <si>
    <t>10.1029/2000ja001101</t>
  </si>
  <si>
    <t>2-s2.0-39449135047</t>
  </si>
  <si>
    <t>['radio theory', 'radio frequency', 'published results', 'provide tools', 'proposed investigations', 'previous papers', 'piezoelectric effect', 'operation range', 'natural photo', 'millimetric bands', 'may radiate', 'located hundreds', 'find applications', 'fascinating hypothesis', 'experiments contributing', 'energy required', 'disposition lead', 'direction finding', 'df concept', 'detection enable']</t>
  </si>
  <si>
    <t>The hypothesis of a natural sophisticated RADAR tracking system affecting hornets flight was described, analyzed and developed in previous papers [1, 2] considering their (cuticle) skin complex spike elements arrays shown by electronic microscope pictures. The existence of different spike length arrays and their disposition lead, by analogy with antenna, and radio theory and practice, to the hypothesis of transmitting and receiving phased arrays antennae operating at three different wavelengths in the sub-millimetric bands. The natural photo-and piezo electric generation of energy in the hornets reported previously explain how is generated the Radio Frequency (RF) energy required for the operation of the sub-millimeter wavelength natural RADAR system. However, similar to bats, new computation results show that the operation range of hornets RADAR system is limited to less than 100 m. Recently, investigations have shown that also in the hornet two antennae are located hundreds of spikes which may radiate and detect significant radio energy from their internal photo electric sources and piezoelectric effect. Thus, the existence of three separate sources of radiation and detection enable the application of Direction Finding (DF) communication additional hypothesis. The DF concept can contribute to explain how male hornets track the queens and how workers can be guided to theirnest even foroperation distances up to a few kms. It is possible that the results of the proposed investigations will provide tools to improve real tracking and DF systems performances especially in the yet not sufficiently explored submillimeter wavelength ranges and to find applications to this novel hornet property. Soon will be published results and analysis of experiments contributing to prove this fascinating hypothesis.</t>
  </si>
  <si>
    <t>60016941;60005681</t>
  </si>
  <si>
    <t>7004402050;35560529300</t>
  </si>
  <si>
    <t>Gavan, J.;Ishay, J. S.</t>
  </si>
  <si>
    <t>Tel Aviv-Yafo;Tel Aviv-Yafo</t>
  </si>
  <si>
    <t>Holon Institute of Technology;Tel Aviv University</t>
  </si>
  <si>
    <t>Gavan J.</t>
  </si>
  <si>
    <t>Hypothesis of natural radar tracking and communication direction finding systems affecting hornets flight</t>
  </si>
  <si>
    <t>10.2528/PIER01092703</t>
  </si>
  <si>
    <t>2-s2.0-40449110744</t>
  </si>
  <si>
    <t>University of Illinois at Urbana-Champaign</t>
  </si>
  <si>
    <t>1994-1997</t>
  </si>
  <si>
    <t>['variable height', 'sleeve surfaces', 'resulting structure', 'regional interfaces', 'numerical results', 'modal functions', 'input impedance', 'infinite ground', 'expansion method', 'expansion coefficients', 'expansion analysis', 'emphasis laid', 'current distribution', 'article presents']</t>
  </si>
  <si>
    <t>This article presents a numerical technique based on the modal-expansion method for modeling a multi-sleeve monopole antenna fed through an infinite ground-plane by a coaxial transmission line. The modal-expansion analysis is facilitated by introducing a perfectly conducting boundary at a variable height over the ground-plane of the monopole. The resulting structure is then divided into a number of regions and the electromagnetic field components in each region are expanded into the summation of its modal functions. The current distribution over the monopole and sleeve surfaces as well as the antenna's input impedance are computed by finding the expansion coefficients through matching the tangential field components across the regional interfaces. Numerical results for the surface current distribution and input impedance are presented and discussed with emphasis laid on single- and double-sleeve monopole antennas.</t>
  </si>
  <si>
    <t>31-54</t>
  </si>
  <si>
    <t>60005510;60014171</t>
  </si>
  <si>
    <t>Shen, Z.;Macphie, R. H.</t>
  </si>
  <si>
    <t>Canada;Singapore</t>
  </si>
  <si>
    <t>Waterloo;Singapore City</t>
  </si>
  <si>
    <t>University of Waterloo;Nanyang Technological University</t>
  </si>
  <si>
    <t>60014171;60005510</t>
  </si>
  <si>
    <t>Theoretical modeling of multi-sleeve monopole antennas</t>
  </si>
  <si>
    <t>10.2528/PIER00041802</t>
  </si>
  <si>
    <t>2-s2.0-45749131932</t>
  </si>
  <si>
    <t>Defense Sciences Office, DARPA</t>
  </si>
  <si>
    <t>['taylor series', 'perturbation technique', 'perturbation method', 'paper presents', 'found using', 'em fields', 'boundary conditions', 'approximated coefficients', 'alternative analysis', 'also expanded', 'also addressed']</t>
  </si>
  <si>
    <t>This paper presents an alternative analysis of obtaining radiated electromagnetic (EM) fields in a dielectric prolate spheroid using the perturbation technique. A circular loop antenna is used as a radiator on the top of the spheroid. The spheroid is approximated by the first a few terms of the Taylor series expansion (higher-order approximation), and coefficients for transmission and scattered EM fields are found using the perturbation method where the coefficients are also expanded into Taylor series and determined by matching the boundary conditions on the spheroidal dielectric surface. After the approximated coefficients and EM fields are obtained, validity of the approach is discussed and limitations are also addressed.</t>
  </si>
  <si>
    <t>219-252</t>
  </si>
  <si>
    <t>60017161-60026293;60017161;60017161</t>
  </si>
  <si>
    <t>7501449136;7004494167;7102006113</t>
  </si>
  <si>
    <t>Li, L. W.;Yeo, M. S.;Leong, M. S.</t>
  </si>
  <si>
    <t>EM fields inside a prolate spheroid due to a thin circular loop: A higher-order perturbation approach</t>
  </si>
  <si>
    <t>10.2528/PIER01062201</t>
  </si>
  <si>
    <t>2-s2.0-4644282358</t>
  </si>
  <si>
    <t>['radiation characteristics', 'plane performance', 'maximum cross', 'dielectric slab', 'copyright sbmo', 'antenna composed', 'also included']</t>
  </si>
  <si>
    <t>Antennas | Cross polarization | Hybrid structures | Waveguides</t>
  </si>
  <si>
    <t>The radiation characteristics of an antenna composed by a rectangular guide loaded with dielectric slab are analyzed and presented in this paper. A parametric study involving the dielectric loading level and the behavior of the cross-polarization is also included. The obtained results shows a plane performance for the maximum cross-polarization on a wide frequency band for the hybrid mode LSE10, dominant in the structure. Copyright SBMO.</t>
  </si>
  <si>
    <t>22-29</t>
  </si>
  <si>
    <t>60015043;60015043</t>
  </si>
  <si>
    <t>25026547100;6602432734</t>
  </si>
  <si>
    <t>Vital, D. S.;Descardeci, J. R.</t>
  </si>
  <si>
    <t>Vital D.</t>
  </si>
  <si>
    <t>Parametric analysis of open-ended dielectric-slab-loaded rectangular waveguide</t>
  </si>
  <si>
    <t>2-s2.0-52549111942</t>
  </si>
  <si>
    <t>Center for Advanced Study, University of Illinois at Urbana-Champaign</t>
  </si>
  <si>
    <t>1996-1999</t>
  </si>
  <si>
    <t>['tilayered media', 'spatial domain', 'solved using', 'resultant system', 'resonant frequencies', 'present method', 'paper presents', 'multilayered media', 'mom ).', 'microstrip antennas', 'microstrip antenna', 'general forms', 'functions using', 'efficient analysis', 'domain green', 'dcim ).', 'biconjugate gradient', 'accurate scheme']</t>
  </si>
  <si>
    <t>This paper presents an efficient analysis of a microstrip antenna in multilayered media using the method of moments (MoM). The general forms of spectral-domain Green's functions for multilayered media are converted into the spatial-domain Green's functions using the discrete complex image method (DCIM). With the spatial-domain Green's functions, the mixed potential integral equation (MPIE) is dis-cretized in spatial domain, and the resultant system of equations is then solved using the biconjugate gradient (BCG) method. As applications, resonant frequencies of microstrip antennas in multilayered media are analysed. The numerical results show that the present method is an efficient and accurate scheme for analysing microstrip antennas in mul-tilayered media.</t>
  </si>
  <si>
    <t>55-67</t>
  </si>
  <si>
    <t>Xia, L.;Wang, C. F.;Li, L. W.;Kooi, P. S.;Leong, M. S.</t>
  </si>
  <si>
    <t>Resonant behaviours of microstrip antenna in multilayered media: An efficient full-wave analysis</t>
  </si>
  <si>
    <t>10.2528/PIER00052202</t>
  </si>
  <si>
    <t>2-s2.0-56749185504</t>
  </si>
  <si>
    <t>['ursus arctos', 'typically required', 'typically necessary', 'telemetry may', 'successful relocations', 'southcentral alaska', 'satellites available', 'sample size', 'remote areas', 'relocation attempts', 'potential biases', 'obtaining locations', 'month intervals', 'models increased', 'mcp method', 'lower success', 'late sep', 'late may', 'inadequate number', 'home ranges', 'high frequency', 'habitat use', 'h period', 'generally required', 'future investigators', 'frequent causes', 'estimate spring', 'estimate may', 'conventional vhf', 'brown bears', 'among individuals', 'across half', '93 %).', '6 individuals', '50 locations', '40 locations', '1859 h', '0659 h', '0159 h']</t>
  </si>
  <si>
    <t>Alaska | American black bear | Brown bear | Fixed kernel | Global positioning system | GPS | Habitat use | Home range | Minimum convex polygon | Radio telemetry | Ursus americanus | Ursus arctos</t>
  </si>
  <si>
    <t>We deployed 72 collars with global positioning system (GPS) receivers on female brown bears (Ursus arctos) and American black bears (U. americanus) in southcentral Alaska during 1998-2000 to evaluate collar performance and to estimate home range and habitat use. Overall, 67% of relocation attempts were successful (range = 10-93%). Most frequent causes for unsuccessful relocation attempts were inadequate number of satellites available and GPS antenna failure. There were differences (P &lt; 0.05) in proportion of successful relocations by time of day, with lower success during 0800-1359 and 1800-0159 h. The proportion of successful relocations also decreased (P &lt; 0.05) across half-month intervals. Using minimum convex polygon (MCP) and fixed kernel simulations for 6 individuals of each species, we estimated that &gt;40 locations were typically required to estimate May-September home ranges and that &gt;40 and &gt;50 locations were typically necessary to estimate spring (late May-Jun) and summer (Jul-late Sep) home ranges. Precision of both models increased with sample size. More locations were generally required to describe the total area used by a bear (MCP method) than the utilization distribution using the fixed kernel method. For each bear, within-year habitat use differed (P &lt; 0.05) seasonally. Within-season habitat use differed (P &lt; 0.05) among individuals for each species. Furthermore, diurnal (0700-1859 h) and nocturnal (1900-0659 h) seasonal habitat use differed (P &lt; 0.05) in 13% and 42% of all cases for black and brown bears, respectively. Acquiring adequate relocations to estimate home range and habitat use with conventional VHF (very high frequency) telemetry may be prohibitive, particularly in remote areas. Potential biases from obtaining locations during only a portion of the 24-h period should also be considered. Analyses and interpretation of habitat data derived from studies with too few locations should be made with caution. Future investigators of black and brown bear home range and habitat use need to consider sampling designs seriously to ensure that data collected meets study objectives.</t>
  </si>
  <si>
    <t>299-315</t>
  </si>
  <si>
    <t>Ursus</t>
  </si>
  <si>
    <t>60016933;60011976</t>
  </si>
  <si>
    <t>7006657788;6602667933</t>
  </si>
  <si>
    <t>Belant, Jerrold L.;Follmann, Erich H.</t>
  </si>
  <si>
    <t>Washington, D.C.;Fairbanks</t>
  </si>
  <si>
    <t>US National Park Service;University of Alaska Fairbanks</t>
  </si>
  <si>
    <t>Belant J.</t>
  </si>
  <si>
    <t>Sampling considerations for American black and brown bear home range and habitat use</t>
  </si>
  <si>
    <t>2-s2.0-7544238809</t>
  </si>
  <si>
    <t>PST.CLG.977419</t>
  </si>
  <si>
    <t>['usually analyzed', 'unknown internal', 'statistical characteristics', 'signal sources', 'short samples', 'results obtained', 'numerical simulations', 'noise intensity', 'many methods', 'large number', 'known methods', 'known internal', 'formulas derived', 'calculated analytically', 'antenna array', 'analytical expressions']</t>
  </si>
  <si>
    <t>At present, there are many methods for estimating the number of signal sources detected by an antenna array. The most well-known methods are based on the AIC (Akaike Information Criterion) and MDL (Minimum Description Length) criteria. The statistical characteristics of these methods have been analyzed in a large number of papers. However, the results obtained in these papers are valid for an unknown internal-noise intensity, and the found theoretical estimates are asymptotic. In the case of short samples, the characteristics of these methods are usually analyzed on the basis of numerical simulations. In this paper, we find the AIC and MDL statistical characteristics in the case of a known internal-noise intensity of the antenna array. It is shown that within the framework of such a formulation of the problem, the characteristics of the estimate of the number of multivariate-signal sources obtained by these methods can be calculated analytically on the basis of the formulas derived by the authors of this paper for the distribution of the maximum noise eigenvalue of the sample correlation matrix of Gaussian input signals. Analytical expressions for the probability of overvaluation of the number of signal sources are obtained for any size of the sample.</t>
  </si>
  <si>
    <t>977-983</t>
  </si>
  <si>
    <t>7102384283;57220358034;6508043898</t>
  </si>
  <si>
    <t>Ermolaev, V. T.;Mal‚Äôtsev, A. A.;Rodyushkin, K. V.</t>
  </si>
  <si>
    <t>Ermolaev V.T.</t>
  </si>
  <si>
    <t>Statistical characteristics of the AIC and MDL criteria in the problem of estimating the number of sources of multivariate signals in the case of a short sample</t>
  </si>
  <si>
    <t>10.1023/A:1014882129741</t>
  </si>
  <si>
    <t>2-s2.0-76649117053</t>
  </si>
  <si>
    <t>['used instead', 'round bends', 'printed array', 'paper presents', 'new design', 'feed network', 'experimental results', 'difference time', 'cross polarization', 'conventional right', 'configuration plots', 'antenna parameters', 'angle bends']</t>
  </si>
  <si>
    <t>aperture-coupled | dual polarization | finite-difference time-domain analysis | microstrip antenna array | synthetic aperture radar</t>
  </si>
  <si>
    <t>This paper presents a new design of dual polarized aperture-coupled printed antenna array. The finite-difference time-domain (FDTD) analysis of an aperture-coupled microstrip element is performed, and the effects of antenna parameters on its characteristics are obtained to guide the design of the printed array. Then an 8√ó2 dual polarized array design in X-band is introduced with configuration plots. In order to improve its isolation and cross polarization, an outphase-displacement feeding technique is adopted in the feed network. Also, the round bends are used instead of conventional right-angle bends so as to achieve better VSWR performance. Experimental results are presented, indicating the validity of the design. This dual polarized array can be applied as a sub-array of spaceborne SAR systems. ¬© 2001 Shanghai University.</t>
  </si>
  <si>
    <t>295-298</t>
  </si>
  <si>
    <t>Journal of Shanghai University</t>
  </si>
  <si>
    <t>60023813;60023813</t>
  </si>
  <si>
    <t>7202152603;7401811428</t>
  </si>
  <si>
    <t>Zhong, Shun Shi;Cui, Jun Hai</t>
  </si>
  <si>
    <t>Zhong S.</t>
  </si>
  <si>
    <t>A new dual polarized aperture-coupled printed array for SAR applications</t>
  </si>
  <si>
    <t>10.1007/s11741-001-0043-3</t>
  </si>
  <si>
    <t>2-s2.0-84867926963</t>
  </si>
  <si>
    <t>['wave antennas', 'strip width', 'provide values', 'practical leaky', 'physical parameters', 'paper presents', 'new mode', 'modal solution', 'low frequencies', 'grating structure', 'grating period', 'e .,', 'dispersion features', 'difference led', 'constants suitable', 'completely different', 'bound regimes', 'almost open', 'almost closed']</t>
  </si>
  <si>
    <t>Leaky waves | Leaky-wave antennas | Periodic structures | Planar waveguides</t>
  </si>
  <si>
    <t>In this paper, novel behavioral features are found for the propagation and radiation of a class of periodic structures often employed in various microwave passive devices and antennas, i.e., a periodic metallic strip grating placed on a grounded dielectric slab. At low frequencies, the dispersion features of the fundamental TE mode are completely different when the grating structure is almost closed, as compared to when it is almost open, that is, when the ratio of the strip width (s) to the grating period (p) is close to unity or close to zero. As is discussed here, this difference led to initially puzzling behavior as the ratio s/p was varied, and the behavior became clear only after a new improper complex (leaky) modal solution was discovered. This paper presents the results of a systematic parametric study of the dispersion features of the new mode in relation to the occurrence of leaky and bound regimes of the fundamental TE mode and also yields information on what ranges of the physical parameters can provide values of phase and leakage (attenuation) constants suitable for a class of practical leaky-wave antennas.</t>
  </si>
  <si>
    <t>2197-2205</t>
  </si>
  <si>
    <t>60000251-60032350;60000251-60032350;60000251-60032350;60000251-60032350;60000251-60032350;60000251-60108318</t>
  </si>
  <si>
    <t>6701731702;6701466183;7006012591;7102947741;7004439932;7005564352</t>
  </si>
  <si>
    <t>Burghignoli, Paolo;Baccarelli, Paolo;Frezza, Fabrizio;Galli, Alessandro;Lampariello, Paolo;Oliner, Arthur A.</t>
  </si>
  <si>
    <t>United States;Italy;United States</t>
  </si>
  <si>
    <t>New York;Rome;New York</t>
  </si>
  <si>
    <t>NYU Tandon School of Engineering;Sapienza Universit√† di Roma;IEEE</t>
  </si>
  <si>
    <t>60108318;60032350;60000251</t>
  </si>
  <si>
    <t>Burghignoli P.</t>
  </si>
  <si>
    <t>Low-frequency dispersion features of a new complex mode for a periodic strip grating on a grounded dielectric slab</t>
  </si>
  <si>
    <t>S0018948001104771</t>
  </si>
  <si>
    <t>10.1109/22.971601</t>
  </si>
  <si>
    <t>2-s2.0-84868579249</t>
  </si>
  <si>
    <t>['various sizes', 'spherical bessel', 'paper presents', 'numerical results', 'mom analysis', 'large loops', 'inner regions', 'hexagonal loops', 'hankel functions', 'general form', 'first kind', 'fields radiated', 'far zones', 'expressed analytically', 'exact solution', 'em fields', 'dyadic green', 'closed form', 'azimuth angle', 'arbitrary length', 'analysis general']</t>
  </si>
  <si>
    <t>This paper presents a method of moments (MoM) analysis, obtains the non-uniform current distribution in closed form, and computes the resulted radiated patterns in both near and far zones, of regular hexagonal loop antennas with electrically large perimeter. An oblique incident field in its general form is considered in the formulation of the non-uniform current distributions. In the Galerkin's MoM analysis, the Fourier exponential series is considered as the full-domain basis function series. As a result, the current distributions along the hexagonal loops are expressed analytically in terms of the azimuth angle for various sizes of large loops. Finally, an alternative vector analysis of the electromagnetic (EM) fields radiated from thin hexagonal loop antennas of arbitrary length a is introduced. This method which employs the dyadic Green's function (DGF) in the derivation of the EM radiated fields makes the analysis general, compact and straightforward in both near- and far-zones. The EM radiated fields are expressed in terms of the vector wave eigenfunctions. Not only the exact solution of the EM fields in the near and far zones outside a are derived by use of the spherical Bessel and Hankel funct‚àöions of the first kind respectively, but also the inner regions between and a are characterized by both the spherical Bessel and Hankel functions of the first kind. Validity of the numerical results is discussed and clarified.</t>
  </si>
  <si>
    <t>251-271</t>
  </si>
  <si>
    <t>Method of moments analysis of electrically large thin hexagonal loop transceiver antennas: Near- and far-zone fields</t>
  </si>
  <si>
    <t>10.2528/PIER99090203</t>
  </si>
  <si>
    <t>2-s2.0-84876478084</t>
  </si>
  <si>
    <t>Antenna</t>
  </si>
  <si>
    <t>27-29</t>
  </si>
  <si>
    <t>New omni-directional GPS antenna saves space and is effective close to the body</t>
  </si>
  <si>
    <t>10.1108/sr.2001.08721dad.011</t>
  </si>
  <si>
    <t>2-s2.0-85001147148</t>
  </si>
  <si>
    <t>01{02{16432</t>
  </si>
  <si>
    <t>['wave components', 'total power', 'thermal radiation', 'stationary field', 'space surface', 'relative contribution', 'received radiation', 'radiation received', 'medium temperature', 'layer depth', 'field component', 'entirely determined', 'component depends', 'arbitrary height', 'antenna size', 'antenna parameters', 'analyze theoretically', 'absorbing half']</t>
  </si>
  <si>
    <t>We analyze theoretically the thermal radiation of an absorbing half-space, received by an antenna of an arbitrary size located at an arbitrary height above the half-space surface. It is shown that the measured power consists of quasi-stationary (near-field) and wave components. The relative contribution of each component depends on the antenna size and height. Conditions under which the near-field component is dominant are found. It is shown that the total power of the radiation received from a uniformly heated medium is entirely determined by the medium temperature and is independent of the antenna parameters. If the influence of the quasi-stationary field is strong, then the received radiation is formed in a layer whose effective depth is less than the skin-layer depth. This effect can be used for detection of the near-field component of thermal radiation.</t>
  </si>
  <si>
    <t>956-962</t>
  </si>
  <si>
    <t>60115148-60008673;60115148-60008673</t>
  </si>
  <si>
    <t>7004434939;6602562983</t>
  </si>
  <si>
    <t>Reznik, A. N.;Yurasova, N. V.</t>
  </si>
  <si>
    <t>Kstovo;Nizhny Novgorod</t>
  </si>
  <si>
    <t>The Institute for Physics of Microstructures of the Russian Academy of Sciences;Lobachevsky State University of Nizhni Novgorod</t>
  </si>
  <si>
    <t>60115148;60008673</t>
  </si>
  <si>
    <t>Reznik A.</t>
  </si>
  <si>
    <t>Effects of a quasi-stationary field in contact radiometry</t>
  </si>
  <si>
    <t>10.1023/A:1014826011994</t>
  </si>
  <si>
    <t>2-s2.0-85050510496</t>
  </si>
  <si>
    <t>['target neuropil', 'studies showed', 'paired olfactory', 'output pathway', 'order processing', 'olfactory pathways', 'olfactory lobes', 'olfactory lobe', 'olfactory inputs', 'neuropils involved', 'neuropils innervate', 'neuronal connections', 'medulla terminalis', 'lateral protocerebrum', 'lateral antenna', 'initial stages', 'homarus americanus', 'hemiellipsoid body', 'first apparent', 'embryonic lobsters', 'embryonic development', 'ascending pathways', 'antenna ii', 'also examined', 'accessory lobes', 'accessory lobe']</t>
  </si>
  <si>
    <t>Crustacean | Decapod | Deutocerebrum | Olfaction | Projection neuron</t>
  </si>
  <si>
    <t>The main output pathways from the olfactory lobes (primary olfactory centers) and accessory lobes (higher-order integrative areas) of decapod crustaceans terminate within both of the main neuropil regions of the lateral protocerebrum: the medulla terminalis and the hemiellipsoid body. The present study examines the morphogenesis of the lateral protocerebral neuropils of the lobster, Homarus americanus, and the development of their neuronal connections with the paired olfactory and accessory lobes. The medulla terminalis was found to emerge during the initial stages of embryogenesis and to be the target neuropil of the output pathway from the olfactory lobe. In contrast, the hemiellipsoid body is first apparent during mid-embryonic development and is innervated by the output pathway from the accessory lobe. The dye injections used to elucidate these pathways also resulted in the labeling of a previously undescribed pathway linking the olfactory lobe and the ventral nerve cord. To increase our understanding of the morphology of the olfactory pathways in H. americanus we also examined the connectivity of the lateral protocerebral neuropils of embryonic lobsters. These studies identified several interneuronal populations that may be involved in the higher-order processing of olfactory inputs. In addition, we examined the neuroanatomy of ascending pathways from the antenna II and lateral antenna I neuropils (neuropils involved in the processing of chemosensory and tactile inputs). These studies showed that the ascending pathways from these neuropils innervate the same regions of the medulla terminalis and that these regions are different from those innervated by the olfactory lobe output pathway. ¬© 2001 Wiley-Liss, Inc.</t>
  </si>
  <si>
    <t>23-43</t>
  </si>
  <si>
    <t>60006385-60009415;60006385;60001439</t>
  </si>
  <si>
    <t>7003574421;57209461102;7005130630</t>
  </si>
  <si>
    <t>Lomber, Stephen G.;Payne, Bertram R.;Cornwell, Paul</t>
  </si>
  <si>
    <t>Richardson;Boston;University Park</t>
  </si>
  <si>
    <t>The University of Texas at Dallas;Boston University School of Medicine;Pennsylvania State University</t>
  </si>
  <si>
    <t>60009415;60006385;60001439</t>
  </si>
  <si>
    <t>Lomber S.</t>
  </si>
  <si>
    <t>Development and connectivity of olfactory pathways in the brain of the lobster Homarus americanus</t>
  </si>
  <si>
    <t>10.1002/cne.1395</t>
  </si>
  <si>
    <t>2-s2.0-0035802905</t>
  </si>
  <si>
    <t>['two strips', 'short circuits', 'proposed antenna', 'paper proposes', 'novel dual', 'ground plane', 'f antenna', 'experimental results', 'dielectric substrate', 'constructed prototype', 'antenna consists', '5350 mhz', '2484 mhz']</t>
  </si>
  <si>
    <t>Dual-band operation | Inverted-F antenna | WLAN / HIPERLAN operations</t>
  </si>
  <si>
    <t>This paper proposes a novel dual-band printed inverted-F antenna, and a constructed prototype suitable for applications in the WLAN (2400-2484 MHz) and HIPERLAN (5150-5350 MHz) systems is presented. The antenna consists of two stacked inverted-F strips printed on a dielectric substrate, and sharing a common shorting pin which short circuits the two strips to the ground plane on the other side of the dielectric substrate. The proposed antenna can easily be fed by a 50 Œ© microstrip line printed on the same substrate. Details of the proposed antenna and experimental results of the constructed prototype are presented. ¬© 2001 John Wiley &amp; Sons, Inc. Microwave Opt Technol Lett.</t>
  </si>
  <si>
    <t>353-355</t>
  </si>
  <si>
    <t>A novel dual-band printed inverted-F antenna</t>
  </si>
  <si>
    <t>10.1002/mop.10032</t>
  </si>
  <si>
    <t>2-s2.0-0035814159</t>
  </si>
  <si>
    <t>['radiating edge', 'proposed antenna', 'new design', 'loss bandwidths', 'effectively control', '5350 mhz', '4 dbi', '2484 mhz', '2 ghz']</t>
  </si>
  <si>
    <t>2.4/5.2 GHz operation | Dual-band antenna | Planar inverted-L antenna</t>
  </si>
  <si>
    <t>A new design of a dual-band planar inverted-L patch antenna suitable for applications in WLAN (2400-2484 MHz) and HIPERLAN (5150-5350 MHz) systems is proposed. By using an inverted-L radiating patch, in which two additional narrow slits are inserted at the radiating edge to effectively control the excited patch surface current distributions, the proposed antenna can generate two operating frequencies at 2.4 and 5.2 GHz. In addition, wide impedance bandwidths are obtained. The proposed antenna has 10 dB return-loss bandwidths of 7.5 and 8.1% in the 2.4 and 5.2 GHz bands, respectively, and the obtained peak antenna gain also reaches 5.7 and 6.4 dBi for operating frequencies within the 2.4 and 5.2 GHz bands, respectively. ¬© 2001 John Wiley &amp; Sons, Inc. Microwave Opt Technol Lett.</t>
  </si>
  <si>
    <t>394-396</t>
  </si>
  <si>
    <t>36815519800;35460663000</t>
  </si>
  <si>
    <t>Kuo, Yen Liang;Wong, Kin Lu</t>
  </si>
  <si>
    <t>A planar inverted-L patch antenna for 2.4/5.2 GHz dual-band operation</t>
  </si>
  <si>
    <t>10.1002/mop.10044</t>
  </si>
  <si>
    <t>2-s2.0-0035814163</t>
  </si>
  <si>
    <t>['resonant frequency', 'radiation patterns', 'radiation characteristics', 'physical parameters', 'patch lengths', 'measured results', 'less sensitive', 'f antenna', 'design frequency', 'corner truncation', 'band dual', 'adverse effect']</t>
  </si>
  <si>
    <t>Dual-band dual-feed PIFA | Electrically small antennas | Frequency tuning | Handphone antennas | Mobile communications</t>
  </si>
  <si>
    <t>A dual-band dual-feed planar inverted-F antenna (PIFA) is tuned with its physical parameters. It is demonstrated that the corner truncation of the patch is less sensitive to the resonant frequency than the patch lengths, but the corner truncation has no adverse effect on the radiation characteristics of the PIFA. This new technique yields quicker convergence of design frequency than the conventional patch length only tuning. Both theoretical and measured results of the input return loss and radiation patterns are presented. ¬© 2001 John Wiley &amp; Sons, Inc. Microwave Opt Technol Lett.</t>
  </si>
  <si>
    <t>7006035284;57213915516;23107940400</t>
  </si>
  <si>
    <t>Karmakar, Nemai C.;Heng, Lee Chin;Teong, Chew Boon</t>
  </si>
  <si>
    <t>Frequency tuning of a dual-band dual-feed PIFA antenna for future mobile communications</t>
  </si>
  <si>
    <t>10.1002/mop.10030</t>
  </si>
  <si>
    <t>2-s2.0-0035814168</t>
  </si>
  <si>
    <t>['proposed procedure', 'paper discusses', 'largest eigenvalue', 'error rate', 'eigenvector corresponding', 'autocovariance matrix', 'adaptive procedure']</t>
  </si>
  <si>
    <t>Adaptive array | Linearized procedure | Maximum eigenvalue | Power method</t>
  </si>
  <si>
    <t>This paper discusses an adaptive procedure of a simplified power method for computing the eigenvector corresponding to the largest eigenvalue of an autocovariance matrix. The objective is to generate a suboptimal weight vector for an adaptive array operating in a multipath fading CDMA (code-division multiple access) channel. The total computational load of the proposed procedure is about O(4N), including an autocovariance matrix update, where N is the number of weights. The performance of the proposed array system is shown in terms of the BER (bit-error rate) and tile allowable capacity, in a modeled IS-95 CDMA signal environment. ¬© 2001 John Wiley &amp; Sons, Inc. Microwave Opt Technol Lett.</t>
  </si>
  <si>
    <t>361-365</t>
  </si>
  <si>
    <t>60024872;60024872;60030551</t>
  </si>
  <si>
    <t>7401989622;55413900600;55650323300</t>
  </si>
  <si>
    <t>Ahn, Sungsoo;Choi, Seungwon;Sarkar, Tapan K.</t>
  </si>
  <si>
    <t>Syracuse;Seoul</t>
  </si>
  <si>
    <t>Syracuse University;Hanyang University</t>
  </si>
  <si>
    <t>60030551;60024872</t>
  </si>
  <si>
    <t>Ahn S.</t>
  </si>
  <si>
    <t>A linearized power method for adaptive beamforming in a multipath fading CDMA environment</t>
  </si>
  <si>
    <t>10.1002/mop.10034</t>
  </si>
  <si>
    <t>2-s2.0-0035814169</t>
  </si>
  <si>
    <t>['waveguide antennas', 'radiation properties', 'good agreement', 'difference time']</t>
  </si>
  <si>
    <t>Finite-difference time domain | Method of moments | Omnidirectional patterns | Sloued-waveguide antennas</t>
  </si>
  <si>
    <t>Slotted-waveguide antennas with omni-directional radiation patterns are analyzed using lite method of moments and a full-wall electromagnetic simulator based on the finite-difference time-domain (FDTD) method. The resonant and radiation properties of the antennas have been examined. The simulated results arc shown to be in good agreement with those obtained from measurements. ¬© 2001 John Wiley &amp; Sons, Inc. Microwave Opt Technol Lett.</t>
  </si>
  <si>
    <t>374-377</t>
  </si>
  <si>
    <t>118149936;118149936;60019656</t>
  </si>
  <si>
    <t>9244011700;23108116400;7007049394</t>
  </si>
  <si>
    <t>Wang, H. Y.;Zhang, S. Q.;Sangster, A. J.</t>
  </si>
  <si>
    <t>Edinburgh;Farnborough</t>
  </si>
  <si>
    <t>Heriot-Watt University;Nokia UK Limited</t>
  </si>
  <si>
    <t>60019656;118149936</t>
  </si>
  <si>
    <t>Wang H.Y.</t>
  </si>
  <si>
    <t>Numerical modeling of omnidirectional slotted-waveguide antennas</t>
  </si>
  <si>
    <t>10.1002/mop.10038</t>
  </si>
  <si>
    <t>2-s2.0-0035814172</t>
  </si>
  <si>
    <t>['two frequencies', 'similar designs', 'radiating edges', 'much smaller', 'frequency operation', 'area reduction', 'achieved front', 'achieved along', '24 ),']</t>
  </si>
  <si>
    <t>Compact | Dual polarized | Microstrip antenna | Slot loaded</t>
  </si>
  <si>
    <t>Dual-frequency operation is achieved front a compact microstrip antenna by loading a pair of narrow slots close to its radiating edges. The two frequencies have parallel polarization planes and similar radiation characteristics. The ratio between the two operating frequencies can be tuned in the range (1.14-1.24), which is much smaller than that of similar designs. The above excellent radiation characteristics are achieved along with an area reduction of ‚àº 75% compared to the standard rectangular patch. ¬© 2001 John Wiley &amp; Sons, Inc. Microwave Opt Technol Lett.</t>
  </si>
  <si>
    <t>379-381</t>
  </si>
  <si>
    <t>6603090729;7004989005;7004362848;57218539158</t>
  </si>
  <si>
    <t>Kundukulam, Sona O.;Paulson, Manju;Aanandan, C. K.;Mohanan, P.</t>
  </si>
  <si>
    <t>Kundukulam S.O.</t>
  </si>
  <si>
    <t>Slot-loaded compact microstrip antenna for dual-frequency operation</t>
  </si>
  <si>
    <t>10.1002/mop.10040</t>
  </si>
  <si>
    <t>2-s2.0-0035814173</t>
  </si>
  <si>
    <t>['wave patch', 'traditional half', 'shorting post', 'results show', 'reduced considerably', 'notched patch', 'considerably smaller', 'area occupied', '10 %.']</t>
  </si>
  <si>
    <t>Dual-band antenna | Microstrip antenna | Small antenna</t>
  </si>
  <si>
    <t>The simulation of a probe-fed notched square patch antenna was investigated using shorting post technique. The area occupied by the patch was decreased by 94% and when compared with traditional half-wave patch, the dimensions of the notched patch with a shorting post was found to be considerably smaller. The results show that the size of the antenna is reduced considerably while maintaining a bandwidth of 10%.</t>
  </si>
  <si>
    <t>377-379</t>
  </si>
  <si>
    <t>60006173;60006173;60010491</t>
  </si>
  <si>
    <t>6701610248;7201555328;7501501369</t>
  </si>
  <si>
    <t>Shackelford, A. K.;Leong, S. Y.;Lee, K. F.</t>
  </si>
  <si>
    <t>Small-size probe-fed notched patch antenna with a shorting post</t>
  </si>
  <si>
    <t>10.1002/mop.10039</t>
  </si>
  <si>
    <t>2-s2.0-0035814180</t>
  </si>
  <si>
    <t>['new uni', 'mode inside', 'grounded slab', 'good agreement', 'experimental results', 'efficiently excite', 'antenna design']</t>
  </si>
  <si>
    <t>A new uni-planar coplanar waveguide slot antenna is presented. The antenna is used to efficiently excite the dominant transverse magnetic (TM) mode inside a grounded slab. The antenna design and optimisation using two commercially available softwares are described. The antenna was fabricated and tested. Good agreement between the numerical and experimental results is obtained.</t>
  </si>
  <si>
    <t>1500-1501</t>
  </si>
  <si>
    <t>60016005;60016005;60016005</t>
  </si>
  <si>
    <t>7003667918;35566584200;35884167700</t>
  </si>
  <si>
    <t>Hammad, H. F.;Antar, Y. M.M.;Freundorfer, A. P.</t>
  </si>
  <si>
    <t>Kingston</t>
  </si>
  <si>
    <t>Queen‚Äôs University</t>
  </si>
  <si>
    <t>Hammad H.</t>
  </si>
  <si>
    <t>Uni-planar slot antenna for TM slab mode excitation</t>
  </si>
  <si>
    <t>10.1049/el:20011009</t>
  </si>
  <si>
    <t>2-s2.0-0035818788</t>
  </si>
  <si>
    <t>['uniform excitations', 'uniform amplitude', 'sidelobe patterns', 'recognized minima', 'planar arrays', 'performed using', 'method based', 'genetic algorithm']</t>
  </si>
  <si>
    <t>An analysis of low-sidelobe patterns from linear and planar arrays with uniform excitations was performed. The analysis was performed using a method based on application of a genetic algorithm. It was observed that genetic algorithms allows synthesis of linear and planar arrays with excitations of uniform amplitude which generate radiation patterns with sidelobe levels closely approaching the recognized minima.</t>
  </si>
  <si>
    <t>1495-1497</t>
  </si>
  <si>
    <t>57220885191;57217764562;7006865572;7202825573</t>
  </si>
  <si>
    <t>L√≥pez, P.;Rodriguez, J. A.;Ares, F.;Moreno, E.</t>
  </si>
  <si>
    <t>L√≥pez P.</t>
  </si>
  <si>
    <t>Low-sidelobe patterns from linear and planar arrays with uniform excitations except for phases of a small number of elements</t>
  </si>
  <si>
    <t>10.1049/el:20011021</t>
  </si>
  <si>
    <t>2-s2.0-0035818793</t>
  </si>
  <si>
    <t>['wide range', 'showed accuracy', 'large bandwidth', 'experimental results', 'bias voltages']</t>
  </si>
  <si>
    <t>A varactor-tuned patch antenna including device packaging effects was analyzed using finite-difference-time-domain (FDTD) method. The tuning of patch antenna using varactor diode allowed the narrowband patch antenna to cover a very large bandwidth in discrete narrowband intervals. The numerical and experimental results for this antenna were found to be in agreement and showed accuracy over a wide range of bias voltages.</t>
  </si>
  <si>
    <t>1494-1495</t>
  </si>
  <si>
    <t>24483331800;7003625330;6506610690;35516118400</t>
  </si>
  <si>
    <t>Koh, B. P.;Craddock, I. J.;Urwin-Wright, P.;Railton, C. J.</t>
  </si>
  <si>
    <t>Koh B.P.</t>
  </si>
  <si>
    <t>FDTD analysis of varactor-tuned patch antenna including device packaging effects</t>
  </si>
  <si>
    <t>10.1049/el:20011026</t>
  </si>
  <si>
    <t>2-s2.0-0035818796</t>
  </si>
  <si>
    <t>['proposed design', 'new slot', 'measurements confirm', 'intermediate substrate', 'good properties', 'fundamental mode', 'domain simulations', 'correct excitation', 'adhesive thickness']</t>
  </si>
  <si>
    <t>A new slot-fed rectangular dielectric resonator antenna design is presented. An intermediate substrate is introduced between the slot and the resonator, resulting in a correct excitation of the fundamental mode and a particularly robust structure to adhesive thickness. Comparisons between finite difference time-domain simulations and measurements confirm the good properties of the proposed design.</t>
  </si>
  <si>
    <t>1497-1498</t>
  </si>
  <si>
    <t>6701731361;7005398972;6602225315</t>
  </si>
  <si>
    <t>Laisn√©, A.;Gillard, R.;Piton, G.</t>
  </si>
  <si>
    <t>Laisn√© A.</t>
  </si>
  <si>
    <t>Robust slot-fed dielectric resonator antenna using an intermediate substrate</t>
  </si>
  <si>
    <t>10.1049/el:20010972</t>
  </si>
  <si>
    <t>2-s2.0-0035818855</t>
  </si>
  <si>
    <t>['structure results', 'reactance presented', 'parasitic resistance', 'gaas beam', 'frequency octave']</t>
  </si>
  <si>
    <t>A CPW-fed slot antenna including pin diodes for multifrequency operation within a frequency octave and more is presented. The use of GaAs beam-lead pin diodes limits the influence of the parasitic resistance and reactance presented by surface mount diodes. The simplicity of the structure results in a simplified and compact biasing circuit.</t>
  </si>
  <si>
    <t>1498-1500</t>
  </si>
  <si>
    <t>Switchable CPW-fed slot antenna for multifrequency operation</t>
  </si>
  <si>
    <t>10.1049/el:20011049</t>
  </si>
  <si>
    <t>2-s2.0-0035818860</t>
  </si>
  <si>
    <t>['transition moment', 'significant effect', 'rhodopin glucoside', 'protein complex', 'polyacrylamide gels', 'polarized absorption', 'pigments based', 'observed ld', 'molecular structure', 'long axis', 'linear dichroism', 'isotropic absorption', 'extended œä', 'crystal structure', 'axis angle', 'atomic resolution', '1 ¬∞']</t>
  </si>
  <si>
    <t>Linear dichroism (LD) of the carotenoid, rhodopin glucoside, and the 800 and 850 nm absorbing bacteriochlorophylls in the LH2 antenna complex from membranes of Rhodopseudomonas acidophila strain 10050 squeezed in polyacrylamide gels is reported. A model is presented for computing the ratio of the LD-to-isotropic absorption (LD/A) for the pigments based on the crystal structure of the LH2 complex solved by X-ray diffraction methods. Semiempirical molecular orbital (MO) calculations have refined the structure of the protein-bound rhodopin glucoside and show that the transition moment of the carotenoid is not collinear with the long axis of the molecule. Rather, it is 9.1¬∞ off axis from the extended œÄ-electron conjugated chain. This rotation of the transition moment vector away from the structural long axis emerges as a result of the single/double bond alternation naturally present in all polyenes and carotenoids and is not due to environmental perturbations induced by binding of the molecule to the pigment-protein complex. Calculations of the intensity of polarized absorption for the rhodopin glucoside molecule predict a significant effect of the magnitude of the off-axis angle on the value of the observed LD/A. This paper employs semiempirical MO calculations and seeks to correlate the experimentally observed LD, which gives the orientation of the transition moment of the rhodopin glucoside in the membranes, with the X-ray diffraction results, which reveals the molecular structure of the carotenoid to atomic resolution.</t>
  </si>
  <si>
    <t>12134-12142</t>
  </si>
  <si>
    <t>60022659;60022659;60001490;60022659;60022659</t>
  </si>
  <si>
    <t>40861100900;57198888960;7006465617;7006304073;7201842354</t>
  </si>
  <si>
    <t>Dolan, Pamela M.;Miller, Deborah;Cogdell, Richard J.;Birge, Robert R.;Frank, Harry A.</t>
  </si>
  <si>
    <t>Storrs;Glasgow</t>
  </si>
  <si>
    <t>University of Connecticut;University of Glasgow</t>
  </si>
  <si>
    <t>60022659;60001490</t>
  </si>
  <si>
    <t>Dolan P.M.</t>
  </si>
  <si>
    <t>Linear dichroism and the transition dipole moment orientation of the carotenoid in the LH2 antenna complex in membranes of Rhodopseudomonas acidophila strain 10050</t>
  </si>
  <si>
    <t>10.1021/jp010271b</t>
  </si>
  <si>
    <t>2-s2.0-0035819196</t>
  </si>
  <si>
    <t>['total time', 'sorbent conditioning', 'solvent required', 'six sulfonamides', 'simultaneous determination', 'rights reserved', 'present mspd', 'phase dispersion', 'ph 3', 'one step', 'one sample', 'mspd sorbent', 'mobile phase', 'hplc determination', 'average recoveries', '6 %.', '5 h', '12 ml']</t>
  </si>
  <si>
    <t>Extraction methods | Food analysis | Matrix solid-phase dispersion | Sulfonamides</t>
  </si>
  <si>
    <t>Simultaneous determination of the six sulfonamides (SAs) sulfadiazine, sulfadimidine, sulfamonomethoxine, sulfamethoxazole, sulfadimethoxine and sulfaquinoxaline in chicken using matrix solid-phase dispersion (MSPD) with neutral aluminium oxide as an MSPD sorbent and high-performance liquid chromatography (HPLC) is presented. In the present MSPD, six SAs could be isolated by only one step, elution with a 70% (v/v) aqueous ethanol solution, without the sorbent conditioning and the sorbent-tissue matrix washing. For the HPLC determination, a LiChrospher 100 RP-8 and a mixture of 1% acetic acid solution (pH 3.0, in water)-acetonitrile-N,N-dimethylformamide (78:22:5, v/v/v) as the mobile phase with a photodiode array detector were used. Average recoveries were greater than 87.6% with relative standard deviations between 0.5 and 8.6%. The total time and amount of solvent required for the analysis of one sample were &lt;1.5 h and &lt;12 ml, respectively. ¬© 2001 Elsevier Science B.V. All rights reserved.</t>
  </si>
  <si>
    <t>60013722;60013722</t>
  </si>
  <si>
    <t>14064783300;56238349200</t>
  </si>
  <si>
    <t>Kishida, Kunihiro;Furusawa, Naoto</t>
  </si>
  <si>
    <t>Osaka City University</t>
  </si>
  <si>
    <t>Kishida K.</t>
  </si>
  <si>
    <t>Matrix solid-phase dispersion extraction and high-performance liquid chromatographic determination of residual sulfonamides in chicken</t>
  </si>
  <si>
    <t>S0021967301013073</t>
  </si>
  <si>
    <t>10.1016/S0021-9673(01)01307-3</t>
  </si>
  <si>
    <t>2-s2.0-0035824266</t>
  </si>
  <si>
    <t>['whereas within', 'two isoforms', 'species examined', 'revealed either', 'readily identified', 'photosystem ii', 'phase high', 'one form', 'minor light', 'line coupled', 'lhcb ).', 'isomeric forms', 'isoforms differed', 'isoforms correspondeded', 'important role', 'harvesting proteins', 'greatest number', 'environmental changes', 'dicot species', 'dicot lhcb1', 'chromatographic separation']</t>
  </si>
  <si>
    <t>The high selectivity offered by reversed-phase high-performance liquid chromatography on-line coupled to electrospray ionization mass spectrometry has been utilized to characterize the major and minor light-harvesting proteins of photosystem II (Lhcb). Isomeric forms of the proteins, revealed either on the basis of different hydrophobicity enabling their chromatographic separation or on the basis of different molecular masses identified within one single chromatographic peak, were readily identified in a number of monocot and dicot species. The presence of several Lhcb1 isoforms (preferably in dicots) can explain the tendency of dicot Lhcb1 to form trimeric aggregates. The Lhcb1 molecular masses ranged from 24,680 to 25,014 among different species, whereas within the same species, the isoforms differed by 14-280 mass units. All Lhcb1 proteins appear to be highly conserved among different species such that they belong to a single gene group that has several different gene family members. In all species examined, the number of isoforms correspondeded more or less to the genes cloned previously. Two isoforms of Lhcb3 were found in petunia and tomato. For Lhcb6, the most divergent of all light-harvesting proteins, the greatest number of isoforms was found in petunia, tobacco, tomato, and rice. Lhcb2, Lhcb4, and Lhcb5 were present in only one form. The isoforms are assumed to play an important role in the adaptation of plants to environmental changes.</t>
  </si>
  <si>
    <t>45755-45761</t>
  </si>
  <si>
    <t>60009999;100994927;100994927</t>
  </si>
  <si>
    <t>7203045415;6603831098;7004750167</t>
  </si>
  <si>
    <t>Huber, Christian G.;Timperio, Anna Maria;Zolla, Lello</t>
  </si>
  <si>
    <t>Austria;Italy</t>
  </si>
  <si>
    <t>Innsbruck;Viterbo</t>
  </si>
  <si>
    <t>Universit√§t Innsbruck;University of Tucia</t>
  </si>
  <si>
    <t>60009999;100994927</t>
  </si>
  <si>
    <t>Huber C.G.</t>
  </si>
  <si>
    <t>Isoforms of Photosystem II Antenna Proteins in Different Plant Species Revealed by Liquid Chromatography-Electrospray Ionization Mass Spectrometry</t>
  </si>
  <si>
    <t>10.1074/jbc.M106700200</t>
  </si>
  <si>
    <t>2-s2.0-0035824589</t>
  </si>
  <si>
    <t>['vlbi jet', 'two wavelengths', 'two images', 'surprising result', 'phased vla', 'jet appears', 'good agreement', 'free absorption', 'corresponding regions', 'cm image', 'appreciably different', '90 ¬∞', '6cm using', '2 cm']</t>
  </si>
  <si>
    <t>BL Lacertae objects: individual: 0735+178 | Galaxies: active | Galaxies: jets | Polarization | Radio continuum: galaxies | Techniques: interferometric</t>
  </si>
  <si>
    <t>VLBI total intensity and linear polarization images of the BL Lacertae object 0735+178 have been obtained at Œª = 6cm using the VLBA + phased VLA as a ground array together with the HALCA orbiting antenna, and at Œª = 2 cm about a month later using the VLBA. The most surprising result to come from a comparison of these two images, which have nearly equivalent resolution, is that the path of the jet appears to be appreciably different at the two wavelengths. We have interpreted this as evidence for free-free absorption to the east of the core, near a bend of about 90¬∞ in the 2-cm image where the emission is very weak in the 6-cm image. Overall, the polarization structures seen in corresponding regions at the two wavelengths are in good agreement. We find tentative evidence for enhanced rotation measures near two sharp bends in the VLBI jet.</t>
  </si>
  <si>
    <t>719-725</t>
  </si>
  <si>
    <t>60002493-60009114;60021557;60021557</t>
  </si>
  <si>
    <t>7006349660;7402094981;55385524500</t>
  </si>
  <si>
    <t>Gabuzda, D. C.;G√≥mez, J. L.;Agudo, I.</t>
  </si>
  <si>
    <t>Evidence for parsec-scale absorption from VSOP observations of the BL lacertae object 0735 +178</t>
  </si>
  <si>
    <t>10.1046/j.1365-8711.2001.04935.x</t>
  </si>
  <si>
    <t>2-s2.0-18044402689</t>
  </si>
  <si>
    <t>['vibronic contribution', 'vibrational transitions', 'two sets', 'two glasses', 'phonon line', 'linear electron', 'hole burning', 'fc factors', 'burning spectroscopy', 'b 2000', 'b 1999', 'accurate enough', 'account well', '5825 ).', '56 one', '5 smaller', '5 k', '2319 ),', '1600 cm']</t>
  </si>
  <si>
    <t>Pseudovibronic satellite hole-burning spectroscopy of bacteriochlorophyll a (BChl a) in two glasses at 5 K was used to determine the Franck-Condon (FC) factors for 56 one-quantum (0 ‚Üí 1) vibrational transitions that lie between 160 and 1600 cm-1. As in the case of Chl a (Pieper, J.; et al. J. Phys. Chem. B 1999, 103, 2319), the FC factors are small, ranging between 0.05 and 0.0007 (uncertainty ‚âà ¬±20%). The FC factors, together with the experimentally determined inhomogeneous site excitation distribution function for the zero-phonon line and linear electron-phonon coupling parameters, account well for the S0 ‚Üí Qy absorption spectra. Thus, the FC factors are accurate enough to be used in quantum mechanical calculations of excitation energy transfer rates in photosynthetic antenna complexes (with their intrinsic structural heterogeneity) exhibiting excitonic coupling that ranges between weak and strong. The BChl a FC factors determined by hole burning are compared with those obtained by fluorescence line narrowing spectroscopy (Wendling, M.; et al. J. Phys. Chem. B 2000, 104, 5825). The latter, which are about a factor of 5 smaller than those determined by hole burning, are too small to account for the vibronic contribution to the S0 ‚Üí Qy absorption spectrum. The discrepancy between the two sets of FC factors is discussed.</t>
  </si>
  <si>
    <t>12410-12417</t>
  </si>
  <si>
    <t>60008023;60008023;60008023</t>
  </si>
  <si>
    <t>6701853229;40861786900;7202142626</t>
  </si>
  <si>
    <t>Zazubovich, V.;Tibe, I.;Small, G. J.</t>
  </si>
  <si>
    <t>Zazubovich V.</t>
  </si>
  <si>
    <t>Bacteriochlorophyll a Franck-Condon factors for the S&lt;inf&gt;0&lt;/inf&gt; ‚Üí S&lt;inf&gt;1&lt;/inf&gt;(Q&lt;inf&gt;y&lt;/inf&gt;) transition</t>
  </si>
  <si>
    <t>10.1021/jp012804m</t>
  </si>
  <si>
    <t>2-s2.0-0035857211</t>
  </si>
  <si>
    <t>['width corresponded', 'transfer model', 'temperatures higher', 'spectral simulations', 'spectral shape', 'simulations incorporated', 'rc ).', 'rapid decrease', 'radical cations', 'potassium ferricyanide', 'parameters governing', 'oxidized light', 'molecules present', 'harvesting 1', 'glass transitions', 'epr signals', 'epr characteristics', 'b820 experiments', 'b820 complexes', 'b820 bchlas', 'antenna complexes', 'activated transport', '250 k']</t>
  </si>
  <si>
    <t>Variable temperature electron paramagnetic resonance (EPR) measurements were performed on B820 complexes oxidized with potassium ferricyanide. The EPR signals were assigned to radical cations of the bacteriochlorophyll a (BChla) molecules present in the B820 complexes. In the 80-250 K range, the spectral shape and width corresponded to that of monomeric BChla+. At temperatures higher than 250 K, the line width exhibited a rapid decrease. We attribute the EPR line narrowing to the activated transport of electrons between the B820 BChlas. The parameters governing the charge transport process were extracted from spectral simulations. The simulations incorporated an electron-transfer model that accounts for the effects of glass transitions in the medium. The results of the B820 experiments and simulations are discussed in relation to the EPR characteristics of oxidized light-harvesting 1 (LH1) antenna complexes and photosynthetic reaction centers (RC).</t>
  </si>
  <si>
    <t>12391-12398</t>
  </si>
  <si>
    <t>60031581;60029278</t>
  </si>
  <si>
    <t>6603262959;7401776675</t>
  </si>
  <si>
    <t>Srivatsan, Nagarajan;Norris, James R.</t>
  </si>
  <si>
    <t>Pasadena;Chicago</t>
  </si>
  <si>
    <t>California Institute of Technology;The University of Chicago</t>
  </si>
  <si>
    <t>Srivatsan N.</t>
  </si>
  <si>
    <t>Electron paramagnetic resonance study of oxidized B820 complexes</t>
  </si>
  <si>
    <t>10.1021/jp011676z</t>
  </si>
  <si>
    <t>2-s2.0-0035857219</t>
  </si>
  <si>
    <t>['self trapping', 'presented showing', 'photosynthetic bacteria', 'nuclear vibrations', 'low temperature', 'kind observed', 'experimental evidence', 'energy transfer', 'complex circumference', 'biological systems', '200 fs']</t>
  </si>
  <si>
    <t>Experimental evidence is presented showing that excitons in circular antenna complexes from photosynthetic bacteria are dynamically self trapped in about 200 fs by coupling to nuclear vibrations. The induced deformation covers ‚àº20% of the complex circumference at low temperature. This self trapping, the first of its kind observed in biological systems, results in a broad fluorescence spectrum and considerably improves energy resonance between heterogeneous antenna complexes. Exciton self trapping may thus be a part of nature's strategy, increasing the speed and efficiency of energy transfer in photosynthesis.</t>
  </si>
  <si>
    <t>12223-12225</t>
  </si>
  <si>
    <t>60068856-60003892;60003892;60003892;60068856-60003892</t>
  </si>
  <si>
    <t>6701855945;6507932946;7006774990;7005109792</t>
  </si>
  <si>
    <t>Timpmann, K√µu;Katiliene, Zivile;Woodbury, Neal W.;Freiberg, Arvi</t>
  </si>
  <si>
    <t>Estonia;United States</t>
  </si>
  <si>
    <t>Tartu;Tempe</t>
  </si>
  <si>
    <t>Tartu √úlikool;Arizona State University</t>
  </si>
  <si>
    <t>60068856;60003892</t>
  </si>
  <si>
    <t>Exciton self trapping in one-dimensional photosynthetic antennas</t>
  </si>
  <si>
    <t>10.1021/jp011147v</t>
  </si>
  <si>
    <t>2-s2.0-0035857224</t>
  </si>
  <si>
    <t>['xanthophyll molecule', 'whole pigment', 'thus preventing', 'site l1', 'similar efficiency', 'shared property', 'radiative dissipation', 'protein structure', 'protein stability', 'protein complex', 'potential formation', 'photosystem ii', 'neighbour chlorophylls', 'mutation analysis', 'lutein bound', 'including photoprotection', 'harvesting complexes', 'harmful chlorophyll', 'excitation energy', 'exchanging xanthophylls', 'excess energy', 'essential functions', 'domains l2', 'different functions', 'chlorophylls a1', 'chlorophyll triplets', 'catalysed mainly', 'allosteric modification']</t>
  </si>
  <si>
    <t>Chlorophylls | Membrane proteins | Photoprotection | Photosynthesis | Xanthophylls</t>
  </si>
  <si>
    <t>Light-harvesting complexes (Lhc) catalyse sunlight harvesting for photosynthesis as well as other essential functions, including photoprotection by quenching of harmful chlorophyll triplet states and prevention of photoinhibition by dissipation of excitation energy in excess. In addition, folding of Lhc proteins depends on the availability of both xanthophylls and carotenoids, thus preventing the potential formation of harmful chlorophyll-protein complexes lacking photoprotectors. We have used the mutation analysis in order to study the association of the different functions to three protein domains, each composed of a xanthophyll molecule and of neighbour chlorophylls a and b, within the major antenna complex of photosystem II, i.e. LHCII. We have found that the xanthophyll to chlorophyll energy transfer is a shared property of the whole pigment-protein complex, and occurs with similar efficiency in each of the three structural domains. Photoprotection by quenching of chlorophyll triplets is catalysed mainly by lutein bound to site L1, and occurs via energy transfer from chlorophylls A1 and B1. This domain is essential for pigment-induced protein folding. The domains L2 and N1 weakly influence either the protein stability or the photoprotection; however, replacement of xanthophyll species bound to these structural domains modulates the fluorescence quantum yield of LHCII, and suggests that non-radiative dissipation of excess energy can be regulated through allosteric modification of the protein structure by exchanging xanthophylls in these sites. ¬© 2001 Academic Press.</t>
  </si>
  <si>
    <t>1157-1166</t>
  </si>
  <si>
    <t>60032256;60032256;60032256</t>
  </si>
  <si>
    <t>23469275600;6701591424;35553979700</t>
  </si>
  <si>
    <t>Formaggio, Elena;Cinque, Gianfelice;Bassi, Roberto</t>
  </si>
  <si>
    <t>Verona</t>
  </si>
  <si>
    <t>Universit√† degli Studi di Verona</t>
  </si>
  <si>
    <t>Formaggio E.</t>
  </si>
  <si>
    <t>Functional architecture of the major light-harvesting complex from higher plants</t>
  </si>
  <si>
    <t>S0022283600951799</t>
  </si>
  <si>
    <t>10.1006/jmbi.2000.5179</t>
  </si>
  <si>
    <t>2-s2.0-0035861976</t>
  </si>
  <si>
    <t>['‚ âà60', '¬© 2001', 'spatial distribution', 'sensitivity window', 'order l', 'multipole moments', 'lisa ).', 'galactic sources', 'data sets', 'cross correlation', 'background corresponding', 'also show', '3 yr']</t>
  </si>
  <si>
    <t>A plethora of gravitational wave stochastic backgrounds populate the sensitivity window of the Laser Interferometer Space Antenna (LISA). We show that LISA can detect the anisotropy of the background corresponding to the multipole moments of order l = 2 and 4. The signal-to-noise ratio generated by galactic white dwarf binary systems could be as high as ‚âà60 for 3 yr of integration, and LISA could provide valuable information on the spatial distribution of a variety of galactic sources. We also show that the cross correlation of the data sets from two interferometers could marginally lead to meaningful upper limits on the degree of isotropy of the primordial gravitational wave background. ¬©2001 The American Physical Society.</t>
  </si>
  <si>
    <t>60025475;60019702</t>
  </si>
  <si>
    <t>Portsmouth;Birmingham</t>
  </si>
  <si>
    <t>University of Portsmouth;University of Birmingham</t>
  </si>
  <si>
    <t>Studying the anisotropy of the gravitational wave stochastic background with LISA</t>
  </si>
  <si>
    <t>10.1103/PhysRevD.64.121501</t>
  </si>
  <si>
    <t>2-s2.0-0035893888</t>
  </si>
  <si>
    <t>['two angles', 'simple model', 'signals transmitted', 'respective antenna', 'model idealizes', 'gps receiver']</t>
  </si>
  <si>
    <t>We present a simple model of the signals transmitted by global positioning system (GPS) satellites and of the reception of these signals by a GPS receiver, neglecting atmospheric effects. The model idealizes the receiver and transmitter as electric dipole antennas. We derive the open-circuit voltage induced in the antenna of the receiver as a function of time, position, velocity, and orientation of the respective antenna. As an application of this model, we show that by using a single dipole antenna, a user of the GPS can compute his position, time, and two angles of attitude, by tracking the phases of the open-circuit antenna voltages for six GPS satellites.</t>
  </si>
  <si>
    <t>6513-6525</t>
  </si>
  <si>
    <t>60033252;60033252</t>
  </si>
  <si>
    <t>7003899351;6506269061</t>
  </si>
  <si>
    <t>Krall, Alfred H.;Bahder, Thomas B.</t>
  </si>
  <si>
    <t>Adelphi</t>
  </si>
  <si>
    <t>U.S. Army Research Laboratory</t>
  </si>
  <si>
    <t>Krall A.H.</t>
  </si>
  <si>
    <t>Orientation and velocity effects in the global positioning system</t>
  </si>
  <si>
    <t>10.1063/1.1417993</t>
  </si>
  <si>
    <t>2-s2.0-0035894113</t>
  </si>
  <si>
    <t>P01-NS28495</t>
  </si>
  <si>
    <t>['synthase inhibitor', 'subtle effect', 'scavenger early', 'produce cgmp', 'possible involvement', 'phenotype similar', 'normal range', 'nitric oxide', 'lobe morphogenesis', 'limit arborization', 'immunoreactive neuron', 'grow beyond', 'effect may', 'development results', 'blocks adp', 'adult antennal']</t>
  </si>
  <si>
    <t>Development | Glia | Glomerulus. | Manduca sexta | Nitric oxide | Olfaction | Olfactory receptor</t>
  </si>
  <si>
    <t>Nitric oxide synthase recently has been shown to be present in olfactory receptor cells throughout development of the adult antennal (olfactory) lobe of the brain of the moth Manduca sexta. Here, we investigate the possible involvement of nitric oxide (NO) in antennal-lobe morphogenesis. Inhibition of NO signaling with a NO synthase inhibitor or a NO scavenger early in development results in abnormal antennal lobes in which neuropil-associated glia fail to migrate. A more subtle effect is seen in the arborization of dendrites of a serotonin-immunoreactive neuron, which grow beyond their normal range. The effects of NO signaling in these types of cells do not appear to be mediated by activation of soluble guanylyl cyclase to produce cGMP, as these cells do not exhibit cGMP immunoreactivity following NO stimulation and are not affected by infusion of a soluble guanylyl cyclase inhibitor. Treatment with Novobiocin, which blocks ADP-ribosylation of proteins, results in a phenotype similar to those seen with blockade of NO signaling. Thus, axons of olfactory receptor cells appear to trigger glial cell migration and limit arborization of serotonin-immunoreactive neurons via NO signaling. The NO effect may be mediated in part by ADP-ribosylation of target cell proteins. ¬© 2001 Elsevier Science.</t>
  </si>
  <si>
    <t>326-339</t>
  </si>
  <si>
    <t>60023324;60023324;60023324;60023324;60023324;60023324</t>
  </si>
  <si>
    <t>7102604324;7004584294;8159756400;7004335896;7102653635;7102144017</t>
  </si>
  <si>
    <t>Gibson, Nicholas J.;R√∂ssler, Wolfgang;Nighorn, Alan J.;Oland, Lynne A.;Hildebrand, John G.;Tolbert, Leslie P.</t>
  </si>
  <si>
    <t>Gibson N.</t>
  </si>
  <si>
    <t>Neuron-glia communication via nitric oxide is essential in establishing antennal-lobe structure in Manduca sexta</t>
  </si>
  <si>
    <t>S0012160601904634</t>
  </si>
  <si>
    <t>10.1006/dbio.2001.0463</t>
  </si>
  <si>
    <t>2-s2.0-0035894530</t>
  </si>
  <si>
    <t>['stronger activation', 'significant activation', 'related changes', 'optophysiological recordings', 'mushroom bodies', 'insect brain', 'enhanced activation', 'e .,', 'differential conditioning', 'bee brain', 'antennal lobes', 'animal leads']</t>
  </si>
  <si>
    <t>Combining differential conditioning with optophysiological recordings of bee brain activity allows the investigation of learning-related changes in complex neural systems. In this study we focused on the mushroom bodies of the bee brain. Presenting different odors to the animal leads to significant activation of the mushroom body lips. After differential conditioning, the rewarded odor leads to stronger activation than it did before training. Activation by the unrewarded odor remains unchanged. These results resemble findings in the bee's antennal lobes, which are the first olfactory relay station in the insect brain. As an integrative neural network, enhanced activation of the mushroom body lip may carry additional information, i.e., for processing odor concentrations.</t>
  </si>
  <si>
    <t>472-476</t>
  </si>
  <si>
    <t>101529230;60030718</t>
  </si>
  <si>
    <t>7006765701;7102000725</t>
  </si>
  <si>
    <t>Faber, Till;Menzel, Randolf</t>
  </si>
  <si>
    <t>Berlin;</t>
  </si>
  <si>
    <t>Freie Universit√§t Berlin;Bol.de GmbH</t>
  </si>
  <si>
    <t>60030718;101529230</t>
  </si>
  <si>
    <t>Faber T.</t>
  </si>
  <si>
    <t>Visualizing mushroom body response to a conditioned odor in honeybees</t>
  </si>
  <si>
    <t>10.1007/s001140100263</t>
  </si>
  <si>
    <t>2-s2.0-0035195437</t>
  </si>
  <si>
    <t>['total masses', 'resulting method', 'periastron advance', 'new method', 'lisa ).', 'gravitational waves', 'gravitational wave', 'frequency space']</t>
  </si>
  <si>
    <t>A new method to determine the total masses of low frequency eccentric binaries from their gravitational waves was developed. The effects of periastron advance on the frequency space of the gravitational wave were used. The resulting method is effective for Galactic neutron star binaries (NBs) with a long term operation of Laser Interferometer Space Antenna (LISA).</t>
  </si>
  <si>
    <t>Seto, Naoki</t>
  </si>
  <si>
    <t>Proposal for determining the total masses of eccentric binaries using signature of periastron advance in gravitational waves</t>
  </si>
  <si>
    <t>2-s2.0-0035905453</t>
  </si>
  <si>
    <t>['visible region', 'upon encapsulation', 'periphery functionalized', 'infrared emission', 'harvesting dendrimer', 'dansyl groups']</t>
  </si>
  <si>
    <t>Dendrimers | Energy transfer | Fluorescence near-infrared emission | Neodymium</t>
  </si>
  <si>
    <t>An interior of 18 amide groups and a periphery functionalized with 24 dansyl groups forms a light-harvesting dendrimer which features intense absorption bands in the near-UV spectral region and a strong fluorescence band in the visible region. Upon encapsulation of Nd3+ ions, the fluorescence of the dansyl groups is quenched and an intense sensitized near-infrared emission of Nd3+ is observed. The associated energy transfer is shown in the cartoon.</t>
  </si>
  <si>
    <t>769-773</t>
  </si>
  <si>
    <t>ChemPhysChem</t>
  </si>
  <si>
    <t>60007493;60007493;60028218;60028218;60028218;60028218</t>
  </si>
  <si>
    <t>7006359561;6603921042;6603357459;57196323357;7005679464;7005686105</t>
  </si>
  <si>
    <t>V√∂gtle, Fritz;Gorka, Marius;Vicinelli, Veronica;Ceroni, Paola;Maestri, Mauro;Balzani, Vincenzo</t>
  </si>
  <si>
    <t>Italy;Germany</t>
  </si>
  <si>
    <t>Bologna;Bonn</t>
  </si>
  <si>
    <t>Alma Mater Studiorum Universit√† di Bologna;Universit√§t Bonn</t>
  </si>
  <si>
    <t>60028218;60007493</t>
  </si>
  <si>
    <t>V√∂gtle F.</t>
  </si>
  <si>
    <t>A dendritic antenna for near-infrared emission of Nd&lt;sup&gt;3+&lt;/sup&gt; ions</t>
  </si>
  <si>
    <t>10.1002/1439-7641(20011217)2:12&lt;769::AID-CPHC769&gt;3.0.CO;2-6</t>
  </si>
  <si>
    <t>2-s2.0-0035905625</t>
  </si>
  <si>
    <t>['transfer reactions', 'three residues', 'subunit iii', 'shuttle protons', 'reversible dynamics', 'pyranine protonation', 'pulse technique', 'protein act', 'numerical integration', 'nearby histidines', 'native cys', 'molecular modeling', 'induced proton', 'hydroxyl moiety', 'hydrogen bond', 'different configurations', 'cytochrome oxidase', 'covalent bond', 'collecting antenna', 'bulk phase', 'bound fluorescein', 'binding sites', 'binding domain', 'base equilibration', '50 ).']</t>
  </si>
  <si>
    <t>Proton-transfer reactions on the surface of bovine heart cytochrome c oxidase were investigated by combining a laser-induced proton-pulse technique with molecular modeling. The experimental approach simultaneously monitors the state of pyranine protonation in the bulk phase and that of a fluorescein indicator specifically attached to the native Cys(III-115) residue of subunit III of cytochrome oxidase. The reversible dynamics of the acid-base equilibration between the surface and the bulk phase were measured with submicrosecond time resolution and analyzed by numerical integration of coupled nonlinear differential rate equations. Kinetic analysis shows that carboxylates on the surface of the protein act as a proton-collecting antenna, which is able to rapidly transfer protons to nearby histidines that function as a local proton reservoir. These properties enable cytochrome oxidase to carry out its redox-linked proton translocation. Molecular modeling of the fluorescein-binding site indicates that, in addition to the covalent bond, the dye is anchored through a hydrogen bond to the hydroxyl moiety of Tyr(VII-50). The protonation of the dye is mediated through three residues that shuttle protons between the bulk and the dye. A correlation between the measured kinetic properties of the bound fluorescein and the different configurations of the dye allows us to predict the identity of the proton-binding sites in the fluorescein-binding domain.</t>
  </si>
  <si>
    <t>15086-15097</t>
  </si>
  <si>
    <t>60072443;60024941;60072443;60072443</t>
  </si>
  <si>
    <t>6602317092;7004340093;7003762509;35592126200</t>
  </si>
  <si>
    <t>Marantz, Y.;Einarsd√≥ttir, O.;Nachliel, E.;Gutman, M.</t>
  </si>
  <si>
    <t>Tel Aviv-Yafo;Santa Cruz</t>
  </si>
  <si>
    <t>The George S. Wise Faculty of Life Sciences;University of California, Santa Cruz</t>
  </si>
  <si>
    <t>60072443;60024941</t>
  </si>
  <si>
    <t>Marantz Y.</t>
  </si>
  <si>
    <t>Proton-collecting properties of bovine heart cytochrome c oxidase: Kinetic and electrostatic analysis</t>
  </si>
  <si>
    <t>10.1021/bi010453w</t>
  </si>
  <si>
    <t>2-s2.0-0035909798</t>
  </si>
  <si>
    <t>['vibrational relaxation', 'time scales', 'time evolution', 'studied using', 'strongly dependent', 'state created', 'real space', 'quantitative fit', 'protein complex', 'pitment interactions', 'physical origins', 'numerical fit', 'nuclear motion', 'lh2 ),', 'lh1 antennae', 'harvesting complex', 'extremely critical', 'excitonic pigment', 'excitation wavelength', 'etc .).', 'energetic disorder', 'elliptical deformations', 'disordered ring', 'disorder parameters', 'dependence turns', 'correlated disorder', 'combined action', 'amazing efficiency']</t>
  </si>
  <si>
    <t>Photosynthetic light harvesting is a unique life process that occurs with amazing efficiency. Since the discovery of the structure of the bacterial peripheral light-harvesting complex (LH2), this process has been studied using a variety of advanced laser spectroscopic methods. We are now in a position to discuss the physical origins of excitation energy transfer and trapping in the LH2 and LH1 antennae of photosynthetic purple bacteria. We demonstrate that the time evolution of the state created by the light is determined by the combined action of excitonic pigment-pitment interactions, energetic disorder, and coupling to nuclear motion in a pigment-protein complex. A quantitative fit of experimental data using Redfield theory allowed us to determine the pathways and time scales of exciton and vibrational relaxation and analyze separately different contributions to the measured transient absorption dynamics. Furthermore, these dynamics were observed to be strongly dependent on the excitation wavelength. A numerical fit of this dependence turns out to be extremely critical to a variation of the structure and disorder parameters and, therefore, can be used as a test for different antenna models (disordered ring, elliptical deformations, correlated disorder, etc.). The calculated equilibration dynamics in the exciton basis allow a visualization of the exciton motion using a density matrix picture in real space.</t>
  </si>
  <si>
    <t>15057-15068</t>
  </si>
  <si>
    <t>60008734;60007457</t>
  </si>
  <si>
    <t>35599806700;7004238663</t>
  </si>
  <si>
    <t>Van Grondelle, R.;Novoderezhkin, V.</t>
  </si>
  <si>
    <t>Netherlands;Russian Federation</t>
  </si>
  <si>
    <t>Amsterdam;Moscow</t>
  </si>
  <si>
    <t>Vrije Universiteit Amsterdam;Lomonosov Moscow State University</t>
  </si>
  <si>
    <t>Van Grondelle R.</t>
  </si>
  <si>
    <t>Dynamics of excitation energy transfer in the LH1 and LH2 light-harvesting complexes of photosynthetic bacteria</t>
  </si>
  <si>
    <t>10.1021/bi011398u</t>
  </si>
  <si>
    <t>2-s2.0-0035909829</t>
  </si>
  <si>
    <t>['transgenic expression', 'tetanus toxin', 'results argue', 'projection neurons', 'olfactory pathway', 'odor detection', 'mushroom bodies', 'mbs ).', 'male courtship', 'latter via', 'lateral protocerebrum', 'key elements', 'independent behaviors', 'fruit flies', 'direct pn', 'antennal lobes']</t>
  </si>
  <si>
    <t>We have studied the function of the major central olfactory pathway in fruit flies. Key elements of this pathway, the projection neurons (PNs), connect the antennal lobes with the lateral protocerebrum both directly and indirectly, the latter via the mushroom bodies (MBs). Transgenic expression of tetanus toxin in the majority of PNs and few MB neurons leads to defects in odor detection and male courtship. Considering behavioral data from flies lacking MBs, our results argue that the direct PN-to-lateral protocerebrum pathway is necessary and sufficient to process these experience-independent behaviors. Moreover, the involvement of an olfactory pathway in male courtship suggests a role of volatile attractive female pheromones in Drosophila.</t>
  </si>
  <si>
    <t>15336-15341</t>
  </si>
  <si>
    <t>60024631;60024631;60024631;60108337;60024631</t>
  </si>
  <si>
    <t>6602914525;6506588670;6603451742;7401738916;7103138484</t>
  </si>
  <si>
    <t>Heimbeck, Gertrud;Bugnon, V√©ronique;Gendre, Nana√´;Keller, Andreas;Stocker, Reinhard F.</t>
  </si>
  <si>
    <t>Germany;Switzerland</t>
  </si>
  <si>
    <t>Wurzburg;Fribourg</t>
  </si>
  <si>
    <t>Biozentrum der Universit√§t W√ºrzburg;University of Fribourg</t>
  </si>
  <si>
    <t>60108337;60024631</t>
  </si>
  <si>
    <t>Heimbeck G.</t>
  </si>
  <si>
    <t>A central neural circuit for experience-independent olfactory and courtship behavior in Drosophila melanogaster</t>
  </si>
  <si>
    <t>10.1073/pnas.011314898</t>
  </si>
  <si>
    <t>2-s2.0-0035909965</t>
  </si>
  <si>
    <t>['typical characteristics', 'thoroughly covers', 'square patch', 'simulated results', 'return loss', 'paper investigates', 'impedance behavior', 'impedance bandwidth', 'good agreement', 'frequency operation', 'fed antenna', 'antenna design', 'analyzed theoretically', '3g imt', '2200 mhz', '10 db']</t>
  </si>
  <si>
    <t>Broadband | Dual frequency | Handset | IMT-2000 | Microstrip antenna</t>
  </si>
  <si>
    <t>The 3G IMT-2000 is intended to be a global standard offering higher bit-rate service comparable to current wireline services. This paper investigates a novel internal square patch antenna for the application of the 3G IMT-2000 mobile handsets. By introducing a single shorting pin and a thin rectangular slot performed in a square patch of 34 mm √ó 34 mm, this probe-fed antenna will realize an impedance bandwidth (return loss &lt; -10 dB) of 25.6% with dual-frequency operation, which thoroughly covers the 3G IMT-2000 frequency spectra from 1885 to 2200 MHz. The antenna design and its typical characteristics, such as the impedance behavior and the far-field radiation patterns, are presented and analyzed theoretically and experimentally. The measured and simulated results are in good agreement.</t>
  </si>
  <si>
    <t>488-491</t>
  </si>
  <si>
    <t>57034292300;55540764000;7006035284</t>
  </si>
  <si>
    <t>Wang, Ya Jun;Lee, Ching Kwang;Karmakar, Nemai Chandra</t>
  </si>
  <si>
    <t>A novel microstrip patch antenna for 3G IMT-2000 mobile handsets</t>
  </si>
  <si>
    <t>10.1002/mop.10069</t>
  </si>
  <si>
    <t>2-s2.0-0035924127</t>
  </si>
  <si>
    <t>['series equations', 'quite large', 'previous studies', 'polarization case', 'incident field', 'hyperbolic profiles', 'field characteristics', 'conducting strip', 'canonical profile', 'analytical regularization', 'algorithm features']</t>
  </si>
  <si>
    <t>Conducting strip | Electromagnetics | Numerical methods | Wave scattering</t>
  </si>
  <si>
    <t>Two-dimensional (2-D) scattering of waves by a conducting strip with a canonical profile is simulated in the E-polarization case. This analysis is performed by reducing a singular integral equation (IE) to the dual-series equations, and making their analytical regularization. Furthermore, the incident field is taken as a complex source point (CSP) beam. This is an extension of our previous studies about circular and parabolic reflector antennas. The algorithm features are demonstrated. Far-field characteristics are presented for quite large-size curves strips of elliptic, parabolic, and hyperbolic profiles.</t>
  </si>
  <si>
    <t>480-484</t>
  </si>
  <si>
    <t>60014930;60068535-60030553;60014808</t>
  </si>
  <si>
    <t>6602613720;56962710300;7006317691</t>
  </si>
  <si>
    <t>O«ßuzer, Taner;Nosich, Alexander I.;Altinta, Ayhan</t>
  </si>
  <si>
    <t>Ukraine;France;Turkey;Turkey</t>
  </si>
  <si>
    <t>Kharkiv;Rennes;Izmir;Ankara</t>
  </si>
  <si>
    <t>O. Ya. Usikov Institute for Radiophysics and Electronics of the National Academy of Sciences of Ukraine;Universite de Rennes 1;Dokuz Eyl√ºl √úniversitesi;Bilkent √úniversitesi</t>
  </si>
  <si>
    <t>60068535;60030553;60014930;60014808</t>
  </si>
  <si>
    <t>E-polarized beam scattering by an open cylindrical PEC strip having an arbitrary "conical-section" profile</t>
  </si>
  <si>
    <t>10.1002/mop.10067</t>
  </si>
  <si>
    <t>2-s2.0-0035924163</t>
  </si>
  <si>
    <t>['thz emission', 'surface flashover', 'severe saturation', 'power terahertz', 'photoconductive switch', 'photoconductive gaps', 'photoconductive current', 'photoconductive antenna', 'generate high', 'focused intensity', 'field stress', 'f laser', 'experiment using', 'energy density', 'emitter surface', 'device consists', 'current problem', 'current large', 'chemical vapor', 'arrayed antenna', 'aperture antenna', '106 v', '105 v', '10 œºj']</t>
  </si>
  <si>
    <t>A photoconductive switch-arrayed antenna with a chemical vapor-deposited diamond film was developed to generate high-power terahertz (THz) radiation. With this device, an electric field stress of 2 √ó 106 V/cm can be applied to photoconductive gaps because of the high breakdown threshold of diamond and the overcoated gap structure for the prevention of surface flashover. This level of field stress can alleviate the current problem of saturation in THz emission by use of a photoconductive antenna. The device consists of more than two thousand 20 Œºm √ó 2.8 mm emitters. In an experiment using an ultrashort pulse Kr*F laser, we obtained an energy density of 10 ŒºJ/cm2 on the emitter surface at E = 105 V/cm. This density was larger than that of the current large-aperture antenna. There was no severe saturation in photoconductive current up to E = 106 V/cm, and a focused intensity of 200MW/cm2 can be expected. ¬© 2001 Optical Society of America.</t>
  </si>
  <si>
    <t>6733-6736</t>
  </si>
  <si>
    <t>60032315;60032315;60032315;60031293;60031293</t>
  </si>
  <si>
    <t>7005846943;36958130800;36067977600;7501428093;7402227241</t>
  </si>
  <si>
    <t>Yoneda, Hitoki;Tokuyama, Kazutatsu;Ueda, Kenichi;Yamamoto, Hironori;Baba, Kazuhiro</t>
  </si>
  <si>
    <t>Chofu;Tokyo</t>
  </si>
  <si>
    <t>The University of Electro-Communications;NEC Corporation</t>
  </si>
  <si>
    <t>60032315;60031293</t>
  </si>
  <si>
    <t>High-power terahertz radiation emitter with a diamond photoconductive switch array</t>
  </si>
  <si>
    <t>10.1364/AO.40.006733</t>
  </si>
  <si>
    <t>2-s2.0-0038488382</t>
  </si>
  <si>
    <t>['unit cell', 'type trimers', 'striking differences', 'spinach supercomplexes', 'particle projections', 'novel type', 'native membrane', 'lhcii supercomplexes', 'isolated psii', 'image analysis', 'harvesting antenna', 'data show', 'crystal analysis', 'c2s2m2 supercomplexes', 'bound crystals', 'associated light', 'also bind', '4000 single', '4 nm', '1133 ].']</t>
  </si>
  <si>
    <t>Arabidopsis thaliana | Electron microscopy | Light-harvesting | Photosystem II | Supercomplex</t>
  </si>
  <si>
    <t>The organization of Arabidopsis thaliana photosystem II (PSII) and its associated light-harvesting antenna (LHCII) was studied in isolated PSII-LHCII supercomplexes and native membrane-bound crystals by transmission electron microscopy and image analysis. Over 4000 single-particle projections of PSII-LHCII supercomplexes were analyzed. In comparison to spinach supercomplexes [Boekema, E.J., van Roon, H., van Breemen, J.F.L. &amp; Dekker, J.P. (1999) Eur. J. Biochem. 266, 444-452] some striking differences were revealed: a much larger number of supercomplexes from Arabidopsis contain copies of M-type LHCII trimers. M-type trimers can also bind in the absence of the more common S-type trimers. No binding of L-type trimers could be detected. Analysis of native membrane-bound PSII crystals revealed a novel type of crystal with a unit cell of 25.6 √ó 21.4 nm (angle 77¬∞), which is larger than any of the PSII lattices observed before. The data show that the unit cell is built up from C2S2M2 supercomplexes, rather than from C2S2M supercomplexes observed in native membrane crystals from spinach [Boekema, E.J., Van Breemen, J.F.L., Van Roon, H. &amp; Dekker, J.P. (2000) J. Mol. Biol. 301, 1123-1133]. It is concluded from both the single particle analysis and the crystal analysis that the M-type trimers bind more strongly to PSII core complexes in Arabidopsis than in spinach.</t>
  </si>
  <si>
    <t>6020-6028</t>
  </si>
  <si>
    <t>60085410;60007971;60085410;60008734;60007971;60085410;60008734</t>
  </si>
  <si>
    <t>6506427726;7402088684;6603806774;6602476032;55664625200;7007149974;7202457418</t>
  </si>
  <si>
    <t>Yakushevska, Alevtyna E.;Jensen, Poul E.;Keegstra, Wilko;Van Roon, Henny;Scheller, Henrik V.;Boekema, Egbert J.;Dekker, Jan P.</t>
  </si>
  <si>
    <t>Netherlands;Netherlands;Denmark</t>
  </si>
  <si>
    <t>Groningen;Amsterdam;Copenhagen</t>
  </si>
  <si>
    <t>University of Groningen, Groningen Biomolecular Sciences and Biotechnology Institute (GBB);Vrije Universiteit Amsterdam;University of Copenhagen, Faculty of Life Sciences</t>
  </si>
  <si>
    <t>60085410;60008734;60007971</t>
  </si>
  <si>
    <t>Yakushevska A.</t>
  </si>
  <si>
    <t>Supermolecular organization of photosystem II and its associated light-harvesting antenna in Arabidopsis thaliana</t>
  </si>
  <si>
    <t>10.1046/j.0014-2956.2001.02505.x</t>
  </si>
  <si>
    <t>2-s2.0-0035210531</t>
  </si>
  <si>
    <t>['¬© 2001', 'swimming speed', 'seldom considered', 'observation indicates', 'may affect', 'july 1998', 'important factor', 'green algae', 'fouling may', 'fouling increases', 'fisheries society', 'energy budget', 'december 1997', 'coastal waters', 'british isles', 'balanus sp']</t>
  </si>
  <si>
    <t>Atlantic salmon | Effect | Radio transmitter | Salmo salar</t>
  </si>
  <si>
    <t>An externally attached radio transmitter and antenna on a farmed Atlantic salmon Salmo salar was overgrown with green algae, mussels, seaweed and Balanus sp. after the fish had stayed at sea from December 1997-July 1998. This observation indicates that fouling may be an important factor, which is seldom considered when estimating negative effects from tags on the animals. Fouling increases the drag from the transmitter, and may affect the swimming speed, energy budget and behaviour of the fish. The effect is likely to be most pronounced in coastal waters. ¬© 2001 The Fisheries Society of the British Isles.</t>
  </si>
  <si>
    <t>1092-1094</t>
  </si>
  <si>
    <t>60020071;60020071;60020071</t>
  </si>
  <si>
    <t>6603683452;55918921700;24514206200</t>
  </si>
  <si>
    <t>Thorstad, E. B.;√òkland, F.;Heggberget, T. G.</t>
  </si>
  <si>
    <t>NO-7485 Trondheim</t>
  </si>
  <si>
    <t>Norwegian Institute for Nature Research</t>
  </si>
  <si>
    <t>Thorstad E.</t>
  </si>
  <si>
    <t>Are long term negative effects from external tags underestimated? Fouling of an externally attached telemetry transmitter</t>
  </si>
  <si>
    <t>10.1006/jfbi.2001.1688</t>
  </si>
  <si>
    <t>2-s2.0-0035209777</t>
  </si>
  <si>
    <t>['upper layer', 'two maxima', 'transcriptional regulation', 'transcript levels', 'tightly correlated', 'second peak', 'putative psba', 'photosynthetic genes', 'pcc 9511', 'pcba promoters', 'mrna level', 'monocistronic transcript', 'major light', 'light irradiance', 'identified within', 'high light', 'external antenna', 'equatorial oceans', 'encoding one', 'encoding d2', 'differential expression', 'diel expression', 'dicistronic transcript', 'degradation rates', 'dark period', 'continuous changes', 'conserved motif', 'conditions found', 'antenna size', 'antenna proteins']</t>
  </si>
  <si>
    <t>The continuous changes in incident solar light occurring during the day oblige oxyphototrophs, such as the marine prokaryote Prochlorococcus, to modulate the synthesis and degradation rates of their photosynthetic components finely. How this natural phenomenon influences the diel expression of photosynthetic genes has never been studied in this ecologically important oxyphotobacterium. Here, the high light-adapted strain Prochlorococcus sp. PCC 9511 was grown in large-volume continuous culture under a modulated 12 h-12 h light-dark cycle mimicking the conditions found in the upper layer of equatorial oceans. The pcbA gene encoding the major light-harvesting complex showed strong diel variations in transcript levels with two maxima, one before the onset of illumination and the other near the end of the photoperiod. In contrast, the mRNA level of psbA (encoding the reaction centre II subunit D1), the monocistronic transcript of psbD (encoding D2) and the dicistronic transcript of psbDC were all tightly correlated with light irradiance, with a minimum at night and a maximum at noon. The occurrence of a second peak during the dark period for the monocistronic transcript of psbC (encoding one of the PS II core Chl a antenna proteins) suggested the involvement of post-transcriptional regulation. Differential expression of the external antenna and core genes may constitute a mechanism of regulation of the antenna size to cope with the excess photon fluxes that Prochlorococcus cells experience in the upper layer of oceans around midday. The 5‚Ä≤ ends of all transcripts were mapped, and a conserved motif, 5‚Ä≤-TTGATGA-3‚Ä≤, was identified within the putative psbA and pcbA promoters.</t>
  </si>
  <si>
    <t>168-175</t>
  </si>
  <si>
    <t>Environmental Microbiology</t>
  </si>
  <si>
    <t>60008134;60008134;60000762;60000762;60012355;60008134;60000179;60000762</t>
  </si>
  <si>
    <t>6507928984;7003482684;57225293510;6508021313;56224593400;6701329845;7406566233;7202693732</t>
  </si>
  <si>
    <t>Garczarek, Laurence;Partensky, Fr√©d√©ric;Irlbacher, Horst;Holtzendorff, Julia;Babin, Marcel;Mary, Isabelle;Thomas, Jean Claude;Hess, Wolfgang R.</t>
  </si>
  <si>
    <t>France;France;Germany;France</t>
  </si>
  <si>
    <t>Villefranche-sur-Mer;Paris;Berlin;Paris</t>
  </si>
  <si>
    <t>Observatoire Oc√©anologique de Villefranche Sur Mer;CNRS Centre National de la Recherche Scientifique;Humboldt-Universit√§t zu Berlin;√âcole Normale Sup√©rieure</t>
  </si>
  <si>
    <t>60012355;60008134;60000762;60000179</t>
  </si>
  <si>
    <t>Differential expression of antenna and core genes in Prochlorococcus PCC 9511 (Oxyphotobacteria) grown under a modulated light-dark cycle</t>
  </si>
  <si>
    <t>10.1046/j.1462-2920.2001.00173.x</t>
  </si>
  <si>
    <t>2-s2.0-0035213891</t>
  </si>
  <si>
    <t>['various insects', 'usually localized', 'sensitive dye', 'rights reserved', 'results suggest', 'regions corresponding', 'oscillatory signals', 'oscillatory regions', 'odor processing', 'odor discrimination', 'investigated using', 'induced oscillations', 'functional units', 'first report', 'antennal lobe']</t>
  </si>
  <si>
    <t>Antennal lobe | Bee | Insect brain | Maximum entropy method | Odor-induced oscillation | Optical recording</t>
  </si>
  <si>
    <t>Odor-induced oscillatory signals have been reported in odor discrimination in various insects. To understand dynamic olfactory coding in the first order olfactory center, the antennal lobe, localization of oscillatory signals was investigated using an optical recording technique with a voltage-sensitive dye. We present here the first report of visualization of the spatial distribution pattern of odor-induced oscillations in the bumblebee antennal lobe. Analysis of the odor-induced optical responses by a maximum entropy method allowed visualization of oscillatory regions in the antennal lobe. The oscillatory signals were usually localized to regions corresponding to a single or several glomerular structures. Our results suggest that glomerular structures may be functional units of odor processing from the viewpoint of odor-induced population responses, the oscillations. ¬© 2001 Elsevier Science Ireland Ltd. All rights reserved.</t>
  </si>
  <si>
    <t>Neuroscience Letters</t>
  </si>
  <si>
    <t>60014256;60014256</t>
  </si>
  <si>
    <t>7404191599;18133980000</t>
  </si>
  <si>
    <t>Okada, Koutaroh;Kanzaki, Ryohei</t>
  </si>
  <si>
    <t>Okada K.</t>
  </si>
  <si>
    <t>Localization of odor-induced oscillations in the bumblebee antennal lobe</t>
  </si>
  <si>
    <t>S0304394001023850</t>
  </si>
  <si>
    <t>10.1016/S0304-3940(01)02385-0</t>
  </si>
  <si>
    <t>2-s2.0-0035966137</t>
  </si>
  <si>
    <t>['tov provinces', 'symplecta tripilata', 'symplecta rotundiloba', 'similar species', 'phylidorea temelskin', 'phylidorea nigronotata', 'habitat information', 'female genitalia']</t>
  </si>
  <si>
    <t>Cheilotrichia (Empeda) tenuifurca | Dicranomyia (Idiopga) sineloba | Dicranomyia (Melanolimonia) monkhtuyae | Gonomyia (Gonomyia) curvispina | Limnophila (Limnophila) chinggiskhani | Phylidorea (Macrolabina) temelskin | Symplecta (Symplecta) rotundiloba</t>
  </si>
  <si>
    <t>Seven new species of Limoniidae are described from Mongolia: Cheilotrichia (Empeda) tenuifurca (Hovsgol Province), Dicranomyia (Idiopyga) sineloba (Dornad Province), Dicranomyia (Melanolimonia) monkhtuyae (Hovsgol Province), Gonomyia (Gonomyia) curvispina (Bulgan Province), Limnophila (Limnophila) chinggiskhani (Hovsgol and Tov Provinces), Phylidorea (Macrolabina) temelskin (Hosvgol and Tov Provinces) and Symplecta (Symplecta) rotundiloba (Hovsgol Province). Descriptions and illustrations of the distinguishing morphological features, including wing venation, genitalia and antenna, are provided, with a discussion on distinguishing each of these newly described species from other similar species. Illustrations of the holotype of Symplecta tripilata (Alexander) (Kashmir) are presented for comparison with Symplecta rotundiloba. Illustrations of the male and female genitalia of Phylidorea nigronotata (Siebke) are presented for comparison with Phylidorea temelskin. Habitat information for each species is presented.</t>
  </si>
  <si>
    <t>41-59</t>
  </si>
  <si>
    <t>Proceedings of the Academy of Natural Sciences of Philadelphia</t>
  </si>
  <si>
    <t>60059987-101385380;60010079</t>
  </si>
  <si>
    <t>56033672900;6602756354</t>
  </si>
  <si>
    <t>Podenas, Sigitas;Gelhaus, Jon</t>
  </si>
  <si>
    <t>Lithuania;United States;United States</t>
  </si>
  <si>
    <t>Vilnius;Philadelphia;Philadelphia</t>
  </si>
  <si>
    <t>Vilniaus Universitetas;Academy of Natural Sciences Philadelphia;Academy of Natural Sciences of Philadelphia</t>
  </si>
  <si>
    <t>60059987;60010079;101385380</t>
  </si>
  <si>
    <t>Podenas S.</t>
  </si>
  <si>
    <t>New species of short-palped crane flies (Diptera: Limoniidae) from Mongolia</t>
  </si>
  <si>
    <t>10.1635/0097-3157(2001)151[0041:NSOSPC]2.0.CO;2</t>
  </si>
  <si>
    <t>2-s2.0-33748196045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</si>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</sst>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07337-AC1B-2643-BDE6-02BE4769A8DC}">
  <dimension ref="A1:AW812"/>
  <sheetViews>
    <sheetView tabSelected="1" topLeftCell="AC1" workbookViewId="0">
      <selection activeCell="AN2" sqref="AN2"/>
    </sheetView>
  </sheetViews>
  <sheetFormatPr baseColWidth="10" defaultRowHeight="16" x14ac:dyDescent="0.2"/>
  <sheetData>
    <row r="1" spans="1:49" s="21" customFormat="1" x14ac:dyDescent="0.2">
      <c r="A1" s="13"/>
      <c r="B1" s="13" t="s">
        <v>10664</v>
      </c>
      <c r="C1" s="13" t="s">
        <v>10665</v>
      </c>
      <c r="D1" s="13" t="s">
        <v>10666</v>
      </c>
      <c r="E1" s="13" t="s">
        <v>10667</v>
      </c>
      <c r="F1" s="13" t="s">
        <v>10668</v>
      </c>
      <c r="G1" s="13" t="s">
        <v>10669</v>
      </c>
      <c r="H1" s="13" t="s">
        <v>10670</v>
      </c>
      <c r="I1" s="13" t="s">
        <v>10671</v>
      </c>
      <c r="J1" s="13" t="s">
        <v>10672</v>
      </c>
      <c r="K1" s="13" t="s">
        <v>10673</v>
      </c>
      <c r="L1" s="13" t="s">
        <v>10674</v>
      </c>
      <c r="M1" s="13" t="s">
        <v>10675</v>
      </c>
      <c r="N1" s="13" t="s">
        <v>10676</v>
      </c>
      <c r="O1" s="13" t="s">
        <v>10677</v>
      </c>
      <c r="P1" s="13" t="s">
        <v>10678</v>
      </c>
      <c r="Q1" s="13" t="s">
        <v>10679</v>
      </c>
      <c r="R1" s="14" t="s">
        <v>10680</v>
      </c>
      <c r="S1" s="13" t="s">
        <v>10681</v>
      </c>
      <c r="T1" s="13" t="s">
        <v>10681</v>
      </c>
      <c r="U1" s="13" t="s">
        <v>10682</v>
      </c>
      <c r="V1" s="14" t="s">
        <v>10683</v>
      </c>
      <c r="W1" s="13" t="s">
        <v>10684</v>
      </c>
      <c r="X1" s="15" t="s">
        <v>10685</v>
      </c>
      <c r="Y1" s="16" t="s">
        <v>10686</v>
      </c>
      <c r="Z1" s="17" t="s">
        <v>10687</v>
      </c>
      <c r="AA1" s="13" t="s">
        <v>10688</v>
      </c>
      <c r="AB1" s="13" t="s">
        <v>10689</v>
      </c>
      <c r="AC1" s="13" t="s">
        <v>10690</v>
      </c>
      <c r="AD1" s="13" t="s">
        <v>10691</v>
      </c>
      <c r="AE1" s="13" t="s">
        <v>10692</v>
      </c>
      <c r="AF1" s="13" t="s">
        <v>10693</v>
      </c>
      <c r="AG1" s="13" t="s">
        <v>10694</v>
      </c>
      <c r="AH1" s="13" t="s">
        <v>10695</v>
      </c>
      <c r="AI1" s="13" t="s">
        <v>10696</v>
      </c>
      <c r="AJ1" s="13" t="s">
        <v>10697</v>
      </c>
      <c r="AK1" s="15" t="s">
        <v>10698</v>
      </c>
      <c r="AL1" s="13" t="s">
        <v>10699</v>
      </c>
      <c r="AM1" s="18" t="s">
        <v>10700</v>
      </c>
      <c r="AN1" s="19" t="s">
        <v>10701</v>
      </c>
      <c r="AO1" s="19" t="s">
        <v>10687</v>
      </c>
      <c r="AP1" s="13" t="s">
        <v>10702</v>
      </c>
      <c r="AQ1" s="13" t="s">
        <v>10703</v>
      </c>
      <c r="AR1" s="13" t="s">
        <v>10704</v>
      </c>
      <c r="AS1" s="13" t="s">
        <v>10705</v>
      </c>
      <c r="AT1" s="15" t="s">
        <v>10706</v>
      </c>
      <c r="AU1" s="20" t="s">
        <v>10707</v>
      </c>
      <c r="AV1" s="20" t="s">
        <v>10708</v>
      </c>
      <c r="AW1" s="20" t="s">
        <v>10709</v>
      </c>
    </row>
    <row r="2" spans="1:49" x14ac:dyDescent="0.2">
      <c r="A2">
        <v>0</v>
      </c>
      <c r="B2" t="s">
        <v>10663</v>
      </c>
      <c r="C2" t="s">
        <v>10662</v>
      </c>
      <c r="F2" t="s">
        <v>10661</v>
      </c>
      <c r="G2" t="s">
        <v>6</v>
      </c>
      <c r="H2" t="s">
        <v>5</v>
      </c>
      <c r="I2" t="s">
        <v>10660</v>
      </c>
      <c r="J2" t="s">
        <v>10659</v>
      </c>
      <c r="K2" t="s">
        <v>10658</v>
      </c>
      <c r="L2" t="s">
        <v>10657</v>
      </c>
      <c r="M2" t="s">
        <v>10656</v>
      </c>
      <c r="N2">
        <v>2</v>
      </c>
      <c r="O2" t="s">
        <v>10655</v>
      </c>
      <c r="P2" t="s">
        <v>10654</v>
      </c>
      <c r="Q2" t="s">
        <v>10653</v>
      </c>
      <c r="R2" s="7">
        <v>37256</v>
      </c>
      <c r="S2" s="8">
        <f t="shared" ref="S2:S65" si="0">YEAR(R2)</f>
        <v>2001</v>
      </c>
      <c r="T2" s="8">
        <v>2001</v>
      </c>
      <c r="U2" s="8">
        <f t="shared" ref="U2:U65" si="1">2022-T2</f>
        <v>21</v>
      </c>
      <c r="V2" s="7">
        <v>37256</v>
      </c>
      <c r="W2" t="s">
        <v>10652</v>
      </c>
      <c r="X2" s="2">
        <v>0.35899999999999999</v>
      </c>
      <c r="Y2" s="6">
        <f>(X2-$Z$3)/($Z$2-$Z$3)</f>
        <v>9.5832999652972432E-3</v>
      </c>
      <c r="Z2">
        <v>37.460999999999999</v>
      </c>
      <c r="AA2">
        <v>973157</v>
      </c>
      <c r="AB2">
        <v>18721</v>
      </c>
      <c r="AD2" t="s">
        <v>1</v>
      </c>
      <c r="AE2">
        <v>151</v>
      </c>
      <c r="AH2" t="s">
        <v>10651</v>
      </c>
      <c r="AI2" t="s">
        <v>10650</v>
      </c>
      <c r="AJ2" t="s">
        <v>10649</v>
      </c>
      <c r="AK2" t="s">
        <v>10648</v>
      </c>
      <c r="AL2">
        <v>10</v>
      </c>
      <c r="AM2" s="5">
        <f t="shared" ref="AM2:AM65" si="2">AL2/U2</f>
        <v>0.47619047619047616</v>
      </c>
      <c r="AN2" s="4">
        <f>(AM2-$AO$3)/($AO$2-$AO$3)</f>
        <v>7.2122752925479164E-4</v>
      </c>
      <c r="AO2" s="3">
        <v>660.25</v>
      </c>
      <c r="AP2">
        <v>0</v>
      </c>
      <c r="AR2" t="s">
        <v>0</v>
      </c>
      <c r="AT2" s="2" t="s">
        <v>7</v>
      </c>
      <c r="AU2" s="1">
        <f t="shared" ref="AU2:AU65" si="3">(Y2*0.7+AN2*0.3)*100</f>
        <v>0.6924678234484507</v>
      </c>
      <c r="AV2" s="1">
        <f t="shared" ref="AV2:AV65" si="4">(Y2*0.5+AN2*0.5)*100</f>
        <v>0.5152263747276018</v>
      </c>
      <c r="AW2" s="1">
        <f t="shared" ref="AW2:AW65" si="5">(Y2*0.3+AN2*0.7)*100</f>
        <v>0.33798492600675267</v>
      </c>
    </row>
    <row r="3" spans="1:49" x14ac:dyDescent="0.2">
      <c r="A3">
        <v>1</v>
      </c>
      <c r="B3" t="s">
        <v>10647</v>
      </c>
      <c r="C3" t="s">
        <v>10646</v>
      </c>
      <c r="D3" t="s">
        <v>10645</v>
      </c>
      <c r="E3">
        <v>11744220</v>
      </c>
      <c r="F3" t="s">
        <v>10644</v>
      </c>
      <c r="G3" t="s">
        <v>6</v>
      </c>
      <c r="H3" t="s">
        <v>5</v>
      </c>
      <c r="I3" t="s">
        <v>10643</v>
      </c>
      <c r="J3">
        <v>60014256</v>
      </c>
      <c r="K3" t="s">
        <v>522</v>
      </c>
      <c r="L3" t="s">
        <v>27</v>
      </c>
      <c r="M3" t="s">
        <v>26</v>
      </c>
      <c r="N3">
        <v>2</v>
      </c>
      <c r="O3" t="s">
        <v>10642</v>
      </c>
      <c r="P3" t="s">
        <v>10641</v>
      </c>
      <c r="Q3" t="s">
        <v>10640</v>
      </c>
      <c r="R3" s="7">
        <v>37253</v>
      </c>
      <c r="S3" s="8">
        <f t="shared" si="0"/>
        <v>2001</v>
      </c>
      <c r="T3" s="8">
        <v>2001</v>
      </c>
      <c r="U3" s="8">
        <f t="shared" si="1"/>
        <v>21</v>
      </c>
      <c r="V3" s="7">
        <v>37253</v>
      </c>
      <c r="W3" t="s">
        <v>10639</v>
      </c>
      <c r="X3" s="2">
        <v>0.94399999999999995</v>
      </c>
      <c r="Y3" s="6">
        <f t="shared" ref="Y3:Y66" si="6">(X3-$Z$3)/($Z$2-$Z$3)</f>
        <v>2.5199540855823391E-2</v>
      </c>
      <c r="Z3">
        <v>0</v>
      </c>
      <c r="AA3">
        <v>3043940</v>
      </c>
      <c r="AB3">
        <v>18046</v>
      </c>
      <c r="AD3" t="s">
        <v>1</v>
      </c>
      <c r="AE3">
        <v>316</v>
      </c>
      <c r="AF3">
        <v>3</v>
      </c>
      <c r="AH3" t="s">
        <v>879</v>
      </c>
      <c r="AI3" t="s">
        <v>10638</v>
      </c>
      <c r="AJ3" t="s">
        <v>10637</v>
      </c>
      <c r="AK3" t="s">
        <v>10636</v>
      </c>
      <c r="AL3">
        <v>12</v>
      </c>
      <c r="AM3" s="5">
        <f t="shared" si="2"/>
        <v>0.5714285714285714</v>
      </c>
      <c r="AN3" s="4">
        <f t="shared" ref="AN3:AN66" si="7">(AM3-$AO$3)/($AO$2-$AO$3)</f>
        <v>8.6547303510574997E-4</v>
      </c>
      <c r="AO3" s="3">
        <v>0</v>
      </c>
      <c r="AP3">
        <v>0</v>
      </c>
      <c r="AQ3" t="s">
        <v>534</v>
      </c>
      <c r="AR3" t="s">
        <v>0</v>
      </c>
      <c r="AS3" t="s">
        <v>533</v>
      </c>
      <c r="AT3" s="2">
        <v>3.0459999999999998</v>
      </c>
      <c r="AU3" s="1">
        <f t="shared" si="3"/>
        <v>1.7899320509608094</v>
      </c>
      <c r="AV3" s="1">
        <f t="shared" si="4"/>
        <v>1.303250694546457</v>
      </c>
      <c r="AW3" s="1">
        <f t="shared" si="5"/>
        <v>0.81656933813210419</v>
      </c>
    </row>
    <row r="4" spans="1:49" x14ac:dyDescent="0.2">
      <c r="A4">
        <v>2</v>
      </c>
      <c r="B4" t="s">
        <v>10635</v>
      </c>
      <c r="C4" t="s">
        <v>10634</v>
      </c>
      <c r="E4">
        <v>11321533</v>
      </c>
      <c r="F4" t="s">
        <v>10633</v>
      </c>
      <c r="G4" t="s">
        <v>6</v>
      </c>
      <c r="H4" t="s">
        <v>5</v>
      </c>
      <c r="I4" t="s">
        <v>6660</v>
      </c>
      <c r="J4" t="s">
        <v>10632</v>
      </c>
      <c r="K4" t="s">
        <v>10631</v>
      </c>
      <c r="L4" t="s">
        <v>10630</v>
      </c>
      <c r="M4" t="s">
        <v>10629</v>
      </c>
      <c r="N4">
        <v>8</v>
      </c>
      <c r="O4" t="s">
        <v>10628</v>
      </c>
      <c r="P4" t="s">
        <v>10627</v>
      </c>
      <c r="Q4" t="s">
        <v>10626</v>
      </c>
      <c r="R4" s="7">
        <v>37252</v>
      </c>
      <c r="S4" s="8">
        <f t="shared" si="0"/>
        <v>2001</v>
      </c>
      <c r="T4" s="8">
        <v>2001</v>
      </c>
      <c r="U4" s="8">
        <f t="shared" si="1"/>
        <v>21</v>
      </c>
      <c r="V4" s="7">
        <v>2001</v>
      </c>
      <c r="W4" t="s">
        <v>10625</v>
      </c>
      <c r="X4" s="2">
        <v>1.954</v>
      </c>
      <c r="Y4" s="6">
        <f t="shared" si="6"/>
        <v>5.2160914017244604E-2</v>
      </c>
      <c r="AA4">
        <v>14622912</v>
      </c>
      <c r="AB4">
        <v>19683</v>
      </c>
      <c r="AD4" t="s">
        <v>1</v>
      </c>
      <c r="AE4">
        <v>3</v>
      </c>
      <c r="AF4">
        <v>3</v>
      </c>
      <c r="AH4" t="s">
        <v>10624</v>
      </c>
      <c r="AI4" t="s">
        <v>10623</v>
      </c>
      <c r="AK4" t="s">
        <v>10622</v>
      </c>
      <c r="AL4">
        <v>28</v>
      </c>
      <c r="AM4" s="5">
        <f t="shared" si="2"/>
        <v>1.3333333333333333</v>
      </c>
      <c r="AN4" s="4">
        <f t="shared" si="7"/>
        <v>2.0194370819134164E-3</v>
      </c>
      <c r="AO4" s="3"/>
      <c r="AP4">
        <v>0</v>
      </c>
      <c r="AR4" t="s">
        <v>0</v>
      </c>
      <c r="AT4" s="2">
        <v>5.4909999999999997</v>
      </c>
      <c r="AU4" s="1">
        <f t="shared" si="3"/>
        <v>3.7118470936645247</v>
      </c>
      <c r="AV4" s="1">
        <f t="shared" si="4"/>
        <v>2.7090175549579012</v>
      </c>
      <c r="AW4" s="1">
        <f t="shared" si="5"/>
        <v>1.7061880162512773</v>
      </c>
    </row>
    <row r="5" spans="1:49" x14ac:dyDescent="0.2">
      <c r="A5">
        <v>3</v>
      </c>
      <c r="B5" t="s">
        <v>10621</v>
      </c>
      <c r="C5" t="s">
        <v>10620</v>
      </c>
      <c r="F5" t="s">
        <v>10619</v>
      </c>
      <c r="G5" t="s">
        <v>6</v>
      </c>
      <c r="H5" t="s">
        <v>5</v>
      </c>
      <c r="I5" t="s">
        <v>10618</v>
      </c>
      <c r="J5">
        <v>60020071</v>
      </c>
      <c r="K5" t="s">
        <v>10617</v>
      </c>
      <c r="L5" t="s">
        <v>10616</v>
      </c>
      <c r="M5" t="s">
        <v>79</v>
      </c>
      <c r="N5">
        <v>3</v>
      </c>
      <c r="O5" t="s">
        <v>10615</v>
      </c>
      <c r="P5" t="s">
        <v>10614</v>
      </c>
      <c r="Q5" t="s">
        <v>10613</v>
      </c>
      <c r="R5" s="7">
        <v>37252</v>
      </c>
      <c r="S5" s="8">
        <f t="shared" si="0"/>
        <v>2001</v>
      </c>
      <c r="T5" s="8">
        <v>2001</v>
      </c>
      <c r="U5" s="8">
        <f t="shared" si="1"/>
        <v>21</v>
      </c>
      <c r="V5" s="7">
        <v>2001</v>
      </c>
      <c r="W5" t="s">
        <v>7832</v>
      </c>
      <c r="X5" s="2">
        <v>0.67200000000000004</v>
      </c>
      <c r="Y5" s="6">
        <f t="shared" si="6"/>
        <v>1.793865620245055E-2</v>
      </c>
      <c r="AA5">
        <v>221112</v>
      </c>
      <c r="AB5">
        <v>22560</v>
      </c>
      <c r="AD5" t="s">
        <v>1</v>
      </c>
      <c r="AE5">
        <v>59</v>
      </c>
      <c r="AF5">
        <v>4</v>
      </c>
      <c r="AH5" t="s">
        <v>10612</v>
      </c>
      <c r="AI5" t="s">
        <v>10611</v>
      </c>
      <c r="AJ5" t="s">
        <v>10610</v>
      </c>
      <c r="AK5" t="s">
        <v>10609</v>
      </c>
      <c r="AL5">
        <v>39</v>
      </c>
      <c r="AM5" s="5">
        <f t="shared" si="2"/>
        <v>1.8571428571428572</v>
      </c>
      <c r="AN5" s="4">
        <f t="shared" si="7"/>
        <v>2.8127873640936877E-3</v>
      </c>
      <c r="AO5" s="3"/>
      <c r="AP5">
        <v>0</v>
      </c>
      <c r="AR5" t="s">
        <v>0</v>
      </c>
      <c r="AT5" s="2">
        <v>2.0510000000000002</v>
      </c>
      <c r="AU5" s="1">
        <f t="shared" si="3"/>
        <v>1.340089555094349</v>
      </c>
      <c r="AV5" s="1">
        <f t="shared" si="4"/>
        <v>1.0375721783272118</v>
      </c>
      <c r="AW5" s="1">
        <f t="shared" si="5"/>
        <v>0.73505480156007463</v>
      </c>
    </row>
    <row r="6" spans="1:49" x14ac:dyDescent="0.2">
      <c r="A6">
        <v>4</v>
      </c>
      <c r="B6" t="s">
        <v>10608</v>
      </c>
      <c r="C6" t="s">
        <v>10607</v>
      </c>
      <c r="E6">
        <v>11732995</v>
      </c>
      <c r="F6" t="s">
        <v>10606</v>
      </c>
      <c r="G6" t="s">
        <v>6</v>
      </c>
      <c r="H6" t="s">
        <v>5</v>
      </c>
      <c r="I6" t="s">
        <v>10605</v>
      </c>
      <c r="J6" t="s">
        <v>10604</v>
      </c>
      <c r="K6" t="s">
        <v>10603</v>
      </c>
      <c r="L6" t="s">
        <v>10602</v>
      </c>
      <c r="M6" t="s">
        <v>10601</v>
      </c>
      <c r="N6">
        <v>7</v>
      </c>
      <c r="O6" t="s">
        <v>10600</v>
      </c>
      <c r="P6" t="s">
        <v>10599</v>
      </c>
      <c r="Q6" t="s">
        <v>10598</v>
      </c>
      <c r="R6" s="7">
        <v>37247</v>
      </c>
      <c r="S6" s="8">
        <f t="shared" si="0"/>
        <v>2001</v>
      </c>
      <c r="T6" s="8">
        <v>2001</v>
      </c>
      <c r="U6" s="8">
        <f t="shared" si="1"/>
        <v>21</v>
      </c>
      <c r="V6" s="7">
        <v>2001</v>
      </c>
      <c r="W6" t="s">
        <v>90</v>
      </c>
      <c r="X6" s="2">
        <v>1.9810000000000001</v>
      </c>
      <c r="Y6" s="6">
        <f t="shared" si="6"/>
        <v>5.2881663596807349E-2</v>
      </c>
      <c r="AA6">
        <v>142956</v>
      </c>
      <c r="AB6">
        <v>39034</v>
      </c>
      <c r="AD6" t="s">
        <v>1</v>
      </c>
      <c r="AE6">
        <v>268</v>
      </c>
      <c r="AF6">
        <v>23</v>
      </c>
      <c r="AH6" t="s">
        <v>10597</v>
      </c>
      <c r="AI6" t="s">
        <v>10596</v>
      </c>
      <c r="AJ6" t="s">
        <v>10595</v>
      </c>
      <c r="AK6" t="s">
        <v>10594</v>
      </c>
      <c r="AL6">
        <v>92</v>
      </c>
      <c r="AM6" s="5">
        <f t="shared" si="2"/>
        <v>4.3809523809523814</v>
      </c>
      <c r="AN6" s="4">
        <f t="shared" si="7"/>
        <v>6.6352932691440842E-3</v>
      </c>
      <c r="AO6" s="3"/>
      <c r="AP6">
        <v>1</v>
      </c>
      <c r="AR6" t="s">
        <v>0</v>
      </c>
      <c r="AT6" s="2" t="s">
        <v>7</v>
      </c>
      <c r="AU6" s="1">
        <f t="shared" si="3"/>
        <v>3.9007752498508368</v>
      </c>
      <c r="AV6" s="1">
        <f t="shared" si="4"/>
        <v>2.9758478432975717</v>
      </c>
      <c r="AW6" s="1">
        <f t="shared" si="5"/>
        <v>2.0509204367443061</v>
      </c>
    </row>
    <row r="7" spans="1:49" x14ac:dyDescent="0.2">
      <c r="A7">
        <v>5</v>
      </c>
      <c r="B7" t="s">
        <v>10593</v>
      </c>
      <c r="C7" t="s">
        <v>10592</v>
      </c>
      <c r="F7" t="s">
        <v>10591</v>
      </c>
      <c r="G7" t="s">
        <v>6</v>
      </c>
      <c r="H7" t="s">
        <v>5</v>
      </c>
      <c r="I7" t="s">
        <v>580</v>
      </c>
      <c r="J7" t="s">
        <v>10590</v>
      </c>
      <c r="K7" t="s">
        <v>10589</v>
      </c>
      <c r="L7" t="s">
        <v>10588</v>
      </c>
      <c r="M7" t="s">
        <v>45</v>
      </c>
      <c r="N7">
        <v>5</v>
      </c>
      <c r="O7" t="s">
        <v>10587</v>
      </c>
      <c r="P7" t="s">
        <v>10586</v>
      </c>
      <c r="Q7" t="s">
        <v>10585</v>
      </c>
      <c r="R7" s="7">
        <v>37245</v>
      </c>
      <c r="S7" s="8">
        <f t="shared" si="0"/>
        <v>2001</v>
      </c>
      <c r="T7" s="8">
        <v>2001</v>
      </c>
      <c r="U7" s="8">
        <f t="shared" si="1"/>
        <v>21</v>
      </c>
      <c r="V7" s="7">
        <v>37245</v>
      </c>
      <c r="W7" t="s">
        <v>6612</v>
      </c>
      <c r="X7" s="2">
        <v>0.66800000000000004</v>
      </c>
      <c r="Y7" s="6">
        <f t="shared" si="6"/>
        <v>1.7831878486959774E-2</v>
      </c>
      <c r="AA7" t="s">
        <v>6611</v>
      </c>
      <c r="AB7">
        <v>29593</v>
      </c>
      <c r="AC7">
        <v>21553165</v>
      </c>
      <c r="AD7" t="s">
        <v>1</v>
      </c>
      <c r="AE7">
        <v>40</v>
      </c>
      <c r="AF7">
        <v>36</v>
      </c>
      <c r="AH7" t="s">
        <v>10584</v>
      </c>
      <c r="AI7" t="s">
        <v>10583</v>
      </c>
      <c r="AK7" t="s">
        <v>10582</v>
      </c>
      <c r="AL7">
        <v>48</v>
      </c>
      <c r="AM7" s="5">
        <f t="shared" si="2"/>
        <v>2.2857142857142856</v>
      </c>
      <c r="AN7" s="4">
        <f t="shared" si="7"/>
        <v>3.4618921404229999E-3</v>
      </c>
      <c r="AO7" s="3"/>
      <c r="AP7">
        <v>0</v>
      </c>
      <c r="AR7" t="s">
        <v>0</v>
      </c>
      <c r="AT7" s="2">
        <v>1.98</v>
      </c>
      <c r="AU7" s="1">
        <f t="shared" si="3"/>
        <v>1.3520882582998739</v>
      </c>
      <c r="AV7" s="1">
        <f t="shared" si="4"/>
        <v>1.0646885313691388</v>
      </c>
      <c r="AW7" s="1">
        <f t="shared" si="5"/>
        <v>0.7772888044384032</v>
      </c>
    </row>
    <row r="8" spans="1:49" x14ac:dyDescent="0.2">
      <c r="A8">
        <v>6</v>
      </c>
      <c r="B8" t="s">
        <v>10581</v>
      </c>
      <c r="C8" t="s">
        <v>10580</v>
      </c>
      <c r="F8" t="s">
        <v>10579</v>
      </c>
      <c r="G8" t="s">
        <v>6</v>
      </c>
      <c r="H8" t="s">
        <v>5</v>
      </c>
      <c r="I8" t="s">
        <v>813</v>
      </c>
      <c r="J8" t="s">
        <v>10578</v>
      </c>
      <c r="K8" t="s">
        <v>10577</v>
      </c>
      <c r="L8" t="s">
        <v>10576</v>
      </c>
      <c r="M8" t="s">
        <v>10575</v>
      </c>
      <c r="N8">
        <v>3</v>
      </c>
      <c r="O8" t="s">
        <v>10574</v>
      </c>
      <c r="P8" t="s">
        <v>10573</v>
      </c>
      <c r="Q8" t="s">
        <v>10572</v>
      </c>
      <c r="R8" s="7">
        <v>37245</v>
      </c>
      <c r="S8" s="8">
        <f t="shared" si="0"/>
        <v>2001</v>
      </c>
      <c r="T8" s="8">
        <v>2001</v>
      </c>
      <c r="U8" s="8">
        <f t="shared" si="1"/>
        <v>21</v>
      </c>
      <c r="V8" s="7">
        <v>37245</v>
      </c>
      <c r="W8" t="s">
        <v>290</v>
      </c>
      <c r="X8" s="2">
        <v>0.30399999999999999</v>
      </c>
      <c r="Y8" s="6">
        <f t="shared" si="6"/>
        <v>8.115106377299057E-3</v>
      </c>
      <c r="AA8">
        <v>8952477</v>
      </c>
      <c r="AB8">
        <v>12250</v>
      </c>
      <c r="AD8" t="s">
        <v>1</v>
      </c>
      <c r="AE8">
        <v>31</v>
      </c>
      <c r="AF8">
        <v>6</v>
      </c>
      <c r="AH8" t="s">
        <v>10571</v>
      </c>
      <c r="AI8" t="s">
        <v>10570</v>
      </c>
      <c r="AJ8" t="s">
        <v>10569</v>
      </c>
      <c r="AK8" t="s">
        <v>10568</v>
      </c>
      <c r="AL8">
        <v>17</v>
      </c>
      <c r="AM8" s="5">
        <f t="shared" si="2"/>
        <v>0.80952380952380953</v>
      </c>
      <c r="AN8" s="4">
        <f t="shared" si="7"/>
        <v>1.2260867997331457E-3</v>
      </c>
      <c r="AO8" s="3"/>
      <c r="AP8">
        <v>0</v>
      </c>
      <c r="AR8" t="s">
        <v>0</v>
      </c>
      <c r="AT8" s="2" t="s">
        <v>7</v>
      </c>
      <c r="AU8" s="1">
        <f t="shared" si="3"/>
        <v>0.60484005040292832</v>
      </c>
      <c r="AV8" s="1">
        <f t="shared" si="4"/>
        <v>0.4670596588516101</v>
      </c>
      <c r="AW8" s="1">
        <f t="shared" si="5"/>
        <v>0.32927926730029189</v>
      </c>
    </row>
    <row r="9" spans="1:49" x14ac:dyDescent="0.2">
      <c r="A9">
        <v>7</v>
      </c>
      <c r="B9" t="s">
        <v>10567</v>
      </c>
      <c r="C9" t="s">
        <v>10566</v>
      </c>
      <c r="F9" t="s">
        <v>10565</v>
      </c>
      <c r="G9" t="s">
        <v>6</v>
      </c>
      <c r="H9" t="s">
        <v>5</v>
      </c>
      <c r="I9" t="s">
        <v>591</v>
      </c>
      <c r="J9">
        <v>60005510</v>
      </c>
      <c r="K9" t="s">
        <v>315</v>
      </c>
      <c r="L9" t="s">
        <v>131</v>
      </c>
      <c r="M9" t="s">
        <v>130</v>
      </c>
      <c r="N9">
        <v>3</v>
      </c>
      <c r="O9" t="s">
        <v>10564</v>
      </c>
      <c r="P9" t="s">
        <v>10563</v>
      </c>
      <c r="Q9" t="s">
        <v>418</v>
      </c>
      <c r="R9" s="7">
        <v>37245</v>
      </c>
      <c r="S9" s="8">
        <f t="shared" si="0"/>
        <v>2001</v>
      </c>
      <c r="T9" s="8">
        <v>2001</v>
      </c>
      <c r="U9" s="8">
        <f t="shared" si="1"/>
        <v>21</v>
      </c>
      <c r="V9" s="7">
        <v>37245</v>
      </c>
      <c r="W9" t="s">
        <v>290</v>
      </c>
      <c r="X9" s="2">
        <v>0.30399999999999999</v>
      </c>
      <c r="Y9" s="6">
        <f t="shared" si="6"/>
        <v>8.115106377299057E-3</v>
      </c>
      <c r="AA9">
        <v>8952477</v>
      </c>
      <c r="AB9">
        <v>12250</v>
      </c>
      <c r="AD9" t="s">
        <v>1</v>
      </c>
      <c r="AE9">
        <v>31</v>
      </c>
      <c r="AF9">
        <v>6</v>
      </c>
      <c r="AH9" t="s">
        <v>10562</v>
      </c>
      <c r="AI9" t="s">
        <v>10561</v>
      </c>
      <c r="AJ9" t="s">
        <v>10560</v>
      </c>
      <c r="AK9" t="s">
        <v>10559</v>
      </c>
      <c r="AL9">
        <v>10</v>
      </c>
      <c r="AM9" s="5">
        <f t="shared" si="2"/>
        <v>0.47619047619047616</v>
      </c>
      <c r="AN9" s="4">
        <f t="shared" si="7"/>
        <v>7.2122752925479164E-4</v>
      </c>
      <c r="AO9" s="3"/>
      <c r="AP9">
        <v>0</v>
      </c>
      <c r="AR9" t="s">
        <v>0</v>
      </c>
      <c r="AT9" s="2" t="s">
        <v>7</v>
      </c>
      <c r="AU9" s="1">
        <f t="shared" si="3"/>
        <v>0.58969427228857774</v>
      </c>
      <c r="AV9" s="1">
        <f t="shared" si="4"/>
        <v>0.44181669532769247</v>
      </c>
      <c r="AW9" s="1">
        <f t="shared" si="5"/>
        <v>0.29393911836680714</v>
      </c>
    </row>
    <row r="10" spans="1:49" x14ac:dyDescent="0.2">
      <c r="A10">
        <v>8</v>
      </c>
      <c r="B10" t="s">
        <v>10558</v>
      </c>
      <c r="C10" t="s">
        <v>10557</v>
      </c>
      <c r="E10">
        <v>11742061</v>
      </c>
      <c r="F10" t="s">
        <v>10556</v>
      </c>
      <c r="G10" t="s">
        <v>6</v>
      </c>
      <c r="H10" t="s">
        <v>5</v>
      </c>
      <c r="I10" t="s">
        <v>10555</v>
      </c>
      <c r="J10" t="s">
        <v>10554</v>
      </c>
      <c r="K10" t="s">
        <v>10553</v>
      </c>
      <c r="L10" t="s">
        <v>10552</v>
      </c>
      <c r="M10" t="s">
        <v>10551</v>
      </c>
      <c r="N10">
        <v>5</v>
      </c>
      <c r="O10" t="s">
        <v>10550</v>
      </c>
      <c r="P10" t="s">
        <v>10549</v>
      </c>
      <c r="Q10" t="s">
        <v>10548</v>
      </c>
      <c r="R10" s="7">
        <v>37243</v>
      </c>
      <c r="S10" s="8">
        <f t="shared" si="0"/>
        <v>2001</v>
      </c>
      <c r="T10" s="8">
        <v>2001</v>
      </c>
      <c r="U10" s="8">
        <f t="shared" si="1"/>
        <v>21</v>
      </c>
      <c r="V10" s="7">
        <v>37243</v>
      </c>
      <c r="W10" t="s">
        <v>803</v>
      </c>
      <c r="X10" s="2">
        <v>5.0110000000000001</v>
      </c>
      <c r="Y10" s="6">
        <f t="shared" si="6"/>
        <v>0.13376578308107098</v>
      </c>
      <c r="AA10">
        <v>278424</v>
      </c>
      <c r="AB10">
        <v>21121</v>
      </c>
      <c r="AD10" t="s">
        <v>1</v>
      </c>
      <c r="AE10">
        <v>98</v>
      </c>
      <c r="AF10">
        <v>26</v>
      </c>
      <c r="AH10" t="s">
        <v>10547</v>
      </c>
      <c r="AI10" t="s">
        <v>10546</v>
      </c>
      <c r="AK10" t="s">
        <v>10545</v>
      </c>
      <c r="AL10">
        <v>0</v>
      </c>
      <c r="AM10" s="5">
        <f t="shared" si="2"/>
        <v>0</v>
      </c>
      <c r="AN10" s="4">
        <f t="shared" si="7"/>
        <v>0</v>
      </c>
      <c r="AO10" s="3"/>
      <c r="AP10">
        <v>1</v>
      </c>
      <c r="AR10" t="s">
        <v>0</v>
      </c>
      <c r="AT10" s="2" t="s">
        <v>7</v>
      </c>
      <c r="AU10" s="1">
        <f t="shared" si="3"/>
        <v>9.3636048156749681</v>
      </c>
      <c r="AV10" s="1">
        <f t="shared" si="4"/>
        <v>6.6882891540535487</v>
      </c>
      <c r="AW10" s="1">
        <f t="shared" si="5"/>
        <v>4.0129734924321294</v>
      </c>
    </row>
    <row r="11" spans="1:49" x14ac:dyDescent="0.2">
      <c r="A11">
        <v>9</v>
      </c>
      <c r="B11" t="s">
        <v>10544</v>
      </c>
      <c r="C11" t="s">
        <v>10543</v>
      </c>
      <c r="E11">
        <v>11735388</v>
      </c>
      <c r="F11" t="s">
        <v>10542</v>
      </c>
      <c r="G11" t="s">
        <v>6</v>
      </c>
      <c r="H11" t="s">
        <v>5</v>
      </c>
      <c r="I11" t="s">
        <v>10541</v>
      </c>
      <c r="J11" t="s">
        <v>10535</v>
      </c>
      <c r="K11" t="s">
        <v>10540</v>
      </c>
      <c r="L11" t="s">
        <v>10539</v>
      </c>
      <c r="M11" t="s">
        <v>10538</v>
      </c>
      <c r="N11">
        <v>2</v>
      </c>
      <c r="O11" t="s">
        <v>10537</v>
      </c>
      <c r="P11" t="s">
        <v>10536</v>
      </c>
      <c r="Q11" t="s">
        <v>10535</v>
      </c>
      <c r="R11" s="7">
        <v>37243</v>
      </c>
      <c r="S11" s="8">
        <f t="shared" si="0"/>
        <v>2001</v>
      </c>
      <c r="T11" s="8">
        <v>2001</v>
      </c>
      <c r="U11" s="8">
        <f t="shared" si="1"/>
        <v>21</v>
      </c>
      <c r="V11" s="7">
        <v>37243</v>
      </c>
      <c r="W11" t="s">
        <v>711</v>
      </c>
      <c r="X11" s="2">
        <v>1.43</v>
      </c>
      <c r="Y11" s="6">
        <f t="shared" si="6"/>
        <v>3.8173033287952803E-2</v>
      </c>
      <c r="AA11">
        <v>62960</v>
      </c>
      <c r="AB11">
        <v>16867</v>
      </c>
      <c r="AD11" t="s">
        <v>1</v>
      </c>
      <c r="AE11">
        <v>40</v>
      </c>
      <c r="AF11">
        <v>50</v>
      </c>
      <c r="AH11" t="s">
        <v>10534</v>
      </c>
      <c r="AI11" t="s">
        <v>10533</v>
      </c>
      <c r="AK11" t="s">
        <v>10532</v>
      </c>
      <c r="AL11">
        <v>68</v>
      </c>
      <c r="AM11" s="5">
        <f t="shared" si="2"/>
        <v>3.2380952380952381</v>
      </c>
      <c r="AN11" s="4">
        <f t="shared" si="7"/>
        <v>4.904347198932583E-3</v>
      </c>
      <c r="AO11" s="3"/>
      <c r="AP11">
        <v>0</v>
      </c>
      <c r="AR11" t="s">
        <v>0</v>
      </c>
      <c r="AT11" s="2">
        <v>3.1619999999999999</v>
      </c>
      <c r="AU11" s="1">
        <f t="shared" si="3"/>
        <v>2.8192427461246736</v>
      </c>
      <c r="AV11" s="1">
        <f t="shared" si="4"/>
        <v>2.1538690243442691</v>
      </c>
      <c r="AW11" s="1">
        <f t="shared" si="5"/>
        <v>1.4884953025638648</v>
      </c>
    </row>
    <row r="12" spans="1:49" x14ac:dyDescent="0.2">
      <c r="A12">
        <v>10</v>
      </c>
      <c r="B12" t="s">
        <v>10531</v>
      </c>
      <c r="C12" t="s">
        <v>10530</v>
      </c>
      <c r="E12">
        <v>11735391</v>
      </c>
      <c r="F12" t="s">
        <v>10529</v>
      </c>
      <c r="G12" t="s">
        <v>6</v>
      </c>
      <c r="H12" t="s">
        <v>5</v>
      </c>
      <c r="I12" t="s">
        <v>10528</v>
      </c>
      <c r="J12" t="s">
        <v>10527</v>
      </c>
      <c r="K12" t="s">
        <v>10526</v>
      </c>
      <c r="L12" t="s">
        <v>10525</v>
      </c>
      <c r="M12" t="s">
        <v>880</v>
      </c>
      <c r="N12">
        <v>4</v>
      </c>
      <c r="O12" t="s">
        <v>10524</v>
      </c>
      <c r="P12" t="s">
        <v>10523</v>
      </c>
      <c r="Q12" t="s">
        <v>10522</v>
      </c>
      <c r="R12" s="7">
        <v>37243</v>
      </c>
      <c r="S12" s="8">
        <f t="shared" si="0"/>
        <v>2001</v>
      </c>
      <c r="T12" s="8">
        <v>2001</v>
      </c>
      <c r="U12" s="8">
        <f t="shared" si="1"/>
        <v>21</v>
      </c>
      <c r="V12" s="7">
        <v>37243</v>
      </c>
      <c r="W12" t="s">
        <v>711</v>
      </c>
      <c r="X12" s="2">
        <v>1.43</v>
      </c>
      <c r="Y12" s="6">
        <f t="shared" si="6"/>
        <v>3.8173033287952803E-2</v>
      </c>
      <c r="AA12">
        <v>62960</v>
      </c>
      <c r="AB12">
        <v>16867</v>
      </c>
      <c r="AD12" t="s">
        <v>1</v>
      </c>
      <c r="AE12">
        <v>40</v>
      </c>
      <c r="AF12">
        <v>50</v>
      </c>
      <c r="AH12" t="s">
        <v>10521</v>
      </c>
      <c r="AI12" t="s">
        <v>10520</v>
      </c>
      <c r="AK12" t="s">
        <v>10519</v>
      </c>
      <c r="AL12">
        <v>27</v>
      </c>
      <c r="AM12" s="5">
        <f t="shared" si="2"/>
        <v>1.2857142857142858</v>
      </c>
      <c r="AN12" s="4">
        <f t="shared" si="7"/>
        <v>1.9473143289879377E-3</v>
      </c>
      <c r="AO12" s="3"/>
      <c r="AP12">
        <v>0</v>
      </c>
      <c r="AR12" t="s">
        <v>0</v>
      </c>
      <c r="AT12" s="2">
        <v>3.1619999999999999</v>
      </c>
      <c r="AU12" s="1">
        <f t="shared" si="3"/>
        <v>2.7305317600263344</v>
      </c>
      <c r="AV12" s="1">
        <f t="shared" si="4"/>
        <v>2.006017380847037</v>
      </c>
      <c r="AW12" s="1">
        <f t="shared" si="5"/>
        <v>1.2815030016677398</v>
      </c>
    </row>
    <row r="13" spans="1:49" x14ac:dyDescent="0.2">
      <c r="A13">
        <v>11</v>
      </c>
      <c r="B13" t="s">
        <v>10518</v>
      </c>
      <c r="C13" t="s">
        <v>10517</v>
      </c>
      <c r="F13" t="s">
        <v>10516</v>
      </c>
      <c r="G13" t="s">
        <v>6</v>
      </c>
      <c r="H13" t="s">
        <v>5</v>
      </c>
      <c r="I13" t="s">
        <v>10515</v>
      </c>
      <c r="J13" t="s">
        <v>10514</v>
      </c>
      <c r="K13" t="s">
        <v>10513</v>
      </c>
      <c r="L13" t="s">
        <v>10512</v>
      </c>
      <c r="M13" t="s">
        <v>10511</v>
      </c>
      <c r="N13">
        <v>6</v>
      </c>
      <c r="O13" t="s">
        <v>10510</v>
      </c>
      <c r="P13" t="s">
        <v>10509</v>
      </c>
      <c r="Q13" t="s">
        <v>10508</v>
      </c>
      <c r="R13" s="7">
        <v>37242</v>
      </c>
      <c r="S13" s="8">
        <f t="shared" si="0"/>
        <v>2001</v>
      </c>
      <c r="T13" s="8">
        <v>2001</v>
      </c>
      <c r="U13" s="8">
        <f t="shared" si="1"/>
        <v>21</v>
      </c>
      <c r="V13" s="7">
        <v>37242</v>
      </c>
      <c r="W13" t="s">
        <v>10507</v>
      </c>
      <c r="X13" s="2">
        <v>1.016</v>
      </c>
      <c r="Y13" s="6">
        <f t="shared" si="6"/>
        <v>2.712153973465738E-2</v>
      </c>
      <c r="AA13">
        <v>14394235</v>
      </c>
      <c r="AB13">
        <v>26588</v>
      </c>
      <c r="AD13" t="s">
        <v>1</v>
      </c>
      <c r="AE13">
        <v>2</v>
      </c>
      <c r="AF13">
        <v>12</v>
      </c>
      <c r="AH13" t="s">
        <v>10506</v>
      </c>
      <c r="AI13" t="s">
        <v>10505</v>
      </c>
      <c r="AJ13" t="s">
        <v>10504</v>
      </c>
      <c r="AK13" t="s">
        <v>10503</v>
      </c>
      <c r="AL13">
        <v>68</v>
      </c>
      <c r="AM13" s="5">
        <f t="shared" si="2"/>
        <v>3.2380952380952381</v>
      </c>
      <c r="AN13" s="4">
        <f t="shared" si="7"/>
        <v>4.904347198932583E-3</v>
      </c>
      <c r="AO13" s="3"/>
      <c r="AP13">
        <v>0</v>
      </c>
      <c r="AR13" t="s">
        <v>0</v>
      </c>
      <c r="AT13" s="2">
        <v>3.1019999999999999</v>
      </c>
      <c r="AU13" s="1">
        <f t="shared" si="3"/>
        <v>2.0456381973939943</v>
      </c>
      <c r="AV13" s="1">
        <f t="shared" si="4"/>
        <v>1.6012943466794982</v>
      </c>
      <c r="AW13" s="1">
        <f t="shared" si="5"/>
        <v>1.1569504959650023</v>
      </c>
    </row>
    <row r="14" spans="1:49" x14ac:dyDescent="0.2">
      <c r="A14">
        <v>12</v>
      </c>
      <c r="B14" t="s">
        <v>10502</v>
      </c>
      <c r="F14" t="s">
        <v>10501</v>
      </c>
      <c r="G14" t="s">
        <v>6</v>
      </c>
      <c r="H14" t="s">
        <v>5</v>
      </c>
      <c r="I14" t="s">
        <v>8095</v>
      </c>
      <c r="J14">
        <v>60024322</v>
      </c>
      <c r="K14" t="s">
        <v>263</v>
      </c>
      <c r="L14" t="s">
        <v>262</v>
      </c>
      <c r="M14" t="s">
        <v>26</v>
      </c>
      <c r="N14">
        <v>1</v>
      </c>
      <c r="O14" t="s">
        <v>10500</v>
      </c>
      <c r="P14">
        <v>7006329449</v>
      </c>
      <c r="Q14">
        <v>60024322</v>
      </c>
      <c r="R14" s="7">
        <v>37242</v>
      </c>
      <c r="S14" s="8">
        <f t="shared" si="0"/>
        <v>2001</v>
      </c>
      <c r="T14" s="8">
        <v>2001</v>
      </c>
      <c r="U14" s="8">
        <f t="shared" si="1"/>
        <v>21</v>
      </c>
      <c r="V14" s="7">
        <v>37242</v>
      </c>
      <c r="W14" t="s">
        <v>683</v>
      </c>
      <c r="X14" s="2">
        <v>3.6880000000000002</v>
      </c>
      <c r="Y14" s="6">
        <f t="shared" si="6"/>
        <v>9.8449053682496471E-2</v>
      </c>
      <c r="AA14">
        <v>319007</v>
      </c>
      <c r="AB14">
        <v>29150</v>
      </c>
      <c r="AD14" t="s">
        <v>1</v>
      </c>
      <c r="AE14">
        <v>87</v>
      </c>
      <c r="AF14">
        <v>25</v>
      </c>
      <c r="AG14">
        <v>251101</v>
      </c>
      <c r="AI14" t="s">
        <v>10499</v>
      </c>
      <c r="AK14" t="s">
        <v>10498</v>
      </c>
      <c r="AL14">
        <v>17</v>
      </c>
      <c r="AM14" s="5">
        <f t="shared" si="2"/>
        <v>0.80952380952380953</v>
      </c>
      <c r="AN14" s="4">
        <f t="shared" si="7"/>
        <v>1.2260867997331457E-3</v>
      </c>
      <c r="AO14" s="3"/>
      <c r="AP14">
        <v>0</v>
      </c>
      <c r="AR14" t="s">
        <v>0</v>
      </c>
      <c r="AT14" s="2">
        <v>9.1609999999999996</v>
      </c>
      <c r="AU14" s="1">
        <f t="shared" si="3"/>
        <v>6.9282163617667463</v>
      </c>
      <c r="AV14" s="1">
        <f t="shared" si="4"/>
        <v>4.9837570241114806</v>
      </c>
      <c r="AW14" s="1">
        <f t="shared" si="5"/>
        <v>3.0392976864562145</v>
      </c>
    </row>
    <row r="15" spans="1:49" x14ac:dyDescent="0.2">
      <c r="A15">
        <v>13</v>
      </c>
      <c r="B15" t="s">
        <v>10497</v>
      </c>
      <c r="C15" t="s">
        <v>10496</v>
      </c>
      <c r="E15">
        <v>11771476</v>
      </c>
      <c r="F15" t="s">
        <v>10495</v>
      </c>
      <c r="G15" t="s">
        <v>6</v>
      </c>
      <c r="H15" t="s">
        <v>5</v>
      </c>
      <c r="I15" t="s">
        <v>10494</v>
      </c>
      <c r="J15" t="s">
        <v>10493</v>
      </c>
      <c r="K15" t="s">
        <v>10492</v>
      </c>
      <c r="L15" t="s">
        <v>10491</v>
      </c>
      <c r="M15" t="s">
        <v>9</v>
      </c>
      <c r="N15">
        <v>2</v>
      </c>
      <c r="O15" t="s">
        <v>10490</v>
      </c>
      <c r="P15" t="s">
        <v>10489</v>
      </c>
      <c r="Q15" t="s">
        <v>10488</v>
      </c>
      <c r="R15" s="7">
        <v>37242</v>
      </c>
      <c r="S15" s="8">
        <f t="shared" si="0"/>
        <v>2001</v>
      </c>
      <c r="T15" s="8">
        <v>2001</v>
      </c>
      <c r="U15" s="8">
        <f t="shared" si="1"/>
        <v>21</v>
      </c>
      <c r="V15" s="7">
        <v>2001</v>
      </c>
      <c r="W15" t="s">
        <v>248</v>
      </c>
      <c r="X15" s="2">
        <v>0.78300000000000003</v>
      </c>
      <c r="Y15" s="6">
        <f t="shared" si="6"/>
        <v>2.0901737807319614E-2</v>
      </c>
      <c r="AA15">
        <v>281042</v>
      </c>
      <c r="AB15">
        <v>21662</v>
      </c>
      <c r="AD15" t="s">
        <v>1</v>
      </c>
      <c r="AE15">
        <v>88</v>
      </c>
      <c r="AF15">
        <v>11</v>
      </c>
      <c r="AH15" t="s">
        <v>10487</v>
      </c>
      <c r="AI15" t="s">
        <v>10486</v>
      </c>
      <c r="AK15" t="s">
        <v>10485</v>
      </c>
      <c r="AL15">
        <v>55</v>
      </c>
      <c r="AM15" s="5">
        <f t="shared" si="2"/>
        <v>2.6190476190476191</v>
      </c>
      <c r="AN15" s="4">
        <f t="shared" si="7"/>
        <v>3.9667514109013539E-3</v>
      </c>
      <c r="AO15" s="3"/>
      <c r="AP15">
        <v>0</v>
      </c>
      <c r="AR15" t="s">
        <v>0</v>
      </c>
      <c r="AT15" s="2" t="s">
        <v>7</v>
      </c>
      <c r="AU15" s="1">
        <f t="shared" si="3"/>
        <v>1.5821241888394135</v>
      </c>
      <c r="AV15" s="1">
        <f t="shared" si="4"/>
        <v>1.2434244609110485</v>
      </c>
      <c r="AW15" s="1">
        <f t="shared" si="5"/>
        <v>0.90472473298268308</v>
      </c>
    </row>
    <row r="16" spans="1:49" x14ac:dyDescent="0.2">
      <c r="A16">
        <v>14</v>
      </c>
      <c r="B16" t="s">
        <v>10484</v>
      </c>
      <c r="C16" t="s">
        <v>10483</v>
      </c>
      <c r="D16" t="s">
        <v>10482</v>
      </c>
      <c r="F16" t="s">
        <v>10481</v>
      </c>
      <c r="G16" t="s">
        <v>6</v>
      </c>
      <c r="H16" t="s">
        <v>5</v>
      </c>
      <c r="I16" t="s">
        <v>10480</v>
      </c>
      <c r="J16">
        <v>60023324</v>
      </c>
      <c r="K16" t="s">
        <v>789</v>
      </c>
      <c r="L16" t="s">
        <v>307</v>
      </c>
      <c r="M16" t="s">
        <v>3</v>
      </c>
      <c r="N16">
        <v>6</v>
      </c>
      <c r="O16" t="s">
        <v>10479</v>
      </c>
      <c r="P16" t="s">
        <v>10478</v>
      </c>
      <c r="Q16" t="s">
        <v>10477</v>
      </c>
      <c r="R16" s="7">
        <v>37240</v>
      </c>
      <c r="S16" s="8">
        <f t="shared" si="0"/>
        <v>2001</v>
      </c>
      <c r="T16" s="8">
        <v>2001</v>
      </c>
      <c r="U16" s="8">
        <f t="shared" si="1"/>
        <v>21</v>
      </c>
      <c r="V16" s="7">
        <v>37240</v>
      </c>
      <c r="W16" t="s">
        <v>920</v>
      </c>
      <c r="X16" s="2">
        <v>1.77</v>
      </c>
      <c r="Y16" s="6">
        <f t="shared" si="6"/>
        <v>4.7249139104668859E-2</v>
      </c>
      <c r="AA16">
        <v>121606</v>
      </c>
      <c r="AB16">
        <v>14536</v>
      </c>
      <c r="AD16" t="s">
        <v>1</v>
      </c>
      <c r="AE16">
        <v>240</v>
      </c>
      <c r="AF16">
        <v>2</v>
      </c>
      <c r="AH16" t="s">
        <v>10476</v>
      </c>
      <c r="AI16" t="s">
        <v>10475</v>
      </c>
      <c r="AJ16" t="s">
        <v>10474</v>
      </c>
      <c r="AK16" t="s">
        <v>10473</v>
      </c>
      <c r="AL16">
        <v>41</v>
      </c>
      <c r="AM16" s="5">
        <f t="shared" si="2"/>
        <v>1.9523809523809523</v>
      </c>
      <c r="AN16" s="4">
        <f t="shared" si="7"/>
        <v>2.9570328699446459E-3</v>
      </c>
      <c r="AO16" s="3"/>
      <c r="AP16">
        <v>1</v>
      </c>
      <c r="AQ16" t="s">
        <v>53</v>
      </c>
      <c r="AR16" t="s">
        <v>10472</v>
      </c>
      <c r="AS16" t="s">
        <v>51</v>
      </c>
      <c r="AT16" s="2">
        <v>3.5819999999999999</v>
      </c>
      <c r="AU16" s="1">
        <f t="shared" si="3"/>
        <v>3.3961507234251593</v>
      </c>
      <c r="AV16" s="1">
        <f t="shared" si="4"/>
        <v>2.5103085987306755</v>
      </c>
      <c r="AW16" s="1">
        <f t="shared" si="5"/>
        <v>1.6244664740361909</v>
      </c>
    </row>
    <row r="17" spans="1:49" x14ac:dyDescent="0.2">
      <c r="A17">
        <v>15</v>
      </c>
      <c r="B17" t="s">
        <v>10471</v>
      </c>
      <c r="C17" t="s">
        <v>10470</v>
      </c>
      <c r="F17" t="s">
        <v>10469</v>
      </c>
      <c r="G17" t="s">
        <v>6</v>
      </c>
      <c r="H17" t="s">
        <v>5</v>
      </c>
      <c r="I17" t="s">
        <v>10468</v>
      </c>
      <c r="J17">
        <v>60033252</v>
      </c>
      <c r="K17" t="s">
        <v>10467</v>
      </c>
      <c r="L17" t="s">
        <v>10466</v>
      </c>
      <c r="M17" t="s">
        <v>3</v>
      </c>
      <c r="N17">
        <v>2</v>
      </c>
      <c r="O17" t="s">
        <v>10465</v>
      </c>
      <c r="P17" t="s">
        <v>10464</v>
      </c>
      <c r="Q17" t="s">
        <v>10463</v>
      </c>
      <c r="R17" s="7">
        <v>37240</v>
      </c>
      <c r="S17" s="8">
        <f t="shared" si="0"/>
        <v>2001</v>
      </c>
      <c r="T17" s="8">
        <v>2001</v>
      </c>
      <c r="U17" s="8">
        <f t="shared" si="1"/>
        <v>21</v>
      </c>
      <c r="V17" s="7">
        <v>37240</v>
      </c>
      <c r="W17" t="s">
        <v>704</v>
      </c>
      <c r="X17" s="2">
        <v>0.69899999999999995</v>
      </c>
      <c r="Y17" s="6">
        <f t="shared" si="6"/>
        <v>1.8659405782013295E-2</v>
      </c>
      <c r="AA17">
        <v>218979</v>
      </c>
      <c r="AB17">
        <v>28132</v>
      </c>
      <c r="AD17" t="s">
        <v>1</v>
      </c>
      <c r="AE17">
        <v>90</v>
      </c>
      <c r="AF17">
        <v>12</v>
      </c>
      <c r="AH17" t="s">
        <v>10462</v>
      </c>
      <c r="AI17" t="s">
        <v>10461</v>
      </c>
      <c r="AK17" t="s">
        <v>10460</v>
      </c>
      <c r="AL17">
        <v>4</v>
      </c>
      <c r="AM17" s="5">
        <f t="shared" si="2"/>
        <v>0.19047619047619047</v>
      </c>
      <c r="AN17" s="4">
        <f t="shared" si="7"/>
        <v>2.8849101170191666E-4</v>
      </c>
      <c r="AO17" s="3"/>
      <c r="AP17">
        <v>0</v>
      </c>
      <c r="AR17" t="s">
        <v>0</v>
      </c>
      <c r="AT17" s="2">
        <v>2.5459999999999998</v>
      </c>
      <c r="AU17" s="1">
        <f t="shared" si="3"/>
        <v>1.3148131350919881</v>
      </c>
      <c r="AV17" s="1">
        <f t="shared" si="4"/>
        <v>0.94739483968576055</v>
      </c>
      <c r="AW17" s="1">
        <f t="shared" si="5"/>
        <v>0.57997654427953305</v>
      </c>
    </row>
    <row r="18" spans="1:49" x14ac:dyDescent="0.2">
      <c r="A18">
        <v>16</v>
      </c>
      <c r="B18" t="s">
        <v>10459</v>
      </c>
      <c r="C18" t="s">
        <v>10458</v>
      </c>
      <c r="F18" t="s">
        <v>10457</v>
      </c>
      <c r="G18" t="s">
        <v>6</v>
      </c>
      <c r="H18" t="s">
        <v>5</v>
      </c>
      <c r="I18" t="s">
        <v>161</v>
      </c>
      <c r="J18" t="s">
        <v>10454</v>
      </c>
      <c r="K18" t="s">
        <v>10456</v>
      </c>
      <c r="L18" t="s">
        <v>10455</v>
      </c>
      <c r="M18" t="s">
        <v>412</v>
      </c>
      <c r="N18">
        <v>2</v>
      </c>
      <c r="O18" t="s">
        <v>160</v>
      </c>
      <c r="P18" t="s">
        <v>159</v>
      </c>
      <c r="Q18" t="s">
        <v>10454</v>
      </c>
      <c r="R18" s="7">
        <v>37240</v>
      </c>
      <c r="S18" s="8">
        <f t="shared" si="0"/>
        <v>2001</v>
      </c>
      <c r="T18" s="8">
        <v>2001</v>
      </c>
      <c r="U18" s="8">
        <f t="shared" si="1"/>
        <v>21</v>
      </c>
      <c r="V18" s="7">
        <v>37240</v>
      </c>
      <c r="W18" t="s">
        <v>157</v>
      </c>
      <c r="X18" s="2">
        <v>1.887</v>
      </c>
      <c r="Y18" s="6">
        <f t="shared" si="6"/>
        <v>5.0372387282774087E-2</v>
      </c>
      <c r="AA18">
        <v>5562821</v>
      </c>
      <c r="AB18">
        <v>29459</v>
      </c>
      <c r="AD18" t="s">
        <v>1</v>
      </c>
      <c r="AE18">
        <v>64</v>
      </c>
      <c r="AF18">
        <v>12</v>
      </c>
      <c r="AG18">
        <v>121501</v>
      </c>
      <c r="AI18" t="s">
        <v>10453</v>
      </c>
      <c r="AK18" t="s">
        <v>10452</v>
      </c>
      <c r="AL18">
        <v>25</v>
      </c>
      <c r="AM18" s="5">
        <f t="shared" si="2"/>
        <v>1.1904761904761905</v>
      </c>
      <c r="AN18" s="4">
        <f t="shared" si="7"/>
        <v>1.8030688231369791E-3</v>
      </c>
      <c r="AO18" s="3"/>
      <c r="AP18">
        <v>0</v>
      </c>
      <c r="AR18" t="s">
        <v>0</v>
      </c>
      <c r="AT18" s="2">
        <v>5.2960000000000003</v>
      </c>
      <c r="AU18" s="1">
        <f t="shared" si="3"/>
        <v>3.5801591744882946</v>
      </c>
      <c r="AV18" s="1">
        <f t="shared" si="4"/>
        <v>2.6087728052955534</v>
      </c>
      <c r="AW18" s="1">
        <f t="shared" si="5"/>
        <v>1.6373864361028108</v>
      </c>
    </row>
    <row r="19" spans="1:49" x14ac:dyDescent="0.2">
      <c r="A19">
        <v>17</v>
      </c>
      <c r="B19" t="s">
        <v>10451</v>
      </c>
      <c r="C19" t="s">
        <v>10450</v>
      </c>
      <c r="D19" t="s">
        <v>10449</v>
      </c>
      <c r="E19">
        <v>11743731</v>
      </c>
      <c r="F19" t="s">
        <v>10448</v>
      </c>
      <c r="G19" t="s">
        <v>6</v>
      </c>
      <c r="H19" t="s">
        <v>5</v>
      </c>
      <c r="I19" t="s">
        <v>10447</v>
      </c>
      <c r="J19">
        <v>60032256</v>
      </c>
      <c r="K19" t="s">
        <v>10446</v>
      </c>
      <c r="L19" t="s">
        <v>10445</v>
      </c>
      <c r="M19" t="s">
        <v>66</v>
      </c>
      <c r="N19">
        <v>3</v>
      </c>
      <c r="O19" t="s">
        <v>10444</v>
      </c>
      <c r="P19" t="s">
        <v>10443</v>
      </c>
      <c r="Q19" t="s">
        <v>10442</v>
      </c>
      <c r="R19" s="7">
        <v>37239</v>
      </c>
      <c r="S19" s="8">
        <f t="shared" si="0"/>
        <v>2001</v>
      </c>
      <c r="T19" s="8">
        <v>2001</v>
      </c>
      <c r="U19" s="8">
        <f t="shared" si="1"/>
        <v>21</v>
      </c>
      <c r="V19" s="7">
        <v>37239</v>
      </c>
      <c r="W19" t="s">
        <v>6718</v>
      </c>
      <c r="X19" s="2">
        <v>3.1890000000000001</v>
      </c>
      <c r="Y19" s="6">
        <f t="shared" si="6"/>
        <v>8.5128533675022031E-2</v>
      </c>
      <c r="AA19">
        <v>222836</v>
      </c>
      <c r="AB19">
        <v>17618</v>
      </c>
      <c r="AD19" t="s">
        <v>1</v>
      </c>
      <c r="AE19">
        <v>314</v>
      </c>
      <c r="AF19">
        <v>5</v>
      </c>
      <c r="AH19" t="s">
        <v>10441</v>
      </c>
      <c r="AI19" t="s">
        <v>10440</v>
      </c>
      <c r="AJ19" t="s">
        <v>10439</v>
      </c>
      <c r="AK19" t="s">
        <v>10438</v>
      </c>
      <c r="AL19">
        <v>130</v>
      </c>
      <c r="AM19" s="5">
        <f t="shared" si="2"/>
        <v>6.1904761904761907</v>
      </c>
      <c r="AN19" s="4">
        <f t="shared" si="7"/>
        <v>9.3759578803122925E-3</v>
      </c>
      <c r="AO19" s="3"/>
      <c r="AP19">
        <v>0</v>
      </c>
      <c r="AR19" t="s">
        <v>0</v>
      </c>
      <c r="AT19" s="2">
        <v>5.4690000000000003</v>
      </c>
      <c r="AU19" s="1">
        <f t="shared" si="3"/>
        <v>6.2402760936609107</v>
      </c>
      <c r="AV19" s="1">
        <f t="shared" si="4"/>
        <v>4.7252245777667161</v>
      </c>
      <c r="AW19" s="1">
        <f t="shared" si="5"/>
        <v>3.210173061872521</v>
      </c>
    </row>
    <row r="20" spans="1:49" x14ac:dyDescent="0.2">
      <c r="A20">
        <v>18</v>
      </c>
      <c r="B20" t="s">
        <v>10437</v>
      </c>
      <c r="C20" t="s">
        <v>10436</v>
      </c>
      <c r="F20" t="s">
        <v>10435</v>
      </c>
      <c r="G20" t="s">
        <v>6</v>
      </c>
      <c r="H20" t="s">
        <v>5</v>
      </c>
      <c r="I20" t="s">
        <v>5144</v>
      </c>
      <c r="J20" t="s">
        <v>10434</v>
      </c>
      <c r="K20" t="s">
        <v>10433</v>
      </c>
      <c r="L20" t="s">
        <v>10432</v>
      </c>
      <c r="M20" t="s">
        <v>10431</v>
      </c>
      <c r="N20">
        <v>4</v>
      </c>
      <c r="O20" t="s">
        <v>10430</v>
      </c>
      <c r="P20" t="s">
        <v>10429</v>
      </c>
      <c r="Q20" t="s">
        <v>10428</v>
      </c>
      <c r="R20" s="7">
        <v>37238</v>
      </c>
      <c r="S20" s="8">
        <f t="shared" si="0"/>
        <v>2001</v>
      </c>
      <c r="T20" s="8">
        <v>2001</v>
      </c>
      <c r="U20" s="8">
        <f t="shared" si="1"/>
        <v>21</v>
      </c>
      <c r="V20" s="7">
        <v>37238</v>
      </c>
      <c r="W20" t="s">
        <v>835</v>
      </c>
      <c r="X20" s="2">
        <v>0.86399999999999999</v>
      </c>
      <c r="Y20" s="6">
        <f t="shared" si="6"/>
        <v>2.3063986546007848E-2</v>
      </c>
      <c r="AA20">
        <v>10895647</v>
      </c>
      <c r="AB20">
        <v>26970</v>
      </c>
      <c r="AD20" t="s">
        <v>1</v>
      </c>
      <c r="AE20">
        <v>105</v>
      </c>
      <c r="AF20">
        <v>49</v>
      </c>
      <c r="AH20" t="s">
        <v>10427</v>
      </c>
      <c r="AI20" t="s">
        <v>10426</v>
      </c>
      <c r="AK20" t="s">
        <v>10425</v>
      </c>
      <c r="AL20">
        <v>36</v>
      </c>
      <c r="AM20" s="5">
        <f t="shared" si="2"/>
        <v>1.7142857142857142</v>
      </c>
      <c r="AN20" s="4">
        <f t="shared" si="7"/>
        <v>2.5964191053172497E-3</v>
      </c>
      <c r="AO20" s="3"/>
      <c r="AP20">
        <v>0</v>
      </c>
      <c r="AR20" t="s">
        <v>0</v>
      </c>
      <c r="AT20" s="2">
        <v>2.9910000000000001</v>
      </c>
      <c r="AU20" s="1">
        <f t="shared" si="3"/>
        <v>1.6923716313800667</v>
      </c>
      <c r="AV20" s="1">
        <f t="shared" si="4"/>
        <v>1.2830202825662549</v>
      </c>
      <c r="AW20" s="1">
        <f t="shared" si="5"/>
        <v>0.87366893375244292</v>
      </c>
    </row>
    <row r="21" spans="1:49" x14ac:dyDescent="0.2">
      <c r="A21">
        <v>19</v>
      </c>
      <c r="B21" t="s">
        <v>10424</v>
      </c>
      <c r="C21" t="s">
        <v>10423</v>
      </c>
      <c r="F21" t="s">
        <v>10422</v>
      </c>
      <c r="G21" t="s">
        <v>6</v>
      </c>
      <c r="H21" t="s">
        <v>5</v>
      </c>
      <c r="I21" t="s">
        <v>10421</v>
      </c>
      <c r="J21" t="s">
        <v>10416</v>
      </c>
      <c r="K21" t="s">
        <v>10420</v>
      </c>
      <c r="L21" t="s">
        <v>10419</v>
      </c>
      <c r="M21" t="s">
        <v>44</v>
      </c>
      <c r="N21">
        <v>2</v>
      </c>
      <c r="O21" t="s">
        <v>10418</v>
      </c>
      <c r="P21" t="s">
        <v>10417</v>
      </c>
      <c r="Q21" t="s">
        <v>10416</v>
      </c>
      <c r="R21" s="7">
        <v>37238</v>
      </c>
      <c r="S21" s="8">
        <f t="shared" si="0"/>
        <v>2001</v>
      </c>
      <c r="T21" s="8">
        <v>2001</v>
      </c>
      <c r="U21" s="8">
        <f t="shared" si="1"/>
        <v>21</v>
      </c>
      <c r="V21" s="7">
        <v>37238</v>
      </c>
      <c r="W21" t="s">
        <v>835</v>
      </c>
      <c r="X21" s="2">
        <v>0.86399999999999999</v>
      </c>
      <c r="Y21" s="6">
        <f t="shared" si="6"/>
        <v>2.3063986546007848E-2</v>
      </c>
      <c r="AA21">
        <v>10895647</v>
      </c>
      <c r="AB21">
        <v>26970</v>
      </c>
      <c r="AD21" t="s">
        <v>1</v>
      </c>
      <c r="AE21">
        <v>105</v>
      </c>
      <c r="AF21">
        <v>49</v>
      </c>
      <c r="AH21" t="s">
        <v>10415</v>
      </c>
      <c r="AI21" t="s">
        <v>10414</v>
      </c>
      <c r="AK21" t="s">
        <v>10413</v>
      </c>
      <c r="AL21">
        <v>16</v>
      </c>
      <c r="AM21" s="5">
        <f t="shared" si="2"/>
        <v>0.76190476190476186</v>
      </c>
      <c r="AN21" s="4">
        <f t="shared" si="7"/>
        <v>1.1539640468076666E-3</v>
      </c>
      <c r="AO21" s="3"/>
      <c r="AP21">
        <v>0</v>
      </c>
      <c r="AR21" t="s">
        <v>0</v>
      </c>
      <c r="AT21" s="2">
        <v>2.9910000000000001</v>
      </c>
      <c r="AU21" s="1">
        <f t="shared" si="3"/>
        <v>1.6490979796247793</v>
      </c>
      <c r="AV21" s="1">
        <f t="shared" si="4"/>
        <v>1.2108975296407758</v>
      </c>
      <c r="AW21" s="1">
        <f t="shared" si="5"/>
        <v>0.77269707965677215</v>
      </c>
    </row>
    <row r="22" spans="1:49" x14ac:dyDescent="0.2">
      <c r="A22">
        <v>20</v>
      </c>
      <c r="B22" t="s">
        <v>10412</v>
      </c>
      <c r="C22" t="s">
        <v>10411</v>
      </c>
      <c r="F22" t="s">
        <v>10410</v>
      </c>
      <c r="G22" t="s">
        <v>6</v>
      </c>
      <c r="H22" t="s">
        <v>5</v>
      </c>
      <c r="I22" t="s">
        <v>10409</v>
      </c>
      <c r="J22">
        <v>60008023</v>
      </c>
      <c r="K22" t="s">
        <v>1022</v>
      </c>
      <c r="L22" t="s">
        <v>1021</v>
      </c>
      <c r="M22" t="s">
        <v>3</v>
      </c>
      <c r="N22">
        <v>3</v>
      </c>
      <c r="O22" t="s">
        <v>10408</v>
      </c>
      <c r="P22" t="s">
        <v>10407</v>
      </c>
      <c r="Q22" t="s">
        <v>10406</v>
      </c>
      <c r="R22" s="7">
        <v>37238</v>
      </c>
      <c r="S22" s="8">
        <f t="shared" si="0"/>
        <v>2001</v>
      </c>
      <c r="T22" s="8">
        <v>2001</v>
      </c>
      <c r="U22" s="8">
        <f t="shared" si="1"/>
        <v>21</v>
      </c>
      <c r="V22" s="7">
        <v>37238</v>
      </c>
      <c r="W22" t="s">
        <v>835</v>
      </c>
      <c r="X22" s="2">
        <v>0.86399999999999999</v>
      </c>
      <c r="Y22" s="6">
        <f t="shared" si="6"/>
        <v>2.3063986546007848E-2</v>
      </c>
      <c r="AA22">
        <v>10895647</v>
      </c>
      <c r="AB22">
        <v>26970</v>
      </c>
      <c r="AD22" t="s">
        <v>1</v>
      </c>
      <c r="AE22">
        <v>105</v>
      </c>
      <c r="AF22">
        <v>49</v>
      </c>
      <c r="AH22" t="s">
        <v>10405</v>
      </c>
      <c r="AI22" t="s">
        <v>10404</v>
      </c>
      <c r="AK22" t="s">
        <v>10403</v>
      </c>
      <c r="AL22">
        <v>53</v>
      </c>
      <c r="AM22" s="5">
        <f t="shared" si="2"/>
        <v>2.5238095238095237</v>
      </c>
      <c r="AN22" s="4">
        <f t="shared" si="7"/>
        <v>3.8225059050503957E-3</v>
      </c>
      <c r="AO22" s="3"/>
      <c r="AP22">
        <v>0</v>
      </c>
      <c r="AR22" t="s">
        <v>0</v>
      </c>
      <c r="AT22" s="2">
        <v>2.9910000000000001</v>
      </c>
      <c r="AU22" s="1">
        <f t="shared" si="3"/>
        <v>1.7291542353720608</v>
      </c>
      <c r="AV22" s="1">
        <f t="shared" si="4"/>
        <v>1.3443246225529122</v>
      </c>
      <c r="AW22" s="1">
        <f t="shared" si="5"/>
        <v>0.95949500973376312</v>
      </c>
    </row>
    <row r="23" spans="1:49" x14ac:dyDescent="0.2">
      <c r="A23">
        <v>21</v>
      </c>
      <c r="B23" t="s">
        <v>10402</v>
      </c>
      <c r="C23" t="s">
        <v>10401</v>
      </c>
      <c r="F23" t="s">
        <v>10400</v>
      </c>
      <c r="G23" t="s">
        <v>6</v>
      </c>
      <c r="H23" t="s">
        <v>5</v>
      </c>
      <c r="I23" t="s">
        <v>717</v>
      </c>
      <c r="J23" t="s">
        <v>716</v>
      </c>
      <c r="K23" t="s">
        <v>715</v>
      </c>
      <c r="L23" t="s">
        <v>714</v>
      </c>
      <c r="M23" t="s">
        <v>713</v>
      </c>
      <c r="N23">
        <v>3</v>
      </c>
      <c r="O23" t="s">
        <v>10399</v>
      </c>
      <c r="P23" t="s">
        <v>10398</v>
      </c>
      <c r="Q23" t="s">
        <v>10397</v>
      </c>
      <c r="R23" s="7">
        <v>37236</v>
      </c>
      <c r="S23" s="8">
        <f t="shared" si="0"/>
        <v>2001</v>
      </c>
      <c r="T23" s="8">
        <v>2001</v>
      </c>
      <c r="U23" s="8">
        <f t="shared" si="1"/>
        <v>21</v>
      </c>
      <c r="V23" s="7">
        <v>37236</v>
      </c>
      <c r="W23" t="s">
        <v>712</v>
      </c>
      <c r="X23" s="2">
        <v>2.0579999999999998</v>
      </c>
      <c r="Y23" s="6">
        <f t="shared" si="6"/>
        <v>5.4937134620004803E-2</v>
      </c>
      <c r="AA23">
        <v>358711</v>
      </c>
      <c r="AB23">
        <v>28218</v>
      </c>
      <c r="AD23" t="s">
        <v>1</v>
      </c>
      <c r="AE23">
        <v>328</v>
      </c>
      <c r="AF23">
        <v>3</v>
      </c>
      <c r="AH23" t="s">
        <v>10396</v>
      </c>
      <c r="AI23" t="s">
        <v>10395</v>
      </c>
      <c r="AJ23" t="s">
        <v>10394</v>
      </c>
      <c r="AK23" t="s">
        <v>10393</v>
      </c>
      <c r="AL23">
        <v>13</v>
      </c>
      <c r="AM23" s="5">
        <f t="shared" si="2"/>
        <v>0.61904761904761907</v>
      </c>
      <c r="AN23" s="4">
        <f t="shared" si="7"/>
        <v>9.3759578803122919E-4</v>
      </c>
      <c r="AO23" s="3"/>
      <c r="AP23">
        <v>1</v>
      </c>
      <c r="AR23" t="s">
        <v>0</v>
      </c>
      <c r="AT23" s="2" t="s">
        <v>7</v>
      </c>
      <c r="AU23" s="1">
        <f t="shared" si="3"/>
        <v>3.8737272970412726</v>
      </c>
      <c r="AV23" s="1">
        <f t="shared" si="4"/>
        <v>2.7937365204018016</v>
      </c>
      <c r="AW23" s="1">
        <f t="shared" si="5"/>
        <v>1.71374574376233</v>
      </c>
    </row>
    <row r="24" spans="1:49" x14ac:dyDescent="0.2">
      <c r="A24">
        <v>22</v>
      </c>
      <c r="B24" t="s">
        <v>10392</v>
      </c>
      <c r="C24" t="s">
        <v>10391</v>
      </c>
      <c r="E24">
        <v>11581262</v>
      </c>
      <c r="F24" t="s">
        <v>10390</v>
      </c>
      <c r="G24" t="s">
        <v>6</v>
      </c>
      <c r="H24" t="s">
        <v>5</v>
      </c>
      <c r="I24" t="s">
        <v>10389</v>
      </c>
      <c r="J24" t="s">
        <v>10388</v>
      </c>
      <c r="K24" t="s">
        <v>10387</v>
      </c>
      <c r="L24" t="s">
        <v>10386</v>
      </c>
      <c r="M24" t="s">
        <v>10385</v>
      </c>
      <c r="N24">
        <v>3</v>
      </c>
      <c r="O24" t="s">
        <v>10384</v>
      </c>
      <c r="P24" t="s">
        <v>10383</v>
      </c>
      <c r="Q24" t="s">
        <v>10382</v>
      </c>
      <c r="R24" s="7">
        <v>37232</v>
      </c>
      <c r="S24" s="8">
        <f t="shared" si="0"/>
        <v>2001</v>
      </c>
      <c r="T24" s="8">
        <v>2001</v>
      </c>
      <c r="U24" s="8">
        <f t="shared" si="1"/>
        <v>21</v>
      </c>
      <c r="V24" s="7">
        <v>37232</v>
      </c>
      <c r="W24" t="s">
        <v>784</v>
      </c>
      <c r="X24" s="2">
        <v>2.3610000000000002</v>
      </c>
      <c r="Y24" s="6">
        <f t="shared" si="6"/>
        <v>6.3025546568431179E-2</v>
      </c>
      <c r="AA24">
        <v>219258</v>
      </c>
      <c r="AB24">
        <v>17592</v>
      </c>
      <c r="AD24" t="s">
        <v>1</v>
      </c>
      <c r="AE24">
        <v>276</v>
      </c>
      <c r="AF24">
        <v>49</v>
      </c>
      <c r="AH24" t="s">
        <v>10381</v>
      </c>
      <c r="AI24" t="s">
        <v>10380</v>
      </c>
      <c r="AK24" t="s">
        <v>10379</v>
      </c>
      <c r="AL24">
        <v>27</v>
      </c>
      <c r="AM24" s="5">
        <f t="shared" si="2"/>
        <v>1.2857142857142858</v>
      </c>
      <c r="AN24" s="4">
        <f t="shared" si="7"/>
        <v>1.9473143289879377E-3</v>
      </c>
      <c r="AO24" s="3"/>
      <c r="AP24">
        <v>1</v>
      </c>
      <c r="AR24" t="s">
        <v>0</v>
      </c>
      <c r="AT24" s="2">
        <v>5.157</v>
      </c>
      <c r="AU24" s="1">
        <f t="shared" si="3"/>
        <v>4.4702076896598202</v>
      </c>
      <c r="AV24" s="1">
        <f t="shared" si="4"/>
        <v>3.2486430448709558</v>
      </c>
      <c r="AW24" s="1">
        <f t="shared" si="5"/>
        <v>2.0270784000820909</v>
      </c>
    </row>
    <row r="25" spans="1:49" x14ac:dyDescent="0.2">
      <c r="A25">
        <v>23</v>
      </c>
      <c r="B25" t="s">
        <v>10378</v>
      </c>
      <c r="C25" t="s">
        <v>10377</v>
      </c>
      <c r="D25" t="s">
        <v>10376</v>
      </c>
      <c r="E25">
        <v>11765084</v>
      </c>
      <c r="F25" t="s">
        <v>10375</v>
      </c>
      <c r="G25" t="s">
        <v>6</v>
      </c>
      <c r="H25" t="s">
        <v>5</v>
      </c>
      <c r="I25" t="s">
        <v>10374</v>
      </c>
      <c r="J25">
        <v>60013722</v>
      </c>
      <c r="K25" t="s">
        <v>10373</v>
      </c>
      <c r="L25" t="s">
        <v>9061</v>
      </c>
      <c r="M25" t="s">
        <v>26</v>
      </c>
      <c r="N25">
        <v>2</v>
      </c>
      <c r="O25" t="s">
        <v>10372</v>
      </c>
      <c r="P25" t="s">
        <v>10371</v>
      </c>
      <c r="Q25" t="s">
        <v>10370</v>
      </c>
      <c r="R25" s="7">
        <v>37232</v>
      </c>
      <c r="S25" s="8">
        <f t="shared" si="0"/>
        <v>2001</v>
      </c>
      <c r="T25" s="8">
        <v>2001</v>
      </c>
      <c r="U25" s="8">
        <f t="shared" si="1"/>
        <v>21</v>
      </c>
      <c r="V25" s="7">
        <v>37232</v>
      </c>
      <c r="W25" t="s">
        <v>851</v>
      </c>
      <c r="X25" s="2">
        <v>1.0109999999999999</v>
      </c>
      <c r="Y25" s="6">
        <f t="shared" si="6"/>
        <v>2.6988067590293905E-2</v>
      </c>
      <c r="AA25">
        <v>219673</v>
      </c>
      <c r="AB25">
        <v>130000</v>
      </c>
      <c r="AD25" t="s">
        <v>1</v>
      </c>
      <c r="AE25">
        <v>937</v>
      </c>
      <c r="AF25" s="10">
        <v>44228</v>
      </c>
      <c r="AH25" t="s">
        <v>678</v>
      </c>
      <c r="AI25" t="s">
        <v>10369</v>
      </c>
      <c r="AJ25" t="s">
        <v>10368</v>
      </c>
      <c r="AK25" t="s">
        <v>10367</v>
      </c>
      <c r="AL25">
        <v>78</v>
      </c>
      <c r="AM25" s="5">
        <f t="shared" si="2"/>
        <v>3.7142857142857144</v>
      </c>
      <c r="AN25" s="4">
        <f t="shared" si="7"/>
        <v>5.6255747281873754E-3</v>
      </c>
      <c r="AO25" s="3"/>
      <c r="AP25">
        <v>0</v>
      </c>
      <c r="AR25" t="s">
        <v>0</v>
      </c>
      <c r="AT25" s="2">
        <v>4.7590000000000003</v>
      </c>
      <c r="AU25" s="1">
        <f t="shared" si="3"/>
        <v>2.0579319731661947</v>
      </c>
      <c r="AV25" s="1">
        <f t="shared" si="4"/>
        <v>1.6306821159240641</v>
      </c>
      <c r="AW25" s="1">
        <f t="shared" si="5"/>
        <v>1.2034322586819335</v>
      </c>
    </row>
    <row r="26" spans="1:49" x14ac:dyDescent="0.2">
      <c r="A26">
        <v>24</v>
      </c>
      <c r="B26" t="s">
        <v>10366</v>
      </c>
      <c r="C26" t="s">
        <v>10365</v>
      </c>
      <c r="F26" t="s">
        <v>10364</v>
      </c>
      <c r="G26" t="s">
        <v>6</v>
      </c>
      <c r="H26" t="s">
        <v>5</v>
      </c>
      <c r="I26" t="s">
        <v>10363</v>
      </c>
      <c r="J26" t="s">
        <v>10362</v>
      </c>
      <c r="K26" t="s">
        <v>10361</v>
      </c>
      <c r="L26" t="s">
        <v>10360</v>
      </c>
      <c r="M26" t="s">
        <v>5331</v>
      </c>
      <c r="N26">
        <v>5</v>
      </c>
      <c r="O26" t="s">
        <v>10359</v>
      </c>
      <c r="P26" t="s">
        <v>10358</v>
      </c>
      <c r="Q26" t="s">
        <v>10357</v>
      </c>
      <c r="R26" s="7">
        <v>37231</v>
      </c>
      <c r="S26" s="8">
        <f t="shared" si="0"/>
        <v>2001</v>
      </c>
      <c r="T26" s="8">
        <v>2001</v>
      </c>
      <c r="U26" s="8">
        <f t="shared" si="1"/>
        <v>21</v>
      </c>
      <c r="V26" s="7">
        <v>37231</v>
      </c>
      <c r="W26" t="s">
        <v>835</v>
      </c>
      <c r="X26" s="2">
        <v>0.86399999999999999</v>
      </c>
      <c r="Y26" s="6">
        <f t="shared" si="6"/>
        <v>2.3063986546007848E-2</v>
      </c>
      <c r="AA26">
        <v>10895647</v>
      </c>
      <c r="AB26">
        <v>26970</v>
      </c>
      <c r="AD26" t="s">
        <v>1</v>
      </c>
      <c r="AE26">
        <v>105</v>
      </c>
      <c r="AF26">
        <v>48</v>
      </c>
      <c r="AH26" t="s">
        <v>10356</v>
      </c>
      <c r="AI26" t="s">
        <v>10355</v>
      </c>
      <c r="AK26" t="s">
        <v>10354</v>
      </c>
      <c r="AL26">
        <v>31</v>
      </c>
      <c r="AM26" s="5">
        <f t="shared" si="2"/>
        <v>1.4761904761904763</v>
      </c>
      <c r="AN26" s="4">
        <f t="shared" si="7"/>
        <v>2.2358053406898544E-3</v>
      </c>
      <c r="AO26" s="3"/>
      <c r="AP26">
        <v>0</v>
      </c>
      <c r="AR26" t="s">
        <v>0</v>
      </c>
      <c r="AT26" s="2">
        <v>2.9910000000000001</v>
      </c>
      <c r="AU26" s="1">
        <f t="shared" si="3"/>
        <v>1.6815532184412447</v>
      </c>
      <c r="AV26" s="1">
        <f t="shared" si="4"/>
        <v>1.2649895943348852</v>
      </c>
      <c r="AW26" s="1">
        <f t="shared" si="5"/>
        <v>0.84842597022852517</v>
      </c>
    </row>
    <row r="27" spans="1:49" x14ac:dyDescent="0.2">
      <c r="A27">
        <v>25</v>
      </c>
      <c r="B27" t="s">
        <v>10353</v>
      </c>
      <c r="C27" t="s">
        <v>10352</v>
      </c>
      <c r="F27" t="s">
        <v>10351</v>
      </c>
      <c r="G27" t="s">
        <v>6</v>
      </c>
      <c r="H27" t="s">
        <v>5</v>
      </c>
      <c r="I27" t="s">
        <v>861</v>
      </c>
      <c r="J27">
        <v>60110755</v>
      </c>
      <c r="K27" t="s">
        <v>860</v>
      </c>
      <c r="L27" t="s">
        <v>859</v>
      </c>
      <c r="M27" t="s">
        <v>87</v>
      </c>
      <c r="N27">
        <v>1</v>
      </c>
      <c r="O27" t="s">
        <v>858</v>
      </c>
      <c r="P27">
        <v>7003360986</v>
      </c>
      <c r="Q27">
        <v>60110755</v>
      </c>
      <c r="R27" s="7">
        <v>37231</v>
      </c>
      <c r="S27" s="8">
        <f t="shared" si="0"/>
        <v>2001</v>
      </c>
      <c r="T27" s="8">
        <v>2001</v>
      </c>
      <c r="U27" s="8">
        <f t="shared" si="1"/>
        <v>21</v>
      </c>
      <c r="V27" s="7">
        <v>37231</v>
      </c>
      <c r="W27" t="s">
        <v>698</v>
      </c>
      <c r="X27" s="2">
        <v>0.375</v>
      </c>
      <c r="Y27" s="6">
        <f t="shared" si="6"/>
        <v>1.0010410827260351E-2</v>
      </c>
      <c r="AA27">
        <v>135194</v>
      </c>
      <c r="AB27">
        <v>24918</v>
      </c>
      <c r="AD27" t="s">
        <v>1</v>
      </c>
      <c r="AE27">
        <v>37</v>
      </c>
      <c r="AF27">
        <v>25</v>
      </c>
      <c r="AH27" t="s">
        <v>10350</v>
      </c>
      <c r="AI27" t="s">
        <v>10349</v>
      </c>
      <c r="AK27" t="s">
        <v>10348</v>
      </c>
      <c r="AL27">
        <v>37</v>
      </c>
      <c r="AM27" s="5">
        <f t="shared" si="2"/>
        <v>1.7619047619047619</v>
      </c>
      <c r="AN27" s="4">
        <f t="shared" si="7"/>
        <v>2.668541858242729E-3</v>
      </c>
      <c r="AO27" s="3"/>
      <c r="AP27">
        <v>0</v>
      </c>
      <c r="AR27" t="s">
        <v>0</v>
      </c>
      <c r="AT27" s="2">
        <v>1.3140000000000001</v>
      </c>
      <c r="AU27" s="1">
        <f t="shared" si="3"/>
        <v>0.78078501365550634</v>
      </c>
      <c r="AV27" s="1">
        <f t="shared" si="4"/>
        <v>0.63394763427515399</v>
      </c>
      <c r="AW27" s="1">
        <f t="shared" si="5"/>
        <v>0.48711025489480153</v>
      </c>
    </row>
    <row r="28" spans="1:49" x14ac:dyDescent="0.2">
      <c r="A28">
        <v>26</v>
      </c>
      <c r="B28" t="s">
        <v>10347</v>
      </c>
      <c r="C28" t="s">
        <v>10346</v>
      </c>
      <c r="F28" t="s">
        <v>10345</v>
      </c>
      <c r="G28" t="s">
        <v>6</v>
      </c>
      <c r="H28" t="s">
        <v>5</v>
      </c>
      <c r="I28" t="s">
        <v>10344</v>
      </c>
      <c r="J28">
        <v>60005049</v>
      </c>
      <c r="K28" t="s">
        <v>356</v>
      </c>
      <c r="L28" t="s">
        <v>319</v>
      </c>
      <c r="M28" t="s">
        <v>87</v>
      </c>
      <c r="N28">
        <v>3</v>
      </c>
      <c r="O28" t="s">
        <v>10343</v>
      </c>
      <c r="P28" t="s">
        <v>10342</v>
      </c>
      <c r="Q28" t="s">
        <v>359</v>
      </c>
      <c r="R28" s="7">
        <v>37231</v>
      </c>
      <c r="S28" s="8">
        <f t="shared" si="0"/>
        <v>2001</v>
      </c>
      <c r="T28" s="8">
        <v>2001</v>
      </c>
      <c r="U28" s="8">
        <f t="shared" si="1"/>
        <v>21</v>
      </c>
      <c r="V28" s="7">
        <v>37231</v>
      </c>
      <c r="W28" t="s">
        <v>698</v>
      </c>
      <c r="X28" s="2">
        <v>0.375</v>
      </c>
      <c r="Y28" s="6">
        <f t="shared" si="6"/>
        <v>1.0010410827260351E-2</v>
      </c>
      <c r="AA28">
        <v>135194</v>
      </c>
      <c r="AB28">
        <v>24918</v>
      </c>
      <c r="AD28" t="s">
        <v>1</v>
      </c>
      <c r="AE28">
        <v>37</v>
      </c>
      <c r="AF28">
        <v>25</v>
      </c>
      <c r="AH28" t="s">
        <v>10341</v>
      </c>
      <c r="AI28" t="s">
        <v>10340</v>
      </c>
      <c r="AK28" t="s">
        <v>10339</v>
      </c>
      <c r="AL28">
        <v>11</v>
      </c>
      <c r="AM28" s="5">
        <f t="shared" si="2"/>
        <v>0.52380952380952384</v>
      </c>
      <c r="AN28" s="4">
        <f t="shared" si="7"/>
        <v>7.9335028218027086E-4</v>
      </c>
      <c r="AO28" s="3"/>
      <c r="AP28">
        <v>0</v>
      </c>
      <c r="AR28" t="s">
        <v>0</v>
      </c>
      <c r="AT28" s="2">
        <v>1.3140000000000001</v>
      </c>
      <c r="AU28" s="1">
        <f t="shared" si="3"/>
        <v>0.72452926637363269</v>
      </c>
      <c r="AV28" s="1">
        <f t="shared" si="4"/>
        <v>0.54018805547203108</v>
      </c>
      <c r="AW28" s="1">
        <f t="shared" si="5"/>
        <v>0.35584684457042948</v>
      </c>
    </row>
    <row r="29" spans="1:49" x14ac:dyDescent="0.2">
      <c r="A29">
        <v>27</v>
      </c>
      <c r="B29" t="s">
        <v>10338</v>
      </c>
      <c r="C29" t="s">
        <v>10337</v>
      </c>
      <c r="F29" t="s">
        <v>10336</v>
      </c>
      <c r="G29" t="s">
        <v>6</v>
      </c>
      <c r="H29" t="s">
        <v>5</v>
      </c>
      <c r="I29" t="s">
        <v>10335</v>
      </c>
      <c r="J29">
        <v>60020650</v>
      </c>
      <c r="K29" t="s">
        <v>871</v>
      </c>
      <c r="L29" t="s">
        <v>870</v>
      </c>
      <c r="M29" t="s">
        <v>37</v>
      </c>
      <c r="N29">
        <v>4</v>
      </c>
      <c r="O29" t="s">
        <v>10334</v>
      </c>
      <c r="P29" t="s">
        <v>10333</v>
      </c>
      <c r="Q29" t="s">
        <v>3757</v>
      </c>
      <c r="R29" s="7">
        <v>37231</v>
      </c>
      <c r="S29" s="8">
        <f t="shared" si="0"/>
        <v>2001</v>
      </c>
      <c r="T29" s="8">
        <v>2001</v>
      </c>
      <c r="U29" s="8">
        <f t="shared" si="1"/>
        <v>21</v>
      </c>
      <c r="V29" s="7">
        <v>37231</v>
      </c>
      <c r="W29" t="s">
        <v>698</v>
      </c>
      <c r="X29" s="2">
        <v>0.375</v>
      </c>
      <c r="Y29" s="6">
        <f t="shared" si="6"/>
        <v>1.0010410827260351E-2</v>
      </c>
      <c r="AA29">
        <v>135194</v>
      </c>
      <c r="AB29">
        <v>24918</v>
      </c>
      <c r="AD29" t="s">
        <v>1</v>
      </c>
      <c r="AE29">
        <v>37</v>
      </c>
      <c r="AF29">
        <v>25</v>
      </c>
      <c r="AH29" t="s">
        <v>10332</v>
      </c>
      <c r="AI29" t="s">
        <v>10331</v>
      </c>
      <c r="AK29" t="s">
        <v>10330</v>
      </c>
      <c r="AL29">
        <v>5</v>
      </c>
      <c r="AM29" s="5">
        <f t="shared" si="2"/>
        <v>0.23809523809523808</v>
      </c>
      <c r="AN29" s="4">
        <f t="shared" si="7"/>
        <v>3.6061376462739582E-4</v>
      </c>
      <c r="AO29" s="3"/>
      <c r="AP29">
        <v>0</v>
      </c>
      <c r="AR29" t="s">
        <v>0</v>
      </c>
      <c r="AT29" s="2">
        <v>1.3140000000000001</v>
      </c>
      <c r="AU29" s="1">
        <f t="shared" si="3"/>
        <v>0.71154717084704644</v>
      </c>
      <c r="AV29" s="1">
        <f t="shared" si="4"/>
        <v>0.51855122959438738</v>
      </c>
      <c r="AW29" s="1">
        <f t="shared" si="5"/>
        <v>0.3255552883417282</v>
      </c>
    </row>
    <row r="30" spans="1:49" x14ac:dyDescent="0.2">
      <c r="A30">
        <v>28</v>
      </c>
      <c r="B30" t="s">
        <v>10329</v>
      </c>
      <c r="C30" t="s">
        <v>10328</v>
      </c>
      <c r="F30" t="s">
        <v>10327</v>
      </c>
      <c r="G30" t="s">
        <v>6</v>
      </c>
      <c r="H30" t="s">
        <v>5</v>
      </c>
      <c r="I30" t="s">
        <v>10326</v>
      </c>
      <c r="J30">
        <v>60028419</v>
      </c>
      <c r="K30" t="s">
        <v>545</v>
      </c>
      <c r="L30" t="s">
        <v>544</v>
      </c>
      <c r="M30" t="s">
        <v>194</v>
      </c>
      <c r="N30">
        <v>4</v>
      </c>
      <c r="O30" t="s">
        <v>10325</v>
      </c>
      <c r="P30" t="s">
        <v>10324</v>
      </c>
      <c r="Q30" t="s">
        <v>543</v>
      </c>
      <c r="R30" s="7">
        <v>37231</v>
      </c>
      <c r="S30" s="8">
        <f t="shared" si="0"/>
        <v>2001</v>
      </c>
      <c r="T30" s="8">
        <v>2001</v>
      </c>
      <c r="U30" s="8">
        <f t="shared" si="1"/>
        <v>21</v>
      </c>
      <c r="V30" s="7">
        <v>37231</v>
      </c>
      <c r="W30" t="s">
        <v>698</v>
      </c>
      <c r="X30" s="2">
        <v>0.375</v>
      </c>
      <c r="Y30" s="6">
        <f t="shared" si="6"/>
        <v>1.0010410827260351E-2</v>
      </c>
      <c r="AA30">
        <v>135194</v>
      </c>
      <c r="AB30">
        <v>24918</v>
      </c>
      <c r="AD30" t="s">
        <v>1</v>
      </c>
      <c r="AE30">
        <v>37</v>
      </c>
      <c r="AF30">
        <v>25</v>
      </c>
      <c r="AH30" t="s">
        <v>10323</v>
      </c>
      <c r="AI30" t="s">
        <v>10322</v>
      </c>
      <c r="AK30" t="s">
        <v>10321</v>
      </c>
      <c r="AL30">
        <v>15</v>
      </c>
      <c r="AM30" s="5">
        <f t="shared" si="2"/>
        <v>0.7142857142857143</v>
      </c>
      <c r="AN30" s="4">
        <f t="shared" si="7"/>
        <v>1.0818412938821875E-3</v>
      </c>
      <c r="AO30" s="3"/>
      <c r="AP30">
        <v>0</v>
      </c>
      <c r="AR30" t="s">
        <v>0</v>
      </c>
      <c r="AT30" s="2">
        <v>1.3140000000000001</v>
      </c>
      <c r="AU30" s="1">
        <f t="shared" si="3"/>
        <v>0.73318399672469026</v>
      </c>
      <c r="AV30" s="1">
        <f t="shared" si="4"/>
        <v>0.55461260605712692</v>
      </c>
      <c r="AW30" s="1">
        <f t="shared" si="5"/>
        <v>0.37604121538956359</v>
      </c>
    </row>
    <row r="31" spans="1:49" x14ac:dyDescent="0.2">
      <c r="A31">
        <v>29</v>
      </c>
      <c r="B31" t="s">
        <v>10320</v>
      </c>
      <c r="C31" t="s">
        <v>10319</v>
      </c>
      <c r="F31" t="s">
        <v>10318</v>
      </c>
      <c r="G31" t="s">
        <v>6</v>
      </c>
      <c r="H31" t="s">
        <v>5</v>
      </c>
      <c r="I31" t="s">
        <v>10317</v>
      </c>
      <c r="J31">
        <v>60016005</v>
      </c>
      <c r="K31" t="s">
        <v>10316</v>
      </c>
      <c r="L31" t="s">
        <v>10315</v>
      </c>
      <c r="M31" t="s">
        <v>126</v>
      </c>
      <c r="N31">
        <v>3</v>
      </c>
      <c r="O31" t="s">
        <v>10314</v>
      </c>
      <c r="P31" t="s">
        <v>10313</v>
      </c>
      <c r="Q31" t="s">
        <v>10312</v>
      </c>
      <c r="R31" s="7">
        <v>37231</v>
      </c>
      <c r="S31" s="8">
        <f t="shared" si="0"/>
        <v>2001</v>
      </c>
      <c r="T31" s="8">
        <v>2001</v>
      </c>
      <c r="U31" s="8">
        <f t="shared" si="1"/>
        <v>21</v>
      </c>
      <c r="V31" s="7">
        <v>37231</v>
      </c>
      <c r="W31" t="s">
        <v>698</v>
      </c>
      <c r="X31" s="2">
        <v>0.375</v>
      </c>
      <c r="Y31" s="6">
        <f t="shared" si="6"/>
        <v>1.0010410827260351E-2</v>
      </c>
      <c r="AA31">
        <v>135194</v>
      </c>
      <c r="AB31">
        <v>24918</v>
      </c>
      <c r="AD31" t="s">
        <v>1</v>
      </c>
      <c r="AE31">
        <v>37</v>
      </c>
      <c r="AF31">
        <v>25</v>
      </c>
      <c r="AH31" t="s">
        <v>10311</v>
      </c>
      <c r="AI31" t="s">
        <v>10310</v>
      </c>
      <c r="AK31" t="s">
        <v>10309</v>
      </c>
      <c r="AL31">
        <v>3</v>
      </c>
      <c r="AM31" s="5">
        <f t="shared" si="2"/>
        <v>0.14285714285714285</v>
      </c>
      <c r="AN31" s="4">
        <f t="shared" si="7"/>
        <v>2.1636825877643749E-4</v>
      </c>
      <c r="AO31" s="3"/>
      <c r="AP31">
        <v>0</v>
      </c>
      <c r="AR31" t="s">
        <v>0</v>
      </c>
      <c r="AT31" s="2">
        <v>1.3140000000000001</v>
      </c>
      <c r="AU31" s="1">
        <f t="shared" si="3"/>
        <v>0.70721980567151765</v>
      </c>
      <c r="AV31" s="1">
        <f t="shared" si="4"/>
        <v>0.5113389543018394</v>
      </c>
      <c r="AW31" s="1">
        <f t="shared" si="5"/>
        <v>0.31545810293216114</v>
      </c>
    </row>
    <row r="32" spans="1:49" x14ac:dyDescent="0.2">
      <c r="A32">
        <v>30</v>
      </c>
      <c r="B32" t="s">
        <v>10308</v>
      </c>
      <c r="C32" t="s">
        <v>10307</v>
      </c>
      <c r="F32" t="s">
        <v>10306</v>
      </c>
      <c r="G32" t="s">
        <v>6</v>
      </c>
      <c r="H32" t="s">
        <v>5</v>
      </c>
      <c r="I32" t="s">
        <v>331</v>
      </c>
      <c r="J32" t="s">
        <v>697</v>
      </c>
      <c r="K32" t="s">
        <v>696</v>
      </c>
      <c r="L32" t="s">
        <v>695</v>
      </c>
      <c r="M32" t="s">
        <v>44</v>
      </c>
      <c r="N32">
        <v>3</v>
      </c>
      <c r="O32" t="s">
        <v>10305</v>
      </c>
      <c r="P32" t="s">
        <v>10304</v>
      </c>
      <c r="Q32" t="s">
        <v>10303</v>
      </c>
      <c r="R32" s="7">
        <v>37230</v>
      </c>
      <c r="S32" s="8">
        <f t="shared" si="0"/>
        <v>2001</v>
      </c>
      <c r="T32" s="8">
        <v>2001</v>
      </c>
      <c r="U32" s="8">
        <f t="shared" si="1"/>
        <v>21</v>
      </c>
      <c r="V32" s="7">
        <v>37230</v>
      </c>
      <c r="W32" t="s">
        <v>290</v>
      </c>
      <c r="X32" s="2">
        <v>0.30399999999999999</v>
      </c>
      <c r="Y32" s="6">
        <f t="shared" si="6"/>
        <v>8.115106377299057E-3</v>
      </c>
      <c r="AA32">
        <v>8952477</v>
      </c>
      <c r="AB32">
        <v>12250</v>
      </c>
      <c r="AD32" t="s">
        <v>1</v>
      </c>
      <c r="AE32">
        <v>31</v>
      </c>
      <c r="AF32">
        <v>5</v>
      </c>
      <c r="AH32" t="s">
        <v>10302</v>
      </c>
      <c r="AI32" t="s">
        <v>10301</v>
      </c>
      <c r="AJ32" t="s">
        <v>10300</v>
      </c>
      <c r="AK32" t="s">
        <v>10299</v>
      </c>
      <c r="AL32">
        <v>3</v>
      </c>
      <c r="AM32" s="5">
        <f t="shared" si="2"/>
        <v>0.14285714285714285</v>
      </c>
      <c r="AN32" s="4">
        <f t="shared" si="7"/>
        <v>2.1636825877643749E-4</v>
      </c>
      <c r="AO32" s="3"/>
      <c r="AP32">
        <v>0</v>
      </c>
      <c r="AR32" t="s">
        <v>0</v>
      </c>
      <c r="AT32" s="2" t="s">
        <v>7</v>
      </c>
      <c r="AU32" s="1">
        <f t="shared" si="3"/>
        <v>0.57454849417422704</v>
      </c>
      <c r="AV32" s="1">
        <f t="shared" si="4"/>
        <v>0.41657373180377472</v>
      </c>
      <c r="AW32" s="1">
        <f t="shared" si="5"/>
        <v>0.25859896943332233</v>
      </c>
    </row>
    <row r="33" spans="1:49" x14ac:dyDescent="0.2">
      <c r="A33">
        <v>31</v>
      </c>
      <c r="B33" t="s">
        <v>10298</v>
      </c>
      <c r="C33" t="s">
        <v>10297</v>
      </c>
      <c r="F33" t="s">
        <v>10296</v>
      </c>
      <c r="G33" t="s">
        <v>6</v>
      </c>
      <c r="H33" t="s">
        <v>5</v>
      </c>
      <c r="I33" t="s">
        <v>10295</v>
      </c>
      <c r="J33">
        <v>60031544</v>
      </c>
      <c r="K33" t="s">
        <v>908</v>
      </c>
      <c r="L33" t="s">
        <v>907</v>
      </c>
      <c r="M33" t="s">
        <v>80</v>
      </c>
      <c r="N33">
        <v>4</v>
      </c>
      <c r="O33" t="s">
        <v>10294</v>
      </c>
      <c r="P33" t="s">
        <v>10293</v>
      </c>
      <c r="Q33" t="s">
        <v>906</v>
      </c>
      <c r="R33" s="7">
        <v>37230</v>
      </c>
      <c r="S33" s="8">
        <f t="shared" si="0"/>
        <v>2001</v>
      </c>
      <c r="T33" s="8">
        <v>2001</v>
      </c>
      <c r="U33" s="8">
        <f t="shared" si="1"/>
        <v>21</v>
      </c>
      <c r="V33" s="7">
        <v>37230</v>
      </c>
      <c r="W33" t="s">
        <v>290</v>
      </c>
      <c r="X33" s="2">
        <v>0.30399999999999999</v>
      </c>
      <c r="Y33" s="6">
        <f t="shared" si="6"/>
        <v>8.115106377299057E-3</v>
      </c>
      <c r="AA33">
        <v>8952477</v>
      </c>
      <c r="AB33">
        <v>12250</v>
      </c>
      <c r="AD33" t="s">
        <v>1</v>
      </c>
      <c r="AE33">
        <v>31</v>
      </c>
      <c r="AF33">
        <v>5</v>
      </c>
      <c r="AH33" t="s">
        <v>10292</v>
      </c>
      <c r="AI33" t="s">
        <v>10291</v>
      </c>
      <c r="AJ33" t="s">
        <v>10290</v>
      </c>
      <c r="AK33" t="s">
        <v>10289</v>
      </c>
      <c r="AL33">
        <v>6</v>
      </c>
      <c r="AM33" s="5">
        <f t="shared" si="2"/>
        <v>0.2857142857142857</v>
      </c>
      <c r="AN33" s="4">
        <f t="shared" si="7"/>
        <v>4.3273651755287499E-4</v>
      </c>
      <c r="AO33" s="3"/>
      <c r="AP33">
        <v>0</v>
      </c>
      <c r="AR33" t="s">
        <v>0</v>
      </c>
      <c r="AT33" s="2" t="s">
        <v>7</v>
      </c>
      <c r="AU33" s="1">
        <f t="shared" si="3"/>
        <v>0.58103954193752017</v>
      </c>
      <c r="AV33" s="1">
        <f t="shared" si="4"/>
        <v>0.42739214474259662</v>
      </c>
      <c r="AW33" s="1">
        <f t="shared" si="5"/>
        <v>0.27374474754767297</v>
      </c>
    </row>
    <row r="34" spans="1:49" x14ac:dyDescent="0.2">
      <c r="A34">
        <v>32</v>
      </c>
      <c r="B34" t="s">
        <v>10288</v>
      </c>
      <c r="C34" t="s">
        <v>10287</v>
      </c>
      <c r="F34" t="s">
        <v>10286</v>
      </c>
      <c r="G34" t="s">
        <v>6</v>
      </c>
      <c r="H34" t="s">
        <v>5</v>
      </c>
      <c r="I34" t="s">
        <v>10285</v>
      </c>
      <c r="J34" t="s">
        <v>10284</v>
      </c>
      <c r="K34" t="s">
        <v>10283</v>
      </c>
      <c r="L34" t="s">
        <v>10282</v>
      </c>
      <c r="M34" t="s">
        <v>412</v>
      </c>
      <c r="N34">
        <v>3</v>
      </c>
      <c r="O34" t="s">
        <v>10281</v>
      </c>
      <c r="P34" t="s">
        <v>10280</v>
      </c>
      <c r="Q34" t="s">
        <v>10279</v>
      </c>
      <c r="R34" s="7">
        <v>37230</v>
      </c>
      <c r="S34" s="8">
        <f t="shared" si="0"/>
        <v>2001</v>
      </c>
      <c r="T34" s="8">
        <v>2001</v>
      </c>
      <c r="U34" s="8">
        <f t="shared" si="1"/>
        <v>21</v>
      </c>
      <c r="V34" s="7">
        <v>37230</v>
      </c>
      <c r="W34" t="s">
        <v>290</v>
      </c>
      <c r="X34" s="2">
        <v>0.30399999999999999</v>
      </c>
      <c r="Y34" s="6">
        <f t="shared" si="6"/>
        <v>8.115106377299057E-3</v>
      </c>
      <c r="AA34">
        <v>8952477</v>
      </c>
      <c r="AB34">
        <v>12250</v>
      </c>
      <c r="AD34" t="s">
        <v>1</v>
      </c>
      <c r="AE34">
        <v>31</v>
      </c>
      <c r="AF34">
        <v>5</v>
      </c>
      <c r="AH34" t="s">
        <v>10278</v>
      </c>
      <c r="AI34" t="s">
        <v>10277</v>
      </c>
      <c r="AJ34" t="s">
        <v>10276</v>
      </c>
      <c r="AK34" t="s">
        <v>10275</v>
      </c>
      <c r="AL34">
        <v>4</v>
      </c>
      <c r="AM34" s="5">
        <f t="shared" si="2"/>
        <v>0.19047619047619047</v>
      </c>
      <c r="AN34" s="4">
        <f t="shared" si="7"/>
        <v>2.8849101170191666E-4</v>
      </c>
      <c r="AO34" s="3"/>
      <c r="AP34">
        <v>0</v>
      </c>
      <c r="AR34" t="s">
        <v>0</v>
      </c>
      <c r="AT34" s="2" t="s">
        <v>7</v>
      </c>
      <c r="AU34" s="1">
        <f t="shared" si="3"/>
        <v>0.57671217676199149</v>
      </c>
      <c r="AV34" s="1">
        <f t="shared" si="4"/>
        <v>0.4201798694500487</v>
      </c>
      <c r="AW34" s="1">
        <f t="shared" si="5"/>
        <v>0.26364756213810586</v>
      </c>
    </row>
    <row r="35" spans="1:49" x14ac:dyDescent="0.2">
      <c r="A35">
        <v>33</v>
      </c>
      <c r="B35" t="s">
        <v>10274</v>
      </c>
      <c r="C35" t="s">
        <v>10273</v>
      </c>
      <c r="F35" t="s">
        <v>10272</v>
      </c>
      <c r="G35" t="s">
        <v>6</v>
      </c>
      <c r="H35" t="s">
        <v>5</v>
      </c>
      <c r="I35" t="s">
        <v>10271</v>
      </c>
      <c r="J35" t="s">
        <v>10270</v>
      </c>
      <c r="K35" t="s">
        <v>10269</v>
      </c>
      <c r="L35" t="s">
        <v>10268</v>
      </c>
      <c r="M35" t="s">
        <v>337</v>
      </c>
      <c r="N35">
        <v>3</v>
      </c>
      <c r="O35" t="s">
        <v>10267</v>
      </c>
      <c r="P35" t="s">
        <v>10266</v>
      </c>
      <c r="Q35" t="s">
        <v>10265</v>
      </c>
      <c r="R35" s="7">
        <v>37230</v>
      </c>
      <c r="S35" s="8">
        <f t="shared" si="0"/>
        <v>2001</v>
      </c>
      <c r="T35" s="8">
        <v>2001</v>
      </c>
      <c r="U35" s="8">
        <f t="shared" si="1"/>
        <v>21</v>
      </c>
      <c r="V35" s="7">
        <v>37230</v>
      </c>
      <c r="W35" t="s">
        <v>290</v>
      </c>
      <c r="X35" s="2">
        <v>0.30399999999999999</v>
      </c>
      <c r="Y35" s="6">
        <f t="shared" si="6"/>
        <v>8.115106377299057E-3</v>
      </c>
      <c r="AA35">
        <v>8952477</v>
      </c>
      <c r="AB35">
        <v>12250</v>
      </c>
      <c r="AD35" t="s">
        <v>1</v>
      </c>
      <c r="AE35">
        <v>31</v>
      </c>
      <c r="AF35">
        <v>5</v>
      </c>
      <c r="AH35" t="s">
        <v>10264</v>
      </c>
      <c r="AI35" t="s">
        <v>10263</v>
      </c>
      <c r="AJ35" t="s">
        <v>10262</v>
      </c>
      <c r="AK35" t="s">
        <v>10261</v>
      </c>
      <c r="AL35">
        <v>9</v>
      </c>
      <c r="AM35" s="5">
        <f t="shared" si="2"/>
        <v>0.42857142857142855</v>
      </c>
      <c r="AN35" s="4">
        <f t="shared" si="7"/>
        <v>6.4910477632931242E-4</v>
      </c>
      <c r="AO35" s="3"/>
      <c r="AP35">
        <v>0</v>
      </c>
      <c r="AR35" t="s">
        <v>0</v>
      </c>
      <c r="AT35" s="2" t="s">
        <v>7</v>
      </c>
      <c r="AU35" s="1">
        <f t="shared" si="3"/>
        <v>0.5875305897008134</v>
      </c>
      <c r="AV35" s="1">
        <f t="shared" si="4"/>
        <v>0.43821055768141848</v>
      </c>
      <c r="AW35" s="1">
        <f t="shared" si="5"/>
        <v>0.28889052566202356</v>
      </c>
    </row>
    <row r="36" spans="1:49" x14ac:dyDescent="0.2">
      <c r="A36">
        <v>34</v>
      </c>
      <c r="B36" t="s">
        <v>10260</v>
      </c>
      <c r="C36" t="s">
        <v>10259</v>
      </c>
      <c r="F36" t="s">
        <v>10258</v>
      </c>
      <c r="G36" t="s">
        <v>6</v>
      </c>
      <c r="H36" t="s">
        <v>5</v>
      </c>
      <c r="I36" t="s">
        <v>403</v>
      </c>
      <c r="J36">
        <v>60005510</v>
      </c>
      <c r="K36" t="s">
        <v>315</v>
      </c>
      <c r="L36" t="s">
        <v>131</v>
      </c>
      <c r="M36" t="s">
        <v>130</v>
      </c>
      <c r="N36">
        <v>3</v>
      </c>
      <c r="O36" t="s">
        <v>10257</v>
      </c>
      <c r="P36" t="s">
        <v>10256</v>
      </c>
      <c r="Q36" t="s">
        <v>418</v>
      </c>
      <c r="R36" s="7">
        <v>37230</v>
      </c>
      <c r="S36" s="8">
        <f t="shared" si="0"/>
        <v>2001</v>
      </c>
      <c r="T36" s="8">
        <v>2001</v>
      </c>
      <c r="U36" s="8">
        <f t="shared" si="1"/>
        <v>21</v>
      </c>
      <c r="V36" s="7">
        <v>37230</v>
      </c>
      <c r="W36" t="s">
        <v>290</v>
      </c>
      <c r="X36" s="2">
        <v>0.30399999999999999</v>
      </c>
      <c r="Y36" s="6">
        <f t="shared" si="6"/>
        <v>8.115106377299057E-3</v>
      </c>
      <c r="AA36">
        <v>8952477</v>
      </c>
      <c r="AB36">
        <v>12250</v>
      </c>
      <c r="AD36" t="s">
        <v>1</v>
      </c>
      <c r="AE36">
        <v>31</v>
      </c>
      <c r="AF36">
        <v>5</v>
      </c>
      <c r="AH36" t="s">
        <v>606</v>
      </c>
      <c r="AI36" t="s">
        <v>10255</v>
      </c>
      <c r="AJ36" t="s">
        <v>10254</v>
      </c>
      <c r="AK36" t="s">
        <v>10253</v>
      </c>
      <c r="AL36">
        <v>1</v>
      </c>
      <c r="AM36" s="5">
        <f t="shared" si="2"/>
        <v>4.7619047619047616E-2</v>
      </c>
      <c r="AN36" s="4">
        <f t="shared" si="7"/>
        <v>7.2122752925479164E-5</v>
      </c>
      <c r="AO36" s="3"/>
      <c r="AP36">
        <v>0</v>
      </c>
      <c r="AR36" t="s">
        <v>0</v>
      </c>
      <c r="AT36" s="2" t="s">
        <v>7</v>
      </c>
      <c r="AU36" s="1">
        <f t="shared" si="3"/>
        <v>0.57022112899869826</v>
      </c>
      <c r="AV36" s="1">
        <f t="shared" si="4"/>
        <v>0.40936145651122685</v>
      </c>
      <c r="AW36" s="1">
        <f t="shared" si="5"/>
        <v>0.24850178402375528</v>
      </c>
    </row>
    <row r="37" spans="1:49" x14ac:dyDescent="0.2">
      <c r="A37">
        <v>35</v>
      </c>
      <c r="B37" t="s">
        <v>10252</v>
      </c>
      <c r="C37" t="s">
        <v>10251</v>
      </c>
      <c r="F37" t="s">
        <v>10250</v>
      </c>
      <c r="G37" t="s">
        <v>6</v>
      </c>
      <c r="H37" t="s">
        <v>5</v>
      </c>
      <c r="I37" t="s">
        <v>3707</v>
      </c>
      <c r="J37">
        <v>60011357</v>
      </c>
      <c r="K37" t="s">
        <v>342</v>
      </c>
      <c r="L37" t="s">
        <v>329</v>
      </c>
      <c r="M37" t="s">
        <v>105</v>
      </c>
      <c r="N37">
        <v>2</v>
      </c>
      <c r="O37" t="s">
        <v>10249</v>
      </c>
      <c r="P37" t="s">
        <v>10248</v>
      </c>
      <c r="Q37" t="s">
        <v>341</v>
      </c>
      <c r="R37" s="7">
        <v>37230</v>
      </c>
      <c r="S37" s="8">
        <f t="shared" si="0"/>
        <v>2001</v>
      </c>
      <c r="T37" s="8">
        <v>2001</v>
      </c>
      <c r="U37" s="8">
        <f t="shared" si="1"/>
        <v>21</v>
      </c>
      <c r="V37" s="7">
        <v>37230</v>
      </c>
      <c r="W37" t="s">
        <v>290</v>
      </c>
      <c r="X37" s="2">
        <v>0.30399999999999999</v>
      </c>
      <c r="Y37" s="6">
        <f t="shared" si="6"/>
        <v>8.115106377299057E-3</v>
      </c>
      <c r="AA37">
        <v>8952477</v>
      </c>
      <c r="AB37">
        <v>12250</v>
      </c>
      <c r="AD37" t="s">
        <v>1</v>
      </c>
      <c r="AE37">
        <v>31</v>
      </c>
      <c r="AF37">
        <v>5</v>
      </c>
      <c r="AH37" t="s">
        <v>10247</v>
      </c>
      <c r="AI37" t="s">
        <v>10246</v>
      </c>
      <c r="AJ37" t="s">
        <v>10245</v>
      </c>
      <c r="AK37" t="s">
        <v>10244</v>
      </c>
      <c r="AL37">
        <v>7</v>
      </c>
      <c r="AM37" s="5">
        <f t="shared" si="2"/>
        <v>0.33333333333333331</v>
      </c>
      <c r="AN37" s="4">
        <f t="shared" si="7"/>
        <v>5.048592704783541E-4</v>
      </c>
      <c r="AO37" s="3"/>
      <c r="AP37">
        <v>0</v>
      </c>
      <c r="AR37" t="s">
        <v>0</v>
      </c>
      <c r="AT37" s="2" t="s">
        <v>7</v>
      </c>
      <c r="AU37" s="1">
        <f t="shared" si="3"/>
        <v>0.58320322452528461</v>
      </c>
      <c r="AV37" s="1">
        <f t="shared" si="4"/>
        <v>0.43099828238887061</v>
      </c>
      <c r="AW37" s="1">
        <f t="shared" si="5"/>
        <v>0.2787933402524565</v>
      </c>
    </row>
    <row r="38" spans="1:49" x14ac:dyDescent="0.2">
      <c r="A38">
        <v>36</v>
      </c>
      <c r="B38" t="s">
        <v>10243</v>
      </c>
      <c r="C38" t="s">
        <v>10242</v>
      </c>
      <c r="F38" t="s">
        <v>10241</v>
      </c>
      <c r="G38" t="s">
        <v>6</v>
      </c>
      <c r="H38" t="s">
        <v>5</v>
      </c>
      <c r="I38" t="s">
        <v>3707</v>
      </c>
      <c r="J38">
        <v>60011357</v>
      </c>
      <c r="K38" t="s">
        <v>342</v>
      </c>
      <c r="L38" t="s">
        <v>329</v>
      </c>
      <c r="M38" t="s">
        <v>105</v>
      </c>
      <c r="N38">
        <v>3</v>
      </c>
      <c r="O38" t="s">
        <v>3706</v>
      </c>
      <c r="P38" t="s">
        <v>3705</v>
      </c>
      <c r="Q38" t="s">
        <v>3704</v>
      </c>
      <c r="R38" s="7">
        <v>37230</v>
      </c>
      <c r="S38" s="8">
        <f t="shared" si="0"/>
        <v>2001</v>
      </c>
      <c r="T38" s="8">
        <v>2001</v>
      </c>
      <c r="U38" s="8">
        <f t="shared" si="1"/>
        <v>21</v>
      </c>
      <c r="V38" s="7">
        <v>37230</v>
      </c>
      <c r="W38" t="s">
        <v>290</v>
      </c>
      <c r="X38" s="2">
        <v>0.30399999999999999</v>
      </c>
      <c r="Y38" s="6">
        <f t="shared" si="6"/>
        <v>8.115106377299057E-3</v>
      </c>
      <c r="AA38">
        <v>8952477</v>
      </c>
      <c r="AB38">
        <v>12250</v>
      </c>
      <c r="AD38" t="s">
        <v>1</v>
      </c>
      <c r="AE38">
        <v>31</v>
      </c>
      <c r="AF38">
        <v>5</v>
      </c>
      <c r="AH38" t="s">
        <v>10240</v>
      </c>
      <c r="AI38" t="s">
        <v>10239</v>
      </c>
      <c r="AJ38" t="s">
        <v>10238</v>
      </c>
      <c r="AK38" t="s">
        <v>10237</v>
      </c>
      <c r="AL38">
        <v>60</v>
      </c>
      <c r="AM38" s="5">
        <f t="shared" si="2"/>
        <v>2.8571428571428572</v>
      </c>
      <c r="AN38" s="4">
        <f t="shared" si="7"/>
        <v>4.3273651755287501E-3</v>
      </c>
      <c r="AO38" s="3"/>
      <c r="AP38">
        <v>0</v>
      </c>
      <c r="AR38" t="s">
        <v>0</v>
      </c>
      <c r="AT38" s="2" t="s">
        <v>7</v>
      </c>
      <c r="AU38" s="1">
        <f t="shared" si="3"/>
        <v>0.69787840167679649</v>
      </c>
      <c r="AV38" s="1">
        <f t="shared" si="4"/>
        <v>0.62212357764139037</v>
      </c>
      <c r="AW38" s="1">
        <f t="shared" si="5"/>
        <v>0.54636875360598425</v>
      </c>
    </row>
    <row r="39" spans="1:49" x14ac:dyDescent="0.2">
      <c r="A39">
        <v>37</v>
      </c>
      <c r="B39" t="s">
        <v>10236</v>
      </c>
      <c r="C39" t="s">
        <v>10235</v>
      </c>
      <c r="E39">
        <v>11745633</v>
      </c>
      <c r="F39" t="s">
        <v>10234</v>
      </c>
      <c r="G39" t="s">
        <v>6</v>
      </c>
      <c r="H39" t="s">
        <v>5</v>
      </c>
      <c r="I39" t="s">
        <v>10233</v>
      </c>
      <c r="J39" t="s">
        <v>10232</v>
      </c>
      <c r="K39" t="s">
        <v>10231</v>
      </c>
      <c r="L39" t="s">
        <v>10230</v>
      </c>
      <c r="M39" t="s">
        <v>128</v>
      </c>
      <c r="N39">
        <v>3</v>
      </c>
      <c r="O39" t="s">
        <v>10229</v>
      </c>
      <c r="P39" t="s">
        <v>10228</v>
      </c>
      <c r="Q39" t="s">
        <v>10227</v>
      </c>
      <c r="R39" s="7">
        <v>37228</v>
      </c>
      <c r="S39" s="8">
        <f t="shared" si="0"/>
        <v>2001</v>
      </c>
      <c r="T39" s="8">
        <v>2001</v>
      </c>
      <c r="U39" s="8">
        <f t="shared" si="1"/>
        <v>21</v>
      </c>
      <c r="V39" s="7">
        <v>37228</v>
      </c>
      <c r="W39" t="s">
        <v>795</v>
      </c>
      <c r="X39" s="2">
        <v>1.855</v>
      </c>
      <c r="Y39" s="6">
        <f t="shared" si="6"/>
        <v>4.9518165558847867E-2</v>
      </c>
      <c r="AA39">
        <v>219967</v>
      </c>
      <c r="AB39">
        <v>16689</v>
      </c>
      <c r="AD39" t="s">
        <v>1</v>
      </c>
      <c r="AE39">
        <v>441</v>
      </c>
      <c r="AF39">
        <v>1</v>
      </c>
      <c r="AH39" t="s">
        <v>10226</v>
      </c>
      <c r="AI39" t="s">
        <v>10225</v>
      </c>
      <c r="AJ39" t="s">
        <v>10224</v>
      </c>
      <c r="AK39" t="s">
        <v>10223</v>
      </c>
      <c r="AL39">
        <v>31</v>
      </c>
      <c r="AM39" s="5">
        <f t="shared" si="2"/>
        <v>1.4761904761904763</v>
      </c>
      <c r="AN39" s="4">
        <f t="shared" si="7"/>
        <v>2.2358053406898544E-3</v>
      </c>
      <c r="AO39" s="3"/>
      <c r="AP39">
        <v>0</v>
      </c>
      <c r="AR39" t="s">
        <v>0</v>
      </c>
      <c r="AT39" s="2">
        <v>3.2149999999999999</v>
      </c>
      <c r="AU39" s="1">
        <f t="shared" si="3"/>
        <v>3.5333457493400457</v>
      </c>
      <c r="AV39" s="1">
        <f t="shared" si="4"/>
        <v>2.5876985449768859</v>
      </c>
      <c r="AW39" s="1">
        <f t="shared" si="5"/>
        <v>1.6420513406137256</v>
      </c>
    </row>
    <row r="40" spans="1:49" x14ac:dyDescent="0.2">
      <c r="A40">
        <v>38</v>
      </c>
      <c r="B40" t="s">
        <v>10222</v>
      </c>
      <c r="C40" t="s">
        <v>10221</v>
      </c>
      <c r="F40" t="s">
        <v>10220</v>
      </c>
      <c r="G40" t="s">
        <v>6</v>
      </c>
      <c r="H40" t="s">
        <v>5</v>
      </c>
      <c r="I40" t="s">
        <v>10219</v>
      </c>
      <c r="J40" t="s">
        <v>10218</v>
      </c>
      <c r="K40" t="s">
        <v>10217</v>
      </c>
      <c r="L40" t="s">
        <v>10216</v>
      </c>
      <c r="M40" t="s">
        <v>240</v>
      </c>
      <c r="N40">
        <v>2</v>
      </c>
      <c r="O40" t="s">
        <v>10215</v>
      </c>
      <c r="P40" t="s">
        <v>10214</v>
      </c>
      <c r="Q40" t="s">
        <v>10213</v>
      </c>
      <c r="R40" s="7">
        <v>37226</v>
      </c>
      <c r="S40" s="8">
        <f t="shared" si="0"/>
        <v>2001</v>
      </c>
      <c r="T40" s="8">
        <v>2001</v>
      </c>
      <c r="U40" s="8">
        <f t="shared" si="1"/>
        <v>21</v>
      </c>
      <c r="V40" s="7">
        <v>37226</v>
      </c>
      <c r="W40" t="s">
        <v>640</v>
      </c>
      <c r="X40" s="2">
        <v>0.318</v>
      </c>
      <c r="Y40" s="6">
        <f t="shared" si="6"/>
        <v>8.4888283815167786E-3</v>
      </c>
      <c r="AA40">
        <v>338443</v>
      </c>
      <c r="AB40">
        <v>27160</v>
      </c>
      <c r="AC40">
        <v>15739120</v>
      </c>
      <c r="AD40" t="s">
        <v>1</v>
      </c>
      <c r="AE40">
        <v>44</v>
      </c>
      <c r="AF40">
        <v>12</v>
      </c>
      <c r="AH40" t="s">
        <v>10212</v>
      </c>
      <c r="AI40" t="s">
        <v>10211</v>
      </c>
      <c r="AK40" t="s">
        <v>10210</v>
      </c>
      <c r="AL40">
        <v>0</v>
      </c>
      <c r="AM40" s="5">
        <f t="shared" si="2"/>
        <v>0</v>
      </c>
      <c r="AN40" s="4">
        <f t="shared" si="7"/>
        <v>0</v>
      </c>
      <c r="AO40" s="3"/>
      <c r="AP40">
        <v>0</v>
      </c>
      <c r="AQ40" t="s">
        <v>707</v>
      </c>
      <c r="AR40" t="s">
        <v>10209</v>
      </c>
      <c r="AS40" t="s">
        <v>218</v>
      </c>
      <c r="AT40" s="2">
        <v>0.77</v>
      </c>
      <c r="AU40" s="1">
        <f t="shared" si="3"/>
        <v>0.59421798670617454</v>
      </c>
      <c r="AV40" s="1">
        <f t="shared" si="4"/>
        <v>0.42444141907583893</v>
      </c>
      <c r="AW40" s="1">
        <f t="shared" si="5"/>
        <v>0.25466485144550338</v>
      </c>
    </row>
    <row r="41" spans="1:49" x14ac:dyDescent="0.2">
      <c r="A41">
        <v>39</v>
      </c>
      <c r="B41" t="s">
        <v>10208</v>
      </c>
      <c r="C41" t="s">
        <v>10207</v>
      </c>
      <c r="F41" t="s">
        <v>10206</v>
      </c>
      <c r="G41" t="s">
        <v>6</v>
      </c>
      <c r="H41" t="s">
        <v>5</v>
      </c>
      <c r="R41" s="7">
        <v>37226</v>
      </c>
      <c r="S41" s="8">
        <f t="shared" si="0"/>
        <v>2001</v>
      </c>
      <c r="T41" s="8">
        <v>2001</v>
      </c>
      <c r="U41" s="8">
        <f t="shared" si="1"/>
        <v>21</v>
      </c>
      <c r="V41" s="7">
        <v>37226</v>
      </c>
      <c r="W41" t="s">
        <v>620</v>
      </c>
      <c r="X41" s="2">
        <v>0.30199999999999999</v>
      </c>
      <c r="Y41" s="6">
        <f t="shared" si="6"/>
        <v>8.0617175195536687E-3</v>
      </c>
      <c r="AA41">
        <v>2602288</v>
      </c>
      <c r="AB41">
        <v>23954</v>
      </c>
      <c r="AD41" t="s">
        <v>1</v>
      </c>
      <c r="AE41">
        <v>21</v>
      </c>
      <c r="AF41">
        <v>4</v>
      </c>
      <c r="AH41" t="s">
        <v>10205</v>
      </c>
      <c r="AJ41" t="s">
        <v>10204</v>
      </c>
      <c r="AL41">
        <v>0</v>
      </c>
      <c r="AM41" s="5">
        <f t="shared" si="2"/>
        <v>0</v>
      </c>
      <c r="AN41" s="4">
        <f t="shared" si="7"/>
        <v>0</v>
      </c>
      <c r="AO41" s="3"/>
      <c r="AP41">
        <v>0</v>
      </c>
      <c r="AR41" t="s">
        <v>0</v>
      </c>
      <c r="AT41" s="2">
        <v>1.583</v>
      </c>
      <c r="AU41" s="1">
        <f t="shared" si="3"/>
        <v>0.56432022636875678</v>
      </c>
      <c r="AV41" s="1">
        <f t="shared" si="4"/>
        <v>0.40308587597768342</v>
      </c>
      <c r="AW41" s="1">
        <f t="shared" si="5"/>
        <v>0.24185152558661005</v>
      </c>
    </row>
    <row r="42" spans="1:49" x14ac:dyDescent="0.2">
      <c r="A42">
        <v>40</v>
      </c>
      <c r="B42" t="s">
        <v>10203</v>
      </c>
      <c r="C42" t="s">
        <v>10202</v>
      </c>
      <c r="F42" t="s">
        <v>10201</v>
      </c>
      <c r="G42" t="s">
        <v>6</v>
      </c>
      <c r="H42" t="s">
        <v>5</v>
      </c>
      <c r="I42" t="s">
        <v>407</v>
      </c>
      <c r="J42">
        <v>60017161</v>
      </c>
      <c r="K42" t="s">
        <v>132</v>
      </c>
      <c r="L42" t="s">
        <v>131</v>
      </c>
      <c r="M42" t="s">
        <v>130</v>
      </c>
      <c r="N42">
        <v>3</v>
      </c>
      <c r="O42" t="s">
        <v>404</v>
      </c>
      <c r="P42" t="s">
        <v>10072</v>
      </c>
      <c r="Q42" t="s">
        <v>741</v>
      </c>
      <c r="R42" s="7">
        <v>37226</v>
      </c>
      <c r="S42" s="8">
        <f t="shared" si="0"/>
        <v>2001</v>
      </c>
      <c r="T42" s="8">
        <v>2001</v>
      </c>
      <c r="U42" s="8">
        <f t="shared" si="1"/>
        <v>21</v>
      </c>
      <c r="V42" s="7">
        <v>2001</v>
      </c>
      <c r="W42" t="s">
        <v>43</v>
      </c>
      <c r="X42" s="2">
        <v>0.437</v>
      </c>
      <c r="Y42" s="6">
        <f t="shared" si="6"/>
        <v>1.1665465417367396E-2</v>
      </c>
      <c r="AA42">
        <v>10704698</v>
      </c>
      <c r="AB42">
        <v>5300152513</v>
      </c>
      <c r="AC42">
        <v>15598985</v>
      </c>
      <c r="AD42" t="s">
        <v>1</v>
      </c>
      <c r="AE42">
        <v>30</v>
      </c>
      <c r="AH42" t="s">
        <v>10200</v>
      </c>
      <c r="AI42" t="s">
        <v>10199</v>
      </c>
      <c r="AK42" t="s">
        <v>10198</v>
      </c>
      <c r="AL42">
        <v>5</v>
      </c>
      <c r="AM42" s="5">
        <f t="shared" si="2"/>
        <v>0.23809523809523808</v>
      </c>
      <c r="AN42" s="4">
        <f t="shared" si="7"/>
        <v>3.6061376462739582E-4</v>
      </c>
      <c r="AO42" s="3"/>
      <c r="AP42">
        <v>1</v>
      </c>
      <c r="AR42" t="s">
        <v>0</v>
      </c>
      <c r="AT42" s="2" t="s">
        <v>7</v>
      </c>
      <c r="AU42" s="1">
        <f t="shared" si="3"/>
        <v>0.82740099215453944</v>
      </c>
      <c r="AV42" s="1">
        <f t="shared" si="4"/>
        <v>0.60130395909973955</v>
      </c>
      <c r="AW42" s="1">
        <f t="shared" si="5"/>
        <v>0.3752069260449396</v>
      </c>
    </row>
    <row r="43" spans="1:49" x14ac:dyDescent="0.2">
      <c r="A43">
        <v>41</v>
      </c>
      <c r="B43" t="s">
        <v>10197</v>
      </c>
      <c r="C43" t="s">
        <v>10196</v>
      </c>
      <c r="D43" t="s">
        <v>10195</v>
      </c>
      <c r="F43" t="s">
        <v>10194</v>
      </c>
      <c r="G43" t="s">
        <v>6</v>
      </c>
      <c r="H43" t="s">
        <v>5</v>
      </c>
      <c r="I43" t="s">
        <v>10193</v>
      </c>
      <c r="J43" t="s">
        <v>10192</v>
      </c>
      <c r="K43" t="s">
        <v>10191</v>
      </c>
      <c r="L43" t="s">
        <v>10190</v>
      </c>
      <c r="M43" t="s">
        <v>10189</v>
      </c>
      <c r="N43">
        <v>6</v>
      </c>
      <c r="O43" t="s">
        <v>10188</v>
      </c>
      <c r="P43" t="s">
        <v>10187</v>
      </c>
      <c r="Q43" t="s">
        <v>10186</v>
      </c>
      <c r="R43" s="7">
        <v>37226</v>
      </c>
      <c r="S43" s="8">
        <f t="shared" si="0"/>
        <v>2001</v>
      </c>
      <c r="T43" s="8">
        <v>2001</v>
      </c>
      <c r="U43" s="8">
        <f t="shared" si="1"/>
        <v>21</v>
      </c>
      <c r="V43" s="7">
        <v>37226</v>
      </c>
      <c r="W43" t="s">
        <v>103</v>
      </c>
      <c r="X43" s="2">
        <v>1.3720000000000001</v>
      </c>
      <c r="Y43" s="6">
        <f t="shared" si="6"/>
        <v>3.662475641333654E-2</v>
      </c>
      <c r="AA43">
        <v>189480</v>
      </c>
      <c r="AB43">
        <v>17366</v>
      </c>
      <c r="AD43" t="s">
        <v>1</v>
      </c>
      <c r="AE43">
        <v>49</v>
      </c>
      <c r="AF43">
        <v>12</v>
      </c>
      <c r="AH43" t="s">
        <v>10185</v>
      </c>
      <c r="AI43" t="s">
        <v>10184</v>
      </c>
      <c r="AJ43" t="s">
        <v>10183</v>
      </c>
      <c r="AK43" t="s">
        <v>10182</v>
      </c>
      <c r="AL43">
        <v>20</v>
      </c>
      <c r="AM43" s="5">
        <f t="shared" si="2"/>
        <v>0.95238095238095233</v>
      </c>
      <c r="AN43" s="4">
        <f t="shared" si="7"/>
        <v>1.4424550585095833E-3</v>
      </c>
      <c r="AO43" s="3"/>
      <c r="AP43">
        <v>0</v>
      </c>
      <c r="AR43" t="s">
        <v>0</v>
      </c>
      <c r="AT43" s="2" t="s">
        <v>7</v>
      </c>
      <c r="AU43" s="1">
        <f t="shared" si="3"/>
        <v>2.607006600688845</v>
      </c>
      <c r="AV43" s="1">
        <f t="shared" si="4"/>
        <v>1.903360573592306</v>
      </c>
      <c r="AW43" s="1">
        <f t="shared" si="5"/>
        <v>1.199714546495767</v>
      </c>
    </row>
    <row r="44" spans="1:49" x14ac:dyDescent="0.2">
      <c r="A44">
        <v>42</v>
      </c>
      <c r="B44" t="s">
        <v>10181</v>
      </c>
      <c r="C44" t="s">
        <v>10180</v>
      </c>
      <c r="F44" t="s">
        <v>10179</v>
      </c>
      <c r="G44" t="s">
        <v>6</v>
      </c>
      <c r="H44" t="s">
        <v>5</v>
      </c>
      <c r="I44" t="s">
        <v>10178</v>
      </c>
      <c r="J44">
        <v>60023813</v>
      </c>
      <c r="K44" t="s">
        <v>771</v>
      </c>
      <c r="L44" t="s">
        <v>770</v>
      </c>
      <c r="M44" t="s">
        <v>62</v>
      </c>
      <c r="N44">
        <v>2</v>
      </c>
      <c r="O44" t="s">
        <v>10177</v>
      </c>
      <c r="P44" t="s">
        <v>10176</v>
      </c>
      <c r="Q44" t="s">
        <v>10175</v>
      </c>
      <c r="R44" s="7">
        <v>37226</v>
      </c>
      <c r="S44" s="8">
        <f t="shared" si="0"/>
        <v>2001</v>
      </c>
      <c r="T44" s="8">
        <v>2001</v>
      </c>
      <c r="U44" s="8">
        <f t="shared" si="1"/>
        <v>21</v>
      </c>
      <c r="V44" s="7">
        <v>37226</v>
      </c>
      <c r="W44" t="s">
        <v>10174</v>
      </c>
      <c r="X44" s="2" t="s">
        <v>7</v>
      </c>
      <c r="Y44" s="6" t="e">
        <f t="shared" si="6"/>
        <v>#VALUE!</v>
      </c>
      <c r="AA44">
        <v>10076417</v>
      </c>
      <c r="AB44">
        <v>24271</v>
      </c>
      <c r="AD44" t="s">
        <v>1</v>
      </c>
      <c r="AE44">
        <v>5</v>
      </c>
      <c r="AF44">
        <v>4</v>
      </c>
      <c r="AH44" t="s">
        <v>10173</v>
      </c>
      <c r="AI44" t="s">
        <v>10172</v>
      </c>
      <c r="AJ44" t="s">
        <v>10171</v>
      </c>
      <c r="AK44" t="s">
        <v>10170</v>
      </c>
      <c r="AL44">
        <v>2</v>
      </c>
      <c r="AM44" s="5">
        <f t="shared" si="2"/>
        <v>9.5238095238095233E-2</v>
      </c>
      <c r="AN44" s="4">
        <f t="shared" si="7"/>
        <v>1.4424550585095833E-4</v>
      </c>
      <c r="AO44" s="3"/>
      <c r="AP44">
        <v>0</v>
      </c>
      <c r="AR44" t="s">
        <v>0</v>
      </c>
      <c r="AT44" s="2" t="s">
        <v>7</v>
      </c>
      <c r="AU44" s="1" t="e">
        <f t="shared" si="3"/>
        <v>#VALUE!</v>
      </c>
      <c r="AV44" s="1" t="e">
        <f t="shared" si="4"/>
        <v>#VALUE!</v>
      </c>
      <c r="AW44" s="1" t="e">
        <f t="shared" si="5"/>
        <v>#VALUE!</v>
      </c>
    </row>
    <row r="45" spans="1:49" x14ac:dyDescent="0.2">
      <c r="A45">
        <v>43</v>
      </c>
      <c r="B45" t="s">
        <v>10169</v>
      </c>
      <c r="C45" t="s">
        <v>10168</v>
      </c>
      <c r="F45" t="s">
        <v>10167</v>
      </c>
      <c r="G45" t="s">
        <v>6</v>
      </c>
      <c r="H45" t="s">
        <v>5</v>
      </c>
      <c r="I45" t="s">
        <v>10166</v>
      </c>
      <c r="J45">
        <v>60008673</v>
      </c>
      <c r="K45" t="s">
        <v>850</v>
      </c>
      <c r="L45" t="s">
        <v>641</v>
      </c>
      <c r="M45" t="s">
        <v>197</v>
      </c>
      <c r="N45">
        <v>3</v>
      </c>
      <c r="O45" t="s">
        <v>10165</v>
      </c>
      <c r="P45" t="s">
        <v>10164</v>
      </c>
      <c r="Q45" t="s">
        <v>9251</v>
      </c>
      <c r="R45" s="7">
        <v>37226</v>
      </c>
      <c r="S45" s="8">
        <f t="shared" si="0"/>
        <v>2001</v>
      </c>
      <c r="T45" s="8">
        <v>2001</v>
      </c>
      <c r="U45" s="8">
        <f t="shared" si="1"/>
        <v>21</v>
      </c>
      <c r="V45" s="7">
        <v>37226</v>
      </c>
      <c r="W45" t="s">
        <v>640</v>
      </c>
      <c r="X45" s="2">
        <v>0.318</v>
      </c>
      <c r="Y45" s="6">
        <f t="shared" si="6"/>
        <v>8.4888283815167786E-3</v>
      </c>
      <c r="AA45">
        <v>338443</v>
      </c>
      <c r="AB45">
        <v>27160</v>
      </c>
      <c r="AC45">
        <v>15739120</v>
      </c>
      <c r="AD45" t="s">
        <v>1</v>
      </c>
      <c r="AE45">
        <v>44</v>
      </c>
      <c r="AF45">
        <v>12</v>
      </c>
      <c r="AH45" t="s">
        <v>10163</v>
      </c>
      <c r="AI45" t="s">
        <v>10162</v>
      </c>
      <c r="AK45" t="s">
        <v>10161</v>
      </c>
      <c r="AL45">
        <v>5</v>
      </c>
      <c r="AM45" s="5">
        <f t="shared" si="2"/>
        <v>0.23809523809523808</v>
      </c>
      <c r="AN45" s="4">
        <f t="shared" si="7"/>
        <v>3.6061376462739582E-4</v>
      </c>
      <c r="AO45" s="3"/>
      <c r="AP45">
        <v>0</v>
      </c>
      <c r="AQ45" t="s">
        <v>639</v>
      </c>
      <c r="AR45" t="s">
        <v>10160</v>
      </c>
      <c r="AS45" t="s">
        <v>638</v>
      </c>
      <c r="AT45" s="2">
        <v>0.77</v>
      </c>
      <c r="AU45" s="1">
        <f t="shared" si="3"/>
        <v>0.60503639964499634</v>
      </c>
      <c r="AV45" s="1">
        <f t="shared" si="4"/>
        <v>0.44247210730720871</v>
      </c>
      <c r="AW45" s="1">
        <f t="shared" si="5"/>
        <v>0.27990781496942108</v>
      </c>
    </row>
    <row r="46" spans="1:49" x14ac:dyDescent="0.2">
      <c r="A46">
        <v>44</v>
      </c>
      <c r="B46" t="s">
        <v>10159</v>
      </c>
      <c r="F46" t="s">
        <v>10158</v>
      </c>
      <c r="G46" t="s">
        <v>6</v>
      </c>
      <c r="H46" t="s">
        <v>5</v>
      </c>
      <c r="I46" t="s">
        <v>10157</v>
      </c>
      <c r="J46" t="s">
        <v>10152</v>
      </c>
      <c r="K46" t="s">
        <v>10156</v>
      </c>
      <c r="L46" t="s">
        <v>10155</v>
      </c>
      <c r="M46" t="s">
        <v>44</v>
      </c>
      <c r="N46">
        <v>2</v>
      </c>
      <c r="O46" t="s">
        <v>10154</v>
      </c>
      <c r="P46" t="s">
        <v>10153</v>
      </c>
      <c r="Q46" t="s">
        <v>10152</v>
      </c>
      <c r="R46" s="7">
        <v>37226</v>
      </c>
      <c r="S46" s="8">
        <f t="shared" si="0"/>
        <v>2001</v>
      </c>
      <c r="T46" s="8">
        <v>2001</v>
      </c>
      <c r="U46" s="8">
        <f t="shared" si="1"/>
        <v>21</v>
      </c>
      <c r="V46" s="7">
        <v>2001</v>
      </c>
      <c r="W46" t="s">
        <v>10151</v>
      </c>
      <c r="X46" s="2">
        <v>0.52700000000000002</v>
      </c>
      <c r="Y46" s="6">
        <f t="shared" si="6"/>
        <v>1.4067964015909882E-2</v>
      </c>
      <c r="AA46">
        <v>15376176</v>
      </c>
      <c r="AB46">
        <v>24055</v>
      </c>
      <c r="AD46" t="s">
        <v>1</v>
      </c>
      <c r="AE46">
        <v>13</v>
      </c>
      <c r="AH46" t="s">
        <v>10150</v>
      </c>
      <c r="AI46" t="s">
        <v>10149</v>
      </c>
      <c r="AJ46" t="s">
        <v>10148</v>
      </c>
      <c r="AK46" t="s">
        <v>10147</v>
      </c>
      <c r="AL46">
        <v>30</v>
      </c>
      <c r="AM46" s="5">
        <f t="shared" si="2"/>
        <v>1.4285714285714286</v>
      </c>
      <c r="AN46" s="4">
        <f t="shared" si="7"/>
        <v>2.163682587764375E-3</v>
      </c>
      <c r="AO46" s="3"/>
      <c r="AP46">
        <v>0</v>
      </c>
      <c r="AR46" t="s">
        <v>0</v>
      </c>
      <c r="AT46" s="2">
        <v>0.71399999999999997</v>
      </c>
      <c r="AU46" s="1">
        <f t="shared" si="3"/>
        <v>1.0496679587466229</v>
      </c>
      <c r="AV46" s="1">
        <f t="shared" si="4"/>
        <v>0.81158233018371273</v>
      </c>
      <c r="AW46" s="1">
        <f t="shared" si="5"/>
        <v>0.57349670162080268</v>
      </c>
    </row>
    <row r="47" spans="1:49" x14ac:dyDescent="0.2">
      <c r="A47">
        <v>45</v>
      </c>
      <c r="B47" t="s">
        <v>10146</v>
      </c>
      <c r="C47" t="s">
        <v>10145</v>
      </c>
      <c r="F47" t="s">
        <v>10144</v>
      </c>
      <c r="G47" t="s">
        <v>6</v>
      </c>
      <c r="H47" t="s">
        <v>5</v>
      </c>
      <c r="I47" t="s">
        <v>840</v>
      </c>
      <c r="J47">
        <v>60017161</v>
      </c>
      <c r="K47" t="s">
        <v>132</v>
      </c>
      <c r="L47" t="s">
        <v>131</v>
      </c>
      <c r="M47" t="s">
        <v>130</v>
      </c>
      <c r="N47">
        <v>5</v>
      </c>
      <c r="O47" t="s">
        <v>10143</v>
      </c>
      <c r="P47" t="s">
        <v>839</v>
      </c>
      <c r="Q47" t="s">
        <v>838</v>
      </c>
      <c r="R47" s="7">
        <v>37226</v>
      </c>
      <c r="S47" s="8">
        <f t="shared" si="0"/>
        <v>2001</v>
      </c>
      <c r="T47" s="8">
        <v>2001</v>
      </c>
      <c r="U47" s="8">
        <f t="shared" si="1"/>
        <v>21</v>
      </c>
      <c r="V47" s="7">
        <v>2001</v>
      </c>
      <c r="W47" t="s">
        <v>43</v>
      </c>
      <c r="X47" s="2">
        <v>0.437</v>
      </c>
      <c r="Y47" s="6">
        <f t="shared" si="6"/>
        <v>1.1665465417367396E-2</v>
      </c>
      <c r="AA47">
        <v>10704698</v>
      </c>
      <c r="AB47">
        <v>5300152513</v>
      </c>
      <c r="AC47">
        <v>15598985</v>
      </c>
      <c r="AD47" t="s">
        <v>1</v>
      </c>
      <c r="AE47">
        <v>31</v>
      </c>
      <c r="AH47" t="s">
        <v>10142</v>
      </c>
      <c r="AI47" t="s">
        <v>10141</v>
      </c>
      <c r="AK47" t="s">
        <v>10140</v>
      </c>
      <c r="AL47">
        <v>6</v>
      </c>
      <c r="AM47" s="5">
        <f t="shared" si="2"/>
        <v>0.2857142857142857</v>
      </c>
      <c r="AN47" s="4">
        <f t="shared" si="7"/>
        <v>4.3273651755287499E-4</v>
      </c>
      <c r="AO47" s="3"/>
      <c r="AP47">
        <v>1</v>
      </c>
      <c r="AQ47" t="s">
        <v>10138</v>
      </c>
      <c r="AR47" t="s">
        <v>10139</v>
      </c>
      <c r="AS47" t="s">
        <v>10138</v>
      </c>
      <c r="AT47" s="2" t="s">
        <v>7</v>
      </c>
      <c r="AU47" s="1">
        <f t="shared" si="3"/>
        <v>0.82956467474230389</v>
      </c>
      <c r="AV47" s="1">
        <f t="shared" si="4"/>
        <v>0.60491009674601359</v>
      </c>
      <c r="AW47" s="1">
        <f t="shared" si="5"/>
        <v>0.38025551874972313</v>
      </c>
    </row>
    <row r="48" spans="1:49" x14ac:dyDescent="0.2">
      <c r="A48">
        <v>46</v>
      </c>
      <c r="B48" t="s">
        <v>10137</v>
      </c>
      <c r="F48" t="s">
        <v>10136</v>
      </c>
      <c r="G48" t="s">
        <v>6</v>
      </c>
      <c r="H48" t="s">
        <v>5</v>
      </c>
      <c r="I48" t="s">
        <v>10135</v>
      </c>
      <c r="J48">
        <v>60015043</v>
      </c>
      <c r="K48" t="s">
        <v>9743</v>
      </c>
      <c r="L48" t="s">
        <v>9742</v>
      </c>
      <c r="M48" t="s">
        <v>221</v>
      </c>
      <c r="N48">
        <v>2</v>
      </c>
      <c r="O48" t="s">
        <v>10134</v>
      </c>
      <c r="P48" t="s">
        <v>10133</v>
      </c>
      <c r="Q48" t="s">
        <v>10132</v>
      </c>
      <c r="R48" s="7">
        <v>37226</v>
      </c>
      <c r="S48" s="8">
        <f t="shared" si="0"/>
        <v>2001</v>
      </c>
      <c r="T48" s="8">
        <v>2001</v>
      </c>
      <c r="U48" s="8">
        <f t="shared" si="1"/>
        <v>21</v>
      </c>
      <c r="V48" s="7">
        <v>2001</v>
      </c>
      <c r="W48" t="s">
        <v>9738</v>
      </c>
      <c r="X48" s="2" t="s">
        <v>7</v>
      </c>
      <c r="Y48" s="6" t="e">
        <f t="shared" si="6"/>
        <v>#VALUE!</v>
      </c>
      <c r="AA48">
        <v>15167399</v>
      </c>
      <c r="AB48">
        <v>4700152267</v>
      </c>
      <c r="AD48" t="s">
        <v>1</v>
      </c>
      <c r="AE48">
        <v>2</v>
      </c>
      <c r="AF48">
        <v>4</v>
      </c>
      <c r="AH48" t="s">
        <v>10131</v>
      </c>
      <c r="AI48" t="s">
        <v>10130</v>
      </c>
      <c r="AJ48" t="s">
        <v>10129</v>
      </c>
      <c r="AK48" t="s">
        <v>10128</v>
      </c>
      <c r="AL48">
        <v>0</v>
      </c>
      <c r="AM48" s="5">
        <f t="shared" si="2"/>
        <v>0</v>
      </c>
      <c r="AN48" s="4">
        <f t="shared" si="7"/>
        <v>0</v>
      </c>
      <c r="AO48" s="3"/>
      <c r="AP48">
        <v>0</v>
      </c>
      <c r="AR48" t="s">
        <v>0</v>
      </c>
      <c r="AT48" s="2" t="s">
        <v>7</v>
      </c>
      <c r="AU48" s="1" t="e">
        <f t="shared" si="3"/>
        <v>#VALUE!</v>
      </c>
      <c r="AV48" s="1" t="e">
        <f t="shared" si="4"/>
        <v>#VALUE!</v>
      </c>
      <c r="AW48" s="1" t="e">
        <f t="shared" si="5"/>
        <v>#VALUE!</v>
      </c>
    </row>
    <row r="49" spans="1:49" x14ac:dyDescent="0.2">
      <c r="A49">
        <v>47</v>
      </c>
      <c r="B49" t="s">
        <v>10127</v>
      </c>
      <c r="C49" t="s">
        <v>10126</v>
      </c>
      <c r="F49" t="s">
        <v>10125</v>
      </c>
      <c r="G49" t="s">
        <v>6</v>
      </c>
      <c r="H49" t="s">
        <v>5</v>
      </c>
      <c r="I49" t="s">
        <v>232</v>
      </c>
      <c r="J49" t="s">
        <v>406</v>
      </c>
      <c r="K49" t="s">
        <v>405</v>
      </c>
      <c r="L49" t="s">
        <v>394</v>
      </c>
      <c r="M49" t="s">
        <v>393</v>
      </c>
      <c r="N49">
        <v>3</v>
      </c>
      <c r="O49" t="s">
        <v>10124</v>
      </c>
      <c r="P49" t="s">
        <v>10123</v>
      </c>
      <c r="Q49" t="s">
        <v>10122</v>
      </c>
      <c r="R49" s="7">
        <v>37226</v>
      </c>
      <c r="S49" s="8">
        <f t="shared" si="0"/>
        <v>2001</v>
      </c>
      <c r="T49" s="8">
        <v>2001</v>
      </c>
      <c r="U49" s="8">
        <f t="shared" si="1"/>
        <v>21</v>
      </c>
      <c r="V49" s="7">
        <v>2001</v>
      </c>
      <c r="W49" t="s">
        <v>43</v>
      </c>
      <c r="X49" s="2">
        <v>0.437</v>
      </c>
      <c r="Y49" s="6">
        <f t="shared" si="6"/>
        <v>1.1665465417367396E-2</v>
      </c>
      <c r="AA49">
        <v>10704698</v>
      </c>
      <c r="AB49">
        <v>5300152513</v>
      </c>
      <c r="AC49">
        <v>15598985</v>
      </c>
      <c r="AD49" t="s">
        <v>1</v>
      </c>
      <c r="AE49">
        <v>34</v>
      </c>
      <c r="AH49" t="s">
        <v>10121</v>
      </c>
      <c r="AI49" t="s">
        <v>10120</v>
      </c>
      <c r="AK49" t="s">
        <v>10119</v>
      </c>
      <c r="AL49">
        <v>3</v>
      </c>
      <c r="AM49" s="5">
        <f t="shared" si="2"/>
        <v>0.14285714285714285</v>
      </c>
      <c r="AN49" s="4">
        <f t="shared" si="7"/>
        <v>2.1636825877643749E-4</v>
      </c>
      <c r="AO49" s="3"/>
      <c r="AP49">
        <v>1</v>
      </c>
      <c r="AQ49" t="s">
        <v>10118</v>
      </c>
      <c r="AR49">
        <v>1971</v>
      </c>
      <c r="AS49" t="s">
        <v>10118</v>
      </c>
      <c r="AT49" s="2" t="s">
        <v>7</v>
      </c>
      <c r="AU49" s="1">
        <f t="shared" si="3"/>
        <v>0.82307362697901076</v>
      </c>
      <c r="AV49" s="1">
        <f t="shared" si="4"/>
        <v>0.59409168380719168</v>
      </c>
      <c r="AW49" s="1">
        <f t="shared" si="5"/>
        <v>0.36510974063537249</v>
      </c>
    </row>
    <row r="50" spans="1:49" x14ac:dyDescent="0.2">
      <c r="A50">
        <v>48</v>
      </c>
      <c r="B50" t="s">
        <v>10117</v>
      </c>
      <c r="C50" t="s">
        <v>10116</v>
      </c>
      <c r="F50" t="s">
        <v>10115</v>
      </c>
      <c r="G50" t="s">
        <v>6</v>
      </c>
      <c r="H50" t="s">
        <v>5</v>
      </c>
      <c r="I50" t="s">
        <v>7264</v>
      </c>
      <c r="J50" t="s">
        <v>10114</v>
      </c>
      <c r="K50" t="s">
        <v>10113</v>
      </c>
      <c r="L50" t="s">
        <v>10112</v>
      </c>
      <c r="M50" t="s">
        <v>10111</v>
      </c>
      <c r="N50">
        <v>2</v>
      </c>
      <c r="O50" t="s">
        <v>10110</v>
      </c>
      <c r="P50" t="s">
        <v>7262</v>
      </c>
      <c r="Q50" t="s">
        <v>10109</v>
      </c>
      <c r="R50" s="7">
        <v>37226</v>
      </c>
      <c r="S50" s="8">
        <f t="shared" si="0"/>
        <v>2001</v>
      </c>
      <c r="T50" s="8">
        <v>2001</v>
      </c>
      <c r="U50" s="8">
        <f t="shared" si="1"/>
        <v>21</v>
      </c>
      <c r="V50" s="7">
        <v>2001</v>
      </c>
      <c r="W50" t="s">
        <v>43</v>
      </c>
      <c r="X50" s="2">
        <v>0.437</v>
      </c>
      <c r="Y50" s="6">
        <f t="shared" si="6"/>
        <v>1.1665465417367396E-2</v>
      </c>
      <c r="AA50">
        <v>10704698</v>
      </c>
      <c r="AB50">
        <v>5300152513</v>
      </c>
      <c r="AC50">
        <v>15598985</v>
      </c>
      <c r="AD50" t="s">
        <v>1</v>
      </c>
      <c r="AE50">
        <v>31</v>
      </c>
      <c r="AH50" t="s">
        <v>10108</v>
      </c>
      <c r="AI50" t="s">
        <v>10107</v>
      </c>
      <c r="AK50" t="s">
        <v>10106</v>
      </c>
      <c r="AL50">
        <v>10</v>
      </c>
      <c r="AM50" s="5">
        <f t="shared" si="2"/>
        <v>0.47619047619047616</v>
      </c>
      <c r="AN50" s="4">
        <f t="shared" si="7"/>
        <v>7.2122752925479164E-4</v>
      </c>
      <c r="AO50" s="3"/>
      <c r="AP50">
        <v>1</v>
      </c>
      <c r="AQ50" t="s">
        <v>10104</v>
      </c>
      <c r="AR50" t="s">
        <v>10105</v>
      </c>
      <c r="AS50" t="s">
        <v>10104</v>
      </c>
      <c r="AT50" s="2" t="s">
        <v>7</v>
      </c>
      <c r="AU50" s="1">
        <f t="shared" si="3"/>
        <v>0.83821940509336135</v>
      </c>
      <c r="AV50" s="1">
        <f t="shared" si="4"/>
        <v>0.61933464733110943</v>
      </c>
      <c r="AW50" s="1">
        <f t="shared" si="5"/>
        <v>0.4004498895688573</v>
      </c>
    </row>
    <row r="51" spans="1:49" x14ac:dyDescent="0.2">
      <c r="A51">
        <v>49</v>
      </c>
      <c r="B51" t="s">
        <v>10103</v>
      </c>
      <c r="C51" t="s">
        <v>10102</v>
      </c>
      <c r="F51" t="s">
        <v>10101</v>
      </c>
      <c r="G51" t="s">
        <v>6</v>
      </c>
      <c r="H51" t="s">
        <v>5</v>
      </c>
      <c r="I51" t="s">
        <v>10100</v>
      </c>
      <c r="J51" t="s">
        <v>10095</v>
      </c>
      <c r="K51" t="s">
        <v>10099</v>
      </c>
      <c r="L51" t="s">
        <v>10098</v>
      </c>
      <c r="M51" t="s">
        <v>792</v>
      </c>
      <c r="N51">
        <v>2</v>
      </c>
      <c r="O51" t="s">
        <v>10097</v>
      </c>
      <c r="P51" t="s">
        <v>10096</v>
      </c>
      <c r="Q51" t="s">
        <v>10095</v>
      </c>
      <c r="R51" s="7">
        <v>37226</v>
      </c>
      <c r="S51" s="8">
        <f t="shared" si="0"/>
        <v>2001</v>
      </c>
      <c r="T51" s="8">
        <v>2001</v>
      </c>
      <c r="U51" s="8">
        <f t="shared" si="1"/>
        <v>21</v>
      </c>
      <c r="V51" s="7">
        <v>2001</v>
      </c>
      <c r="W51" t="s">
        <v>43</v>
      </c>
      <c r="X51" s="2">
        <v>0.437</v>
      </c>
      <c r="Y51" s="6">
        <f t="shared" si="6"/>
        <v>1.1665465417367396E-2</v>
      </c>
      <c r="AA51">
        <v>10704698</v>
      </c>
      <c r="AB51">
        <v>5300152513</v>
      </c>
      <c r="AC51">
        <v>15598985</v>
      </c>
      <c r="AD51" t="s">
        <v>1</v>
      </c>
      <c r="AE51">
        <v>34</v>
      </c>
      <c r="AH51" t="s">
        <v>1039</v>
      </c>
      <c r="AI51" t="s">
        <v>10094</v>
      </c>
      <c r="AK51" t="s">
        <v>10093</v>
      </c>
      <c r="AL51">
        <v>8</v>
      </c>
      <c r="AM51" s="5">
        <f t="shared" si="2"/>
        <v>0.38095238095238093</v>
      </c>
      <c r="AN51" s="4">
        <f t="shared" si="7"/>
        <v>5.7698202340383331E-4</v>
      </c>
      <c r="AO51" s="3"/>
      <c r="AP51">
        <v>1</v>
      </c>
      <c r="AR51" t="s">
        <v>0</v>
      </c>
      <c r="AT51" s="2" t="s">
        <v>7</v>
      </c>
      <c r="AU51" s="1">
        <f t="shared" si="3"/>
        <v>0.83389203991783267</v>
      </c>
      <c r="AV51" s="1">
        <f t="shared" si="4"/>
        <v>0.61212237203856146</v>
      </c>
      <c r="AW51" s="1">
        <f t="shared" si="5"/>
        <v>0.39035270415929024</v>
      </c>
    </row>
    <row r="52" spans="1:49" x14ac:dyDescent="0.2">
      <c r="A52">
        <v>50</v>
      </c>
      <c r="B52" t="s">
        <v>10092</v>
      </c>
      <c r="C52" t="s">
        <v>10091</v>
      </c>
      <c r="F52" t="s">
        <v>10090</v>
      </c>
      <c r="G52" t="s">
        <v>6</v>
      </c>
      <c r="H52" t="s">
        <v>5</v>
      </c>
      <c r="I52" t="s">
        <v>10089</v>
      </c>
      <c r="J52" t="s">
        <v>10088</v>
      </c>
      <c r="K52" t="s">
        <v>10087</v>
      </c>
      <c r="L52" t="s">
        <v>10086</v>
      </c>
      <c r="M52" t="s">
        <v>10085</v>
      </c>
      <c r="N52">
        <v>2</v>
      </c>
      <c r="O52" t="s">
        <v>10084</v>
      </c>
      <c r="P52" t="s">
        <v>10083</v>
      </c>
      <c r="Q52" t="s">
        <v>10082</v>
      </c>
      <c r="R52" s="7">
        <v>37226</v>
      </c>
      <c r="S52" s="8">
        <f t="shared" si="0"/>
        <v>2001</v>
      </c>
      <c r="T52" s="8">
        <v>2001</v>
      </c>
      <c r="U52" s="8">
        <f t="shared" si="1"/>
        <v>21</v>
      </c>
      <c r="V52" s="7">
        <v>37226</v>
      </c>
      <c r="W52" t="s">
        <v>4993</v>
      </c>
      <c r="X52" s="2">
        <v>0</v>
      </c>
      <c r="Y52" s="6">
        <f t="shared" si="6"/>
        <v>0</v>
      </c>
      <c r="AB52">
        <v>21101038512</v>
      </c>
      <c r="AC52">
        <v>21699402</v>
      </c>
      <c r="AD52" t="s">
        <v>1</v>
      </c>
      <c r="AE52">
        <v>106</v>
      </c>
      <c r="AF52" t="s">
        <v>10081</v>
      </c>
      <c r="AG52" t="s">
        <v>10080</v>
      </c>
      <c r="AH52" t="s">
        <v>10079</v>
      </c>
      <c r="AI52" t="s">
        <v>10078</v>
      </c>
      <c r="AK52" t="s">
        <v>10077</v>
      </c>
      <c r="AL52">
        <v>14</v>
      </c>
      <c r="AM52" s="5">
        <f t="shared" si="2"/>
        <v>0.66666666666666663</v>
      </c>
      <c r="AN52" s="4">
        <f t="shared" si="7"/>
        <v>1.0097185409567082E-3</v>
      </c>
      <c r="AO52" s="3"/>
      <c r="AP52">
        <v>1</v>
      </c>
      <c r="AR52" t="s">
        <v>0</v>
      </c>
      <c r="AT52" s="2" t="s">
        <v>7</v>
      </c>
      <c r="AU52" s="1">
        <f t="shared" si="3"/>
        <v>3.0291556228701243E-2</v>
      </c>
      <c r="AV52" s="1">
        <f t="shared" si="4"/>
        <v>5.0485927047835409E-2</v>
      </c>
      <c r="AW52" s="1">
        <f t="shared" si="5"/>
        <v>7.0680297866969569E-2</v>
      </c>
    </row>
    <row r="53" spans="1:49" x14ac:dyDescent="0.2">
      <c r="A53">
        <v>51</v>
      </c>
      <c r="B53" t="s">
        <v>10076</v>
      </c>
      <c r="C53" t="s">
        <v>10075</v>
      </c>
      <c r="F53" t="s">
        <v>10074</v>
      </c>
      <c r="G53" t="s">
        <v>6</v>
      </c>
      <c r="H53" t="s">
        <v>5</v>
      </c>
      <c r="I53" t="s">
        <v>10073</v>
      </c>
      <c r="J53" t="s">
        <v>406</v>
      </c>
      <c r="K53" t="s">
        <v>405</v>
      </c>
      <c r="L53" t="s">
        <v>394</v>
      </c>
      <c r="M53" t="s">
        <v>393</v>
      </c>
      <c r="N53">
        <v>3</v>
      </c>
      <c r="O53" t="s">
        <v>404</v>
      </c>
      <c r="P53" t="s">
        <v>10072</v>
      </c>
      <c r="Q53" t="s">
        <v>10071</v>
      </c>
      <c r="R53" s="7">
        <v>37226</v>
      </c>
      <c r="S53" s="8">
        <f t="shared" si="0"/>
        <v>2001</v>
      </c>
      <c r="T53" s="8">
        <v>2001</v>
      </c>
      <c r="U53" s="8">
        <f t="shared" si="1"/>
        <v>21</v>
      </c>
      <c r="V53" s="7">
        <v>2001</v>
      </c>
      <c r="W53" t="s">
        <v>43</v>
      </c>
      <c r="X53" s="2">
        <v>0.437</v>
      </c>
      <c r="Y53" s="6">
        <f t="shared" si="6"/>
        <v>1.1665465417367396E-2</v>
      </c>
      <c r="AA53">
        <v>10704698</v>
      </c>
      <c r="AB53">
        <v>5300152513</v>
      </c>
      <c r="AC53">
        <v>15598985</v>
      </c>
      <c r="AD53" t="s">
        <v>1</v>
      </c>
      <c r="AE53">
        <v>34</v>
      </c>
      <c r="AH53" t="s">
        <v>10070</v>
      </c>
      <c r="AI53" t="s">
        <v>10069</v>
      </c>
      <c r="AK53" t="s">
        <v>10068</v>
      </c>
      <c r="AL53">
        <v>8</v>
      </c>
      <c r="AM53" s="5">
        <f t="shared" si="2"/>
        <v>0.38095238095238093</v>
      </c>
      <c r="AN53" s="4">
        <f t="shared" si="7"/>
        <v>5.7698202340383331E-4</v>
      </c>
      <c r="AO53" s="3"/>
      <c r="AP53">
        <v>1</v>
      </c>
      <c r="AR53" t="s">
        <v>0</v>
      </c>
      <c r="AT53" s="2" t="s">
        <v>7</v>
      </c>
      <c r="AU53" s="1">
        <f t="shared" si="3"/>
        <v>0.83389203991783267</v>
      </c>
      <c r="AV53" s="1">
        <f t="shared" si="4"/>
        <v>0.61212237203856146</v>
      </c>
      <c r="AW53" s="1">
        <f t="shared" si="5"/>
        <v>0.39035270415929024</v>
      </c>
    </row>
    <row r="54" spans="1:49" x14ac:dyDescent="0.2">
      <c r="A54">
        <v>52</v>
      </c>
      <c r="B54" t="s">
        <v>10067</v>
      </c>
      <c r="C54" t="s">
        <v>10066</v>
      </c>
      <c r="F54" t="s">
        <v>10065</v>
      </c>
      <c r="G54" t="s">
        <v>6</v>
      </c>
      <c r="H54" t="s">
        <v>5</v>
      </c>
      <c r="I54" t="s">
        <v>10064</v>
      </c>
      <c r="J54">
        <v>60017161</v>
      </c>
      <c r="K54" t="s">
        <v>132</v>
      </c>
      <c r="L54" t="s">
        <v>131</v>
      </c>
      <c r="M54" t="s">
        <v>130</v>
      </c>
      <c r="N54">
        <v>4</v>
      </c>
      <c r="O54" t="s">
        <v>10063</v>
      </c>
      <c r="P54" t="s">
        <v>10062</v>
      </c>
      <c r="Q54" t="s">
        <v>255</v>
      </c>
      <c r="R54" s="7">
        <v>37226</v>
      </c>
      <c r="S54" s="8">
        <f t="shared" si="0"/>
        <v>2001</v>
      </c>
      <c r="T54" s="8">
        <v>2001</v>
      </c>
      <c r="U54" s="8">
        <f t="shared" si="1"/>
        <v>21</v>
      </c>
      <c r="V54" s="7">
        <v>2001</v>
      </c>
      <c r="W54" t="s">
        <v>43</v>
      </c>
      <c r="X54" s="2">
        <v>0.437</v>
      </c>
      <c r="Y54" s="6">
        <f t="shared" si="6"/>
        <v>1.1665465417367396E-2</v>
      </c>
      <c r="AA54">
        <v>10704698</v>
      </c>
      <c r="AB54">
        <v>5300152513</v>
      </c>
      <c r="AC54">
        <v>15598985</v>
      </c>
      <c r="AD54" t="s">
        <v>1</v>
      </c>
      <c r="AE54">
        <v>30</v>
      </c>
      <c r="AH54" t="s">
        <v>10061</v>
      </c>
      <c r="AI54" t="s">
        <v>10060</v>
      </c>
      <c r="AK54" t="s">
        <v>10059</v>
      </c>
      <c r="AL54">
        <v>3</v>
      </c>
      <c r="AM54" s="5">
        <f t="shared" si="2"/>
        <v>0.14285714285714285</v>
      </c>
      <c r="AN54" s="4">
        <f t="shared" si="7"/>
        <v>2.1636825877643749E-4</v>
      </c>
      <c r="AO54" s="3"/>
      <c r="AP54">
        <v>1</v>
      </c>
      <c r="AR54" t="s">
        <v>0</v>
      </c>
      <c r="AT54" s="2" t="s">
        <v>7</v>
      </c>
      <c r="AU54" s="1">
        <f t="shared" si="3"/>
        <v>0.82307362697901076</v>
      </c>
      <c r="AV54" s="1">
        <f t="shared" si="4"/>
        <v>0.59409168380719168</v>
      </c>
      <c r="AW54" s="1">
        <f t="shared" si="5"/>
        <v>0.36510974063537249</v>
      </c>
    </row>
    <row r="55" spans="1:49" x14ac:dyDescent="0.2">
      <c r="A55">
        <v>53</v>
      </c>
      <c r="B55" t="s">
        <v>10058</v>
      </c>
      <c r="C55" t="s">
        <v>10057</v>
      </c>
      <c r="F55" t="s">
        <v>10056</v>
      </c>
      <c r="G55" t="s">
        <v>6</v>
      </c>
      <c r="H55" t="s">
        <v>5</v>
      </c>
      <c r="I55" t="s">
        <v>10055</v>
      </c>
      <c r="J55" t="s">
        <v>10054</v>
      </c>
      <c r="K55" t="s">
        <v>10053</v>
      </c>
      <c r="L55" t="s">
        <v>10052</v>
      </c>
      <c r="M55" t="s">
        <v>45</v>
      </c>
      <c r="N55">
        <v>3</v>
      </c>
      <c r="O55" t="s">
        <v>10051</v>
      </c>
      <c r="P55" t="s">
        <v>10050</v>
      </c>
      <c r="Q55" t="s">
        <v>10049</v>
      </c>
      <c r="R55" s="7">
        <v>37226</v>
      </c>
      <c r="S55" s="8">
        <f t="shared" si="0"/>
        <v>2001</v>
      </c>
      <c r="T55" s="8">
        <v>2001</v>
      </c>
      <c r="U55" s="8">
        <f t="shared" si="1"/>
        <v>21</v>
      </c>
      <c r="V55" s="7">
        <v>2001</v>
      </c>
      <c r="W55" t="s">
        <v>43</v>
      </c>
      <c r="X55" s="2">
        <v>0.437</v>
      </c>
      <c r="Y55" s="6">
        <f t="shared" si="6"/>
        <v>1.1665465417367396E-2</v>
      </c>
      <c r="AA55">
        <v>10704698</v>
      </c>
      <c r="AB55">
        <v>5300152513</v>
      </c>
      <c r="AC55">
        <v>15598985</v>
      </c>
      <c r="AD55" t="s">
        <v>1</v>
      </c>
      <c r="AE55">
        <v>33</v>
      </c>
      <c r="AH55" t="s">
        <v>10048</v>
      </c>
      <c r="AI55" t="s">
        <v>10047</v>
      </c>
      <c r="AK55" t="s">
        <v>10046</v>
      </c>
      <c r="AL55">
        <v>21</v>
      </c>
      <c r="AM55" s="5">
        <f t="shared" si="2"/>
        <v>1</v>
      </c>
      <c r="AN55" s="4">
        <f t="shared" si="7"/>
        <v>1.5145778114350624E-3</v>
      </c>
      <c r="AO55" s="3"/>
      <c r="AP55">
        <v>1</v>
      </c>
      <c r="AQ55" t="s">
        <v>10045</v>
      </c>
      <c r="AR55" t="s">
        <v>0</v>
      </c>
      <c r="AS55" t="s">
        <v>10045</v>
      </c>
      <c r="AT55" s="2" t="s">
        <v>7</v>
      </c>
      <c r="AU55" s="1">
        <f t="shared" si="3"/>
        <v>0.86201991355876961</v>
      </c>
      <c r="AV55" s="1">
        <f t="shared" si="4"/>
        <v>0.65900216144012291</v>
      </c>
      <c r="AW55" s="1">
        <f t="shared" si="5"/>
        <v>0.45598440932147627</v>
      </c>
    </row>
    <row r="56" spans="1:49" x14ac:dyDescent="0.2">
      <c r="A56">
        <v>54</v>
      </c>
      <c r="B56" t="s">
        <v>10044</v>
      </c>
      <c r="C56" t="s">
        <v>10043</v>
      </c>
      <c r="F56" t="s">
        <v>10042</v>
      </c>
      <c r="G56" t="s">
        <v>6</v>
      </c>
      <c r="H56" t="s">
        <v>5</v>
      </c>
      <c r="I56" t="s">
        <v>10041</v>
      </c>
      <c r="J56">
        <v>60017161</v>
      </c>
      <c r="K56" t="s">
        <v>132</v>
      </c>
      <c r="L56" t="s">
        <v>131</v>
      </c>
      <c r="M56" t="s">
        <v>130</v>
      </c>
      <c r="N56">
        <v>5</v>
      </c>
      <c r="O56" t="s">
        <v>10040</v>
      </c>
      <c r="P56" t="s">
        <v>10039</v>
      </c>
      <c r="Q56" t="s">
        <v>838</v>
      </c>
      <c r="R56" s="7">
        <v>37226</v>
      </c>
      <c r="S56" s="8">
        <f t="shared" si="0"/>
        <v>2001</v>
      </c>
      <c r="T56" s="8">
        <v>2001</v>
      </c>
      <c r="U56" s="8">
        <f t="shared" si="1"/>
        <v>21</v>
      </c>
      <c r="V56" s="7">
        <v>2001</v>
      </c>
      <c r="W56" t="s">
        <v>43</v>
      </c>
      <c r="X56" s="2">
        <v>0.437</v>
      </c>
      <c r="Y56" s="6">
        <f t="shared" si="6"/>
        <v>1.1665465417367396E-2</v>
      </c>
      <c r="AA56">
        <v>10704698</v>
      </c>
      <c r="AB56">
        <v>5300152513</v>
      </c>
      <c r="AC56">
        <v>15598985</v>
      </c>
      <c r="AD56" t="s">
        <v>1</v>
      </c>
      <c r="AE56">
        <v>31</v>
      </c>
      <c r="AH56" t="s">
        <v>10038</v>
      </c>
      <c r="AI56" t="s">
        <v>10037</v>
      </c>
      <c r="AK56" t="s">
        <v>10036</v>
      </c>
      <c r="AL56">
        <v>8</v>
      </c>
      <c r="AM56" s="5">
        <f t="shared" si="2"/>
        <v>0.38095238095238093</v>
      </c>
      <c r="AN56" s="4">
        <f t="shared" si="7"/>
        <v>5.7698202340383331E-4</v>
      </c>
      <c r="AO56" s="3"/>
      <c r="AP56">
        <v>1</v>
      </c>
      <c r="AR56" t="s">
        <v>10035</v>
      </c>
      <c r="AS56" t="s">
        <v>132</v>
      </c>
      <c r="AT56" s="2" t="s">
        <v>7</v>
      </c>
      <c r="AU56" s="1">
        <f t="shared" si="3"/>
        <v>0.83389203991783267</v>
      </c>
      <c r="AV56" s="1">
        <f t="shared" si="4"/>
        <v>0.61212237203856146</v>
      </c>
      <c r="AW56" s="1">
        <f t="shared" si="5"/>
        <v>0.39035270415929024</v>
      </c>
    </row>
    <row r="57" spans="1:49" x14ac:dyDescent="0.2">
      <c r="A57">
        <v>55</v>
      </c>
      <c r="B57" t="s">
        <v>10034</v>
      </c>
      <c r="C57" t="s">
        <v>10033</v>
      </c>
      <c r="F57" t="s">
        <v>402</v>
      </c>
      <c r="G57" t="s">
        <v>6</v>
      </c>
      <c r="H57" t="s">
        <v>5</v>
      </c>
      <c r="I57" t="s">
        <v>401</v>
      </c>
      <c r="J57">
        <v>60017161</v>
      </c>
      <c r="K57" t="s">
        <v>132</v>
      </c>
      <c r="L57" t="s">
        <v>131</v>
      </c>
      <c r="M57" t="s">
        <v>130</v>
      </c>
      <c r="N57">
        <v>4</v>
      </c>
      <c r="O57" t="s">
        <v>400</v>
      </c>
      <c r="P57" t="s">
        <v>978</v>
      </c>
      <c r="Q57" t="s">
        <v>255</v>
      </c>
      <c r="R57" s="7">
        <v>37226</v>
      </c>
      <c r="S57" s="8">
        <f t="shared" si="0"/>
        <v>2001</v>
      </c>
      <c r="T57" s="8">
        <v>2001</v>
      </c>
      <c r="U57" s="8">
        <f t="shared" si="1"/>
        <v>21</v>
      </c>
      <c r="V57" s="7">
        <v>2001</v>
      </c>
      <c r="W57" t="s">
        <v>43</v>
      </c>
      <c r="X57" s="2">
        <v>0.437</v>
      </c>
      <c r="Y57" s="6">
        <f t="shared" si="6"/>
        <v>1.1665465417367396E-2</v>
      </c>
      <c r="AA57">
        <v>10704698</v>
      </c>
      <c r="AB57">
        <v>5300152513</v>
      </c>
      <c r="AC57">
        <v>15598985</v>
      </c>
      <c r="AD57" t="s">
        <v>1</v>
      </c>
      <c r="AE57">
        <v>34</v>
      </c>
      <c r="AH57" t="s">
        <v>10032</v>
      </c>
      <c r="AI57" t="s">
        <v>399</v>
      </c>
      <c r="AK57" t="s">
        <v>398</v>
      </c>
      <c r="AL57">
        <v>23</v>
      </c>
      <c r="AM57" s="5">
        <f t="shared" si="2"/>
        <v>1.0952380952380953</v>
      </c>
      <c r="AN57" s="4">
        <f t="shared" si="7"/>
        <v>1.658823317286021E-3</v>
      </c>
      <c r="AO57" s="3"/>
      <c r="AP57">
        <v>1</v>
      </c>
      <c r="AQ57" t="s">
        <v>397</v>
      </c>
      <c r="AR57" t="s">
        <v>0</v>
      </c>
      <c r="AS57" t="s">
        <v>397</v>
      </c>
      <c r="AT57" s="2" t="s">
        <v>7</v>
      </c>
      <c r="AU57" s="1">
        <f t="shared" si="3"/>
        <v>0.86634727873429829</v>
      </c>
      <c r="AV57" s="1">
        <f t="shared" si="4"/>
        <v>0.66621443673267078</v>
      </c>
      <c r="AW57" s="1">
        <f t="shared" si="5"/>
        <v>0.46608159473104338</v>
      </c>
    </row>
    <row r="58" spans="1:49" x14ac:dyDescent="0.2">
      <c r="A58">
        <v>56</v>
      </c>
      <c r="B58" t="s">
        <v>10031</v>
      </c>
      <c r="F58" t="s">
        <v>10030</v>
      </c>
      <c r="G58" t="s">
        <v>6</v>
      </c>
      <c r="H58" t="s">
        <v>5</v>
      </c>
      <c r="I58" t="s">
        <v>10029</v>
      </c>
      <c r="J58">
        <v>60015815</v>
      </c>
      <c r="K58" t="s">
        <v>1994</v>
      </c>
      <c r="L58" t="s">
        <v>1993</v>
      </c>
      <c r="M58" t="s">
        <v>46</v>
      </c>
      <c r="N58">
        <v>7</v>
      </c>
      <c r="O58" t="s">
        <v>10028</v>
      </c>
      <c r="P58" t="s">
        <v>10027</v>
      </c>
      <c r="Q58" t="s">
        <v>10026</v>
      </c>
      <c r="R58" s="7">
        <v>37226</v>
      </c>
      <c r="S58" s="8">
        <f t="shared" si="0"/>
        <v>2001</v>
      </c>
      <c r="T58" s="8">
        <v>2001</v>
      </c>
      <c r="U58" s="8">
        <f t="shared" si="1"/>
        <v>21</v>
      </c>
      <c r="V58" s="7">
        <v>2001</v>
      </c>
      <c r="W58" t="s">
        <v>10025</v>
      </c>
      <c r="X58" s="2" t="s">
        <v>7</v>
      </c>
      <c r="Y58" s="6" t="e">
        <f t="shared" si="6"/>
        <v>#VALUE!</v>
      </c>
      <c r="AA58">
        <v>304034</v>
      </c>
      <c r="AB58">
        <v>4900153402</v>
      </c>
      <c r="AD58" t="s">
        <v>1</v>
      </c>
      <c r="AE58">
        <v>91</v>
      </c>
      <c r="AF58">
        <v>3</v>
      </c>
      <c r="AH58" t="s">
        <v>10024</v>
      </c>
      <c r="AI58" t="s">
        <v>10023</v>
      </c>
      <c r="AK58" t="s">
        <v>10022</v>
      </c>
      <c r="AL58">
        <v>1</v>
      </c>
      <c r="AM58" s="5">
        <f t="shared" si="2"/>
        <v>4.7619047619047616E-2</v>
      </c>
      <c r="AN58" s="4">
        <f t="shared" si="7"/>
        <v>7.2122752925479164E-5</v>
      </c>
      <c r="AO58" s="3"/>
      <c r="AP58">
        <v>0</v>
      </c>
      <c r="AR58" t="s">
        <v>0</v>
      </c>
      <c r="AT58" s="2" t="s">
        <v>7</v>
      </c>
      <c r="AU58" s="1" t="e">
        <f t="shared" si="3"/>
        <v>#VALUE!</v>
      </c>
      <c r="AV58" s="1" t="e">
        <f t="shared" si="4"/>
        <v>#VALUE!</v>
      </c>
      <c r="AW58" s="1" t="e">
        <f t="shared" si="5"/>
        <v>#VALUE!</v>
      </c>
    </row>
    <row r="59" spans="1:49" x14ac:dyDescent="0.2">
      <c r="A59">
        <v>57</v>
      </c>
      <c r="B59" t="s">
        <v>10021</v>
      </c>
      <c r="F59" t="s">
        <v>10020</v>
      </c>
      <c r="G59" t="s">
        <v>6</v>
      </c>
      <c r="H59" t="s">
        <v>5</v>
      </c>
      <c r="I59" t="s">
        <v>10019</v>
      </c>
      <c r="J59">
        <v>60025578</v>
      </c>
      <c r="K59" t="s">
        <v>97</v>
      </c>
      <c r="L59" t="s">
        <v>96</v>
      </c>
      <c r="M59" t="s">
        <v>62</v>
      </c>
      <c r="N59">
        <v>2</v>
      </c>
      <c r="O59" t="s">
        <v>10018</v>
      </c>
      <c r="P59" t="s">
        <v>10017</v>
      </c>
      <c r="Q59" t="s">
        <v>10016</v>
      </c>
      <c r="R59" s="7">
        <v>37226</v>
      </c>
      <c r="S59" s="8">
        <f t="shared" si="0"/>
        <v>2001</v>
      </c>
      <c r="T59" s="8">
        <v>2001</v>
      </c>
      <c r="U59" s="8">
        <f t="shared" si="1"/>
        <v>21</v>
      </c>
      <c r="V59" s="7">
        <v>2001</v>
      </c>
      <c r="W59" t="s">
        <v>95</v>
      </c>
      <c r="X59" s="2">
        <v>0.26700000000000002</v>
      </c>
      <c r="Y59" s="6">
        <f t="shared" si="6"/>
        <v>7.1274125090093707E-3</v>
      </c>
      <c r="AA59">
        <v>10224653</v>
      </c>
      <c r="AB59">
        <v>24184</v>
      </c>
      <c r="AD59" t="s">
        <v>1</v>
      </c>
      <c r="AE59">
        <v>10</v>
      </c>
      <c r="AF59">
        <v>1</v>
      </c>
      <c r="AH59" t="s">
        <v>10015</v>
      </c>
      <c r="AI59" t="s">
        <v>10014</v>
      </c>
      <c r="AJ59" t="s">
        <v>10013</v>
      </c>
      <c r="AK59" t="s">
        <v>10012</v>
      </c>
      <c r="AL59">
        <v>0</v>
      </c>
      <c r="AM59" s="5">
        <f t="shared" si="2"/>
        <v>0</v>
      </c>
      <c r="AN59" s="4">
        <f t="shared" si="7"/>
        <v>0</v>
      </c>
      <c r="AO59" s="3"/>
      <c r="AP59">
        <v>0</v>
      </c>
      <c r="AR59" t="s">
        <v>0</v>
      </c>
      <c r="AT59" s="2">
        <v>1.014</v>
      </c>
      <c r="AU59" s="1">
        <f t="shared" si="3"/>
        <v>0.49891887563065596</v>
      </c>
      <c r="AV59" s="1">
        <f t="shared" si="4"/>
        <v>0.35637062545046855</v>
      </c>
      <c r="AW59" s="1">
        <f t="shared" si="5"/>
        <v>0.21382237527028108</v>
      </c>
    </row>
    <row r="60" spans="1:49" x14ac:dyDescent="0.2">
      <c r="A60">
        <v>58</v>
      </c>
      <c r="B60" t="s">
        <v>10011</v>
      </c>
      <c r="F60" t="s">
        <v>10010</v>
      </c>
      <c r="G60" t="s">
        <v>6</v>
      </c>
      <c r="H60" t="s">
        <v>5</v>
      </c>
      <c r="I60" t="s">
        <v>10009</v>
      </c>
      <c r="J60">
        <v>60025578</v>
      </c>
      <c r="K60" t="s">
        <v>97</v>
      </c>
      <c r="L60" t="s">
        <v>96</v>
      </c>
      <c r="M60" t="s">
        <v>62</v>
      </c>
      <c r="N60">
        <v>4</v>
      </c>
      <c r="O60" t="s">
        <v>10008</v>
      </c>
      <c r="P60" t="s">
        <v>10007</v>
      </c>
      <c r="Q60" t="s">
        <v>10006</v>
      </c>
      <c r="R60" s="7">
        <v>37226</v>
      </c>
      <c r="S60" s="8">
        <f t="shared" si="0"/>
        <v>2001</v>
      </c>
      <c r="T60" s="8">
        <v>2001</v>
      </c>
      <c r="U60" s="8">
        <f t="shared" si="1"/>
        <v>21</v>
      </c>
      <c r="V60" s="7">
        <v>2001</v>
      </c>
      <c r="W60" t="s">
        <v>95</v>
      </c>
      <c r="X60" s="2">
        <v>0.26700000000000002</v>
      </c>
      <c r="Y60" s="6">
        <f t="shared" si="6"/>
        <v>7.1274125090093707E-3</v>
      </c>
      <c r="AA60">
        <v>10224653</v>
      </c>
      <c r="AB60">
        <v>24184</v>
      </c>
      <c r="AD60" t="s">
        <v>1</v>
      </c>
      <c r="AE60">
        <v>10</v>
      </c>
      <c r="AF60">
        <v>1</v>
      </c>
      <c r="AH60" t="s">
        <v>10005</v>
      </c>
      <c r="AI60" t="s">
        <v>10004</v>
      </c>
      <c r="AJ60" t="s">
        <v>10003</v>
      </c>
      <c r="AK60" t="s">
        <v>10002</v>
      </c>
      <c r="AL60">
        <v>0</v>
      </c>
      <c r="AM60" s="5">
        <f t="shared" si="2"/>
        <v>0</v>
      </c>
      <c r="AN60" s="4">
        <f t="shared" si="7"/>
        <v>0</v>
      </c>
      <c r="AO60" s="3"/>
      <c r="AP60">
        <v>0</v>
      </c>
      <c r="AR60" t="s">
        <v>0</v>
      </c>
      <c r="AT60" s="2">
        <v>1.014</v>
      </c>
      <c r="AU60" s="1">
        <f t="shared" si="3"/>
        <v>0.49891887563065596</v>
      </c>
      <c r="AV60" s="1">
        <f t="shared" si="4"/>
        <v>0.35637062545046855</v>
      </c>
      <c r="AW60" s="1">
        <f t="shared" si="5"/>
        <v>0.21382237527028108</v>
      </c>
    </row>
    <row r="61" spans="1:49" x14ac:dyDescent="0.2">
      <c r="A61">
        <v>59</v>
      </c>
      <c r="B61" t="s">
        <v>10001</v>
      </c>
      <c r="C61" t="s">
        <v>10000</v>
      </c>
      <c r="F61" t="s">
        <v>9999</v>
      </c>
      <c r="G61" t="s">
        <v>6</v>
      </c>
      <c r="H61" t="s">
        <v>5</v>
      </c>
      <c r="I61" t="s">
        <v>395</v>
      </c>
      <c r="J61">
        <v>60017161</v>
      </c>
      <c r="K61" t="s">
        <v>132</v>
      </c>
      <c r="L61" t="s">
        <v>131</v>
      </c>
      <c r="M61" t="s">
        <v>130</v>
      </c>
      <c r="N61">
        <v>3</v>
      </c>
      <c r="O61" t="s">
        <v>9998</v>
      </c>
      <c r="P61" t="s">
        <v>9997</v>
      </c>
      <c r="Q61" t="s">
        <v>741</v>
      </c>
      <c r="R61" s="7">
        <v>37226</v>
      </c>
      <c r="S61" s="8">
        <f t="shared" si="0"/>
        <v>2001</v>
      </c>
      <c r="T61" s="8">
        <v>2001</v>
      </c>
      <c r="U61" s="8">
        <f t="shared" si="1"/>
        <v>21</v>
      </c>
      <c r="V61" s="7">
        <v>2001</v>
      </c>
      <c r="W61" t="s">
        <v>43</v>
      </c>
      <c r="X61" s="2">
        <v>0.437</v>
      </c>
      <c r="Y61" s="6">
        <f t="shared" si="6"/>
        <v>1.1665465417367396E-2</v>
      </c>
      <c r="AA61">
        <v>10704698</v>
      </c>
      <c r="AB61">
        <v>5300152513</v>
      </c>
      <c r="AC61">
        <v>15598985</v>
      </c>
      <c r="AD61" t="s">
        <v>1</v>
      </c>
      <c r="AE61">
        <v>31</v>
      </c>
      <c r="AH61" t="s">
        <v>9996</v>
      </c>
      <c r="AI61" t="s">
        <v>9995</v>
      </c>
      <c r="AK61" t="s">
        <v>9994</v>
      </c>
      <c r="AL61">
        <v>15</v>
      </c>
      <c r="AM61" s="5">
        <f t="shared" si="2"/>
        <v>0.7142857142857143</v>
      </c>
      <c r="AN61" s="4">
        <f t="shared" si="7"/>
        <v>1.0818412938821875E-3</v>
      </c>
      <c r="AO61" s="3"/>
      <c r="AP61">
        <v>1</v>
      </c>
      <c r="AR61" t="s">
        <v>0</v>
      </c>
      <c r="AT61" s="2" t="s">
        <v>7</v>
      </c>
      <c r="AU61" s="1">
        <f t="shared" si="3"/>
        <v>0.84903781803218314</v>
      </c>
      <c r="AV61" s="1">
        <f t="shared" si="4"/>
        <v>0.63736533556247921</v>
      </c>
      <c r="AW61" s="1">
        <f t="shared" si="5"/>
        <v>0.42569285309277499</v>
      </c>
    </row>
    <row r="62" spans="1:49" x14ac:dyDescent="0.2">
      <c r="A62">
        <v>60</v>
      </c>
      <c r="B62" t="s">
        <v>9993</v>
      </c>
      <c r="F62" t="s">
        <v>9992</v>
      </c>
      <c r="G62" t="s">
        <v>6</v>
      </c>
      <c r="H62" t="s">
        <v>5</v>
      </c>
      <c r="I62" t="s">
        <v>9991</v>
      </c>
      <c r="J62">
        <v>60011055</v>
      </c>
      <c r="K62" t="s">
        <v>9990</v>
      </c>
      <c r="L62" t="s">
        <v>172</v>
      </c>
      <c r="M62" t="s">
        <v>46</v>
      </c>
      <c r="N62">
        <v>4</v>
      </c>
      <c r="O62" t="s">
        <v>9989</v>
      </c>
      <c r="P62" t="s">
        <v>9988</v>
      </c>
      <c r="Q62" t="s">
        <v>9987</v>
      </c>
      <c r="R62" s="7">
        <v>37226</v>
      </c>
      <c r="S62" s="8">
        <f t="shared" si="0"/>
        <v>2001</v>
      </c>
      <c r="T62" s="8">
        <v>2001</v>
      </c>
      <c r="U62" s="8">
        <f t="shared" si="1"/>
        <v>21</v>
      </c>
      <c r="V62" s="7">
        <v>2001</v>
      </c>
      <c r="W62" t="s">
        <v>9886</v>
      </c>
      <c r="X62" s="2">
        <v>0.1</v>
      </c>
      <c r="Y62" s="6">
        <f t="shared" si="6"/>
        <v>2.6694428872694269E-3</v>
      </c>
      <c r="AA62">
        <v>9633308</v>
      </c>
      <c r="AB62">
        <v>17917</v>
      </c>
      <c r="AD62" t="s">
        <v>1</v>
      </c>
      <c r="AF62">
        <v>175</v>
      </c>
      <c r="AI62" t="s">
        <v>9986</v>
      </c>
      <c r="AK62" t="s">
        <v>9985</v>
      </c>
      <c r="AL62">
        <v>5</v>
      </c>
      <c r="AM62" s="5">
        <f t="shared" si="2"/>
        <v>0.23809523809523808</v>
      </c>
      <c r="AN62" s="4">
        <f t="shared" si="7"/>
        <v>3.6061376462739582E-4</v>
      </c>
      <c r="AO62" s="3"/>
      <c r="AP62">
        <v>0</v>
      </c>
      <c r="AR62" t="s">
        <v>0</v>
      </c>
      <c r="AT62" s="2" t="s">
        <v>7</v>
      </c>
      <c r="AU62" s="1">
        <f t="shared" si="3"/>
        <v>0.19767941504768172</v>
      </c>
      <c r="AV62" s="1">
        <f t="shared" si="4"/>
        <v>0.15150283259484112</v>
      </c>
      <c r="AW62" s="1">
        <f t="shared" si="5"/>
        <v>0.1053262501420005</v>
      </c>
    </row>
    <row r="63" spans="1:49" x14ac:dyDescent="0.2">
      <c r="A63">
        <v>61</v>
      </c>
      <c r="B63" t="s">
        <v>9984</v>
      </c>
      <c r="F63" t="s">
        <v>9983</v>
      </c>
      <c r="G63" t="s">
        <v>6</v>
      </c>
      <c r="H63" t="s">
        <v>5</v>
      </c>
      <c r="I63" t="s">
        <v>9982</v>
      </c>
      <c r="J63">
        <v>60003771</v>
      </c>
      <c r="K63" t="s">
        <v>590</v>
      </c>
      <c r="L63" t="s">
        <v>589</v>
      </c>
      <c r="M63" t="s">
        <v>37</v>
      </c>
      <c r="N63">
        <v>3</v>
      </c>
      <c r="O63" t="s">
        <v>9981</v>
      </c>
      <c r="P63" t="s">
        <v>9980</v>
      </c>
      <c r="Q63" t="s">
        <v>588</v>
      </c>
      <c r="R63" s="7">
        <v>37226</v>
      </c>
      <c r="S63" s="8">
        <f t="shared" si="0"/>
        <v>2001</v>
      </c>
      <c r="T63" s="8">
        <v>2001</v>
      </c>
      <c r="U63" s="8">
        <f t="shared" si="1"/>
        <v>21</v>
      </c>
      <c r="V63" s="7">
        <v>2001</v>
      </c>
      <c r="W63" t="s">
        <v>9886</v>
      </c>
      <c r="X63" s="2">
        <v>0.1</v>
      </c>
      <c r="Y63" s="6">
        <f t="shared" si="6"/>
        <v>2.6694428872694269E-3</v>
      </c>
      <c r="AA63">
        <v>9633308</v>
      </c>
      <c r="AB63">
        <v>17917</v>
      </c>
      <c r="AD63" t="s">
        <v>1</v>
      </c>
      <c r="AF63">
        <v>175</v>
      </c>
      <c r="AI63" t="s">
        <v>9979</v>
      </c>
      <c r="AK63" t="s">
        <v>9978</v>
      </c>
      <c r="AL63">
        <v>0</v>
      </c>
      <c r="AM63" s="5">
        <f t="shared" si="2"/>
        <v>0</v>
      </c>
      <c r="AN63" s="4">
        <f t="shared" si="7"/>
        <v>0</v>
      </c>
      <c r="AO63" s="3"/>
      <c r="AP63">
        <v>0</v>
      </c>
      <c r="AR63" t="s">
        <v>0</v>
      </c>
      <c r="AT63" s="2" t="s">
        <v>7</v>
      </c>
      <c r="AU63" s="1">
        <f t="shared" si="3"/>
        <v>0.18686100210885986</v>
      </c>
      <c r="AV63" s="1">
        <f t="shared" si="4"/>
        <v>0.13347214436347135</v>
      </c>
      <c r="AW63" s="1">
        <f t="shared" si="5"/>
        <v>8.0083286618082811E-2</v>
      </c>
    </row>
    <row r="64" spans="1:49" x14ac:dyDescent="0.2">
      <c r="A64">
        <v>62</v>
      </c>
      <c r="B64" t="s">
        <v>9977</v>
      </c>
      <c r="F64" t="s">
        <v>9976</v>
      </c>
      <c r="G64" t="s">
        <v>6</v>
      </c>
      <c r="H64" t="s">
        <v>5</v>
      </c>
      <c r="I64" t="s">
        <v>9975</v>
      </c>
      <c r="J64" t="s">
        <v>9974</v>
      </c>
      <c r="K64" t="s">
        <v>9973</v>
      </c>
      <c r="L64" t="s">
        <v>9972</v>
      </c>
      <c r="M64" t="s">
        <v>9407</v>
      </c>
      <c r="N64">
        <v>7</v>
      </c>
      <c r="O64" t="s">
        <v>9971</v>
      </c>
      <c r="P64" t="s">
        <v>9970</v>
      </c>
      <c r="Q64" t="s">
        <v>9969</v>
      </c>
      <c r="R64" s="7">
        <v>37226</v>
      </c>
      <c r="S64" s="8">
        <f t="shared" si="0"/>
        <v>2001</v>
      </c>
      <c r="T64" s="8">
        <v>2001</v>
      </c>
      <c r="U64" s="8">
        <f t="shared" si="1"/>
        <v>21</v>
      </c>
      <c r="V64" s="7">
        <v>2001</v>
      </c>
      <c r="W64" t="s">
        <v>9886</v>
      </c>
      <c r="X64" s="2">
        <v>0.1</v>
      </c>
      <c r="Y64" s="6">
        <f t="shared" si="6"/>
        <v>2.6694428872694269E-3</v>
      </c>
      <c r="AA64">
        <v>9633308</v>
      </c>
      <c r="AB64">
        <v>17917</v>
      </c>
      <c r="AD64" t="s">
        <v>1</v>
      </c>
      <c r="AF64">
        <v>175</v>
      </c>
      <c r="AI64" t="s">
        <v>9968</v>
      </c>
      <c r="AK64" t="s">
        <v>9967</v>
      </c>
      <c r="AL64">
        <v>1</v>
      </c>
      <c r="AM64" s="5">
        <f t="shared" si="2"/>
        <v>4.7619047619047616E-2</v>
      </c>
      <c r="AN64" s="4">
        <f t="shared" si="7"/>
        <v>7.2122752925479164E-5</v>
      </c>
      <c r="AO64" s="3"/>
      <c r="AP64">
        <v>0</v>
      </c>
      <c r="AR64" t="s">
        <v>0</v>
      </c>
      <c r="AT64" s="2" t="s">
        <v>7</v>
      </c>
      <c r="AU64" s="1">
        <f t="shared" si="3"/>
        <v>0.18902468469662426</v>
      </c>
      <c r="AV64" s="1">
        <f t="shared" si="4"/>
        <v>0.13707828200974531</v>
      </c>
      <c r="AW64" s="1">
        <f t="shared" si="5"/>
        <v>8.5131879322866338E-2</v>
      </c>
    </row>
    <row r="65" spans="1:49" x14ac:dyDescent="0.2">
      <c r="A65">
        <v>63</v>
      </c>
      <c r="B65" t="s">
        <v>9966</v>
      </c>
      <c r="F65" t="s">
        <v>9965</v>
      </c>
      <c r="G65" t="s">
        <v>6</v>
      </c>
      <c r="H65" t="s">
        <v>5</v>
      </c>
      <c r="I65" t="s">
        <v>9964</v>
      </c>
      <c r="J65">
        <v>60009854</v>
      </c>
      <c r="K65" t="s">
        <v>9955</v>
      </c>
      <c r="L65" t="s">
        <v>970</v>
      </c>
      <c r="M65" t="s">
        <v>969</v>
      </c>
      <c r="N65">
        <v>3</v>
      </c>
      <c r="O65" t="s">
        <v>9963</v>
      </c>
      <c r="P65" t="s">
        <v>9962</v>
      </c>
      <c r="Q65" t="s">
        <v>9961</v>
      </c>
      <c r="R65" s="7">
        <v>37226</v>
      </c>
      <c r="S65" s="8">
        <f t="shared" si="0"/>
        <v>2001</v>
      </c>
      <c r="T65" s="8">
        <v>2001</v>
      </c>
      <c r="U65" s="8">
        <f t="shared" si="1"/>
        <v>21</v>
      </c>
      <c r="V65" s="7">
        <v>2001</v>
      </c>
      <c r="W65" t="s">
        <v>9886</v>
      </c>
      <c r="X65" s="2">
        <v>0.1</v>
      </c>
      <c r="Y65" s="6">
        <f t="shared" si="6"/>
        <v>2.6694428872694269E-3</v>
      </c>
      <c r="AA65">
        <v>9633308</v>
      </c>
      <c r="AB65">
        <v>17917</v>
      </c>
      <c r="AD65" t="s">
        <v>1</v>
      </c>
      <c r="AF65">
        <v>175</v>
      </c>
      <c r="AI65" t="s">
        <v>9960</v>
      </c>
      <c r="AK65" t="s">
        <v>9959</v>
      </c>
      <c r="AL65">
        <v>0</v>
      </c>
      <c r="AM65" s="5">
        <f t="shared" si="2"/>
        <v>0</v>
      </c>
      <c r="AN65" s="4">
        <f t="shared" si="7"/>
        <v>0</v>
      </c>
      <c r="AO65" s="3"/>
      <c r="AP65">
        <v>0</v>
      </c>
      <c r="AR65" t="s">
        <v>0</v>
      </c>
      <c r="AT65" s="2" t="s">
        <v>7</v>
      </c>
      <c r="AU65" s="1">
        <f t="shared" si="3"/>
        <v>0.18686100210885986</v>
      </c>
      <c r="AV65" s="1">
        <f t="shared" si="4"/>
        <v>0.13347214436347135</v>
      </c>
      <c r="AW65" s="1">
        <f t="shared" si="5"/>
        <v>8.0083286618082811E-2</v>
      </c>
    </row>
    <row r="66" spans="1:49" x14ac:dyDescent="0.2">
      <c r="A66">
        <v>64</v>
      </c>
      <c r="B66" t="s">
        <v>9958</v>
      </c>
      <c r="F66" t="s">
        <v>9957</v>
      </c>
      <c r="G66" t="s">
        <v>6</v>
      </c>
      <c r="H66" t="s">
        <v>5</v>
      </c>
      <c r="I66" t="s">
        <v>9956</v>
      </c>
      <c r="J66">
        <v>60009854</v>
      </c>
      <c r="K66" t="s">
        <v>9955</v>
      </c>
      <c r="L66" t="s">
        <v>970</v>
      </c>
      <c r="M66" t="s">
        <v>969</v>
      </c>
      <c r="N66">
        <v>2</v>
      </c>
      <c r="O66" t="s">
        <v>9954</v>
      </c>
      <c r="P66" t="s">
        <v>9953</v>
      </c>
      <c r="Q66" t="s">
        <v>9952</v>
      </c>
      <c r="R66" s="7">
        <v>37226</v>
      </c>
      <c r="S66" s="8">
        <f t="shared" ref="S66:S129" si="8">YEAR(R66)</f>
        <v>2001</v>
      </c>
      <c r="T66" s="8">
        <v>2001</v>
      </c>
      <c r="U66" s="8">
        <f t="shared" ref="U66:U129" si="9">2022-T66</f>
        <v>21</v>
      </c>
      <c r="V66" s="7">
        <v>2001</v>
      </c>
      <c r="W66" t="s">
        <v>9886</v>
      </c>
      <c r="X66" s="2">
        <v>0.1</v>
      </c>
      <c r="Y66" s="6">
        <f t="shared" si="6"/>
        <v>2.6694428872694269E-3</v>
      </c>
      <c r="AA66">
        <v>9633308</v>
      </c>
      <c r="AB66">
        <v>17917</v>
      </c>
      <c r="AD66" t="s">
        <v>1</v>
      </c>
      <c r="AF66">
        <v>175</v>
      </c>
      <c r="AI66" t="s">
        <v>9951</v>
      </c>
      <c r="AK66" t="s">
        <v>9950</v>
      </c>
      <c r="AL66">
        <v>2</v>
      </c>
      <c r="AM66" s="5">
        <f t="shared" ref="AM66:AM129" si="10">AL66/U66</f>
        <v>9.5238095238095233E-2</v>
      </c>
      <c r="AN66" s="4">
        <f t="shared" si="7"/>
        <v>1.4424550585095833E-4</v>
      </c>
      <c r="AO66" s="3"/>
      <c r="AP66">
        <v>0</v>
      </c>
      <c r="AR66" t="s">
        <v>0</v>
      </c>
      <c r="AT66" s="2" t="s">
        <v>7</v>
      </c>
      <c r="AU66" s="1">
        <f t="shared" ref="AU66:AU129" si="11">(Y66*0.7+AN66*0.3)*100</f>
        <v>0.19118836728438862</v>
      </c>
      <c r="AV66" s="1">
        <f t="shared" ref="AV66:AV129" si="12">(Y66*0.5+AN66*0.5)*100</f>
        <v>0.14068441965601924</v>
      </c>
      <c r="AW66" s="1">
        <f t="shared" ref="AW66:AW129" si="13">(Y66*0.3+AN66*0.7)*100</f>
        <v>9.0180472027649894E-2</v>
      </c>
    </row>
    <row r="67" spans="1:49" x14ac:dyDescent="0.2">
      <c r="A67">
        <v>65</v>
      </c>
      <c r="B67" t="s">
        <v>9949</v>
      </c>
      <c r="F67" t="s">
        <v>9948</v>
      </c>
      <c r="G67" t="s">
        <v>6</v>
      </c>
      <c r="H67" t="s">
        <v>5</v>
      </c>
      <c r="I67" t="s">
        <v>490</v>
      </c>
      <c r="J67">
        <v>60020730</v>
      </c>
      <c r="K67" t="s">
        <v>489</v>
      </c>
      <c r="L67" t="s">
        <v>488</v>
      </c>
      <c r="M67" t="s">
        <v>37</v>
      </c>
      <c r="N67">
        <v>2</v>
      </c>
      <c r="O67" t="s">
        <v>9947</v>
      </c>
      <c r="P67" t="s">
        <v>9946</v>
      </c>
      <c r="Q67" t="s">
        <v>9945</v>
      </c>
      <c r="R67" s="7">
        <v>37226</v>
      </c>
      <c r="S67" s="8">
        <f t="shared" si="8"/>
        <v>2001</v>
      </c>
      <c r="T67" s="8">
        <v>2001</v>
      </c>
      <c r="U67" s="8">
        <f t="shared" si="9"/>
        <v>21</v>
      </c>
      <c r="V67" s="7">
        <v>2001</v>
      </c>
      <c r="W67" t="s">
        <v>9886</v>
      </c>
      <c r="X67" s="2">
        <v>0.1</v>
      </c>
      <c r="Y67" s="6">
        <f t="shared" ref="Y67:Y130" si="14">(X67-$Z$3)/($Z$2-$Z$3)</f>
        <v>2.6694428872694269E-3</v>
      </c>
      <c r="AA67">
        <v>9633308</v>
      </c>
      <c r="AB67">
        <v>17917</v>
      </c>
      <c r="AD67" t="s">
        <v>1</v>
      </c>
      <c r="AF67">
        <v>175</v>
      </c>
      <c r="AI67" t="s">
        <v>9944</v>
      </c>
      <c r="AK67" t="s">
        <v>9943</v>
      </c>
      <c r="AL67">
        <v>1</v>
      </c>
      <c r="AM67" s="5">
        <f t="shared" si="10"/>
        <v>4.7619047619047616E-2</v>
      </c>
      <c r="AN67" s="4">
        <f t="shared" ref="AN67:AN130" si="15">(AM67-$AO$3)/($AO$2-$AO$3)</f>
        <v>7.2122752925479164E-5</v>
      </c>
      <c r="AO67" s="3"/>
      <c r="AP67">
        <v>0</v>
      </c>
      <c r="AR67" t="s">
        <v>0</v>
      </c>
      <c r="AT67" s="2" t="s">
        <v>7</v>
      </c>
      <c r="AU67" s="1">
        <f t="shared" si="11"/>
        <v>0.18902468469662426</v>
      </c>
      <c r="AV67" s="1">
        <f t="shared" si="12"/>
        <v>0.13707828200974531</v>
      </c>
      <c r="AW67" s="1">
        <f t="shared" si="13"/>
        <v>8.5131879322866338E-2</v>
      </c>
    </row>
    <row r="68" spans="1:49" x14ac:dyDescent="0.2">
      <c r="A68">
        <v>66</v>
      </c>
      <c r="B68" t="s">
        <v>9942</v>
      </c>
      <c r="F68" t="s">
        <v>9941</v>
      </c>
      <c r="G68" t="s">
        <v>6</v>
      </c>
      <c r="H68" t="s">
        <v>5</v>
      </c>
      <c r="I68" t="s">
        <v>9940</v>
      </c>
      <c r="J68">
        <v>60027272</v>
      </c>
      <c r="K68" t="s">
        <v>1629</v>
      </c>
      <c r="L68" t="s">
        <v>224</v>
      </c>
      <c r="M68" t="s">
        <v>37</v>
      </c>
      <c r="N68">
        <v>2</v>
      </c>
      <c r="O68" t="s">
        <v>9939</v>
      </c>
      <c r="P68" t="s">
        <v>9938</v>
      </c>
      <c r="Q68" t="s">
        <v>9937</v>
      </c>
      <c r="R68" s="7">
        <v>37226</v>
      </c>
      <c r="S68" s="8">
        <f t="shared" si="8"/>
        <v>2001</v>
      </c>
      <c r="T68" s="8">
        <v>2001</v>
      </c>
      <c r="U68" s="8">
        <f t="shared" si="9"/>
        <v>21</v>
      </c>
      <c r="V68" s="7">
        <v>2001</v>
      </c>
      <c r="W68" t="s">
        <v>9886</v>
      </c>
      <c r="X68" s="2">
        <v>0.1</v>
      </c>
      <c r="Y68" s="6">
        <f t="shared" si="14"/>
        <v>2.6694428872694269E-3</v>
      </c>
      <c r="AA68">
        <v>9633308</v>
      </c>
      <c r="AB68">
        <v>17917</v>
      </c>
      <c r="AD68" t="s">
        <v>1</v>
      </c>
      <c r="AF68">
        <v>175</v>
      </c>
      <c r="AI68" t="s">
        <v>9936</v>
      </c>
      <c r="AK68" t="s">
        <v>9935</v>
      </c>
      <c r="AL68">
        <v>1</v>
      </c>
      <c r="AM68" s="5">
        <f t="shared" si="10"/>
        <v>4.7619047619047616E-2</v>
      </c>
      <c r="AN68" s="4">
        <f t="shared" si="15"/>
        <v>7.2122752925479164E-5</v>
      </c>
      <c r="AO68" s="3"/>
      <c r="AP68">
        <v>0</v>
      </c>
      <c r="AR68" t="s">
        <v>0</v>
      </c>
      <c r="AT68" s="2" t="s">
        <v>7</v>
      </c>
      <c r="AU68" s="1">
        <f t="shared" si="11"/>
        <v>0.18902468469662426</v>
      </c>
      <c r="AV68" s="1">
        <f t="shared" si="12"/>
        <v>0.13707828200974531</v>
      </c>
      <c r="AW68" s="1">
        <f t="shared" si="13"/>
        <v>8.5131879322866338E-2</v>
      </c>
    </row>
    <row r="69" spans="1:49" x14ac:dyDescent="0.2">
      <c r="A69">
        <v>67</v>
      </c>
      <c r="B69" t="s">
        <v>9934</v>
      </c>
      <c r="F69" t="s">
        <v>9933</v>
      </c>
      <c r="G69" t="s">
        <v>6</v>
      </c>
      <c r="H69" t="s">
        <v>5</v>
      </c>
      <c r="I69" t="s">
        <v>9932</v>
      </c>
      <c r="J69">
        <v>60016561</v>
      </c>
      <c r="K69" t="s">
        <v>9931</v>
      </c>
      <c r="L69" t="s">
        <v>705</v>
      </c>
      <c r="M69" t="s">
        <v>86</v>
      </c>
      <c r="N69">
        <v>1</v>
      </c>
      <c r="O69" t="s">
        <v>9930</v>
      </c>
      <c r="P69">
        <v>11540684200</v>
      </c>
      <c r="Q69">
        <v>60016561</v>
      </c>
      <c r="R69" s="7">
        <v>37226</v>
      </c>
      <c r="S69" s="8">
        <f t="shared" si="8"/>
        <v>2001</v>
      </c>
      <c r="T69" s="8">
        <v>2001</v>
      </c>
      <c r="U69" s="8">
        <f t="shared" si="9"/>
        <v>21</v>
      </c>
      <c r="V69" s="7">
        <v>2001</v>
      </c>
      <c r="W69" t="s">
        <v>9886</v>
      </c>
      <c r="X69" s="2">
        <v>0.1</v>
      </c>
      <c r="Y69" s="6">
        <f t="shared" si="14"/>
        <v>2.6694428872694269E-3</v>
      </c>
      <c r="AA69">
        <v>9633308</v>
      </c>
      <c r="AB69">
        <v>17917</v>
      </c>
      <c r="AD69" t="s">
        <v>1</v>
      </c>
      <c r="AF69">
        <v>175</v>
      </c>
      <c r="AI69" t="s">
        <v>9929</v>
      </c>
      <c r="AK69" t="s">
        <v>9928</v>
      </c>
      <c r="AL69">
        <v>2</v>
      </c>
      <c r="AM69" s="5">
        <f t="shared" si="10"/>
        <v>9.5238095238095233E-2</v>
      </c>
      <c r="AN69" s="4">
        <f t="shared" si="15"/>
        <v>1.4424550585095833E-4</v>
      </c>
      <c r="AO69" s="3"/>
      <c r="AP69">
        <v>0</v>
      </c>
      <c r="AR69" t="s">
        <v>0</v>
      </c>
      <c r="AT69" s="2" t="s">
        <v>7</v>
      </c>
      <c r="AU69" s="1">
        <f t="shared" si="11"/>
        <v>0.19118836728438862</v>
      </c>
      <c r="AV69" s="1">
        <f t="shared" si="12"/>
        <v>0.14068441965601924</v>
      </c>
      <c r="AW69" s="1">
        <f t="shared" si="13"/>
        <v>9.0180472027649894E-2</v>
      </c>
    </row>
    <row r="70" spans="1:49" x14ac:dyDescent="0.2">
      <c r="A70">
        <v>68</v>
      </c>
      <c r="B70" t="s">
        <v>9927</v>
      </c>
      <c r="F70" t="s">
        <v>9926</v>
      </c>
      <c r="G70" t="s">
        <v>6</v>
      </c>
      <c r="H70" t="s">
        <v>5</v>
      </c>
      <c r="I70" t="s">
        <v>9925</v>
      </c>
      <c r="J70">
        <v>60107883</v>
      </c>
      <c r="K70" t="s">
        <v>9924</v>
      </c>
      <c r="L70" t="s">
        <v>9923</v>
      </c>
      <c r="M70" t="s">
        <v>87</v>
      </c>
      <c r="N70">
        <v>3</v>
      </c>
      <c r="O70" t="s">
        <v>9922</v>
      </c>
      <c r="P70" t="s">
        <v>9921</v>
      </c>
      <c r="Q70" t="s">
        <v>9920</v>
      </c>
      <c r="R70" s="7">
        <v>37226</v>
      </c>
      <c r="S70" s="8">
        <f t="shared" si="8"/>
        <v>2001</v>
      </c>
      <c r="T70" s="8">
        <v>2001</v>
      </c>
      <c r="U70" s="8">
        <f t="shared" si="9"/>
        <v>21</v>
      </c>
      <c r="V70" s="7">
        <v>2001</v>
      </c>
      <c r="W70" t="s">
        <v>9886</v>
      </c>
      <c r="X70" s="2">
        <v>0.1</v>
      </c>
      <c r="Y70" s="6">
        <f t="shared" si="14"/>
        <v>2.6694428872694269E-3</v>
      </c>
      <c r="AA70">
        <v>9633308</v>
      </c>
      <c r="AB70">
        <v>17917</v>
      </c>
      <c r="AD70" t="s">
        <v>1</v>
      </c>
      <c r="AF70">
        <v>175</v>
      </c>
      <c r="AI70" t="s">
        <v>9919</v>
      </c>
      <c r="AK70" t="s">
        <v>9918</v>
      </c>
      <c r="AL70">
        <v>0</v>
      </c>
      <c r="AM70" s="5">
        <f t="shared" si="10"/>
        <v>0</v>
      </c>
      <c r="AN70" s="4">
        <f t="shared" si="15"/>
        <v>0</v>
      </c>
      <c r="AO70" s="3"/>
      <c r="AP70">
        <v>0</v>
      </c>
      <c r="AR70" t="s">
        <v>0</v>
      </c>
      <c r="AT70" s="2" t="s">
        <v>7</v>
      </c>
      <c r="AU70" s="1">
        <f t="shared" si="11"/>
        <v>0.18686100210885986</v>
      </c>
      <c r="AV70" s="1">
        <f t="shared" si="12"/>
        <v>0.13347214436347135</v>
      </c>
      <c r="AW70" s="1">
        <f t="shared" si="13"/>
        <v>8.0083286618082811E-2</v>
      </c>
    </row>
    <row r="71" spans="1:49" x14ac:dyDescent="0.2">
      <c r="A71">
        <v>69</v>
      </c>
      <c r="B71" t="s">
        <v>9917</v>
      </c>
      <c r="F71" t="s">
        <v>9916</v>
      </c>
      <c r="G71" t="s">
        <v>6</v>
      </c>
      <c r="H71" t="s">
        <v>5</v>
      </c>
      <c r="I71" t="s">
        <v>9915</v>
      </c>
      <c r="J71">
        <v>60018353</v>
      </c>
      <c r="K71" t="s">
        <v>627</v>
      </c>
      <c r="L71" t="s">
        <v>626</v>
      </c>
      <c r="M71" t="s">
        <v>46</v>
      </c>
      <c r="N71">
        <v>3</v>
      </c>
      <c r="O71" t="s">
        <v>9914</v>
      </c>
      <c r="P71" t="s">
        <v>9913</v>
      </c>
      <c r="Q71" t="s">
        <v>9912</v>
      </c>
      <c r="R71" s="7">
        <v>37226</v>
      </c>
      <c r="S71" s="8">
        <f t="shared" si="8"/>
        <v>2001</v>
      </c>
      <c r="T71" s="8">
        <v>2001</v>
      </c>
      <c r="U71" s="8">
        <f t="shared" si="9"/>
        <v>21</v>
      </c>
      <c r="V71" s="7">
        <v>2001</v>
      </c>
      <c r="W71" t="s">
        <v>9886</v>
      </c>
      <c r="X71" s="2">
        <v>0.1</v>
      </c>
      <c r="Y71" s="6">
        <f t="shared" si="14"/>
        <v>2.6694428872694269E-3</v>
      </c>
      <c r="AA71">
        <v>9633308</v>
      </c>
      <c r="AB71">
        <v>17917</v>
      </c>
      <c r="AD71" t="s">
        <v>1</v>
      </c>
      <c r="AF71">
        <v>175</v>
      </c>
      <c r="AI71" t="s">
        <v>9911</v>
      </c>
      <c r="AK71" t="s">
        <v>9910</v>
      </c>
      <c r="AL71">
        <v>0</v>
      </c>
      <c r="AM71" s="5">
        <f t="shared" si="10"/>
        <v>0</v>
      </c>
      <c r="AN71" s="4">
        <f t="shared" si="15"/>
        <v>0</v>
      </c>
      <c r="AO71" s="3"/>
      <c r="AP71">
        <v>0</v>
      </c>
      <c r="AR71" t="s">
        <v>0</v>
      </c>
      <c r="AT71" s="2" t="s">
        <v>7</v>
      </c>
      <c r="AU71" s="1">
        <f t="shared" si="11"/>
        <v>0.18686100210885986</v>
      </c>
      <c r="AV71" s="1">
        <f t="shared" si="12"/>
        <v>0.13347214436347135</v>
      </c>
      <c r="AW71" s="1">
        <f t="shared" si="13"/>
        <v>8.0083286618082811E-2</v>
      </c>
    </row>
    <row r="72" spans="1:49" x14ac:dyDescent="0.2">
      <c r="A72">
        <v>70</v>
      </c>
      <c r="B72" t="s">
        <v>9909</v>
      </c>
      <c r="F72" t="s">
        <v>9908</v>
      </c>
      <c r="G72" t="s">
        <v>6</v>
      </c>
      <c r="H72" t="s">
        <v>5</v>
      </c>
      <c r="I72" t="s">
        <v>9907</v>
      </c>
      <c r="J72">
        <v>60021097</v>
      </c>
      <c r="K72" t="s">
        <v>71</v>
      </c>
      <c r="L72" t="s">
        <v>70</v>
      </c>
      <c r="M72" t="s">
        <v>37</v>
      </c>
      <c r="N72">
        <v>3</v>
      </c>
      <c r="O72" t="s">
        <v>9906</v>
      </c>
      <c r="P72" t="s">
        <v>9905</v>
      </c>
      <c r="Q72" t="s">
        <v>69</v>
      </c>
      <c r="R72" s="7">
        <v>37226</v>
      </c>
      <c r="S72" s="8">
        <f t="shared" si="8"/>
        <v>2001</v>
      </c>
      <c r="T72" s="8">
        <v>2001</v>
      </c>
      <c r="U72" s="8">
        <f t="shared" si="9"/>
        <v>21</v>
      </c>
      <c r="V72" s="7">
        <v>2001</v>
      </c>
      <c r="W72" t="s">
        <v>9886</v>
      </c>
      <c r="X72" s="2">
        <v>0.1</v>
      </c>
      <c r="Y72" s="6">
        <f t="shared" si="14"/>
        <v>2.6694428872694269E-3</v>
      </c>
      <c r="AA72">
        <v>9633308</v>
      </c>
      <c r="AB72">
        <v>17917</v>
      </c>
      <c r="AD72" t="s">
        <v>1</v>
      </c>
      <c r="AF72">
        <v>175</v>
      </c>
      <c r="AI72" t="s">
        <v>9904</v>
      </c>
      <c r="AK72" t="s">
        <v>9903</v>
      </c>
      <c r="AL72">
        <v>1</v>
      </c>
      <c r="AM72" s="5">
        <f t="shared" si="10"/>
        <v>4.7619047619047616E-2</v>
      </c>
      <c r="AN72" s="4">
        <f t="shared" si="15"/>
        <v>7.2122752925479164E-5</v>
      </c>
      <c r="AO72" s="3"/>
      <c r="AP72">
        <v>0</v>
      </c>
      <c r="AR72" t="s">
        <v>0</v>
      </c>
      <c r="AT72" s="2" t="s">
        <v>7</v>
      </c>
      <c r="AU72" s="1">
        <f t="shared" si="11"/>
        <v>0.18902468469662426</v>
      </c>
      <c r="AV72" s="1">
        <f t="shared" si="12"/>
        <v>0.13707828200974531</v>
      </c>
      <c r="AW72" s="1">
        <f t="shared" si="13"/>
        <v>8.5131879322866338E-2</v>
      </c>
    </row>
    <row r="73" spans="1:49" x14ac:dyDescent="0.2">
      <c r="A73">
        <v>71</v>
      </c>
      <c r="B73" t="s">
        <v>9902</v>
      </c>
      <c r="F73" t="s">
        <v>9901</v>
      </c>
      <c r="G73" t="s">
        <v>6</v>
      </c>
      <c r="H73" t="s">
        <v>5</v>
      </c>
      <c r="I73" t="s">
        <v>9900</v>
      </c>
      <c r="J73" t="s">
        <v>9899</v>
      </c>
      <c r="K73" t="s">
        <v>9898</v>
      </c>
      <c r="L73" t="s">
        <v>9897</v>
      </c>
      <c r="M73" t="s">
        <v>9</v>
      </c>
      <c r="N73">
        <v>5</v>
      </c>
      <c r="O73" t="s">
        <v>9896</v>
      </c>
      <c r="P73" t="s">
        <v>9895</v>
      </c>
      <c r="Q73" t="s">
        <v>9894</v>
      </c>
      <c r="R73" s="7">
        <v>37226</v>
      </c>
      <c r="S73" s="8">
        <f t="shared" si="8"/>
        <v>2001</v>
      </c>
      <c r="T73" s="8">
        <v>2001</v>
      </c>
      <c r="U73" s="8">
        <f t="shared" si="9"/>
        <v>21</v>
      </c>
      <c r="V73" s="7">
        <v>2001</v>
      </c>
      <c r="W73" t="s">
        <v>9886</v>
      </c>
      <c r="X73" s="2">
        <v>0.1</v>
      </c>
      <c r="Y73" s="6">
        <f t="shared" si="14"/>
        <v>2.6694428872694269E-3</v>
      </c>
      <c r="AA73">
        <v>9633308</v>
      </c>
      <c r="AB73">
        <v>17917</v>
      </c>
      <c r="AD73" t="s">
        <v>1</v>
      </c>
      <c r="AF73">
        <v>175</v>
      </c>
      <c r="AI73" t="s">
        <v>9893</v>
      </c>
      <c r="AK73" t="s">
        <v>9892</v>
      </c>
      <c r="AL73">
        <v>4</v>
      </c>
      <c r="AM73" s="5">
        <f t="shared" si="10"/>
        <v>0.19047619047619047</v>
      </c>
      <c r="AN73" s="4">
        <f t="shared" si="15"/>
        <v>2.8849101170191666E-4</v>
      </c>
      <c r="AO73" s="3"/>
      <c r="AP73">
        <v>0</v>
      </c>
      <c r="AR73" t="s">
        <v>0</v>
      </c>
      <c r="AT73" s="2" t="s">
        <v>7</v>
      </c>
      <c r="AU73" s="1">
        <f t="shared" si="11"/>
        <v>0.19551573245991738</v>
      </c>
      <c r="AV73" s="1">
        <f t="shared" si="12"/>
        <v>0.14789669494856719</v>
      </c>
      <c r="AW73" s="1">
        <f t="shared" si="13"/>
        <v>0.10027765743721698</v>
      </c>
    </row>
    <row r="74" spans="1:49" x14ac:dyDescent="0.2">
      <c r="A74">
        <v>72</v>
      </c>
      <c r="B74" t="s">
        <v>9891</v>
      </c>
      <c r="F74" t="s">
        <v>9890</v>
      </c>
      <c r="G74" t="s">
        <v>6</v>
      </c>
      <c r="H74" t="s">
        <v>5</v>
      </c>
      <c r="I74" t="s">
        <v>36</v>
      </c>
      <c r="J74">
        <v>60030040</v>
      </c>
      <c r="K74" t="s">
        <v>421</v>
      </c>
      <c r="L74" t="s">
        <v>420</v>
      </c>
      <c r="M74" t="s">
        <v>46</v>
      </c>
      <c r="N74">
        <v>5</v>
      </c>
      <c r="O74" t="s">
        <v>9889</v>
      </c>
      <c r="P74" t="s">
        <v>9888</v>
      </c>
      <c r="Q74" t="s">
        <v>9887</v>
      </c>
      <c r="R74" s="7">
        <v>37226</v>
      </c>
      <c r="S74" s="8">
        <f t="shared" si="8"/>
        <v>2001</v>
      </c>
      <c r="T74" s="8">
        <v>2001</v>
      </c>
      <c r="U74" s="8">
        <f t="shared" si="9"/>
        <v>21</v>
      </c>
      <c r="V74" s="7">
        <v>2001</v>
      </c>
      <c r="W74" t="s">
        <v>9886</v>
      </c>
      <c r="X74" s="2">
        <v>0.1</v>
      </c>
      <c r="Y74" s="6">
        <f t="shared" si="14"/>
        <v>2.6694428872694269E-3</v>
      </c>
      <c r="AA74">
        <v>9633308</v>
      </c>
      <c r="AB74">
        <v>17917</v>
      </c>
      <c r="AD74" t="s">
        <v>1</v>
      </c>
      <c r="AF74">
        <v>175</v>
      </c>
      <c r="AI74" t="s">
        <v>9885</v>
      </c>
      <c r="AK74" t="s">
        <v>9884</v>
      </c>
      <c r="AL74">
        <v>8</v>
      </c>
      <c r="AM74" s="5">
        <f t="shared" si="10"/>
        <v>0.38095238095238093</v>
      </c>
      <c r="AN74" s="4">
        <f t="shared" si="15"/>
        <v>5.7698202340383331E-4</v>
      </c>
      <c r="AO74" s="3"/>
      <c r="AP74">
        <v>0</v>
      </c>
      <c r="AR74" t="s">
        <v>0</v>
      </c>
      <c r="AT74" s="2" t="s">
        <v>7</v>
      </c>
      <c r="AU74" s="1">
        <f t="shared" si="11"/>
        <v>0.20417046281097487</v>
      </c>
      <c r="AV74" s="1">
        <f t="shared" si="12"/>
        <v>0.16232124553366301</v>
      </c>
      <c r="AW74" s="1">
        <f t="shared" si="13"/>
        <v>0.12047202825635113</v>
      </c>
    </row>
    <row r="75" spans="1:49" x14ac:dyDescent="0.2">
      <c r="A75">
        <v>73</v>
      </c>
      <c r="B75" t="s">
        <v>9883</v>
      </c>
      <c r="F75" t="s">
        <v>9882</v>
      </c>
      <c r="G75" t="s">
        <v>6</v>
      </c>
      <c r="H75" t="s">
        <v>5</v>
      </c>
      <c r="I75" t="s">
        <v>9881</v>
      </c>
      <c r="N75">
        <v>1</v>
      </c>
      <c r="O75" t="s">
        <v>9880</v>
      </c>
      <c r="P75">
        <v>8217709300</v>
      </c>
      <c r="R75" s="7">
        <v>37226</v>
      </c>
      <c r="S75" s="8">
        <f t="shared" si="8"/>
        <v>2001</v>
      </c>
      <c r="T75" s="8">
        <v>2001</v>
      </c>
      <c r="U75" s="8">
        <f t="shared" si="9"/>
        <v>21</v>
      </c>
      <c r="V75" s="7">
        <v>2001</v>
      </c>
      <c r="W75" t="s">
        <v>32</v>
      </c>
      <c r="X75" s="2">
        <v>0.14099999999999999</v>
      </c>
      <c r="Y75" s="6">
        <f t="shared" si="14"/>
        <v>3.7639144710498915E-3</v>
      </c>
      <c r="AA75">
        <v>402508</v>
      </c>
      <c r="AB75">
        <v>20868</v>
      </c>
      <c r="AD75" t="s">
        <v>1</v>
      </c>
      <c r="AE75">
        <v>56</v>
      </c>
      <c r="AF75" s="10">
        <v>44477</v>
      </c>
      <c r="AH75" t="s">
        <v>9879</v>
      </c>
      <c r="AI75" t="s">
        <v>9878</v>
      </c>
      <c r="AK75" t="s">
        <v>9877</v>
      </c>
      <c r="AL75">
        <v>0</v>
      </c>
      <c r="AM75" s="5">
        <f t="shared" si="10"/>
        <v>0</v>
      </c>
      <c r="AN75" s="4">
        <f t="shared" si="15"/>
        <v>0</v>
      </c>
      <c r="AO75" s="3"/>
      <c r="AP75">
        <v>0</v>
      </c>
      <c r="AR75" t="s">
        <v>0</v>
      </c>
      <c r="AT75" s="2" t="s">
        <v>7</v>
      </c>
      <c r="AU75" s="1">
        <f t="shared" si="11"/>
        <v>0.26347401297349238</v>
      </c>
      <c r="AV75" s="1">
        <f t="shared" si="12"/>
        <v>0.18819572355249459</v>
      </c>
      <c r="AW75" s="1">
        <f t="shared" si="13"/>
        <v>0.11291743413149673</v>
      </c>
    </row>
    <row r="76" spans="1:49" x14ac:dyDescent="0.2">
      <c r="A76">
        <v>74</v>
      </c>
      <c r="B76" t="s">
        <v>9876</v>
      </c>
      <c r="F76" t="s">
        <v>9875</v>
      </c>
      <c r="G76" t="s">
        <v>6</v>
      </c>
      <c r="H76" t="s">
        <v>5</v>
      </c>
      <c r="I76" t="s">
        <v>9874</v>
      </c>
      <c r="J76">
        <v>60027251</v>
      </c>
      <c r="K76" t="s">
        <v>659</v>
      </c>
      <c r="L76" t="s">
        <v>458</v>
      </c>
      <c r="M76" t="s">
        <v>457</v>
      </c>
      <c r="N76">
        <v>1</v>
      </c>
      <c r="O76" t="s">
        <v>9873</v>
      </c>
      <c r="P76">
        <v>7003374031</v>
      </c>
      <c r="Q76">
        <v>60027251</v>
      </c>
      <c r="R76" s="7">
        <v>37226</v>
      </c>
      <c r="S76" s="8">
        <f t="shared" si="8"/>
        <v>2001</v>
      </c>
      <c r="T76" s="8">
        <v>2001</v>
      </c>
      <c r="U76" s="8">
        <f t="shared" si="9"/>
        <v>21</v>
      </c>
      <c r="V76" s="7">
        <v>2001</v>
      </c>
      <c r="W76" t="s">
        <v>32</v>
      </c>
      <c r="X76" s="2">
        <v>0.14099999999999999</v>
      </c>
      <c r="Y76" s="6">
        <f t="shared" si="14"/>
        <v>3.7639144710498915E-3</v>
      </c>
      <c r="AA76">
        <v>402508</v>
      </c>
      <c r="AB76">
        <v>20868</v>
      </c>
      <c r="AD76" t="s">
        <v>1</v>
      </c>
      <c r="AE76">
        <v>55</v>
      </c>
      <c r="AF76">
        <v>2</v>
      </c>
      <c r="AH76" t="s">
        <v>9872</v>
      </c>
      <c r="AI76" t="s">
        <v>9871</v>
      </c>
      <c r="AK76" t="s">
        <v>9870</v>
      </c>
      <c r="AL76">
        <v>0</v>
      </c>
      <c r="AM76" s="5">
        <f t="shared" si="10"/>
        <v>0</v>
      </c>
      <c r="AN76" s="4">
        <f t="shared" si="15"/>
        <v>0</v>
      </c>
      <c r="AO76" s="3"/>
      <c r="AP76">
        <v>0</v>
      </c>
      <c r="AR76" t="s">
        <v>0</v>
      </c>
      <c r="AT76" s="2" t="s">
        <v>7</v>
      </c>
      <c r="AU76" s="1">
        <f t="shared" si="11"/>
        <v>0.26347401297349238</v>
      </c>
      <c r="AV76" s="1">
        <f t="shared" si="12"/>
        <v>0.18819572355249459</v>
      </c>
      <c r="AW76" s="1">
        <f t="shared" si="13"/>
        <v>0.11291743413149673</v>
      </c>
    </row>
    <row r="77" spans="1:49" x14ac:dyDescent="0.2">
      <c r="A77">
        <v>75</v>
      </c>
      <c r="B77" t="s">
        <v>9869</v>
      </c>
      <c r="F77" t="s">
        <v>9868</v>
      </c>
      <c r="G77" t="s">
        <v>6</v>
      </c>
      <c r="H77" t="s">
        <v>5</v>
      </c>
      <c r="I77" t="s">
        <v>9867</v>
      </c>
      <c r="J77" t="s">
        <v>9866</v>
      </c>
      <c r="K77" t="s">
        <v>9865</v>
      </c>
      <c r="L77" t="s">
        <v>9864</v>
      </c>
      <c r="M77" t="s">
        <v>9863</v>
      </c>
      <c r="N77">
        <v>5</v>
      </c>
      <c r="O77" t="s">
        <v>9862</v>
      </c>
      <c r="P77" t="s">
        <v>9861</v>
      </c>
      <c r="Q77" t="s">
        <v>9860</v>
      </c>
      <c r="R77" s="7">
        <v>37226</v>
      </c>
      <c r="S77" s="8">
        <f t="shared" si="8"/>
        <v>2001</v>
      </c>
      <c r="T77" s="8">
        <v>2001</v>
      </c>
      <c r="U77" s="8">
        <f t="shared" si="9"/>
        <v>21</v>
      </c>
      <c r="V77" s="7">
        <v>2001</v>
      </c>
      <c r="W77" t="s">
        <v>9798</v>
      </c>
      <c r="X77" s="2">
        <v>0.34399999999999997</v>
      </c>
      <c r="Y77" s="6">
        <f t="shared" si="14"/>
        <v>9.1828835322068283E-3</v>
      </c>
      <c r="AA77">
        <v>167932</v>
      </c>
      <c r="AB77">
        <v>27943</v>
      </c>
      <c r="AD77" t="s">
        <v>1</v>
      </c>
      <c r="AE77">
        <v>41</v>
      </c>
      <c r="AF77">
        <v>4</v>
      </c>
      <c r="AH77" t="s">
        <v>9859</v>
      </c>
      <c r="AI77" t="s">
        <v>9858</v>
      </c>
      <c r="AK77" t="s">
        <v>9857</v>
      </c>
      <c r="AL77">
        <v>1</v>
      </c>
      <c r="AM77" s="5">
        <f t="shared" si="10"/>
        <v>4.7619047619047616E-2</v>
      </c>
      <c r="AN77" s="4">
        <f t="shared" si="15"/>
        <v>7.2122752925479164E-5</v>
      </c>
      <c r="AO77" s="3"/>
      <c r="AP77">
        <v>0</v>
      </c>
      <c r="AR77" t="s">
        <v>0</v>
      </c>
      <c r="AT77" s="2">
        <v>0.70099999999999996</v>
      </c>
      <c r="AU77" s="1">
        <f t="shared" si="11"/>
        <v>0.6449655298422422</v>
      </c>
      <c r="AV77" s="1">
        <f t="shared" si="12"/>
        <v>0.46275031425661539</v>
      </c>
      <c r="AW77" s="1">
        <f t="shared" si="13"/>
        <v>0.28053509867098836</v>
      </c>
    </row>
    <row r="78" spans="1:49" x14ac:dyDescent="0.2">
      <c r="A78">
        <v>76</v>
      </c>
      <c r="B78" t="s">
        <v>9856</v>
      </c>
      <c r="F78" t="s">
        <v>9855</v>
      </c>
      <c r="G78" t="s">
        <v>6</v>
      </c>
      <c r="H78" t="s">
        <v>5</v>
      </c>
      <c r="I78" t="s">
        <v>9854</v>
      </c>
      <c r="J78">
        <v>60014036</v>
      </c>
      <c r="K78" t="s">
        <v>9853</v>
      </c>
      <c r="L78" t="s">
        <v>557</v>
      </c>
      <c r="M78" t="s">
        <v>197</v>
      </c>
      <c r="N78">
        <v>2</v>
      </c>
      <c r="O78" t="s">
        <v>9852</v>
      </c>
      <c r="P78" t="s">
        <v>9851</v>
      </c>
      <c r="Q78" t="s">
        <v>9850</v>
      </c>
      <c r="R78" s="7">
        <v>37226</v>
      </c>
      <c r="S78" s="8">
        <f t="shared" si="8"/>
        <v>2001</v>
      </c>
      <c r="T78" s="8">
        <v>2001</v>
      </c>
      <c r="U78" s="8">
        <f t="shared" si="9"/>
        <v>21</v>
      </c>
      <c r="V78" s="7">
        <v>2001</v>
      </c>
      <c r="W78" t="s">
        <v>9798</v>
      </c>
      <c r="X78" s="2">
        <v>0.34399999999999997</v>
      </c>
      <c r="Y78" s="6">
        <f t="shared" si="14"/>
        <v>9.1828835322068283E-3</v>
      </c>
      <c r="AA78">
        <v>167932</v>
      </c>
      <c r="AB78">
        <v>27943</v>
      </c>
      <c r="AD78" t="s">
        <v>1</v>
      </c>
      <c r="AE78">
        <v>41</v>
      </c>
      <c r="AF78">
        <v>2</v>
      </c>
      <c r="AH78" t="s">
        <v>9849</v>
      </c>
      <c r="AI78" t="s">
        <v>9848</v>
      </c>
      <c r="AK78" t="s">
        <v>9847</v>
      </c>
      <c r="AL78">
        <v>0</v>
      </c>
      <c r="AM78" s="5">
        <f t="shared" si="10"/>
        <v>0</v>
      </c>
      <c r="AN78" s="4">
        <f t="shared" si="15"/>
        <v>0</v>
      </c>
      <c r="AO78" s="3"/>
      <c r="AP78">
        <v>0</v>
      </c>
      <c r="AR78" t="s">
        <v>0</v>
      </c>
      <c r="AT78" s="2">
        <v>0.70099999999999996</v>
      </c>
      <c r="AU78" s="1">
        <f t="shared" si="11"/>
        <v>0.64280184725447786</v>
      </c>
      <c r="AV78" s="1">
        <f t="shared" si="12"/>
        <v>0.4591441766103414</v>
      </c>
      <c r="AW78" s="1">
        <f t="shared" si="13"/>
        <v>0.27548650596620483</v>
      </c>
    </row>
    <row r="79" spans="1:49" x14ac:dyDescent="0.2">
      <c r="A79">
        <v>77</v>
      </c>
      <c r="B79" t="s">
        <v>9846</v>
      </c>
      <c r="F79" t="s">
        <v>9845</v>
      </c>
      <c r="G79" t="s">
        <v>6</v>
      </c>
      <c r="H79" t="s">
        <v>5</v>
      </c>
      <c r="I79" t="s">
        <v>9844</v>
      </c>
      <c r="J79">
        <v>60105341</v>
      </c>
      <c r="K79" t="s">
        <v>9843</v>
      </c>
      <c r="L79" t="s">
        <v>458</v>
      </c>
      <c r="M79" t="s">
        <v>457</v>
      </c>
      <c r="N79">
        <v>1</v>
      </c>
      <c r="O79" t="s">
        <v>9842</v>
      </c>
      <c r="P79">
        <v>8729054700</v>
      </c>
      <c r="Q79">
        <v>60105341</v>
      </c>
      <c r="R79" s="7">
        <v>37226</v>
      </c>
      <c r="S79" s="8">
        <f t="shared" si="8"/>
        <v>2001</v>
      </c>
      <c r="T79" s="8">
        <v>2001</v>
      </c>
      <c r="U79" s="8">
        <f t="shared" si="9"/>
        <v>21</v>
      </c>
      <c r="V79" s="7">
        <v>2001</v>
      </c>
      <c r="W79" t="s">
        <v>9798</v>
      </c>
      <c r="X79" s="2">
        <v>0.34399999999999997</v>
      </c>
      <c r="Y79" s="6">
        <f t="shared" si="14"/>
        <v>9.1828835322068283E-3</v>
      </c>
      <c r="AA79">
        <v>167932</v>
      </c>
      <c r="AB79">
        <v>27943</v>
      </c>
      <c r="AD79" t="s">
        <v>1</v>
      </c>
      <c r="AE79">
        <v>41</v>
      </c>
      <c r="AF79">
        <v>3</v>
      </c>
      <c r="AH79" t="s">
        <v>9841</v>
      </c>
      <c r="AI79" t="s">
        <v>9840</v>
      </c>
      <c r="AK79" t="s">
        <v>9839</v>
      </c>
      <c r="AL79">
        <v>5</v>
      </c>
      <c r="AM79" s="5">
        <f t="shared" si="10"/>
        <v>0.23809523809523808</v>
      </c>
      <c r="AN79" s="4">
        <f t="shared" si="15"/>
        <v>3.6061376462739582E-4</v>
      </c>
      <c r="AO79" s="3"/>
      <c r="AP79">
        <v>0</v>
      </c>
      <c r="AR79" t="s">
        <v>0</v>
      </c>
      <c r="AT79" s="2">
        <v>0.70099999999999996</v>
      </c>
      <c r="AU79" s="1">
        <f t="shared" si="11"/>
        <v>0.65362026019329977</v>
      </c>
      <c r="AV79" s="1">
        <f t="shared" si="12"/>
        <v>0.47717486484171118</v>
      </c>
      <c r="AW79" s="1">
        <f t="shared" si="13"/>
        <v>0.30072946949012253</v>
      </c>
    </row>
    <row r="80" spans="1:49" x14ac:dyDescent="0.2">
      <c r="A80">
        <v>78</v>
      </c>
      <c r="B80" t="s">
        <v>9838</v>
      </c>
      <c r="F80" t="s">
        <v>9837</v>
      </c>
      <c r="G80" t="s">
        <v>6</v>
      </c>
      <c r="H80" t="s">
        <v>5</v>
      </c>
      <c r="I80" t="s">
        <v>9836</v>
      </c>
      <c r="J80">
        <v>60024780</v>
      </c>
      <c r="K80" t="s">
        <v>9835</v>
      </c>
      <c r="L80" t="s">
        <v>624</v>
      </c>
      <c r="M80" t="s">
        <v>3</v>
      </c>
      <c r="N80">
        <v>1</v>
      </c>
      <c r="O80" t="s">
        <v>9834</v>
      </c>
      <c r="P80">
        <v>8655286000</v>
      </c>
      <c r="Q80">
        <v>60024780</v>
      </c>
      <c r="R80" s="7">
        <v>37226</v>
      </c>
      <c r="S80" s="8">
        <f t="shared" si="8"/>
        <v>2001</v>
      </c>
      <c r="T80" s="8">
        <v>2001</v>
      </c>
      <c r="U80" s="8">
        <f t="shared" si="9"/>
        <v>21</v>
      </c>
      <c r="V80" s="7">
        <v>2001</v>
      </c>
      <c r="W80" t="s">
        <v>9808</v>
      </c>
      <c r="X80" s="2">
        <v>0.10100000000000001</v>
      </c>
      <c r="Y80" s="6">
        <f t="shared" si="14"/>
        <v>2.6961373161421215E-3</v>
      </c>
      <c r="AA80">
        <v>7452993</v>
      </c>
      <c r="AB80">
        <v>18563</v>
      </c>
      <c r="AD80" t="s">
        <v>1</v>
      </c>
      <c r="AE80">
        <v>40</v>
      </c>
      <c r="AF80">
        <v>2</v>
      </c>
      <c r="AH80">
        <v>103</v>
      </c>
      <c r="AI80" t="s">
        <v>9833</v>
      </c>
      <c r="AK80" t="s">
        <v>9832</v>
      </c>
      <c r="AL80">
        <v>0</v>
      </c>
      <c r="AM80" s="5">
        <f t="shared" si="10"/>
        <v>0</v>
      </c>
      <c r="AN80" s="4">
        <f t="shared" si="15"/>
        <v>0</v>
      </c>
      <c r="AO80" s="3"/>
      <c r="AP80">
        <v>0</v>
      </c>
      <c r="AR80" t="s">
        <v>0</v>
      </c>
      <c r="AT80" s="2" t="s">
        <v>7</v>
      </c>
      <c r="AU80" s="1">
        <f t="shared" si="11"/>
        <v>0.18872961212994849</v>
      </c>
      <c r="AV80" s="1">
        <f t="shared" si="12"/>
        <v>0.13480686580710607</v>
      </c>
      <c r="AW80" s="1">
        <f t="shared" si="13"/>
        <v>8.0884119484263647E-2</v>
      </c>
    </row>
    <row r="81" spans="1:49" x14ac:dyDescent="0.2">
      <c r="A81">
        <v>79</v>
      </c>
      <c r="B81" t="s">
        <v>9831</v>
      </c>
      <c r="F81" t="s">
        <v>9830</v>
      </c>
      <c r="G81" t="s">
        <v>6</v>
      </c>
      <c r="H81" t="s">
        <v>5</v>
      </c>
      <c r="I81" t="s">
        <v>9829</v>
      </c>
      <c r="N81">
        <v>1</v>
      </c>
      <c r="O81" t="s">
        <v>9828</v>
      </c>
      <c r="P81">
        <v>6603347561</v>
      </c>
      <c r="R81" s="7">
        <v>37226</v>
      </c>
      <c r="S81" s="8">
        <f t="shared" si="8"/>
        <v>2001</v>
      </c>
      <c r="T81" s="8">
        <v>2001</v>
      </c>
      <c r="U81" s="8">
        <f t="shared" si="9"/>
        <v>21</v>
      </c>
      <c r="V81" s="7">
        <v>2001</v>
      </c>
      <c r="W81" t="s">
        <v>9808</v>
      </c>
      <c r="X81" s="2">
        <v>0.10100000000000001</v>
      </c>
      <c r="Y81" s="6">
        <f t="shared" si="14"/>
        <v>2.6961373161421215E-3</v>
      </c>
      <c r="AA81">
        <v>7452993</v>
      </c>
      <c r="AB81">
        <v>18563</v>
      </c>
      <c r="AD81" t="s">
        <v>1</v>
      </c>
      <c r="AE81">
        <v>40</v>
      </c>
      <c r="AF81">
        <v>11</v>
      </c>
      <c r="AI81" t="s">
        <v>9827</v>
      </c>
      <c r="AK81" t="s">
        <v>9826</v>
      </c>
      <c r="AL81">
        <v>0</v>
      </c>
      <c r="AM81" s="5">
        <f t="shared" si="10"/>
        <v>0</v>
      </c>
      <c r="AN81" s="4">
        <f t="shared" si="15"/>
        <v>0</v>
      </c>
      <c r="AO81" s="3"/>
      <c r="AP81">
        <v>0</v>
      </c>
      <c r="AR81" t="s">
        <v>0</v>
      </c>
      <c r="AT81" s="2" t="s">
        <v>7</v>
      </c>
      <c r="AU81" s="1">
        <f t="shared" si="11"/>
        <v>0.18872961212994849</v>
      </c>
      <c r="AV81" s="1">
        <f t="shared" si="12"/>
        <v>0.13480686580710607</v>
      </c>
      <c r="AW81" s="1">
        <f t="shared" si="13"/>
        <v>8.0884119484263647E-2</v>
      </c>
    </row>
    <row r="82" spans="1:49" x14ac:dyDescent="0.2">
      <c r="A82">
        <v>80</v>
      </c>
      <c r="B82" t="s">
        <v>9825</v>
      </c>
      <c r="F82" t="s">
        <v>9824</v>
      </c>
      <c r="G82" t="s">
        <v>6</v>
      </c>
      <c r="H82" t="s">
        <v>5</v>
      </c>
      <c r="I82" t="s">
        <v>9823</v>
      </c>
      <c r="J82">
        <v>60003635</v>
      </c>
      <c r="K82" t="s">
        <v>9822</v>
      </c>
      <c r="L82" t="s">
        <v>9821</v>
      </c>
      <c r="M82" t="s">
        <v>3</v>
      </c>
      <c r="N82">
        <v>1</v>
      </c>
      <c r="O82" t="s">
        <v>9820</v>
      </c>
      <c r="P82">
        <v>6506087899</v>
      </c>
      <c r="Q82">
        <v>60003635</v>
      </c>
      <c r="R82" s="7">
        <v>37226</v>
      </c>
      <c r="S82" s="8">
        <f t="shared" si="8"/>
        <v>2001</v>
      </c>
      <c r="T82" s="8">
        <v>2001</v>
      </c>
      <c r="U82" s="8">
        <f t="shared" si="9"/>
        <v>21</v>
      </c>
      <c r="V82" s="7">
        <v>2001</v>
      </c>
      <c r="W82" t="s">
        <v>9808</v>
      </c>
      <c r="X82" s="2">
        <v>0.10100000000000001</v>
      </c>
      <c r="Y82" s="6">
        <f t="shared" si="14"/>
        <v>2.6961373161421215E-3</v>
      </c>
      <c r="AA82">
        <v>7452993</v>
      </c>
      <c r="AB82">
        <v>18563</v>
      </c>
      <c r="AD82" t="s">
        <v>1</v>
      </c>
      <c r="AE82">
        <v>40</v>
      </c>
      <c r="AF82">
        <v>2</v>
      </c>
      <c r="AH82" t="s">
        <v>9819</v>
      </c>
      <c r="AI82" t="s">
        <v>9818</v>
      </c>
      <c r="AK82" t="s">
        <v>9817</v>
      </c>
      <c r="AL82">
        <v>3</v>
      </c>
      <c r="AM82" s="5">
        <f t="shared" si="10"/>
        <v>0.14285714285714285</v>
      </c>
      <c r="AN82" s="4">
        <f t="shared" si="15"/>
        <v>2.1636825877643749E-4</v>
      </c>
      <c r="AO82" s="3"/>
      <c r="AP82">
        <v>0</v>
      </c>
      <c r="AR82" t="s">
        <v>0</v>
      </c>
      <c r="AT82" s="2" t="s">
        <v>7</v>
      </c>
      <c r="AU82" s="1">
        <f t="shared" si="11"/>
        <v>0.19522065989324161</v>
      </c>
      <c r="AV82" s="1">
        <f t="shared" si="12"/>
        <v>0.14562527874592796</v>
      </c>
      <c r="AW82" s="1">
        <f t="shared" si="13"/>
        <v>9.6029897598614272E-2</v>
      </c>
    </row>
    <row r="83" spans="1:49" x14ac:dyDescent="0.2">
      <c r="A83">
        <v>81</v>
      </c>
      <c r="B83" t="s">
        <v>9816</v>
      </c>
      <c r="F83" t="s">
        <v>9815</v>
      </c>
      <c r="G83" t="s">
        <v>6</v>
      </c>
      <c r="H83" t="s">
        <v>5</v>
      </c>
      <c r="I83" t="s">
        <v>486</v>
      </c>
      <c r="J83" t="s">
        <v>9814</v>
      </c>
      <c r="K83" t="s">
        <v>9813</v>
      </c>
      <c r="L83" t="s">
        <v>9812</v>
      </c>
      <c r="M83" t="s">
        <v>187</v>
      </c>
      <c r="N83">
        <v>4</v>
      </c>
      <c r="O83" t="s">
        <v>9811</v>
      </c>
      <c r="P83" t="s">
        <v>9810</v>
      </c>
      <c r="Q83" t="s">
        <v>9809</v>
      </c>
      <c r="R83" s="7">
        <v>37226</v>
      </c>
      <c r="S83" s="8">
        <f t="shared" si="8"/>
        <v>2001</v>
      </c>
      <c r="T83" s="8">
        <v>2001</v>
      </c>
      <c r="U83" s="8">
        <f t="shared" si="9"/>
        <v>21</v>
      </c>
      <c r="V83" s="7">
        <v>2001</v>
      </c>
      <c r="W83" t="s">
        <v>9808</v>
      </c>
      <c r="X83" s="2">
        <v>0.10100000000000001</v>
      </c>
      <c r="Y83" s="6">
        <f t="shared" si="14"/>
        <v>2.6961373161421215E-3</v>
      </c>
      <c r="AA83">
        <v>7452993</v>
      </c>
      <c r="AB83">
        <v>18563</v>
      </c>
      <c r="AD83" t="s">
        <v>1</v>
      </c>
      <c r="AE83">
        <v>40</v>
      </c>
      <c r="AF83">
        <v>2</v>
      </c>
      <c r="AH83" t="s">
        <v>9807</v>
      </c>
      <c r="AI83" t="s">
        <v>9806</v>
      </c>
      <c r="AK83" t="s">
        <v>9805</v>
      </c>
      <c r="AL83">
        <v>0</v>
      </c>
      <c r="AM83" s="5">
        <f t="shared" si="10"/>
        <v>0</v>
      </c>
      <c r="AN83" s="4">
        <f t="shared" si="15"/>
        <v>0</v>
      </c>
      <c r="AO83" s="3"/>
      <c r="AP83">
        <v>0</v>
      </c>
      <c r="AR83" t="s">
        <v>0</v>
      </c>
      <c r="AT83" s="2" t="s">
        <v>7</v>
      </c>
      <c r="AU83" s="1">
        <f t="shared" si="11"/>
        <v>0.18872961212994849</v>
      </c>
      <c r="AV83" s="1">
        <f t="shared" si="12"/>
        <v>0.13480686580710607</v>
      </c>
      <c r="AW83" s="1">
        <f t="shared" si="13"/>
        <v>8.0884119484263647E-2</v>
      </c>
    </row>
    <row r="84" spans="1:49" x14ac:dyDescent="0.2">
      <c r="A84">
        <v>82</v>
      </c>
      <c r="B84" t="s">
        <v>9804</v>
      </c>
      <c r="F84" t="s">
        <v>9803</v>
      </c>
      <c r="G84" t="s">
        <v>6</v>
      </c>
      <c r="H84" t="s">
        <v>5</v>
      </c>
      <c r="I84" t="s">
        <v>9802</v>
      </c>
      <c r="J84">
        <v>60031254</v>
      </c>
      <c r="K84" t="s">
        <v>9801</v>
      </c>
      <c r="L84" t="s">
        <v>9800</v>
      </c>
      <c r="M84" t="s">
        <v>197</v>
      </c>
      <c r="N84">
        <v>1</v>
      </c>
      <c r="O84" t="s">
        <v>9799</v>
      </c>
      <c r="P84">
        <v>56025374600</v>
      </c>
      <c r="Q84">
        <v>60031254</v>
      </c>
      <c r="R84" s="7">
        <v>37226</v>
      </c>
      <c r="S84" s="8">
        <f t="shared" si="8"/>
        <v>2001</v>
      </c>
      <c r="T84" s="8">
        <v>2001</v>
      </c>
      <c r="U84" s="8">
        <f t="shared" si="9"/>
        <v>21</v>
      </c>
      <c r="V84" s="7">
        <v>2001</v>
      </c>
      <c r="W84" t="s">
        <v>9798</v>
      </c>
      <c r="X84" s="2">
        <v>0.34399999999999997</v>
      </c>
      <c r="Y84" s="6">
        <f t="shared" si="14"/>
        <v>9.1828835322068283E-3</v>
      </c>
      <c r="AA84">
        <v>167932</v>
      </c>
      <c r="AB84">
        <v>27943</v>
      </c>
      <c r="AD84" t="s">
        <v>1</v>
      </c>
      <c r="AE84">
        <v>41</v>
      </c>
      <c r="AF84">
        <v>6</v>
      </c>
      <c r="AH84" t="s">
        <v>9797</v>
      </c>
      <c r="AI84" t="s">
        <v>9796</v>
      </c>
      <c r="AK84" t="s">
        <v>9795</v>
      </c>
      <c r="AL84">
        <v>1</v>
      </c>
      <c r="AM84" s="5">
        <f t="shared" si="10"/>
        <v>4.7619047619047616E-2</v>
      </c>
      <c r="AN84" s="4">
        <f t="shared" si="15"/>
        <v>7.2122752925479164E-5</v>
      </c>
      <c r="AO84" s="3"/>
      <c r="AP84">
        <v>0</v>
      </c>
      <c r="AR84" t="s">
        <v>0</v>
      </c>
      <c r="AT84" s="2">
        <v>0.70099999999999996</v>
      </c>
      <c r="AU84" s="1">
        <f t="shared" si="11"/>
        <v>0.6449655298422422</v>
      </c>
      <c r="AV84" s="1">
        <f t="shared" si="12"/>
        <v>0.46275031425661539</v>
      </c>
      <c r="AW84" s="1">
        <f t="shared" si="13"/>
        <v>0.28053509867098836</v>
      </c>
    </row>
    <row r="85" spans="1:49" x14ac:dyDescent="0.2">
      <c r="A85">
        <v>83</v>
      </c>
      <c r="B85" t="s">
        <v>9794</v>
      </c>
      <c r="C85" t="s">
        <v>9793</v>
      </c>
      <c r="F85" t="s">
        <v>693</v>
      </c>
      <c r="G85" t="s">
        <v>6</v>
      </c>
      <c r="H85" t="s">
        <v>5</v>
      </c>
      <c r="I85" t="s">
        <v>9792</v>
      </c>
      <c r="J85">
        <v>60014097</v>
      </c>
      <c r="K85" t="s">
        <v>692</v>
      </c>
      <c r="L85" t="s">
        <v>233</v>
      </c>
      <c r="M85" t="s">
        <v>80</v>
      </c>
      <c r="N85">
        <v>2</v>
      </c>
      <c r="O85" t="s">
        <v>9791</v>
      </c>
      <c r="P85" t="s">
        <v>9790</v>
      </c>
      <c r="Q85" t="s">
        <v>691</v>
      </c>
      <c r="R85" s="7">
        <v>37226</v>
      </c>
      <c r="S85" s="8">
        <f t="shared" si="8"/>
        <v>2001</v>
      </c>
      <c r="T85" s="8">
        <v>2001</v>
      </c>
      <c r="U85" s="8">
        <f t="shared" si="9"/>
        <v>21</v>
      </c>
      <c r="V85" s="7">
        <v>2001</v>
      </c>
      <c r="W85" t="s">
        <v>647</v>
      </c>
      <c r="X85" s="2">
        <v>0.251</v>
      </c>
      <c r="Y85" s="6">
        <f t="shared" si="14"/>
        <v>6.7003016470462617E-3</v>
      </c>
      <c r="AA85">
        <v>207217</v>
      </c>
      <c r="AB85">
        <v>26145</v>
      </c>
      <c r="AD85" t="s">
        <v>1</v>
      </c>
      <c r="AE85">
        <v>88</v>
      </c>
      <c r="AF85">
        <v>12</v>
      </c>
      <c r="AH85" t="s">
        <v>690</v>
      </c>
      <c r="AI85" t="s">
        <v>9789</v>
      </c>
      <c r="AK85" t="s">
        <v>9788</v>
      </c>
      <c r="AL85">
        <v>1</v>
      </c>
      <c r="AM85" s="5">
        <f t="shared" si="10"/>
        <v>4.7619047619047616E-2</v>
      </c>
      <c r="AN85" s="4">
        <f t="shared" si="15"/>
        <v>7.2122752925479164E-5</v>
      </c>
      <c r="AO85" s="3"/>
      <c r="AP85">
        <v>0</v>
      </c>
      <c r="AR85" t="s">
        <v>0</v>
      </c>
      <c r="AT85" s="2">
        <v>1.3360000000000001</v>
      </c>
      <c r="AU85" s="1">
        <f t="shared" si="11"/>
        <v>0.47118479788100259</v>
      </c>
      <c r="AV85" s="1">
        <f t="shared" si="12"/>
        <v>0.33862121999858702</v>
      </c>
      <c r="AW85" s="1">
        <f t="shared" si="13"/>
        <v>0.20605764211617136</v>
      </c>
    </row>
    <row r="86" spans="1:49" x14ac:dyDescent="0.2">
      <c r="A86">
        <v>84</v>
      </c>
      <c r="B86" t="s">
        <v>9787</v>
      </c>
      <c r="C86" t="s">
        <v>9786</v>
      </c>
      <c r="F86" t="s">
        <v>9785</v>
      </c>
      <c r="G86" t="s">
        <v>6</v>
      </c>
      <c r="H86" t="s">
        <v>5</v>
      </c>
      <c r="I86" t="s">
        <v>9784</v>
      </c>
      <c r="J86" t="s">
        <v>9783</v>
      </c>
      <c r="K86" t="s">
        <v>9782</v>
      </c>
      <c r="L86" t="s">
        <v>9781</v>
      </c>
      <c r="M86" t="s">
        <v>9780</v>
      </c>
      <c r="N86">
        <v>16</v>
      </c>
      <c r="O86" t="s">
        <v>9779</v>
      </c>
      <c r="P86" t="s">
        <v>9778</v>
      </c>
      <c r="Q86" t="s">
        <v>9777</v>
      </c>
      <c r="R86" s="7">
        <v>37226</v>
      </c>
      <c r="S86" s="8">
        <f t="shared" si="8"/>
        <v>2001</v>
      </c>
      <c r="T86" s="8">
        <v>2001</v>
      </c>
      <c r="U86" s="8">
        <f t="shared" si="9"/>
        <v>21</v>
      </c>
      <c r="V86" s="7">
        <v>2001</v>
      </c>
      <c r="W86" t="s">
        <v>9776</v>
      </c>
      <c r="X86" s="2">
        <v>1.3420000000000001</v>
      </c>
      <c r="Y86" s="6">
        <f t="shared" si="14"/>
        <v>3.582392354715571E-2</v>
      </c>
      <c r="AA86">
        <v>13233580</v>
      </c>
      <c r="AB86">
        <v>81697</v>
      </c>
      <c r="AD86" t="s">
        <v>1</v>
      </c>
      <c r="AE86">
        <v>18</v>
      </c>
      <c r="AF86">
        <v>1</v>
      </c>
      <c r="AH86" t="s">
        <v>9775</v>
      </c>
      <c r="AI86" t="s">
        <v>9774</v>
      </c>
      <c r="AJ86" t="s">
        <v>9773</v>
      </c>
      <c r="AK86" t="s">
        <v>9772</v>
      </c>
      <c r="AL86">
        <v>4</v>
      </c>
      <c r="AM86" s="5">
        <f t="shared" si="10"/>
        <v>0.19047619047619047</v>
      </c>
      <c r="AN86" s="4">
        <f t="shared" si="15"/>
        <v>2.8849101170191666E-4</v>
      </c>
      <c r="AO86" s="3"/>
      <c r="AP86">
        <v>1</v>
      </c>
      <c r="AR86" t="s">
        <v>0</v>
      </c>
      <c r="AT86" s="2" t="s">
        <v>7</v>
      </c>
      <c r="AU86" s="1">
        <f t="shared" si="11"/>
        <v>2.5163293786519567</v>
      </c>
      <c r="AV86" s="1">
        <f t="shared" si="12"/>
        <v>1.8056207279428815</v>
      </c>
      <c r="AW86" s="1">
        <f t="shared" si="13"/>
        <v>1.0949120772338055</v>
      </c>
    </row>
    <row r="87" spans="1:49" x14ac:dyDescent="0.2">
      <c r="A87">
        <v>85</v>
      </c>
      <c r="B87" t="s">
        <v>9771</v>
      </c>
      <c r="C87" t="s">
        <v>9770</v>
      </c>
      <c r="F87" t="s">
        <v>9769</v>
      </c>
      <c r="G87" t="s">
        <v>6</v>
      </c>
      <c r="H87" t="s">
        <v>5</v>
      </c>
      <c r="I87" t="s">
        <v>9768</v>
      </c>
      <c r="J87" t="s">
        <v>9767</v>
      </c>
      <c r="K87" t="s">
        <v>9766</v>
      </c>
      <c r="L87" t="s">
        <v>9765</v>
      </c>
      <c r="M87" t="s">
        <v>9764</v>
      </c>
      <c r="N87">
        <v>13</v>
      </c>
      <c r="O87" t="s">
        <v>9763</v>
      </c>
      <c r="P87" t="s">
        <v>9762</v>
      </c>
      <c r="Q87" t="s">
        <v>9761</v>
      </c>
      <c r="R87" s="7">
        <v>37226</v>
      </c>
      <c r="S87" s="8">
        <f t="shared" si="8"/>
        <v>2001</v>
      </c>
      <c r="T87" s="8">
        <v>2001</v>
      </c>
      <c r="U87" s="8">
        <f t="shared" si="9"/>
        <v>21</v>
      </c>
      <c r="V87" s="7">
        <v>2001</v>
      </c>
      <c r="W87" t="s">
        <v>572</v>
      </c>
      <c r="X87" s="2">
        <v>0.78800000000000003</v>
      </c>
      <c r="Y87" s="6">
        <f t="shared" si="14"/>
        <v>2.1035209951683086E-2</v>
      </c>
      <c r="AA87">
        <v>9226435</v>
      </c>
      <c r="AB87">
        <v>27195</v>
      </c>
      <c r="AD87" t="s">
        <v>1</v>
      </c>
      <c r="AE87">
        <v>11</v>
      </c>
      <c r="AF87">
        <v>1</v>
      </c>
      <c r="AH87" t="s">
        <v>2215</v>
      </c>
      <c r="AI87" t="s">
        <v>9760</v>
      </c>
      <c r="AJ87" t="s">
        <v>9759</v>
      </c>
      <c r="AK87" t="s">
        <v>9758</v>
      </c>
      <c r="AL87">
        <v>42</v>
      </c>
      <c r="AM87" s="5">
        <f t="shared" si="10"/>
        <v>2</v>
      </c>
      <c r="AN87" s="4">
        <f t="shared" si="15"/>
        <v>3.0291556228701248E-3</v>
      </c>
      <c r="AO87" s="3"/>
      <c r="AP87">
        <v>0</v>
      </c>
      <c r="AQ87" t="s">
        <v>9757</v>
      </c>
      <c r="AR87" t="s">
        <v>0</v>
      </c>
      <c r="AS87" t="s">
        <v>9756</v>
      </c>
      <c r="AT87" s="2">
        <v>2.012</v>
      </c>
      <c r="AU87" s="1">
        <f t="shared" si="11"/>
        <v>1.5633393653039198</v>
      </c>
      <c r="AV87" s="1">
        <f t="shared" si="12"/>
        <v>1.2032182787276606</v>
      </c>
      <c r="AW87" s="1">
        <f t="shared" si="13"/>
        <v>0.84309719215140133</v>
      </c>
    </row>
    <row r="88" spans="1:49" x14ac:dyDescent="0.2">
      <c r="A88">
        <v>86</v>
      </c>
      <c r="B88" t="s">
        <v>9755</v>
      </c>
      <c r="C88" t="s">
        <v>9754</v>
      </c>
      <c r="F88" t="s">
        <v>9753</v>
      </c>
      <c r="G88" t="s">
        <v>6</v>
      </c>
      <c r="H88" t="s">
        <v>5</v>
      </c>
      <c r="I88" t="s">
        <v>9752</v>
      </c>
      <c r="J88">
        <v>60027905</v>
      </c>
      <c r="K88" t="s">
        <v>9751</v>
      </c>
      <c r="L88" t="s">
        <v>705</v>
      </c>
      <c r="M88" t="s">
        <v>86</v>
      </c>
      <c r="N88">
        <v>1</v>
      </c>
      <c r="O88" t="s">
        <v>9750</v>
      </c>
      <c r="P88">
        <v>56374296300</v>
      </c>
      <c r="Q88">
        <v>60027905</v>
      </c>
      <c r="R88" s="7">
        <v>37226</v>
      </c>
      <c r="S88" s="8">
        <f t="shared" si="8"/>
        <v>2001</v>
      </c>
      <c r="T88" s="8">
        <v>2001</v>
      </c>
      <c r="U88" s="8">
        <f t="shared" si="9"/>
        <v>21</v>
      </c>
      <c r="V88" s="7">
        <v>2001</v>
      </c>
      <c r="W88" t="s">
        <v>9749</v>
      </c>
      <c r="X88" s="2">
        <v>1.258</v>
      </c>
      <c r="Y88" s="6">
        <f t="shared" si="14"/>
        <v>3.3581591521849391E-2</v>
      </c>
      <c r="AA88">
        <v>134651</v>
      </c>
      <c r="AB88">
        <v>25169</v>
      </c>
      <c r="AD88" t="s">
        <v>1</v>
      </c>
      <c r="AE88">
        <v>148</v>
      </c>
      <c r="AF88">
        <v>12</v>
      </c>
      <c r="AI88" t="s">
        <v>9748</v>
      </c>
      <c r="AK88" t="s">
        <v>9747</v>
      </c>
      <c r="AL88">
        <v>3</v>
      </c>
      <c r="AM88" s="5">
        <f t="shared" si="10"/>
        <v>0.14285714285714285</v>
      </c>
      <c r="AN88" s="4">
        <f t="shared" si="15"/>
        <v>2.1636825877643749E-4</v>
      </c>
      <c r="AO88" s="3"/>
      <c r="AP88">
        <v>0</v>
      </c>
      <c r="AR88" t="s">
        <v>0</v>
      </c>
      <c r="AT88" s="2">
        <v>4.3159999999999998</v>
      </c>
      <c r="AU88" s="1">
        <f t="shared" si="11"/>
        <v>2.3572024542927501</v>
      </c>
      <c r="AV88" s="1">
        <f t="shared" si="12"/>
        <v>1.6898979890312915</v>
      </c>
      <c r="AW88" s="1">
        <f t="shared" si="13"/>
        <v>1.0225935237698323</v>
      </c>
    </row>
    <row r="89" spans="1:49" x14ac:dyDescent="0.2">
      <c r="A89">
        <v>87</v>
      </c>
      <c r="B89" t="s">
        <v>9746</v>
      </c>
      <c r="F89" t="s">
        <v>9745</v>
      </c>
      <c r="G89" t="s">
        <v>6</v>
      </c>
      <c r="H89" t="s">
        <v>5</v>
      </c>
      <c r="I89" t="s">
        <v>9744</v>
      </c>
      <c r="J89">
        <v>60015043</v>
      </c>
      <c r="K89" t="s">
        <v>9743</v>
      </c>
      <c r="L89" t="s">
        <v>9742</v>
      </c>
      <c r="M89" t="s">
        <v>221</v>
      </c>
      <c r="N89">
        <v>3</v>
      </c>
      <c r="O89" t="s">
        <v>9741</v>
      </c>
      <c r="P89" t="s">
        <v>9740</v>
      </c>
      <c r="Q89" t="s">
        <v>9739</v>
      </c>
      <c r="R89" s="7">
        <v>37226</v>
      </c>
      <c r="S89" s="8">
        <f t="shared" si="8"/>
        <v>2001</v>
      </c>
      <c r="T89" s="8">
        <v>2001</v>
      </c>
      <c r="U89" s="8">
        <f t="shared" si="9"/>
        <v>21</v>
      </c>
      <c r="V89" s="7">
        <v>2001</v>
      </c>
      <c r="W89" t="s">
        <v>9738</v>
      </c>
      <c r="X89" s="2" t="s">
        <v>7</v>
      </c>
      <c r="Y89" s="6" t="e">
        <f t="shared" si="14"/>
        <v>#VALUE!</v>
      </c>
      <c r="AA89">
        <v>15167399</v>
      </c>
      <c r="AB89">
        <v>4700152267</v>
      </c>
      <c r="AD89" t="s">
        <v>1</v>
      </c>
      <c r="AE89">
        <v>2</v>
      </c>
      <c r="AF89">
        <v>4</v>
      </c>
      <c r="AH89" t="s">
        <v>9737</v>
      </c>
      <c r="AI89" t="s">
        <v>9736</v>
      </c>
      <c r="AK89" t="s">
        <v>9735</v>
      </c>
      <c r="AL89">
        <v>2</v>
      </c>
      <c r="AM89" s="5">
        <f t="shared" si="10"/>
        <v>9.5238095238095233E-2</v>
      </c>
      <c r="AN89" s="4">
        <f t="shared" si="15"/>
        <v>1.4424550585095833E-4</v>
      </c>
      <c r="AO89" s="3"/>
      <c r="AP89">
        <v>0</v>
      </c>
      <c r="AR89" t="s">
        <v>0</v>
      </c>
      <c r="AT89" s="2" t="s">
        <v>7</v>
      </c>
      <c r="AU89" s="1" t="e">
        <f t="shared" si="11"/>
        <v>#VALUE!</v>
      </c>
      <c r="AV89" s="1" t="e">
        <f t="shared" si="12"/>
        <v>#VALUE!</v>
      </c>
      <c r="AW89" s="1" t="e">
        <f t="shared" si="13"/>
        <v>#VALUE!</v>
      </c>
    </row>
    <row r="90" spans="1:49" x14ac:dyDescent="0.2">
      <c r="A90">
        <v>88</v>
      </c>
      <c r="B90" t="s">
        <v>9734</v>
      </c>
      <c r="F90" t="s">
        <v>9733</v>
      </c>
      <c r="G90" t="s">
        <v>6</v>
      </c>
      <c r="H90" t="s">
        <v>5</v>
      </c>
      <c r="I90" t="s">
        <v>186</v>
      </c>
      <c r="J90" t="s">
        <v>9732</v>
      </c>
      <c r="K90" t="s">
        <v>9731</v>
      </c>
      <c r="L90" t="s">
        <v>9730</v>
      </c>
      <c r="M90" t="s">
        <v>128</v>
      </c>
      <c r="N90">
        <v>2</v>
      </c>
      <c r="O90" t="s">
        <v>9729</v>
      </c>
      <c r="P90" t="s">
        <v>9728</v>
      </c>
      <c r="Q90" t="s">
        <v>9727</v>
      </c>
      <c r="R90" s="7">
        <v>37226</v>
      </c>
      <c r="S90" s="8">
        <f t="shared" si="8"/>
        <v>2001</v>
      </c>
      <c r="T90" s="8">
        <v>2001</v>
      </c>
      <c r="U90" s="8">
        <f t="shared" si="9"/>
        <v>21</v>
      </c>
      <c r="V90" s="7">
        <v>2001</v>
      </c>
      <c r="W90" t="s">
        <v>671</v>
      </c>
      <c r="X90" s="2">
        <v>0.28799999999999998</v>
      </c>
      <c r="Y90" s="6">
        <f t="shared" si="14"/>
        <v>7.6879955153359488E-3</v>
      </c>
      <c r="AA90">
        <v>10689605</v>
      </c>
      <c r="AB90">
        <v>19515</v>
      </c>
      <c r="AD90" t="s">
        <v>1</v>
      </c>
      <c r="AE90">
        <v>8</v>
      </c>
      <c r="AF90">
        <v>4</v>
      </c>
      <c r="AH90" t="s">
        <v>9726</v>
      </c>
      <c r="AI90" t="s">
        <v>9725</v>
      </c>
      <c r="AJ90" t="s">
        <v>9724</v>
      </c>
      <c r="AK90" t="s">
        <v>9723</v>
      </c>
      <c r="AL90">
        <v>1</v>
      </c>
      <c r="AM90" s="5">
        <f t="shared" si="10"/>
        <v>4.7619047619047616E-2</v>
      </c>
      <c r="AN90" s="4">
        <f t="shared" si="15"/>
        <v>7.2122752925479164E-5</v>
      </c>
      <c r="AO90" s="3"/>
      <c r="AP90">
        <v>0</v>
      </c>
      <c r="AR90" t="s">
        <v>0</v>
      </c>
      <c r="AT90" s="2" t="s">
        <v>7</v>
      </c>
      <c r="AU90" s="1">
        <f t="shared" si="11"/>
        <v>0.54032336866128072</v>
      </c>
      <c r="AV90" s="1">
        <f t="shared" si="12"/>
        <v>0.38800591341307139</v>
      </c>
      <c r="AW90" s="1">
        <f t="shared" si="13"/>
        <v>0.235688458164862</v>
      </c>
    </row>
    <row r="91" spans="1:49" x14ac:dyDescent="0.2">
      <c r="A91">
        <v>89</v>
      </c>
      <c r="B91" t="s">
        <v>9722</v>
      </c>
      <c r="C91" t="s">
        <v>9721</v>
      </c>
      <c r="F91" t="s">
        <v>9720</v>
      </c>
      <c r="G91" t="s">
        <v>6</v>
      </c>
      <c r="H91" t="s">
        <v>5</v>
      </c>
      <c r="I91" t="s">
        <v>9719</v>
      </c>
      <c r="J91">
        <v>60033394</v>
      </c>
      <c r="K91" t="s">
        <v>9718</v>
      </c>
      <c r="L91" t="s">
        <v>249</v>
      </c>
      <c r="M91" t="s">
        <v>197</v>
      </c>
      <c r="N91">
        <v>1</v>
      </c>
      <c r="O91" t="s">
        <v>9717</v>
      </c>
      <c r="P91">
        <v>7005088527</v>
      </c>
      <c r="Q91">
        <v>60033394</v>
      </c>
      <c r="R91" s="7">
        <v>37226</v>
      </c>
      <c r="S91" s="8">
        <f t="shared" si="8"/>
        <v>2001</v>
      </c>
      <c r="T91" s="8">
        <v>2001</v>
      </c>
      <c r="U91" s="8">
        <f t="shared" si="9"/>
        <v>21</v>
      </c>
      <c r="V91" s="7">
        <v>2001</v>
      </c>
      <c r="W91" t="s">
        <v>9716</v>
      </c>
      <c r="X91" s="2">
        <v>0.32500000000000001</v>
      </c>
      <c r="Y91" s="6">
        <f t="shared" si="14"/>
        <v>8.6756893836256385E-3</v>
      </c>
      <c r="AA91">
        <v>204412</v>
      </c>
      <c r="AB91">
        <v>15467</v>
      </c>
      <c r="AD91" t="s">
        <v>1</v>
      </c>
      <c r="AE91">
        <v>44</v>
      </c>
      <c r="AF91">
        <v>2</v>
      </c>
      <c r="AH91" t="s">
        <v>68</v>
      </c>
      <c r="AI91" t="s">
        <v>9715</v>
      </c>
      <c r="AK91" t="s">
        <v>9714</v>
      </c>
      <c r="AL91">
        <v>1</v>
      </c>
      <c r="AM91" s="5">
        <f t="shared" si="10"/>
        <v>4.7619047619047616E-2</v>
      </c>
      <c r="AN91" s="4">
        <f t="shared" si="15"/>
        <v>7.2122752925479164E-5</v>
      </c>
      <c r="AO91" s="3"/>
      <c r="AP91">
        <v>0</v>
      </c>
      <c r="AR91" t="s">
        <v>0</v>
      </c>
      <c r="AT91" s="2" t="s">
        <v>7</v>
      </c>
      <c r="AU91" s="1">
        <f t="shared" si="11"/>
        <v>0.60946193944155902</v>
      </c>
      <c r="AV91" s="1">
        <f t="shared" si="12"/>
        <v>0.43739060682755593</v>
      </c>
      <c r="AW91" s="1">
        <f t="shared" si="13"/>
        <v>0.26531927421355272</v>
      </c>
    </row>
    <row r="92" spans="1:49" x14ac:dyDescent="0.2">
      <c r="A92">
        <v>90</v>
      </c>
      <c r="B92" t="s">
        <v>9713</v>
      </c>
      <c r="F92" t="s">
        <v>9712</v>
      </c>
      <c r="G92" t="s">
        <v>6</v>
      </c>
      <c r="H92" t="s">
        <v>5</v>
      </c>
      <c r="I92" t="s">
        <v>9711</v>
      </c>
      <c r="J92">
        <v>60038812</v>
      </c>
      <c r="K92" t="s">
        <v>9710</v>
      </c>
      <c r="L92" t="s">
        <v>9709</v>
      </c>
      <c r="M92" t="s">
        <v>9708</v>
      </c>
      <c r="N92">
        <v>2</v>
      </c>
      <c r="O92" t="s">
        <v>9707</v>
      </c>
      <c r="P92" t="s">
        <v>9706</v>
      </c>
      <c r="Q92" t="s">
        <v>9705</v>
      </c>
      <c r="R92" s="7">
        <v>37226</v>
      </c>
      <c r="S92" s="8">
        <f t="shared" si="8"/>
        <v>2001</v>
      </c>
      <c r="T92" s="8">
        <v>2001</v>
      </c>
      <c r="U92" s="8">
        <f t="shared" si="9"/>
        <v>21</v>
      </c>
      <c r="V92" s="7">
        <v>2001</v>
      </c>
      <c r="W92" t="s">
        <v>9704</v>
      </c>
      <c r="X92" s="2" t="s">
        <v>7</v>
      </c>
      <c r="Y92" s="6" t="e">
        <f t="shared" si="14"/>
        <v>#VALUE!</v>
      </c>
      <c r="AA92">
        <v>10248684</v>
      </c>
      <c r="AB92">
        <v>76514</v>
      </c>
      <c r="AD92" t="s">
        <v>1</v>
      </c>
      <c r="AE92">
        <v>28</v>
      </c>
      <c r="AF92">
        <v>1</v>
      </c>
      <c r="AH92" t="s">
        <v>9703</v>
      </c>
      <c r="AI92" t="s">
        <v>9702</v>
      </c>
      <c r="AJ92" t="s">
        <v>9701</v>
      </c>
      <c r="AK92" t="s">
        <v>9700</v>
      </c>
      <c r="AL92">
        <v>0</v>
      </c>
      <c r="AM92" s="5">
        <f t="shared" si="10"/>
        <v>0</v>
      </c>
      <c r="AN92" s="4">
        <f t="shared" si="15"/>
        <v>0</v>
      </c>
      <c r="AO92" s="3"/>
      <c r="AP92">
        <v>0</v>
      </c>
      <c r="AR92" t="s">
        <v>0</v>
      </c>
      <c r="AT92" s="2" t="s">
        <v>7</v>
      </c>
      <c r="AU92" s="1" t="e">
        <f t="shared" si="11"/>
        <v>#VALUE!</v>
      </c>
      <c r="AV92" s="1" t="e">
        <f t="shared" si="12"/>
        <v>#VALUE!</v>
      </c>
      <c r="AW92" s="1" t="e">
        <f t="shared" si="13"/>
        <v>#VALUE!</v>
      </c>
    </row>
    <row r="93" spans="1:49" x14ac:dyDescent="0.2">
      <c r="A93">
        <v>91</v>
      </c>
      <c r="B93" t="s">
        <v>9699</v>
      </c>
      <c r="C93" t="s">
        <v>9698</v>
      </c>
      <c r="F93" t="s">
        <v>9697</v>
      </c>
      <c r="G93" t="s">
        <v>6</v>
      </c>
      <c r="H93" t="s">
        <v>5</v>
      </c>
      <c r="I93" t="s">
        <v>9696</v>
      </c>
      <c r="J93">
        <v>60028628</v>
      </c>
      <c r="K93" t="s">
        <v>610</v>
      </c>
      <c r="L93" t="s">
        <v>609</v>
      </c>
      <c r="M93" t="s">
        <v>3</v>
      </c>
      <c r="N93">
        <v>3</v>
      </c>
      <c r="O93" t="s">
        <v>9695</v>
      </c>
      <c r="P93" t="s">
        <v>9694</v>
      </c>
      <c r="Q93" t="s">
        <v>608</v>
      </c>
      <c r="R93" s="7">
        <v>37226</v>
      </c>
      <c r="S93" s="8">
        <f t="shared" si="8"/>
        <v>2001</v>
      </c>
      <c r="T93" s="8">
        <v>2001</v>
      </c>
      <c r="U93" s="8">
        <f t="shared" si="9"/>
        <v>21</v>
      </c>
      <c r="V93" s="7">
        <v>2001</v>
      </c>
      <c r="W93" t="s">
        <v>9693</v>
      </c>
      <c r="X93" s="2">
        <v>0.69</v>
      </c>
      <c r="Y93" s="6">
        <f t="shared" si="14"/>
        <v>1.8419155922159043E-2</v>
      </c>
      <c r="AA93">
        <v>218936</v>
      </c>
      <c r="AB93">
        <v>20949</v>
      </c>
      <c r="AD93" t="s">
        <v>1</v>
      </c>
      <c r="AE93">
        <v>68</v>
      </c>
      <c r="AF93">
        <v>6</v>
      </c>
      <c r="AH93" t="s">
        <v>993</v>
      </c>
      <c r="AI93" t="s">
        <v>9692</v>
      </c>
      <c r="AK93" t="s">
        <v>9691</v>
      </c>
      <c r="AL93">
        <v>19</v>
      </c>
      <c r="AM93" s="5">
        <f t="shared" si="10"/>
        <v>0.90476190476190477</v>
      </c>
      <c r="AN93" s="4">
        <f t="shared" si="15"/>
        <v>1.3703323055841042E-3</v>
      </c>
      <c r="AO93" s="3"/>
      <c r="AP93">
        <v>0</v>
      </c>
      <c r="AR93" t="s">
        <v>0</v>
      </c>
      <c r="AT93" s="2" t="s">
        <v>7</v>
      </c>
      <c r="AU93" s="1">
        <f t="shared" si="11"/>
        <v>1.3304508837186562</v>
      </c>
      <c r="AV93" s="1">
        <f t="shared" si="12"/>
        <v>0.98947441138715742</v>
      </c>
      <c r="AW93" s="1">
        <f t="shared" si="13"/>
        <v>0.64849793905565856</v>
      </c>
    </row>
    <row r="94" spans="1:49" x14ac:dyDescent="0.2">
      <c r="A94">
        <v>92</v>
      </c>
      <c r="B94" t="s">
        <v>9690</v>
      </c>
      <c r="C94" t="s">
        <v>9689</v>
      </c>
      <c r="F94" t="s">
        <v>9688</v>
      </c>
      <c r="G94" t="s">
        <v>6</v>
      </c>
      <c r="H94" t="s">
        <v>5</v>
      </c>
      <c r="I94" t="s">
        <v>9687</v>
      </c>
      <c r="J94" t="s">
        <v>9686</v>
      </c>
      <c r="K94" t="s">
        <v>9685</v>
      </c>
      <c r="L94" t="s">
        <v>9684</v>
      </c>
      <c r="M94" t="s">
        <v>9683</v>
      </c>
      <c r="N94">
        <v>3</v>
      </c>
      <c r="O94" t="s">
        <v>9682</v>
      </c>
      <c r="P94" t="s">
        <v>9681</v>
      </c>
      <c r="Q94" t="s">
        <v>9680</v>
      </c>
      <c r="R94" s="7">
        <v>37226</v>
      </c>
      <c r="S94" s="8">
        <f t="shared" si="8"/>
        <v>2001</v>
      </c>
      <c r="T94" s="8">
        <v>2001</v>
      </c>
      <c r="U94" s="8">
        <f t="shared" si="9"/>
        <v>21</v>
      </c>
      <c r="V94" s="7">
        <v>2001</v>
      </c>
      <c r="W94" t="s">
        <v>8</v>
      </c>
      <c r="X94" s="2">
        <v>0.61499999999999999</v>
      </c>
      <c r="Y94" s="6">
        <f t="shared" si="14"/>
        <v>1.6417073756706976E-2</v>
      </c>
      <c r="AA94">
        <v>1959271</v>
      </c>
      <c r="AB94">
        <v>12141</v>
      </c>
      <c r="AD94" t="s">
        <v>1</v>
      </c>
      <c r="AE94">
        <v>22</v>
      </c>
      <c r="AF94">
        <v>1</v>
      </c>
      <c r="AH94" t="s">
        <v>9679</v>
      </c>
      <c r="AI94" t="s">
        <v>9678</v>
      </c>
      <c r="AJ94" t="s">
        <v>9677</v>
      </c>
      <c r="AK94" t="s">
        <v>9676</v>
      </c>
      <c r="AL94">
        <v>10</v>
      </c>
      <c r="AM94" s="5">
        <f t="shared" si="10"/>
        <v>0.47619047619047616</v>
      </c>
      <c r="AN94" s="4">
        <f t="shared" si="15"/>
        <v>7.2122752925479164E-4</v>
      </c>
      <c r="AO94" s="3"/>
      <c r="AP94">
        <v>0</v>
      </c>
      <c r="AR94" t="s">
        <v>0</v>
      </c>
      <c r="AT94" s="2" t="s">
        <v>7</v>
      </c>
      <c r="AU94" s="1">
        <f t="shared" si="11"/>
        <v>1.1708319888471319</v>
      </c>
      <c r="AV94" s="1">
        <f t="shared" si="12"/>
        <v>0.85691506429808828</v>
      </c>
      <c r="AW94" s="1">
        <f t="shared" si="13"/>
        <v>0.54299813974904465</v>
      </c>
    </row>
    <row r="95" spans="1:49" x14ac:dyDescent="0.2">
      <c r="A95">
        <v>93</v>
      </c>
      <c r="B95" t="s">
        <v>9675</v>
      </c>
      <c r="C95" t="s">
        <v>9674</v>
      </c>
      <c r="F95" t="s">
        <v>9673</v>
      </c>
      <c r="G95" t="s">
        <v>6</v>
      </c>
      <c r="H95" t="s">
        <v>5</v>
      </c>
      <c r="I95" t="s">
        <v>9394</v>
      </c>
      <c r="J95" t="s">
        <v>9672</v>
      </c>
      <c r="K95" t="s">
        <v>9671</v>
      </c>
      <c r="L95" t="s">
        <v>9670</v>
      </c>
      <c r="M95" t="s">
        <v>9669</v>
      </c>
      <c r="N95">
        <v>6</v>
      </c>
      <c r="O95" t="s">
        <v>9668</v>
      </c>
      <c r="P95" t="s">
        <v>9667</v>
      </c>
      <c r="Q95" t="s">
        <v>9666</v>
      </c>
      <c r="R95" s="7">
        <v>37226</v>
      </c>
      <c r="S95" s="8">
        <f t="shared" si="8"/>
        <v>2001</v>
      </c>
      <c r="T95" s="8">
        <v>2001</v>
      </c>
      <c r="U95" s="8">
        <f t="shared" si="9"/>
        <v>21</v>
      </c>
      <c r="V95" s="7">
        <v>2001</v>
      </c>
      <c r="W95" t="s">
        <v>9665</v>
      </c>
      <c r="X95" s="2">
        <v>0.372</v>
      </c>
      <c r="Y95" s="6">
        <f t="shared" si="14"/>
        <v>9.930327540642268E-3</v>
      </c>
      <c r="AA95">
        <v>10530509</v>
      </c>
      <c r="AB95">
        <v>25282</v>
      </c>
      <c r="AD95" t="s">
        <v>1</v>
      </c>
      <c r="AE95">
        <v>11</v>
      </c>
      <c r="AF95">
        <v>1</v>
      </c>
      <c r="AH95" t="s">
        <v>9664</v>
      </c>
      <c r="AI95" t="s">
        <v>9663</v>
      </c>
      <c r="AJ95" t="s">
        <v>9662</v>
      </c>
      <c r="AK95" t="s">
        <v>9661</v>
      </c>
      <c r="AL95">
        <v>4</v>
      </c>
      <c r="AM95" s="5">
        <f t="shared" si="10"/>
        <v>0.19047619047619047</v>
      </c>
      <c r="AN95" s="4">
        <f t="shared" si="15"/>
        <v>2.8849101170191666E-4</v>
      </c>
      <c r="AO95" s="3"/>
      <c r="AP95">
        <v>0</v>
      </c>
      <c r="AQ95" t="s">
        <v>53</v>
      </c>
      <c r="AR95" t="s">
        <v>9660</v>
      </c>
      <c r="AS95" t="s">
        <v>51</v>
      </c>
      <c r="AT95" s="2">
        <v>2.2170000000000001</v>
      </c>
      <c r="AU95" s="1">
        <f t="shared" si="11"/>
        <v>0.70377765819601623</v>
      </c>
      <c r="AV95" s="1">
        <f t="shared" si="12"/>
        <v>0.51094092761720922</v>
      </c>
      <c r="AW95" s="1">
        <f t="shared" si="13"/>
        <v>0.31810419703840215</v>
      </c>
    </row>
    <row r="96" spans="1:49" x14ac:dyDescent="0.2">
      <c r="A96">
        <v>94</v>
      </c>
      <c r="B96" t="s">
        <v>9659</v>
      </c>
      <c r="F96" t="s">
        <v>9658</v>
      </c>
      <c r="G96" t="s">
        <v>6</v>
      </c>
      <c r="H96" t="s">
        <v>5</v>
      </c>
      <c r="I96" t="s">
        <v>9657</v>
      </c>
      <c r="J96" t="s">
        <v>9656</v>
      </c>
      <c r="K96" t="s">
        <v>9655</v>
      </c>
      <c r="L96" t="s">
        <v>9654</v>
      </c>
      <c r="M96" t="s">
        <v>9653</v>
      </c>
      <c r="N96">
        <v>7</v>
      </c>
      <c r="O96" t="s">
        <v>9652</v>
      </c>
      <c r="P96" t="s">
        <v>9651</v>
      </c>
      <c r="Q96" t="s">
        <v>9650</v>
      </c>
      <c r="R96" s="7">
        <v>37226</v>
      </c>
      <c r="S96" s="8">
        <f t="shared" si="8"/>
        <v>2001</v>
      </c>
      <c r="T96" s="8">
        <v>2001</v>
      </c>
      <c r="U96" s="8">
        <f t="shared" si="9"/>
        <v>21</v>
      </c>
      <c r="V96" s="7">
        <v>37226</v>
      </c>
      <c r="W96" t="s">
        <v>670</v>
      </c>
      <c r="X96" s="2">
        <v>0.29499999999999998</v>
      </c>
      <c r="Y96" s="6">
        <f t="shared" si="14"/>
        <v>7.8748565174448087E-3</v>
      </c>
      <c r="AA96">
        <v>10642269</v>
      </c>
      <c r="AB96">
        <v>19554</v>
      </c>
      <c r="AD96" t="s">
        <v>1</v>
      </c>
      <c r="AE96">
        <v>46</v>
      </c>
      <c r="AF96">
        <v>12</v>
      </c>
      <c r="AH96" t="s">
        <v>9649</v>
      </c>
      <c r="AI96" t="s">
        <v>9648</v>
      </c>
      <c r="AK96" t="s">
        <v>9647</v>
      </c>
      <c r="AL96">
        <v>0</v>
      </c>
      <c r="AM96" s="5">
        <f t="shared" si="10"/>
        <v>0</v>
      </c>
      <c r="AN96" s="4">
        <f t="shared" si="15"/>
        <v>0</v>
      </c>
      <c r="AO96" s="3"/>
      <c r="AP96">
        <v>0</v>
      </c>
      <c r="AR96" t="s">
        <v>0</v>
      </c>
      <c r="AT96" s="2" t="s">
        <v>7</v>
      </c>
      <c r="AU96" s="1">
        <f t="shared" si="11"/>
        <v>0.55123995622113653</v>
      </c>
      <c r="AV96" s="1">
        <f t="shared" si="12"/>
        <v>0.39374282587224041</v>
      </c>
      <c r="AW96" s="1">
        <f t="shared" si="13"/>
        <v>0.23624569552334423</v>
      </c>
    </row>
    <row r="97" spans="1:49" x14ac:dyDescent="0.2">
      <c r="A97">
        <v>95</v>
      </c>
      <c r="B97" t="s">
        <v>9646</v>
      </c>
      <c r="F97" t="s">
        <v>9645</v>
      </c>
      <c r="G97" t="s">
        <v>6</v>
      </c>
      <c r="H97" t="s">
        <v>5</v>
      </c>
      <c r="I97" t="s">
        <v>9644</v>
      </c>
      <c r="J97">
        <v>60003970</v>
      </c>
      <c r="K97" t="s">
        <v>910</v>
      </c>
      <c r="L97" t="s">
        <v>9643</v>
      </c>
      <c r="M97" t="s">
        <v>62</v>
      </c>
      <c r="N97">
        <v>3</v>
      </c>
      <c r="O97" t="s">
        <v>9642</v>
      </c>
      <c r="P97" t="s">
        <v>9641</v>
      </c>
      <c r="Q97" t="s">
        <v>9640</v>
      </c>
      <c r="R97" s="7">
        <v>37226</v>
      </c>
      <c r="S97" s="8">
        <f t="shared" si="8"/>
        <v>2001</v>
      </c>
      <c r="T97" s="8">
        <v>2001</v>
      </c>
      <c r="U97" s="8">
        <f t="shared" si="9"/>
        <v>21</v>
      </c>
      <c r="V97" s="7">
        <v>37226</v>
      </c>
      <c r="W97" t="s">
        <v>9639</v>
      </c>
      <c r="X97" s="2">
        <v>0.498</v>
      </c>
      <c r="Y97" s="6">
        <f t="shared" si="14"/>
        <v>1.3293825578601747E-2</v>
      </c>
      <c r="AA97">
        <v>3043622</v>
      </c>
      <c r="AB97">
        <v>40853</v>
      </c>
      <c r="AD97" t="s">
        <v>1</v>
      </c>
      <c r="AE97">
        <v>42</v>
      </c>
      <c r="AF97">
        <v>137</v>
      </c>
      <c r="AH97" t="s">
        <v>9638</v>
      </c>
      <c r="AI97" t="s">
        <v>9637</v>
      </c>
      <c r="AJ97" t="s">
        <v>9636</v>
      </c>
      <c r="AK97" t="s">
        <v>9635</v>
      </c>
      <c r="AL97">
        <v>0</v>
      </c>
      <c r="AM97" s="5">
        <f t="shared" si="10"/>
        <v>0</v>
      </c>
      <c r="AN97" s="4">
        <f t="shared" si="15"/>
        <v>0</v>
      </c>
      <c r="AO97" s="3"/>
      <c r="AP97">
        <v>0</v>
      </c>
      <c r="AR97" t="s">
        <v>0</v>
      </c>
      <c r="AT97" s="2" t="s">
        <v>7</v>
      </c>
      <c r="AU97" s="1">
        <f t="shared" si="11"/>
        <v>0.93056779050212235</v>
      </c>
      <c r="AV97" s="1">
        <f t="shared" si="12"/>
        <v>0.66469127893008739</v>
      </c>
      <c r="AW97" s="1">
        <f t="shared" si="13"/>
        <v>0.39881476735805238</v>
      </c>
    </row>
    <row r="98" spans="1:49" x14ac:dyDescent="0.2">
      <c r="A98">
        <v>96</v>
      </c>
      <c r="B98" t="s">
        <v>9634</v>
      </c>
      <c r="C98" t="s">
        <v>9633</v>
      </c>
      <c r="D98" t="s">
        <v>9632</v>
      </c>
      <c r="F98" t="s">
        <v>9631</v>
      </c>
      <c r="G98" t="s">
        <v>6</v>
      </c>
      <c r="H98" t="s">
        <v>5</v>
      </c>
      <c r="I98" t="s">
        <v>9630</v>
      </c>
      <c r="J98">
        <v>60104148</v>
      </c>
      <c r="K98" t="s">
        <v>9629</v>
      </c>
      <c r="L98" t="s">
        <v>9628</v>
      </c>
      <c r="M98" t="s">
        <v>3</v>
      </c>
      <c r="N98">
        <v>1</v>
      </c>
      <c r="O98" t="s">
        <v>9627</v>
      </c>
      <c r="P98">
        <v>6701557354</v>
      </c>
      <c r="Q98">
        <v>60104148</v>
      </c>
      <c r="R98" s="7">
        <v>37226</v>
      </c>
      <c r="S98" s="8">
        <f t="shared" si="8"/>
        <v>2001</v>
      </c>
      <c r="T98" s="8">
        <v>2001</v>
      </c>
      <c r="U98" s="8">
        <f t="shared" si="9"/>
        <v>21</v>
      </c>
      <c r="V98" s="7">
        <v>2001</v>
      </c>
      <c r="W98" t="s">
        <v>9626</v>
      </c>
      <c r="X98" s="2">
        <v>0.38400000000000001</v>
      </c>
      <c r="Y98" s="6">
        <f t="shared" si="14"/>
        <v>1.02506606871146E-2</v>
      </c>
      <c r="AA98">
        <v>15304388</v>
      </c>
      <c r="AB98">
        <v>26049</v>
      </c>
      <c r="AC98">
        <v>15304388</v>
      </c>
      <c r="AD98" t="s">
        <v>1</v>
      </c>
      <c r="AE98">
        <v>1</v>
      </c>
      <c r="AF98">
        <v>1</v>
      </c>
      <c r="AH98" t="s">
        <v>9625</v>
      </c>
      <c r="AI98" t="s">
        <v>9624</v>
      </c>
      <c r="AJ98" t="s">
        <v>9623</v>
      </c>
      <c r="AK98" t="s">
        <v>9622</v>
      </c>
      <c r="AL98">
        <v>3</v>
      </c>
      <c r="AM98" s="5">
        <f t="shared" si="10"/>
        <v>0.14285714285714285</v>
      </c>
      <c r="AN98" s="4">
        <f t="shared" si="15"/>
        <v>2.1636825877643749E-4</v>
      </c>
      <c r="AO98" s="3"/>
      <c r="AP98">
        <v>0</v>
      </c>
      <c r="AR98" t="s">
        <v>0</v>
      </c>
      <c r="AT98" s="2" t="s">
        <v>7</v>
      </c>
      <c r="AU98" s="1">
        <f t="shared" si="11"/>
        <v>0.72403729586131504</v>
      </c>
      <c r="AV98" s="1">
        <f t="shared" si="12"/>
        <v>0.52335144729455185</v>
      </c>
      <c r="AW98" s="1">
        <f t="shared" si="13"/>
        <v>0.32266559872778866</v>
      </c>
    </row>
    <row r="99" spans="1:49" x14ac:dyDescent="0.2">
      <c r="A99">
        <v>97</v>
      </c>
      <c r="B99" t="s">
        <v>9621</v>
      </c>
      <c r="C99" t="s">
        <v>9620</v>
      </c>
      <c r="F99" t="s">
        <v>9619</v>
      </c>
      <c r="G99" t="s">
        <v>6</v>
      </c>
      <c r="H99" t="s">
        <v>5</v>
      </c>
      <c r="I99" t="s">
        <v>372</v>
      </c>
      <c r="J99" t="s">
        <v>9618</v>
      </c>
      <c r="K99" t="s">
        <v>9617</v>
      </c>
      <c r="L99" t="s">
        <v>368</v>
      </c>
      <c r="M99" t="s">
        <v>49</v>
      </c>
      <c r="N99">
        <v>1</v>
      </c>
      <c r="O99" t="s">
        <v>9616</v>
      </c>
      <c r="P99">
        <v>36013189400</v>
      </c>
      <c r="Q99" t="s">
        <v>9615</v>
      </c>
      <c r="R99" s="7">
        <v>37226</v>
      </c>
      <c r="S99" s="8">
        <f t="shared" si="8"/>
        <v>2001</v>
      </c>
      <c r="T99" s="8">
        <v>2001</v>
      </c>
      <c r="U99" s="8">
        <f t="shared" si="9"/>
        <v>21</v>
      </c>
      <c r="V99" s="7">
        <v>2001</v>
      </c>
      <c r="W99" t="s">
        <v>671</v>
      </c>
      <c r="X99" s="2">
        <v>0.28799999999999998</v>
      </c>
      <c r="Y99" s="6">
        <f t="shared" si="14"/>
        <v>7.6879955153359488E-3</v>
      </c>
      <c r="AA99">
        <v>10689605</v>
      </c>
      <c r="AB99">
        <v>19515</v>
      </c>
      <c r="AD99" t="s">
        <v>1</v>
      </c>
      <c r="AE99">
        <v>8</v>
      </c>
      <c r="AF99">
        <v>1</v>
      </c>
      <c r="AH99" t="s">
        <v>9614</v>
      </c>
      <c r="AI99" t="s">
        <v>9613</v>
      </c>
      <c r="AJ99" t="s">
        <v>9612</v>
      </c>
      <c r="AK99" t="s">
        <v>9611</v>
      </c>
      <c r="AL99">
        <v>0</v>
      </c>
      <c r="AM99" s="5">
        <f t="shared" si="10"/>
        <v>0</v>
      </c>
      <c r="AN99" s="4">
        <f t="shared" si="15"/>
        <v>0</v>
      </c>
      <c r="AO99" s="3"/>
      <c r="AP99">
        <v>0</v>
      </c>
      <c r="AR99" t="s">
        <v>0</v>
      </c>
      <c r="AT99" s="2" t="s">
        <v>7</v>
      </c>
      <c r="AU99" s="1">
        <f t="shared" si="11"/>
        <v>0.53815968607351639</v>
      </c>
      <c r="AV99" s="1">
        <f t="shared" si="12"/>
        <v>0.38439977576679746</v>
      </c>
      <c r="AW99" s="1">
        <f t="shared" si="13"/>
        <v>0.23063986546007845</v>
      </c>
    </row>
    <row r="100" spans="1:49" x14ac:dyDescent="0.2">
      <c r="A100">
        <v>98</v>
      </c>
      <c r="B100" t="s">
        <v>9610</v>
      </c>
      <c r="F100" t="s">
        <v>9609</v>
      </c>
      <c r="G100" t="s">
        <v>6</v>
      </c>
      <c r="H100" t="s">
        <v>5</v>
      </c>
      <c r="I100" t="s">
        <v>9608</v>
      </c>
      <c r="N100">
        <v>2</v>
      </c>
      <c r="O100" t="s">
        <v>9607</v>
      </c>
      <c r="P100" t="s">
        <v>9606</v>
      </c>
      <c r="Q100" t="s">
        <v>582</v>
      </c>
      <c r="R100" s="7">
        <v>37226</v>
      </c>
      <c r="S100" s="8">
        <f t="shared" si="8"/>
        <v>2001</v>
      </c>
      <c r="T100" s="8">
        <v>2001</v>
      </c>
      <c r="U100" s="8">
        <f t="shared" si="9"/>
        <v>21</v>
      </c>
      <c r="V100" s="7">
        <v>37226</v>
      </c>
      <c r="W100" t="s">
        <v>670</v>
      </c>
      <c r="X100" s="2">
        <v>0.29499999999999998</v>
      </c>
      <c r="Y100" s="6">
        <f t="shared" si="14"/>
        <v>7.8748565174448087E-3</v>
      </c>
      <c r="AA100">
        <v>10642269</v>
      </c>
      <c r="AB100">
        <v>19554</v>
      </c>
      <c r="AD100" t="s">
        <v>1</v>
      </c>
      <c r="AE100">
        <v>46</v>
      </c>
      <c r="AF100">
        <v>12</v>
      </c>
      <c r="AH100" t="s">
        <v>9605</v>
      </c>
      <c r="AI100" t="s">
        <v>9604</v>
      </c>
      <c r="AK100" t="s">
        <v>9603</v>
      </c>
      <c r="AL100">
        <v>1</v>
      </c>
      <c r="AM100" s="5">
        <f t="shared" si="10"/>
        <v>4.7619047619047616E-2</v>
      </c>
      <c r="AN100" s="4">
        <f t="shared" si="15"/>
        <v>7.2122752925479164E-5</v>
      </c>
      <c r="AO100" s="3"/>
      <c r="AP100">
        <v>0</v>
      </c>
      <c r="AR100" t="s">
        <v>0</v>
      </c>
      <c r="AT100" s="2" t="s">
        <v>7</v>
      </c>
      <c r="AU100" s="1">
        <f t="shared" si="11"/>
        <v>0.55340363880890087</v>
      </c>
      <c r="AV100" s="1">
        <f t="shared" si="12"/>
        <v>0.39734896351851445</v>
      </c>
      <c r="AW100" s="1">
        <f t="shared" si="13"/>
        <v>0.24129428822812779</v>
      </c>
    </row>
    <row r="101" spans="1:49" x14ac:dyDescent="0.2">
      <c r="A101">
        <v>99</v>
      </c>
      <c r="B101" t="s">
        <v>9602</v>
      </c>
      <c r="C101" t="s">
        <v>9601</v>
      </c>
      <c r="F101" t="s">
        <v>9600</v>
      </c>
      <c r="G101" t="s">
        <v>6</v>
      </c>
      <c r="H101" t="s">
        <v>5</v>
      </c>
      <c r="I101" t="s">
        <v>9599</v>
      </c>
      <c r="J101" t="s">
        <v>9598</v>
      </c>
      <c r="K101" t="s">
        <v>9597</v>
      </c>
      <c r="L101" t="s">
        <v>9596</v>
      </c>
      <c r="M101" t="s">
        <v>44</v>
      </c>
      <c r="N101">
        <v>2</v>
      </c>
      <c r="O101" t="s">
        <v>9595</v>
      </c>
      <c r="P101" t="s">
        <v>9594</v>
      </c>
      <c r="Q101" t="s">
        <v>9593</v>
      </c>
      <c r="R101" s="7">
        <v>37226</v>
      </c>
      <c r="S101" s="8">
        <f t="shared" si="8"/>
        <v>2001</v>
      </c>
      <c r="T101" s="8">
        <v>2001</v>
      </c>
      <c r="U101" s="8">
        <f t="shared" si="9"/>
        <v>21</v>
      </c>
      <c r="V101" s="7">
        <v>2001</v>
      </c>
      <c r="W101" t="s">
        <v>9592</v>
      </c>
      <c r="X101" s="2">
        <v>0.64600000000000002</v>
      </c>
      <c r="Y101" s="6">
        <f t="shared" si="14"/>
        <v>1.72446010517605E-2</v>
      </c>
      <c r="AA101" t="s">
        <v>9591</v>
      </c>
      <c r="AB101">
        <v>21157</v>
      </c>
      <c r="AD101" t="s">
        <v>1</v>
      </c>
      <c r="AE101">
        <v>12</v>
      </c>
      <c r="AF101">
        <v>12</v>
      </c>
      <c r="AH101" t="s">
        <v>9590</v>
      </c>
      <c r="AI101" t="s">
        <v>9589</v>
      </c>
      <c r="AK101" t="s">
        <v>9588</v>
      </c>
      <c r="AL101">
        <v>25</v>
      </c>
      <c r="AM101" s="5">
        <f t="shared" si="10"/>
        <v>1.1904761904761905</v>
      </c>
      <c r="AN101" s="4">
        <f t="shared" si="15"/>
        <v>1.8030688231369791E-3</v>
      </c>
      <c r="AO101" s="3"/>
      <c r="AP101">
        <v>0</v>
      </c>
      <c r="AR101" t="s">
        <v>0</v>
      </c>
      <c r="AT101" s="2" t="s">
        <v>7</v>
      </c>
      <c r="AU101" s="1">
        <f t="shared" si="11"/>
        <v>1.2612141383173443</v>
      </c>
      <c r="AV101" s="1">
        <f t="shared" si="12"/>
        <v>0.95238349374487408</v>
      </c>
      <c r="AW101" s="1">
        <f t="shared" si="13"/>
        <v>0.64355284917240352</v>
      </c>
    </row>
    <row r="102" spans="1:49" x14ac:dyDescent="0.2">
      <c r="A102">
        <v>100</v>
      </c>
      <c r="B102" t="s">
        <v>9587</v>
      </c>
      <c r="C102" t="s">
        <v>9586</v>
      </c>
      <c r="F102" t="s">
        <v>9585</v>
      </c>
      <c r="G102" t="s">
        <v>6</v>
      </c>
      <c r="H102" t="s">
        <v>5</v>
      </c>
      <c r="I102" t="s">
        <v>9584</v>
      </c>
      <c r="J102" t="s">
        <v>9578</v>
      </c>
      <c r="K102" t="s">
        <v>9583</v>
      </c>
      <c r="L102" t="s">
        <v>9582</v>
      </c>
      <c r="M102" t="s">
        <v>9581</v>
      </c>
      <c r="N102">
        <v>2</v>
      </c>
      <c r="O102" t="s">
        <v>9580</v>
      </c>
      <c r="P102" t="s">
        <v>9579</v>
      </c>
      <c r="Q102" t="s">
        <v>9578</v>
      </c>
      <c r="R102" s="7">
        <v>37226</v>
      </c>
      <c r="S102" s="8">
        <f t="shared" si="8"/>
        <v>2001</v>
      </c>
      <c r="T102" s="8">
        <v>2001</v>
      </c>
      <c r="U102" s="8">
        <f t="shared" si="9"/>
        <v>21</v>
      </c>
      <c r="V102" s="7">
        <v>2001</v>
      </c>
      <c r="W102" t="s">
        <v>8395</v>
      </c>
      <c r="X102" s="2">
        <v>1.0680000000000001</v>
      </c>
      <c r="Y102" s="6">
        <f t="shared" si="14"/>
        <v>2.8509650036037483E-2</v>
      </c>
      <c r="AA102">
        <v>2545330</v>
      </c>
      <c r="AB102">
        <v>23090</v>
      </c>
      <c r="AC102">
        <v>15729338</v>
      </c>
      <c r="AD102" t="s">
        <v>1</v>
      </c>
      <c r="AE102">
        <v>106</v>
      </c>
      <c r="AF102" s="10">
        <v>44287</v>
      </c>
      <c r="AH102" t="s">
        <v>8542</v>
      </c>
      <c r="AI102" t="s">
        <v>9577</v>
      </c>
      <c r="AK102" t="s">
        <v>9576</v>
      </c>
      <c r="AL102">
        <v>4</v>
      </c>
      <c r="AM102" s="5">
        <f t="shared" si="10"/>
        <v>0.19047619047619047</v>
      </c>
      <c r="AN102" s="4">
        <f t="shared" si="15"/>
        <v>2.8849101170191666E-4</v>
      </c>
      <c r="AO102" s="3"/>
      <c r="AP102">
        <v>0</v>
      </c>
      <c r="AR102" t="s">
        <v>0</v>
      </c>
      <c r="AT102" s="2">
        <v>4.8540000000000001</v>
      </c>
      <c r="AU102" s="1">
        <f t="shared" si="11"/>
        <v>2.0043302328736812</v>
      </c>
      <c r="AV102" s="1">
        <f t="shared" si="12"/>
        <v>1.4399070523869699</v>
      </c>
      <c r="AW102" s="1">
        <f t="shared" si="13"/>
        <v>0.87548387190025856</v>
      </c>
    </row>
    <row r="103" spans="1:49" x14ac:dyDescent="0.2">
      <c r="A103">
        <v>101</v>
      </c>
      <c r="B103" t="s">
        <v>9575</v>
      </c>
      <c r="F103" t="s">
        <v>9574</v>
      </c>
      <c r="G103" t="s">
        <v>6</v>
      </c>
      <c r="H103" t="s">
        <v>5</v>
      </c>
      <c r="I103" t="s">
        <v>9573</v>
      </c>
      <c r="J103" t="s">
        <v>9572</v>
      </c>
      <c r="K103" t="s">
        <v>9571</v>
      </c>
      <c r="L103" t="s">
        <v>9570</v>
      </c>
      <c r="M103" t="s">
        <v>9</v>
      </c>
      <c r="N103">
        <v>3</v>
      </c>
      <c r="O103" t="s">
        <v>9569</v>
      </c>
      <c r="P103" t="s">
        <v>9568</v>
      </c>
      <c r="Q103" t="s">
        <v>9567</v>
      </c>
      <c r="R103" s="7">
        <v>37226</v>
      </c>
      <c r="S103" s="8">
        <f t="shared" si="8"/>
        <v>2001</v>
      </c>
      <c r="T103" s="8">
        <v>2001</v>
      </c>
      <c r="U103" s="8">
        <f t="shared" si="9"/>
        <v>21</v>
      </c>
      <c r="V103" s="7">
        <v>2001</v>
      </c>
      <c r="W103" t="s">
        <v>9566</v>
      </c>
      <c r="X103" s="2">
        <v>0.59699999999999998</v>
      </c>
      <c r="Y103" s="6">
        <f t="shared" si="14"/>
        <v>1.5936574036998479E-2</v>
      </c>
      <c r="AA103">
        <v>34541</v>
      </c>
      <c r="AB103">
        <v>24588</v>
      </c>
      <c r="AD103" t="s">
        <v>1</v>
      </c>
      <c r="AE103">
        <v>51</v>
      </c>
      <c r="AF103">
        <v>4</v>
      </c>
      <c r="AH103" t="s">
        <v>9565</v>
      </c>
      <c r="AI103" t="s">
        <v>9564</v>
      </c>
      <c r="AJ103" t="s">
        <v>9563</v>
      </c>
      <c r="AK103" t="s">
        <v>9562</v>
      </c>
      <c r="AL103">
        <v>17</v>
      </c>
      <c r="AM103" s="5">
        <f t="shared" si="10"/>
        <v>0.80952380952380953</v>
      </c>
      <c r="AN103" s="4">
        <f t="shared" si="15"/>
        <v>1.2260867997331457E-3</v>
      </c>
      <c r="AO103" s="3"/>
      <c r="AP103">
        <v>0</v>
      </c>
      <c r="AR103" t="s">
        <v>0</v>
      </c>
      <c r="AT103" s="2">
        <v>1</v>
      </c>
      <c r="AU103" s="1">
        <f t="shared" si="11"/>
        <v>1.152342786581888</v>
      </c>
      <c r="AV103" s="1">
        <f t="shared" si="12"/>
        <v>0.85813304183658123</v>
      </c>
      <c r="AW103" s="1">
        <f t="shared" si="13"/>
        <v>0.56392329709127453</v>
      </c>
    </row>
    <row r="104" spans="1:49" x14ac:dyDescent="0.2">
      <c r="A104">
        <v>102</v>
      </c>
      <c r="B104" t="s">
        <v>9561</v>
      </c>
      <c r="C104" t="s">
        <v>9560</v>
      </c>
      <c r="F104" t="s">
        <v>9559</v>
      </c>
      <c r="G104" t="s">
        <v>6</v>
      </c>
      <c r="H104" t="s">
        <v>5</v>
      </c>
      <c r="I104" t="s">
        <v>9558</v>
      </c>
      <c r="J104">
        <v>60005429</v>
      </c>
      <c r="K104" t="s">
        <v>260</v>
      </c>
      <c r="L104" t="s">
        <v>259</v>
      </c>
      <c r="M104" t="s">
        <v>105</v>
      </c>
      <c r="N104">
        <v>3</v>
      </c>
      <c r="O104" t="s">
        <v>9557</v>
      </c>
      <c r="P104" t="s">
        <v>9556</v>
      </c>
      <c r="Q104" t="s">
        <v>9555</v>
      </c>
      <c r="R104" s="7">
        <v>37226</v>
      </c>
      <c r="S104" s="8">
        <f t="shared" si="8"/>
        <v>2001</v>
      </c>
      <c r="T104" s="8">
        <v>2001</v>
      </c>
      <c r="U104" s="8">
        <f t="shared" si="9"/>
        <v>21</v>
      </c>
      <c r="V104" s="7">
        <v>2001</v>
      </c>
      <c r="W104" t="s">
        <v>43</v>
      </c>
      <c r="X104" s="2">
        <v>0.437</v>
      </c>
      <c r="Y104" s="6">
        <f t="shared" si="14"/>
        <v>1.1665465417367396E-2</v>
      </c>
      <c r="AA104">
        <v>10704698</v>
      </c>
      <c r="AB104">
        <v>5300152513</v>
      </c>
      <c r="AC104">
        <v>15598985</v>
      </c>
      <c r="AD104" t="s">
        <v>1</v>
      </c>
      <c r="AE104">
        <v>30</v>
      </c>
      <c r="AH104" t="s">
        <v>9554</v>
      </c>
      <c r="AI104" t="s">
        <v>9553</v>
      </c>
      <c r="AK104" t="s">
        <v>9552</v>
      </c>
      <c r="AL104">
        <v>13</v>
      </c>
      <c r="AM104" s="5">
        <f t="shared" si="10"/>
        <v>0.61904761904761907</v>
      </c>
      <c r="AN104" s="4">
        <f t="shared" si="15"/>
        <v>9.3759578803122919E-4</v>
      </c>
      <c r="AO104" s="3"/>
      <c r="AP104">
        <v>1</v>
      </c>
      <c r="AQ104" t="s">
        <v>9551</v>
      </c>
      <c r="AR104" t="s">
        <v>0</v>
      </c>
      <c r="AS104" t="s">
        <v>9551</v>
      </c>
      <c r="AT104" s="2" t="s">
        <v>7</v>
      </c>
      <c r="AU104" s="1">
        <f t="shared" si="11"/>
        <v>0.84471045285665447</v>
      </c>
      <c r="AV104" s="1">
        <f t="shared" si="12"/>
        <v>0.63015306026993123</v>
      </c>
      <c r="AW104" s="1">
        <f t="shared" si="13"/>
        <v>0.41559566768320788</v>
      </c>
    </row>
    <row r="105" spans="1:49" x14ac:dyDescent="0.2">
      <c r="A105">
        <v>103</v>
      </c>
      <c r="B105" t="s">
        <v>9550</v>
      </c>
      <c r="F105" t="s">
        <v>9549</v>
      </c>
      <c r="G105" t="s">
        <v>6</v>
      </c>
      <c r="H105" t="s">
        <v>5</v>
      </c>
      <c r="I105" t="s">
        <v>9548</v>
      </c>
      <c r="J105">
        <v>60010939</v>
      </c>
      <c r="K105" t="s">
        <v>9547</v>
      </c>
      <c r="L105" t="s">
        <v>9546</v>
      </c>
      <c r="M105" t="s">
        <v>194</v>
      </c>
      <c r="N105">
        <v>1</v>
      </c>
      <c r="O105" t="s">
        <v>9545</v>
      </c>
      <c r="P105">
        <v>6701435371</v>
      </c>
      <c r="Q105">
        <v>60010939</v>
      </c>
      <c r="R105" s="7">
        <v>37226</v>
      </c>
      <c r="S105" s="8">
        <f t="shared" si="8"/>
        <v>2001</v>
      </c>
      <c r="T105" s="8">
        <v>2001</v>
      </c>
      <c r="U105" s="8">
        <f t="shared" si="9"/>
        <v>21</v>
      </c>
      <c r="V105" s="7">
        <v>2001</v>
      </c>
      <c r="W105" t="s">
        <v>9544</v>
      </c>
      <c r="X105" s="2" t="s">
        <v>7</v>
      </c>
      <c r="Y105" s="6" t="e">
        <f t="shared" si="14"/>
        <v>#VALUE!</v>
      </c>
      <c r="AA105">
        <v>10258140</v>
      </c>
      <c r="AB105">
        <v>40486</v>
      </c>
      <c r="AD105" t="s">
        <v>1</v>
      </c>
      <c r="AE105">
        <v>5</v>
      </c>
      <c r="AF105">
        <v>1</v>
      </c>
      <c r="AH105" t="s">
        <v>9543</v>
      </c>
      <c r="AI105" t="s">
        <v>9542</v>
      </c>
      <c r="AJ105" t="s">
        <v>9541</v>
      </c>
      <c r="AK105" t="s">
        <v>9540</v>
      </c>
      <c r="AL105">
        <v>1</v>
      </c>
      <c r="AM105" s="5">
        <f t="shared" si="10"/>
        <v>4.7619047619047616E-2</v>
      </c>
      <c r="AN105" s="4">
        <f t="shared" si="15"/>
        <v>7.2122752925479164E-5</v>
      </c>
      <c r="AO105" s="3"/>
      <c r="AP105">
        <v>0</v>
      </c>
      <c r="AR105" t="s">
        <v>0</v>
      </c>
      <c r="AT105" s="2" t="s">
        <v>7</v>
      </c>
      <c r="AU105" s="1" t="e">
        <f t="shared" si="11"/>
        <v>#VALUE!</v>
      </c>
      <c r="AV105" s="1" t="e">
        <f t="shared" si="12"/>
        <v>#VALUE!</v>
      </c>
      <c r="AW105" s="1" t="e">
        <f t="shared" si="13"/>
        <v>#VALUE!</v>
      </c>
    </row>
    <row r="106" spans="1:49" x14ac:dyDescent="0.2">
      <c r="A106">
        <v>104</v>
      </c>
      <c r="B106" t="s">
        <v>9539</v>
      </c>
      <c r="F106" t="s">
        <v>9538</v>
      </c>
      <c r="G106" t="s">
        <v>6</v>
      </c>
      <c r="H106" t="s">
        <v>5</v>
      </c>
      <c r="I106" t="s">
        <v>9537</v>
      </c>
      <c r="J106">
        <v>100326510</v>
      </c>
      <c r="K106" t="s">
        <v>9512</v>
      </c>
      <c r="L106" t="s">
        <v>326</v>
      </c>
      <c r="M106" t="s">
        <v>26</v>
      </c>
      <c r="N106">
        <v>1</v>
      </c>
      <c r="O106" t="s">
        <v>9536</v>
      </c>
      <c r="P106">
        <v>6601962268</v>
      </c>
      <c r="Q106">
        <v>100326510</v>
      </c>
      <c r="R106" s="7">
        <v>37226</v>
      </c>
      <c r="S106" s="8">
        <f t="shared" si="8"/>
        <v>2001</v>
      </c>
      <c r="T106" s="8">
        <v>2001</v>
      </c>
      <c r="U106" s="8">
        <f t="shared" si="9"/>
        <v>21</v>
      </c>
      <c r="V106" s="7">
        <v>37226</v>
      </c>
      <c r="W106" t="s">
        <v>843</v>
      </c>
      <c r="X106" s="2" t="s">
        <v>7</v>
      </c>
      <c r="Y106" s="6" t="e">
        <f t="shared" si="14"/>
        <v>#VALUE!</v>
      </c>
      <c r="AA106">
        <v>9149260</v>
      </c>
      <c r="AB106">
        <v>23105</v>
      </c>
      <c r="AD106" t="s">
        <v>1</v>
      </c>
      <c r="AE106">
        <v>48</v>
      </c>
      <c r="AF106">
        <v>4</v>
      </c>
      <c r="AH106" t="s">
        <v>9535</v>
      </c>
      <c r="AI106" t="s">
        <v>9534</v>
      </c>
      <c r="AJ106" t="s">
        <v>9533</v>
      </c>
      <c r="AK106" t="s">
        <v>9532</v>
      </c>
      <c r="AL106">
        <v>1</v>
      </c>
      <c r="AM106" s="5">
        <f t="shared" si="10"/>
        <v>4.7619047619047616E-2</v>
      </c>
      <c r="AN106" s="4">
        <f t="shared" si="15"/>
        <v>7.2122752925479164E-5</v>
      </c>
      <c r="AO106" s="3"/>
      <c r="AP106">
        <v>0</v>
      </c>
      <c r="AR106" t="s">
        <v>0</v>
      </c>
      <c r="AT106" s="2" t="s">
        <v>7</v>
      </c>
      <c r="AU106" s="1" t="e">
        <f t="shared" si="11"/>
        <v>#VALUE!</v>
      </c>
      <c r="AV106" s="1" t="e">
        <f t="shared" si="12"/>
        <v>#VALUE!</v>
      </c>
      <c r="AW106" s="1" t="e">
        <f t="shared" si="13"/>
        <v>#VALUE!</v>
      </c>
    </row>
    <row r="107" spans="1:49" x14ac:dyDescent="0.2">
      <c r="A107">
        <v>105</v>
      </c>
      <c r="B107" t="s">
        <v>9531</v>
      </c>
      <c r="F107" t="s">
        <v>542</v>
      </c>
      <c r="G107" t="s">
        <v>6</v>
      </c>
      <c r="H107" t="s">
        <v>5</v>
      </c>
      <c r="I107" t="s">
        <v>541</v>
      </c>
      <c r="J107">
        <v>100326510</v>
      </c>
      <c r="K107" t="s">
        <v>9512</v>
      </c>
      <c r="L107" t="s">
        <v>326</v>
      </c>
      <c r="M107" t="s">
        <v>26</v>
      </c>
      <c r="N107">
        <v>2</v>
      </c>
      <c r="O107" t="s">
        <v>9530</v>
      </c>
      <c r="P107" t="s">
        <v>9529</v>
      </c>
      <c r="Q107" t="s">
        <v>9520</v>
      </c>
      <c r="R107" s="7">
        <v>37226</v>
      </c>
      <c r="S107" s="8">
        <f t="shared" si="8"/>
        <v>2001</v>
      </c>
      <c r="T107" s="8">
        <v>2001</v>
      </c>
      <c r="U107" s="8">
        <f t="shared" si="9"/>
        <v>21</v>
      </c>
      <c r="V107" s="7">
        <v>37226</v>
      </c>
      <c r="W107" t="s">
        <v>843</v>
      </c>
      <c r="X107" s="2" t="s">
        <v>7</v>
      </c>
      <c r="Y107" s="6" t="e">
        <f t="shared" si="14"/>
        <v>#VALUE!</v>
      </c>
      <c r="AA107">
        <v>9149260</v>
      </c>
      <c r="AB107">
        <v>23105</v>
      </c>
      <c r="AD107" t="s">
        <v>1</v>
      </c>
      <c r="AE107">
        <v>48</v>
      </c>
      <c r="AF107">
        <v>4</v>
      </c>
      <c r="AH107" t="s">
        <v>9528</v>
      </c>
      <c r="AI107" t="s">
        <v>9527</v>
      </c>
      <c r="AJ107" t="s">
        <v>540</v>
      </c>
      <c r="AK107" t="s">
        <v>9526</v>
      </c>
      <c r="AL107">
        <v>0</v>
      </c>
      <c r="AM107" s="5">
        <f t="shared" si="10"/>
        <v>0</v>
      </c>
      <c r="AN107" s="4">
        <f t="shared" si="15"/>
        <v>0</v>
      </c>
      <c r="AO107" s="3"/>
      <c r="AP107">
        <v>0</v>
      </c>
      <c r="AR107" t="s">
        <v>0</v>
      </c>
      <c r="AT107" s="2" t="s">
        <v>7</v>
      </c>
      <c r="AU107" s="1" t="e">
        <f t="shared" si="11"/>
        <v>#VALUE!</v>
      </c>
      <c r="AV107" s="1" t="e">
        <f t="shared" si="12"/>
        <v>#VALUE!</v>
      </c>
      <c r="AW107" s="1" t="e">
        <f t="shared" si="13"/>
        <v>#VALUE!</v>
      </c>
    </row>
    <row r="108" spans="1:49" x14ac:dyDescent="0.2">
      <c r="A108">
        <v>106</v>
      </c>
      <c r="B108" t="s">
        <v>9525</v>
      </c>
      <c r="F108" t="s">
        <v>9524</v>
      </c>
      <c r="G108" t="s">
        <v>6</v>
      </c>
      <c r="H108" t="s">
        <v>5</v>
      </c>
      <c r="I108" t="s">
        <v>9523</v>
      </c>
      <c r="J108">
        <v>100326510</v>
      </c>
      <c r="K108" t="s">
        <v>9512</v>
      </c>
      <c r="L108" t="s">
        <v>326</v>
      </c>
      <c r="M108" t="s">
        <v>26</v>
      </c>
      <c r="N108">
        <v>2</v>
      </c>
      <c r="O108" t="s">
        <v>9522</v>
      </c>
      <c r="P108" t="s">
        <v>9521</v>
      </c>
      <c r="Q108" t="s">
        <v>9520</v>
      </c>
      <c r="R108" s="7">
        <v>37226</v>
      </c>
      <c r="S108" s="8">
        <f t="shared" si="8"/>
        <v>2001</v>
      </c>
      <c r="T108" s="8">
        <v>2001</v>
      </c>
      <c r="U108" s="8">
        <f t="shared" si="9"/>
        <v>21</v>
      </c>
      <c r="V108" s="7">
        <v>37226</v>
      </c>
      <c r="W108" t="s">
        <v>843</v>
      </c>
      <c r="X108" s="2" t="s">
        <v>7</v>
      </c>
      <c r="Y108" s="6" t="e">
        <f t="shared" si="14"/>
        <v>#VALUE!</v>
      </c>
      <c r="AA108">
        <v>9149260</v>
      </c>
      <c r="AB108">
        <v>23105</v>
      </c>
      <c r="AD108" t="s">
        <v>1</v>
      </c>
      <c r="AE108">
        <v>48</v>
      </c>
      <c r="AF108">
        <v>4</v>
      </c>
      <c r="AH108" t="s">
        <v>9519</v>
      </c>
      <c r="AI108" t="s">
        <v>9518</v>
      </c>
      <c r="AJ108" t="s">
        <v>9517</v>
      </c>
      <c r="AK108" t="s">
        <v>9516</v>
      </c>
      <c r="AL108">
        <v>37</v>
      </c>
      <c r="AM108" s="5">
        <f t="shared" si="10"/>
        <v>1.7619047619047619</v>
      </c>
      <c r="AN108" s="4">
        <f t="shared" si="15"/>
        <v>2.668541858242729E-3</v>
      </c>
      <c r="AO108" s="3"/>
      <c r="AP108">
        <v>0</v>
      </c>
      <c r="AR108" t="s">
        <v>0</v>
      </c>
      <c r="AT108" s="2" t="s">
        <v>7</v>
      </c>
      <c r="AU108" s="1" t="e">
        <f t="shared" si="11"/>
        <v>#VALUE!</v>
      </c>
      <c r="AV108" s="1" t="e">
        <f t="shared" si="12"/>
        <v>#VALUE!</v>
      </c>
      <c r="AW108" s="1" t="e">
        <f t="shared" si="13"/>
        <v>#VALUE!</v>
      </c>
    </row>
    <row r="109" spans="1:49" x14ac:dyDescent="0.2">
      <c r="A109">
        <v>107</v>
      </c>
      <c r="B109" t="s">
        <v>9515</v>
      </c>
      <c r="F109" t="s">
        <v>9514</v>
      </c>
      <c r="G109" t="s">
        <v>6</v>
      </c>
      <c r="H109" t="s">
        <v>5</v>
      </c>
      <c r="I109" t="s">
        <v>9513</v>
      </c>
      <c r="J109">
        <v>100326510</v>
      </c>
      <c r="K109" t="s">
        <v>9512</v>
      </c>
      <c r="L109" t="s">
        <v>326</v>
      </c>
      <c r="M109" t="s">
        <v>26</v>
      </c>
      <c r="N109">
        <v>4</v>
      </c>
      <c r="O109" t="s">
        <v>9511</v>
      </c>
      <c r="P109" t="s">
        <v>9510</v>
      </c>
      <c r="Q109" t="s">
        <v>9509</v>
      </c>
      <c r="R109" s="7">
        <v>37226</v>
      </c>
      <c r="S109" s="8">
        <f t="shared" si="8"/>
        <v>2001</v>
      </c>
      <c r="T109" s="8">
        <v>2001</v>
      </c>
      <c r="U109" s="8">
        <f t="shared" si="9"/>
        <v>21</v>
      </c>
      <c r="V109" s="7">
        <v>37226</v>
      </c>
      <c r="W109" t="s">
        <v>843</v>
      </c>
      <c r="X109" s="2" t="s">
        <v>7</v>
      </c>
      <c r="Y109" s="6" t="e">
        <f t="shared" si="14"/>
        <v>#VALUE!</v>
      </c>
      <c r="AA109">
        <v>9149260</v>
      </c>
      <c r="AB109">
        <v>23105</v>
      </c>
      <c r="AD109" t="s">
        <v>1</v>
      </c>
      <c r="AE109">
        <v>48</v>
      </c>
      <c r="AF109">
        <v>4</v>
      </c>
      <c r="AH109" t="s">
        <v>2238</v>
      </c>
      <c r="AI109" t="s">
        <v>9508</v>
      </c>
      <c r="AJ109" t="s">
        <v>9507</v>
      </c>
      <c r="AK109" t="s">
        <v>9506</v>
      </c>
      <c r="AL109">
        <v>2</v>
      </c>
      <c r="AM109" s="5">
        <f t="shared" si="10"/>
        <v>9.5238095238095233E-2</v>
      </c>
      <c r="AN109" s="4">
        <f t="shared" si="15"/>
        <v>1.4424550585095833E-4</v>
      </c>
      <c r="AO109" s="3"/>
      <c r="AP109">
        <v>0</v>
      </c>
      <c r="AR109" t="s">
        <v>0</v>
      </c>
      <c r="AT109" s="2" t="s">
        <v>7</v>
      </c>
      <c r="AU109" s="1" t="e">
        <f t="shared" si="11"/>
        <v>#VALUE!</v>
      </c>
      <c r="AV109" s="1" t="e">
        <f t="shared" si="12"/>
        <v>#VALUE!</v>
      </c>
      <c r="AW109" s="1" t="e">
        <f t="shared" si="13"/>
        <v>#VALUE!</v>
      </c>
    </row>
    <row r="110" spans="1:49" x14ac:dyDescent="0.2">
      <c r="A110">
        <v>108</v>
      </c>
      <c r="B110" t="s">
        <v>9505</v>
      </c>
      <c r="E110">
        <v>11815654</v>
      </c>
      <c r="F110" t="s">
        <v>9504</v>
      </c>
      <c r="G110" t="s">
        <v>6</v>
      </c>
      <c r="H110" t="s">
        <v>5</v>
      </c>
      <c r="I110" t="s">
        <v>9503</v>
      </c>
      <c r="J110">
        <v>60011047</v>
      </c>
      <c r="K110" t="s">
        <v>848</v>
      </c>
      <c r="L110" t="s">
        <v>847</v>
      </c>
      <c r="M110" t="s">
        <v>26</v>
      </c>
      <c r="N110">
        <v>2</v>
      </c>
      <c r="O110" t="s">
        <v>9502</v>
      </c>
      <c r="P110" t="s">
        <v>9501</v>
      </c>
      <c r="Q110" t="s">
        <v>845</v>
      </c>
      <c r="R110" s="7">
        <v>37226</v>
      </c>
      <c r="S110" s="8">
        <f t="shared" si="8"/>
        <v>2001</v>
      </c>
      <c r="T110" s="8">
        <v>2001</v>
      </c>
      <c r="U110" s="8">
        <f t="shared" si="9"/>
        <v>21</v>
      </c>
      <c r="V110" s="7">
        <v>2001</v>
      </c>
      <c r="W110" t="s">
        <v>788</v>
      </c>
      <c r="X110" s="2">
        <v>1.367</v>
      </c>
      <c r="Y110" s="6">
        <f t="shared" si="14"/>
        <v>3.6491284268973065E-2</v>
      </c>
      <c r="AA110">
        <v>220949</v>
      </c>
      <c r="AB110">
        <v>29605</v>
      </c>
      <c r="AD110" t="s">
        <v>1</v>
      </c>
      <c r="AE110">
        <v>204</v>
      </c>
      <c r="AF110">
        <v>24</v>
      </c>
      <c r="AH110" t="s">
        <v>9500</v>
      </c>
      <c r="AI110" t="s">
        <v>9499</v>
      </c>
      <c r="AJ110" t="s">
        <v>9498</v>
      </c>
      <c r="AK110" t="s">
        <v>9497</v>
      </c>
      <c r="AL110">
        <v>34</v>
      </c>
      <c r="AM110" s="5">
        <f t="shared" si="10"/>
        <v>1.6190476190476191</v>
      </c>
      <c r="AN110" s="4">
        <f t="shared" si="15"/>
        <v>2.4521735994662915E-3</v>
      </c>
      <c r="AO110" s="3"/>
      <c r="AP110">
        <v>0</v>
      </c>
      <c r="AR110" t="s">
        <v>0</v>
      </c>
      <c r="AT110" s="2">
        <v>3.3119999999999998</v>
      </c>
      <c r="AU110" s="1">
        <f t="shared" si="11"/>
        <v>2.6279551068121032</v>
      </c>
      <c r="AV110" s="1">
        <f t="shared" si="12"/>
        <v>1.9471728934219679</v>
      </c>
      <c r="AW110" s="1">
        <f t="shared" si="13"/>
        <v>1.2663906800318325</v>
      </c>
    </row>
    <row r="111" spans="1:49" x14ac:dyDescent="0.2">
      <c r="A111">
        <v>109</v>
      </c>
      <c r="B111" t="s">
        <v>9496</v>
      </c>
      <c r="E111">
        <v>11507110</v>
      </c>
      <c r="F111" t="s">
        <v>9495</v>
      </c>
      <c r="G111" t="s">
        <v>6</v>
      </c>
      <c r="H111" t="s">
        <v>5</v>
      </c>
      <c r="I111" t="s">
        <v>9494</v>
      </c>
      <c r="J111">
        <v>60019722</v>
      </c>
      <c r="K111" t="s">
        <v>48</v>
      </c>
      <c r="L111" t="s">
        <v>47</v>
      </c>
      <c r="M111" t="s">
        <v>46</v>
      </c>
      <c r="N111">
        <v>2</v>
      </c>
      <c r="O111" t="s">
        <v>9493</v>
      </c>
      <c r="P111" t="s">
        <v>9492</v>
      </c>
      <c r="Q111" t="s">
        <v>651</v>
      </c>
      <c r="R111" s="7">
        <v>37226</v>
      </c>
      <c r="S111" s="8">
        <f t="shared" si="8"/>
        <v>2001</v>
      </c>
      <c r="T111" s="8">
        <v>2001</v>
      </c>
      <c r="U111" s="8">
        <f t="shared" si="9"/>
        <v>21</v>
      </c>
      <c r="V111" s="7">
        <v>2001</v>
      </c>
      <c r="W111" t="s">
        <v>788</v>
      </c>
      <c r="X111" s="2">
        <v>1.367</v>
      </c>
      <c r="Y111" s="6">
        <f t="shared" si="14"/>
        <v>3.6491284268973065E-2</v>
      </c>
      <c r="AA111">
        <v>220949</v>
      </c>
      <c r="AB111">
        <v>29605</v>
      </c>
      <c r="AD111" t="s">
        <v>1</v>
      </c>
      <c r="AE111">
        <v>204</v>
      </c>
      <c r="AF111">
        <v>13</v>
      </c>
      <c r="AH111" t="s">
        <v>9491</v>
      </c>
      <c r="AI111" t="s">
        <v>9490</v>
      </c>
      <c r="AJ111" t="s">
        <v>9489</v>
      </c>
      <c r="AK111" t="s">
        <v>9488</v>
      </c>
      <c r="AL111">
        <v>27</v>
      </c>
      <c r="AM111" s="5">
        <f t="shared" si="10"/>
        <v>1.2857142857142858</v>
      </c>
      <c r="AN111" s="4">
        <f t="shared" si="15"/>
        <v>1.9473143289879377E-3</v>
      </c>
      <c r="AO111" s="3"/>
      <c r="AP111">
        <v>0</v>
      </c>
      <c r="AR111" t="s">
        <v>0</v>
      </c>
      <c r="AT111" s="2">
        <v>3.3119999999999998</v>
      </c>
      <c r="AU111" s="1">
        <f t="shared" si="11"/>
        <v>2.6128093286977525</v>
      </c>
      <c r="AV111" s="1">
        <f t="shared" si="12"/>
        <v>1.9219299298980501</v>
      </c>
      <c r="AW111" s="1">
        <f t="shared" si="13"/>
        <v>1.2310505310983477</v>
      </c>
    </row>
    <row r="112" spans="1:49" x14ac:dyDescent="0.2">
      <c r="A112">
        <v>110</v>
      </c>
      <c r="B112" t="s">
        <v>9487</v>
      </c>
      <c r="E112">
        <v>11683434</v>
      </c>
      <c r="F112" t="s">
        <v>9486</v>
      </c>
      <c r="G112" t="s">
        <v>6</v>
      </c>
      <c r="H112" t="s">
        <v>5</v>
      </c>
      <c r="I112" t="s">
        <v>9485</v>
      </c>
      <c r="J112">
        <v>60012556</v>
      </c>
      <c r="K112" t="s">
        <v>9484</v>
      </c>
      <c r="L112" t="s">
        <v>9483</v>
      </c>
      <c r="M112" t="s">
        <v>46</v>
      </c>
      <c r="N112">
        <v>4</v>
      </c>
      <c r="O112" t="s">
        <v>9482</v>
      </c>
      <c r="P112" t="s">
        <v>9481</v>
      </c>
      <c r="Q112" t="s">
        <v>9480</v>
      </c>
      <c r="R112" s="7">
        <v>37226</v>
      </c>
      <c r="S112" s="8">
        <f t="shared" si="8"/>
        <v>2001</v>
      </c>
      <c r="T112" s="8">
        <v>2001</v>
      </c>
      <c r="U112" s="8">
        <f t="shared" si="9"/>
        <v>21</v>
      </c>
      <c r="V112" s="7">
        <v>2001</v>
      </c>
      <c r="W112" t="s">
        <v>788</v>
      </c>
      <c r="X112" s="2">
        <v>1.367</v>
      </c>
      <c r="Y112" s="6">
        <f t="shared" si="14"/>
        <v>3.6491284268973065E-2</v>
      </c>
      <c r="AA112">
        <v>220949</v>
      </c>
      <c r="AB112">
        <v>29605</v>
      </c>
      <c r="AD112" t="s">
        <v>1</v>
      </c>
      <c r="AE112">
        <v>204</v>
      </c>
      <c r="AF112">
        <v>16</v>
      </c>
      <c r="AH112" t="s">
        <v>9479</v>
      </c>
      <c r="AI112" t="s">
        <v>9478</v>
      </c>
      <c r="AJ112" t="s">
        <v>9477</v>
      </c>
      <c r="AK112" t="s">
        <v>9476</v>
      </c>
      <c r="AL112">
        <v>49</v>
      </c>
      <c r="AM112" s="5">
        <f t="shared" si="10"/>
        <v>2.3333333333333335</v>
      </c>
      <c r="AN112" s="4">
        <f t="shared" si="15"/>
        <v>3.5340148933484792E-3</v>
      </c>
      <c r="AO112" s="3"/>
      <c r="AP112">
        <v>0</v>
      </c>
      <c r="AR112" t="s">
        <v>0</v>
      </c>
      <c r="AT112" s="2">
        <v>3.3119999999999998</v>
      </c>
      <c r="AU112" s="1">
        <f t="shared" si="11"/>
        <v>2.6604103456285686</v>
      </c>
      <c r="AV112" s="1">
        <f t="shared" si="12"/>
        <v>2.0012649581160771</v>
      </c>
      <c r="AW112" s="1">
        <f t="shared" si="13"/>
        <v>1.3421195706035856</v>
      </c>
    </row>
    <row r="113" spans="1:49" x14ac:dyDescent="0.2">
      <c r="A113">
        <v>111</v>
      </c>
      <c r="B113" t="s">
        <v>9475</v>
      </c>
      <c r="E113">
        <v>11273800</v>
      </c>
      <c r="F113" t="s">
        <v>9474</v>
      </c>
      <c r="G113" t="s">
        <v>6</v>
      </c>
      <c r="H113" t="s">
        <v>5</v>
      </c>
      <c r="I113" t="s">
        <v>9473</v>
      </c>
      <c r="J113">
        <v>60030171</v>
      </c>
      <c r="K113" t="s">
        <v>9472</v>
      </c>
      <c r="L113" t="s">
        <v>9471</v>
      </c>
      <c r="M113" t="s">
        <v>3</v>
      </c>
      <c r="N113">
        <v>5</v>
      </c>
      <c r="O113" t="s">
        <v>9470</v>
      </c>
      <c r="P113" t="s">
        <v>9469</v>
      </c>
      <c r="Q113" t="s">
        <v>9468</v>
      </c>
      <c r="R113" s="7">
        <v>37226</v>
      </c>
      <c r="S113" s="8">
        <f t="shared" si="8"/>
        <v>2001</v>
      </c>
      <c r="T113" s="8">
        <v>2001</v>
      </c>
      <c r="U113" s="8">
        <f t="shared" si="9"/>
        <v>21</v>
      </c>
      <c r="V113" s="7">
        <v>2001</v>
      </c>
      <c r="W113" t="s">
        <v>788</v>
      </c>
      <c r="X113" s="2">
        <v>1.367</v>
      </c>
      <c r="Y113" s="6">
        <f t="shared" si="14"/>
        <v>3.6491284268973065E-2</v>
      </c>
      <c r="AA113">
        <v>220949</v>
      </c>
      <c r="AB113">
        <v>29605</v>
      </c>
      <c r="AD113" t="s">
        <v>1</v>
      </c>
      <c r="AE113">
        <v>204</v>
      </c>
      <c r="AF113">
        <v>8</v>
      </c>
      <c r="AH113" t="s">
        <v>9467</v>
      </c>
      <c r="AI113" t="s">
        <v>9466</v>
      </c>
      <c r="AJ113" t="s">
        <v>9465</v>
      </c>
      <c r="AK113" t="s">
        <v>9464</v>
      </c>
      <c r="AL113">
        <v>31</v>
      </c>
      <c r="AM113" s="5">
        <f t="shared" si="10"/>
        <v>1.4761904761904763</v>
      </c>
      <c r="AN113" s="4">
        <f t="shared" si="15"/>
        <v>2.2358053406898544E-3</v>
      </c>
      <c r="AO113" s="3"/>
      <c r="AP113">
        <v>0</v>
      </c>
      <c r="AR113" t="s">
        <v>0</v>
      </c>
      <c r="AT113" s="2">
        <v>3.3119999999999998</v>
      </c>
      <c r="AU113" s="1">
        <f t="shared" si="11"/>
        <v>2.6214640590488099</v>
      </c>
      <c r="AV113" s="1">
        <f t="shared" si="12"/>
        <v>1.9363544804831458</v>
      </c>
      <c r="AW113" s="1">
        <f t="shared" si="13"/>
        <v>1.2512449019174818</v>
      </c>
    </row>
    <row r="114" spans="1:49" x14ac:dyDescent="0.2">
      <c r="A114">
        <v>112</v>
      </c>
      <c r="B114" t="s">
        <v>9463</v>
      </c>
      <c r="F114" t="s">
        <v>9462</v>
      </c>
      <c r="G114" t="s">
        <v>6</v>
      </c>
      <c r="H114" t="s">
        <v>5</v>
      </c>
      <c r="I114" t="s">
        <v>9461</v>
      </c>
      <c r="J114">
        <v>100984874</v>
      </c>
      <c r="K114" t="s">
        <v>9460</v>
      </c>
      <c r="L114" t="s">
        <v>2365</v>
      </c>
      <c r="M114" t="s">
        <v>3</v>
      </c>
      <c r="N114">
        <v>5</v>
      </c>
      <c r="O114" t="s">
        <v>9459</v>
      </c>
      <c r="P114" t="s">
        <v>9458</v>
      </c>
      <c r="Q114" t="s">
        <v>9457</v>
      </c>
      <c r="R114" s="7">
        <v>37226</v>
      </c>
      <c r="S114" s="8">
        <f t="shared" si="8"/>
        <v>2001</v>
      </c>
      <c r="T114" s="8">
        <v>2001</v>
      </c>
      <c r="U114" s="8">
        <f t="shared" si="9"/>
        <v>21</v>
      </c>
      <c r="V114" s="7">
        <v>2001</v>
      </c>
      <c r="W114" t="s">
        <v>9456</v>
      </c>
      <c r="X114" s="2" t="s">
        <v>7</v>
      </c>
      <c r="Y114" s="6" t="e">
        <f t="shared" si="14"/>
        <v>#VALUE!</v>
      </c>
      <c r="AA114">
        <v>10236732</v>
      </c>
      <c r="AB114">
        <v>65240</v>
      </c>
      <c r="AD114" t="s">
        <v>1</v>
      </c>
      <c r="AE114">
        <v>8</v>
      </c>
      <c r="AF114">
        <v>1</v>
      </c>
      <c r="AH114" t="s">
        <v>9455</v>
      </c>
      <c r="AI114" t="s">
        <v>9454</v>
      </c>
      <c r="AJ114" t="s">
        <v>9453</v>
      </c>
      <c r="AK114" t="s">
        <v>9452</v>
      </c>
      <c r="AL114">
        <v>4</v>
      </c>
      <c r="AM114" s="5">
        <f t="shared" si="10"/>
        <v>0.19047619047619047</v>
      </c>
      <c r="AN114" s="4">
        <f t="shared" si="15"/>
        <v>2.8849101170191666E-4</v>
      </c>
      <c r="AO114" s="3"/>
      <c r="AP114">
        <v>0</v>
      </c>
      <c r="AQ114" t="s">
        <v>100</v>
      </c>
      <c r="AR114" t="s">
        <v>9451</v>
      </c>
      <c r="AS114" t="s">
        <v>99</v>
      </c>
      <c r="AT114" s="2" t="s">
        <v>7</v>
      </c>
      <c r="AU114" s="1" t="e">
        <f t="shared" si="11"/>
        <v>#VALUE!</v>
      </c>
      <c r="AV114" s="1" t="e">
        <f t="shared" si="12"/>
        <v>#VALUE!</v>
      </c>
      <c r="AW114" s="1" t="e">
        <f t="shared" si="13"/>
        <v>#VALUE!</v>
      </c>
    </row>
    <row r="115" spans="1:49" x14ac:dyDescent="0.2">
      <c r="A115">
        <v>113</v>
      </c>
      <c r="B115" t="s">
        <v>9450</v>
      </c>
      <c r="C115" t="s">
        <v>9449</v>
      </c>
      <c r="F115" t="s">
        <v>9448</v>
      </c>
      <c r="G115" t="s">
        <v>6</v>
      </c>
      <c r="H115" t="s">
        <v>5</v>
      </c>
      <c r="I115" t="s">
        <v>269</v>
      </c>
      <c r="J115" t="s">
        <v>9447</v>
      </c>
      <c r="K115" t="s">
        <v>9446</v>
      </c>
      <c r="L115" t="s">
        <v>9445</v>
      </c>
      <c r="M115" t="s">
        <v>9444</v>
      </c>
      <c r="N115">
        <v>15</v>
      </c>
      <c r="O115" t="s">
        <v>9443</v>
      </c>
      <c r="P115" t="s">
        <v>9442</v>
      </c>
      <c r="Q115" t="s">
        <v>9441</v>
      </c>
      <c r="R115" s="7">
        <v>37226</v>
      </c>
      <c r="S115" s="8">
        <f t="shared" si="8"/>
        <v>2001</v>
      </c>
      <c r="T115" s="8">
        <v>2001</v>
      </c>
      <c r="U115" s="8">
        <f t="shared" si="9"/>
        <v>21</v>
      </c>
      <c r="V115" s="7">
        <v>37226</v>
      </c>
      <c r="W115" t="s">
        <v>943</v>
      </c>
      <c r="X115" s="2">
        <v>1.774</v>
      </c>
      <c r="Y115" s="6">
        <f t="shared" si="14"/>
        <v>4.7355916820159633E-2</v>
      </c>
      <c r="AA115">
        <v>295515</v>
      </c>
      <c r="AB115">
        <v>29066</v>
      </c>
      <c r="AD115" t="s">
        <v>1</v>
      </c>
      <c r="AE115">
        <v>41</v>
      </c>
      <c r="AF115">
        <v>12</v>
      </c>
      <c r="AH115" t="s">
        <v>9440</v>
      </c>
      <c r="AI115" t="s">
        <v>9439</v>
      </c>
      <c r="AK115" t="s">
        <v>9438</v>
      </c>
      <c r="AL115">
        <v>27</v>
      </c>
      <c r="AM115" s="5">
        <f t="shared" si="10"/>
        <v>1.2857142857142858</v>
      </c>
      <c r="AN115" s="4">
        <f t="shared" si="15"/>
        <v>1.9473143289879377E-3</v>
      </c>
      <c r="AO115" s="3"/>
      <c r="AP115">
        <v>0</v>
      </c>
      <c r="AR115" t="s">
        <v>0</v>
      </c>
      <c r="AT115" s="2">
        <v>3.1789999999999998</v>
      </c>
      <c r="AU115" s="1">
        <f t="shared" si="11"/>
        <v>3.3733336072808124</v>
      </c>
      <c r="AV115" s="1">
        <f t="shared" si="12"/>
        <v>2.4651615574573786</v>
      </c>
      <c r="AW115" s="1">
        <f t="shared" si="13"/>
        <v>1.5569895076339446</v>
      </c>
    </row>
    <row r="116" spans="1:49" x14ac:dyDescent="0.2">
      <c r="A116">
        <v>114</v>
      </c>
      <c r="B116" t="s">
        <v>9437</v>
      </c>
      <c r="C116" t="s">
        <v>9436</v>
      </c>
      <c r="F116" t="s">
        <v>9435</v>
      </c>
      <c r="G116" t="s">
        <v>6</v>
      </c>
      <c r="H116" t="s">
        <v>5</v>
      </c>
      <c r="I116" t="s">
        <v>601</v>
      </c>
      <c r="J116">
        <v>60033284</v>
      </c>
      <c r="K116" t="s">
        <v>600</v>
      </c>
      <c r="L116" t="s">
        <v>599</v>
      </c>
      <c r="M116" t="s">
        <v>194</v>
      </c>
      <c r="N116">
        <v>1</v>
      </c>
      <c r="O116" t="s">
        <v>9434</v>
      </c>
      <c r="P116">
        <v>7003906814</v>
      </c>
      <c r="Q116">
        <v>60033284</v>
      </c>
      <c r="R116" s="7">
        <v>37226</v>
      </c>
      <c r="S116" s="8">
        <f t="shared" si="8"/>
        <v>2001</v>
      </c>
      <c r="T116" s="8">
        <v>2001</v>
      </c>
      <c r="U116" s="8">
        <f t="shared" si="9"/>
        <v>21</v>
      </c>
      <c r="V116" s="7">
        <v>2001</v>
      </c>
      <c r="W116" t="s">
        <v>595</v>
      </c>
      <c r="X116" s="2">
        <v>0.27800000000000002</v>
      </c>
      <c r="Y116" s="6">
        <f t="shared" si="14"/>
        <v>7.4210512266090073E-3</v>
      </c>
      <c r="AA116" t="s">
        <v>594</v>
      </c>
      <c r="AB116">
        <v>21402</v>
      </c>
      <c r="AD116" t="s">
        <v>1</v>
      </c>
      <c r="AE116">
        <v>74</v>
      </c>
      <c r="AF116">
        <v>11</v>
      </c>
      <c r="AH116" t="s">
        <v>9433</v>
      </c>
      <c r="AI116" t="s">
        <v>9432</v>
      </c>
      <c r="AK116" t="s">
        <v>9431</v>
      </c>
      <c r="AL116">
        <v>4</v>
      </c>
      <c r="AM116" s="5">
        <f t="shared" si="10"/>
        <v>0.19047619047619047</v>
      </c>
      <c r="AN116" s="4">
        <f t="shared" si="15"/>
        <v>2.8849101170191666E-4</v>
      </c>
      <c r="AO116" s="3"/>
      <c r="AP116">
        <v>0</v>
      </c>
      <c r="AR116" t="s">
        <v>0</v>
      </c>
      <c r="AT116" s="2">
        <v>0.52900000000000003</v>
      </c>
      <c r="AU116" s="1">
        <f t="shared" si="11"/>
        <v>0.52812831621368794</v>
      </c>
      <c r="AV116" s="1">
        <f t="shared" si="12"/>
        <v>0.38547711191554618</v>
      </c>
      <c r="AW116" s="1">
        <f t="shared" si="13"/>
        <v>0.24282590761740436</v>
      </c>
    </row>
    <row r="117" spans="1:49" x14ac:dyDescent="0.2">
      <c r="A117">
        <v>115</v>
      </c>
      <c r="B117" t="s">
        <v>9430</v>
      </c>
      <c r="C117" t="s">
        <v>9429</v>
      </c>
      <c r="F117" t="s">
        <v>9428</v>
      </c>
      <c r="G117" t="s">
        <v>6</v>
      </c>
      <c r="H117" t="s">
        <v>5</v>
      </c>
      <c r="I117" t="s">
        <v>5617</v>
      </c>
      <c r="J117">
        <v>60008435</v>
      </c>
      <c r="K117" t="s">
        <v>358</v>
      </c>
      <c r="L117" t="s">
        <v>357</v>
      </c>
      <c r="M117" t="s">
        <v>26</v>
      </c>
      <c r="N117">
        <v>5</v>
      </c>
      <c r="O117" t="s">
        <v>5616</v>
      </c>
      <c r="P117" t="s">
        <v>5615</v>
      </c>
      <c r="Q117" t="s">
        <v>5614</v>
      </c>
      <c r="R117" s="7">
        <v>37226</v>
      </c>
      <c r="S117" s="8">
        <f t="shared" si="8"/>
        <v>2001</v>
      </c>
      <c r="T117" s="8">
        <v>2001</v>
      </c>
      <c r="U117" s="8">
        <f t="shared" si="9"/>
        <v>21</v>
      </c>
      <c r="V117" s="7">
        <v>2001</v>
      </c>
      <c r="W117" t="s">
        <v>602</v>
      </c>
      <c r="X117" s="2">
        <v>1.1579999999999999</v>
      </c>
      <c r="Y117" s="6">
        <f t="shared" si="14"/>
        <v>3.0912148634579962E-2</v>
      </c>
      <c r="AA117">
        <v>1668595</v>
      </c>
      <c r="AB117">
        <v>14223</v>
      </c>
      <c r="AD117" t="s">
        <v>1</v>
      </c>
      <c r="AE117">
        <v>70</v>
      </c>
      <c r="AF117">
        <v>3</v>
      </c>
      <c r="AH117" t="s">
        <v>837</v>
      </c>
      <c r="AJ117" t="s">
        <v>9427</v>
      </c>
      <c r="AL117">
        <v>2</v>
      </c>
      <c r="AM117" s="5">
        <f t="shared" si="10"/>
        <v>9.5238095238095233E-2</v>
      </c>
      <c r="AN117" s="4">
        <f t="shared" si="15"/>
        <v>1.4424550585095833E-4</v>
      </c>
      <c r="AO117" s="3"/>
      <c r="AP117">
        <v>0</v>
      </c>
      <c r="AQ117" t="s">
        <v>534</v>
      </c>
      <c r="AR117">
        <v>11227203</v>
      </c>
      <c r="AS117" t="s">
        <v>533</v>
      </c>
      <c r="AT117" s="2">
        <v>3.573</v>
      </c>
      <c r="AU117" s="1">
        <f t="shared" si="11"/>
        <v>2.168177769596126</v>
      </c>
      <c r="AV117" s="1">
        <f t="shared" si="12"/>
        <v>1.5528197070215461</v>
      </c>
      <c r="AW117" s="1">
        <f t="shared" si="13"/>
        <v>0.937461644446966</v>
      </c>
    </row>
    <row r="118" spans="1:49" x14ac:dyDescent="0.2">
      <c r="A118">
        <v>116</v>
      </c>
      <c r="B118" t="s">
        <v>9426</v>
      </c>
      <c r="C118" t="s">
        <v>9425</v>
      </c>
      <c r="F118" t="s">
        <v>9424</v>
      </c>
      <c r="G118" t="s">
        <v>6</v>
      </c>
      <c r="H118" t="s">
        <v>5</v>
      </c>
      <c r="I118" t="s">
        <v>9423</v>
      </c>
      <c r="J118">
        <v>60023410</v>
      </c>
      <c r="K118" t="s">
        <v>9422</v>
      </c>
      <c r="L118" t="s">
        <v>9421</v>
      </c>
      <c r="M118" t="s">
        <v>322</v>
      </c>
      <c r="N118">
        <v>1</v>
      </c>
      <c r="O118" t="s">
        <v>9420</v>
      </c>
      <c r="P118">
        <v>7003621954</v>
      </c>
      <c r="Q118">
        <v>60023410</v>
      </c>
      <c r="R118" s="7">
        <v>37226</v>
      </c>
      <c r="S118" s="8">
        <f t="shared" si="8"/>
        <v>2001</v>
      </c>
      <c r="T118" s="8">
        <v>2001</v>
      </c>
      <c r="U118" s="8">
        <f t="shared" si="9"/>
        <v>21</v>
      </c>
      <c r="V118" s="7">
        <v>2001</v>
      </c>
      <c r="W118" t="s">
        <v>602</v>
      </c>
      <c r="X118" s="2">
        <v>1.1579999999999999</v>
      </c>
      <c r="Y118" s="6">
        <f t="shared" si="14"/>
        <v>3.0912148634579962E-2</v>
      </c>
      <c r="AA118">
        <v>1668595</v>
      </c>
      <c r="AB118">
        <v>14223</v>
      </c>
      <c r="AD118" t="s">
        <v>1</v>
      </c>
      <c r="AE118">
        <v>70</v>
      </c>
      <c r="AF118">
        <v>3</v>
      </c>
      <c r="AH118" t="s">
        <v>9419</v>
      </c>
      <c r="AI118" t="s">
        <v>9418</v>
      </c>
      <c r="AJ118" t="s">
        <v>9417</v>
      </c>
      <c r="AK118" t="s">
        <v>9416</v>
      </c>
      <c r="AL118">
        <v>29</v>
      </c>
      <c r="AM118" s="5">
        <f t="shared" si="10"/>
        <v>1.3809523809523809</v>
      </c>
      <c r="AN118" s="4">
        <f t="shared" si="15"/>
        <v>2.0915598348388957E-3</v>
      </c>
      <c r="AO118" s="3"/>
      <c r="AP118">
        <v>0</v>
      </c>
      <c r="AR118" t="s">
        <v>0</v>
      </c>
      <c r="AS118" t="s">
        <v>9415</v>
      </c>
      <c r="AT118" s="2">
        <v>3.573</v>
      </c>
      <c r="AU118" s="1">
        <f t="shared" si="11"/>
        <v>2.2265971994657638</v>
      </c>
      <c r="AV118" s="1">
        <f t="shared" si="12"/>
        <v>1.6501854234709428</v>
      </c>
      <c r="AW118" s="1">
        <f t="shared" si="13"/>
        <v>1.0737736474761217</v>
      </c>
    </row>
    <row r="119" spans="1:49" x14ac:dyDescent="0.2">
      <c r="A119">
        <v>117</v>
      </c>
      <c r="B119" t="s">
        <v>9414</v>
      </c>
      <c r="C119" t="s">
        <v>9413</v>
      </c>
      <c r="E119">
        <v>11685372</v>
      </c>
      <c r="F119" t="s">
        <v>9412</v>
      </c>
      <c r="G119" t="s">
        <v>6</v>
      </c>
      <c r="H119" t="s">
        <v>5</v>
      </c>
      <c r="I119" t="s">
        <v>9411</v>
      </c>
      <c r="J119" t="s">
        <v>9410</v>
      </c>
      <c r="K119" t="s">
        <v>9409</v>
      </c>
      <c r="L119" t="s">
        <v>9408</v>
      </c>
      <c r="M119" t="s">
        <v>9407</v>
      </c>
      <c r="N119">
        <v>5</v>
      </c>
      <c r="O119" t="s">
        <v>9406</v>
      </c>
      <c r="P119" t="s">
        <v>9405</v>
      </c>
      <c r="Q119" t="s">
        <v>9404</v>
      </c>
      <c r="R119" s="7">
        <v>37226</v>
      </c>
      <c r="S119" s="8">
        <f t="shared" si="8"/>
        <v>2001</v>
      </c>
      <c r="T119" s="8">
        <v>2001</v>
      </c>
      <c r="U119" s="8">
        <f t="shared" si="9"/>
        <v>21</v>
      </c>
      <c r="V119" s="7">
        <v>2001</v>
      </c>
      <c r="W119" t="s">
        <v>9403</v>
      </c>
      <c r="X119" s="2">
        <v>0.64800000000000002</v>
      </c>
      <c r="Y119" s="6">
        <f t="shared" si="14"/>
        <v>1.7297989909505887E-2</v>
      </c>
      <c r="AA119">
        <v>3028933</v>
      </c>
      <c r="AB119">
        <v>19623</v>
      </c>
      <c r="AD119" t="s">
        <v>1</v>
      </c>
      <c r="AE119">
        <v>176</v>
      </c>
      <c r="AF119">
        <v>4</v>
      </c>
      <c r="AH119" t="s">
        <v>9402</v>
      </c>
      <c r="AI119" t="s">
        <v>9401</v>
      </c>
      <c r="AJ119" t="s">
        <v>9400</v>
      </c>
      <c r="AK119" t="s">
        <v>9399</v>
      </c>
      <c r="AL119">
        <v>17</v>
      </c>
      <c r="AM119" s="5">
        <f t="shared" si="10"/>
        <v>0.80952380952380953</v>
      </c>
      <c r="AN119" s="4">
        <f t="shared" si="15"/>
        <v>1.2260867997331457E-3</v>
      </c>
      <c r="AO119" s="3"/>
      <c r="AP119">
        <v>0</v>
      </c>
      <c r="AQ119" t="s">
        <v>478</v>
      </c>
      <c r="AR119" t="s">
        <v>9398</v>
      </c>
      <c r="AS119" t="s">
        <v>477</v>
      </c>
      <c r="AT119" s="2">
        <v>2.552</v>
      </c>
      <c r="AU119" s="1">
        <f t="shared" si="11"/>
        <v>1.2476418976574064</v>
      </c>
      <c r="AV119" s="1">
        <f t="shared" si="12"/>
        <v>0.92620383546195162</v>
      </c>
      <c r="AW119" s="1">
        <f t="shared" si="13"/>
        <v>0.60476577326649683</v>
      </c>
    </row>
    <row r="120" spans="1:49" x14ac:dyDescent="0.2">
      <c r="A120">
        <v>118</v>
      </c>
      <c r="B120" t="s">
        <v>9397</v>
      </c>
      <c r="C120" t="s">
        <v>9396</v>
      </c>
      <c r="F120" t="s">
        <v>9395</v>
      </c>
      <c r="G120" t="s">
        <v>6</v>
      </c>
      <c r="H120" t="s">
        <v>5</v>
      </c>
      <c r="I120" t="s">
        <v>9394</v>
      </c>
      <c r="J120">
        <v>60008555</v>
      </c>
      <c r="K120" t="s">
        <v>9393</v>
      </c>
      <c r="L120" t="s">
        <v>9392</v>
      </c>
      <c r="M120" t="s">
        <v>2550</v>
      </c>
      <c r="N120">
        <v>2</v>
      </c>
      <c r="O120" t="s">
        <v>9391</v>
      </c>
      <c r="P120" t="s">
        <v>9390</v>
      </c>
      <c r="Q120" t="s">
        <v>9389</v>
      </c>
      <c r="R120" s="7">
        <v>37226</v>
      </c>
      <c r="S120" s="8">
        <f t="shared" si="8"/>
        <v>2001</v>
      </c>
      <c r="T120" s="8">
        <v>2001</v>
      </c>
      <c r="U120" s="8">
        <f t="shared" si="9"/>
        <v>21</v>
      </c>
      <c r="V120" s="7">
        <v>2001</v>
      </c>
      <c r="W120" t="s">
        <v>6753</v>
      </c>
      <c r="X120" s="2">
        <v>0.755</v>
      </c>
      <c r="Y120" s="6">
        <f t="shared" si="14"/>
        <v>2.0154293798884174E-2</v>
      </c>
      <c r="AA120">
        <v>3003604</v>
      </c>
      <c r="AB120">
        <v>16515</v>
      </c>
      <c r="AD120" t="s">
        <v>1</v>
      </c>
      <c r="AE120">
        <v>39</v>
      </c>
      <c r="AF120">
        <v>3</v>
      </c>
      <c r="AH120" t="s">
        <v>9388</v>
      </c>
      <c r="AI120" t="s">
        <v>9387</v>
      </c>
      <c r="AJ120" t="s">
        <v>9386</v>
      </c>
      <c r="AK120" t="s">
        <v>9385</v>
      </c>
      <c r="AL120">
        <v>1</v>
      </c>
      <c r="AM120" s="5">
        <f t="shared" si="10"/>
        <v>4.7619047619047616E-2</v>
      </c>
      <c r="AN120" s="4">
        <f t="shared" si="15"/>
        <v>7.2122752925479164E-5</v>
      </c>
      <c r="AO120" s="3"/>
      <c r="AP120">
        <v>0</v>
      </c>
      <c r="AR120" t="s">
        <v>0</v>
      </c>
      <c r="AT120" s="2">
        <v>3.1890000000000001</v>
      </c>
      <c r="AU120" s="1">
        <f t="shared" si="11"/>
        <v>1.4129642485096565</v>
      </c>
      <c r="AV120" s="1">
        <f t="shared" si="12"/>
        <v>1.0113208275904828</v>
      </c>
      <c r="AW120" s="1">
        <f t="shared" si="13"/>
        <v>0.60967740667130876</v>
      </c>
    </row>
    <row r="121" spans="1:49" x14ac:dyDescent="0.2">
      <c r="A121">
        <v>119</v>
      </c>
      <c r="B121" t="s">
        <v>9384</v>
      </c>
      <c r="C121" t="s">
        <v>9383</v>
      </c>
      <c r="E121">
        <v>11532009</v>
      </c>
      <c r="F121" t="s">
        <v>9382</v>
      </c>
      <c r="G121" t="s">
        <v>6</v>
      </c>
      <c r="H121" t="s">
        <v>5</v>
      </c>
      <c r="I121" t="s">
        <v>9381</v>
      </c>
      <c r="J121" t="s">
        <v>9380</v>
      </c>
      <c r="K121" t="s">
        <v>9379</v>
      </c>
      <c r="L121" t="s">
        <v>9378</v>
      </c>
      <c r="M121" t="s">
        <v>9377</v>
      </c>
      <c r="N121">
        <v>8</v>
      </c>
      <c r="O121" t="s">
        <v>9376</v>
      </c>
      <c r="P121" t="s">
        <v>9375</v>
      </c>
      <c r="Q121" t="s">
        <v>9374</v>
      </c>
      <c r="R121" s="7">
        <v>37226</v>
      </c>
      <c r="S121" s="8">
        <f t="shared" si="8"/>
        <v>2001</v>
      </c>
      <c r="T121" s="8">
        <v>2001</v>
      </c>
      <c r="U121" s="8">
        <f t="shared" si="9"/>
        <v>21</v>
      </c>
      <c r="V121" s="7">
        <v>2001</v>
      </c>
      <c r="W121" t="s">
        <v>90</v>
      </c>
      <c r="X121" s="2">
        <v>1.9810000000000001</v>
      </c>
      <c r="Y121" s="6">
        <f t="shared" si="14"/>
        <v>5.2881663596807349E-2</v>
      </c>
      <c r="AA121">
        <v>142956</v>
      </c>
      <c r="AB121">
        <v>39034</v>
      </c>
      <c r="AD121" t="s">
        <v>1</v>
      </c>
      <c r="AE121">
        <v>268</v>
      </c>
      <c r="AF121">
        <v>17</v>
      </c>
      <c r="AH121" t="s">
        <v>9373</v>
      </c>
      <c r="AI121" t="s">
        <v>9372</v>
      </c>
      <c r="AJ121" t="s">
        <v>9371</v>
      </c>
      <c r="AK121" t="s">
        <v>9370</v>
      </c>
      <c r="AL121">
        <v>28</v>
      </c>
      <c r="AM121" s="5">
        <f t="shared" si="10"/>
        <v>1.3333333333333333</v>
      </c>
      <c r="AN121" s="4">
        <f t="shared" si="15"/>
        <v>2.0194370819134164E-3</v>
      </c>
      <c r="AO121" s="3"/>
      <c r="AP121">
        <v>1</v>
      </c>
      <c r="AR121" t="s">
        <v>0</v>
      </c>
      <c r="AT121" s="2" t="s">
        <v>7</v>
      </c>
      <c r="AU121" s="1">
        <f t="shared" si="11"/>
        <v>3.7622995642339165</v>
      </c>
      <c r="AV121" s="1">
        <f t="shared" si="12"/>
        <v>2.7450550339360382</v>
      </c>
      <c r="AW121" s="1">
        <f t="shared" si="13"/>
        <v>1.7278105036381595</v>
      </c>
    </row>
    <row r="122" spans="1:49" x14ac:dyDescent="0.2">
      <c r="A122">
        <v>120</v>
      </c>
      <c r="B122" t="s">
        <v>9369</v>
      </c>
      <c r="C122" t="s">
        <v>9368</v>
      </c>
      <c r="D122" t="s">
        <v>9367</v>
      </c>
      <c r="F122" t="s">
        <v>9366</v>
      </c>
      <c r="G122" t="s">
        <v>6</v>
      </c>
      <c r="H122" t="s">
        <v>5</v>
      </c>
      <c r="I122" t="s">
        <v>821</v>
      </c>
      <c r="J122" t="s">
        <v>820</v>
      </c>
      <c r="K122" t="s">
        <v>819</v>
      </c>
      <c r="L122" t="s">
        <v>818</v>
      </c>
      <c r="M122" t="s">
        <v>295</v>
      </c>
      <c r="N122">
        <v>1</v>
      </c>
      <c r="O122" t="s">
        <v>817</v>
      </c>
      <c r="P122">
        <v>56415172000</v>
      </c>
      <c r="Q122" t="s">
        <v>816</v>
      </c>
      <c r="R122" s="7">
        <v>37226</v>
      </c>
      <c r="S122" s="8">
        <f t="shared" si="8"/>
        <v>2001</v>
      </c>
      <c r="T122" s="8">
        <v>2001</v>
      </c>
      <c r="U122" s="8">
        <f t="shared" si="9"/>
        <v>21</v>
      </c>
      <c r="V122" s="7">
        <v>37226</v>
      </c>
      <c r="W122" t="s">
        <v>226</v>
      </c>
      <c r="X122" s="2">
        <v>1.6519999999999999</v>
      </c>
      <c r="Y122" s="6">
        <f t="shared" si="14"/>
        <v>4.409919649769093E-2</v>
      </c>
      <c r="AA122" t="s">
        <v>225</v>
      </c>
      <c r="AB122">
        <v>17337</v>
      </c>
      <c r="AD122" t="s">
        <v>1</v>
      </c>
      <c r="AE122">
        <v>49</v>
      </c>
      <c r="AF122">
        <v>12</v>
      </c>
      <c r="AH122" t="s">
        <v>9365</v>
      </c>
      <c r="AI122" t="s">
        <v>9364</v>
      </c>
      <c r="AJ122" t="s">
        <v>9363</v>
      </c>
      <c r="AK122" t="s">
        <v>9362</v>
      </c>
      <c r="AL122">
        <v>11</v>
      </c>
      <c r="AM122" s="5">
        <f t="shared" si="10"/>
        <v>0.52380952380952384</v>
      </c>
      <c r="AN122" s="4">
        <f t="shared" si="15"/>
        <v>7.9335028218027086E-4</v>
      </c>
      <c r="AO122" s="3"/>
      <c r="AP122">
        <v>0</v>
      </c>
      <c r="AR122" t="s">
        <v>9361</v>
      </c>
      <c r="AS122" t="s">
        <v>351</v>
      </c>
      <c r="AT122" s="2" t="s">
        <v>7</v>
      </c>
      <c r="AU122" s="1">
        <f t="shared" si="11"/>
        <v>3.1107442633037734</v>
      </c>
      <c r="AV122" s="1">
        <f t="shared" si="12"/>
        <v>2.2446273389935598</v>
      </c>
      <c r="AW122" s="1">
        <f t="shared" si="13"/>
        <v>1.3785104146833469</v>
      </c>
    </row>
    <row r="123" spans="1:49" x14ac:dyDescent="0.2">
      <c r="A123">
        <v>121</v>
      </c>
      <c r="B123" t="s">
        <v>9360</v>
      </c>
      <c r="C123" t="s">
        <v>9359</v>
      </c>
      <c r="D123" t="s">
        <v>9358</v>
      </c>
      <c r="F123" t="s">
        <v>9357</v>
      </c>
      <c r="G123" t="s">
        <v>6</v>
      </c>
      <c r="H123" t="s">
        <v>5</v>
      </c>
      <c r="I123" t="s">
        <v>968</v>
      </c>
      <c r="J123">
        <v>60005429</v>
      </c>
      <c r="K123" t="s">
        <v>260</v>
      </c>
      <c r="L123" t="s">
        <v>259</v>
      </c>
      <c r="M123" t="s">
        <v>105</v>
      </c>
      <c r="N123">
        <v>2</v>
      </c>
      <c r="O123" t="s">
        <v>9356</v>
      </c>
      <c r="P123" t="s">
        <v>9355</v>
      </c>
      <c r="Q123" t="s">
        <v>496</v>
      </c>
      <c r="R123" s="7">
        <v>37226</v>
      </c>
      <c r="S123" s="8">
        <f t="shared" si="8"/>
        <v>2001</v>
      </c>
      <c r="T123" s="8">
        <v>2001</v>
      </c>
      <c r="U123" s="8">
        <f t="shared" si="9"/>
        <v>21</v>
      </c>
      <c r="V123" s="7">
        <v>37226</v>
      </c>
      <c r="W123" t="s">
        <v>226</v>
      </c>
      <c r="X123" s="2">
        <v>1.6519999999999999</v>
      </c>
      <c r="Y123" s="6">
        <f t="shared" si="14"/>
        <v>4.409919649769093E-2</v>
      </c>
      <c r="AA123" t="s">
        <v>225</v>
      </c>
      <c r="AB123">
        <v>17337</v>
      </c>
      <c r="AD123" t="s">
        <v>1</v>
      </c>
      <c r="AE123">
        <v>49</v>
      </c>
      <c r="AF123">
        <v>12</v>
      </c>
      <c r="AH123" t="s">
        <v>9354</v>
      </c>
      <c r="AI123" t="s">
        <v>9353</v>
      </c>
      <c r="AJ123" t="s">
        <v>9352</v>
      </c>
      <c r="AK123" t="s">
        <v>9351</v>
      </c>
      <c r="AL123">
        <v>34</v>
      </c>
      <c r="AM123" s="5">
        <f t="shared" si="10"/>
        <v>1.6190476190476191</v>
      </c>
      <c r="AN123" s="4">
        <f t="shared" si="15"/>
        <v>2.4521735994662915E-3</v>
      </c>
      <c r="AO123" s="3"/>
      <c r="AP123">
        <v>0</v>
      </c>
      <c r="AQ123" t="s">
        <v>100</v>
      </c>
      <c r="AR123" t="s">
        <v>9350</v>
      </c>
      <c r="AS123" t="s">
        <v>99</v>
      </c>
      <c r="AT123" s="2" t="s">
        <v>7</v>
      </c>
      <c r="AU123" s="1">
        <f t="shared" si="11"/>
        <v>3.1605089628223539</v>
      </c>
      <c r="AV123" s="1">
        <f t="shared" si="12"/>
        <v>2.3275685048578612</v>
      </c>
      <c r="AW123" s="1">
        <f t="shared" si="13"/>
        <v>1.4946280468933684</v>
      </c>
    </row>
    <row r="124" spans="1:49" x14ac:dyDescent="0.2">
      <c r="A124">
        <v>122</v>
      </c>
      <c r="B124" t="s">
        <v>9349</v>
      </c>
      <c r="C124" t="s">
        <v>9348</v>
      </c>
      <c r="D124" t="s">
        <v>9347</v>
      </c>
      <c r="F124" t="s">
        <v>9346</v>
      </c>
      <c r="G124" t="s">
        <v>6</v>
      </c>
      <c r="H124" t="s">
        <v>5</v>
      </c>
      <c r="I124" t="s">
        <v>360</v>
      </c>
      <c r="J124" t="s">
        <v>9345</v>
      </c>
      <c r="K124" t="s">
        <v>9344</v>
      </c>
      <c r="L124" t="s">
        <v>9343</v>
      </c>
      <c r="M124" t="s">
        <v>9342</v>
      </c>
      <c r="N124">
        <v>3</v>
      </c>
      <c r="O124" t="s">
        <v>9341</v>
      </c>
      <c r="P124" t="s">
        <v>9340</v>
      </c>
      <c r="Q124" t="s">
        <v>9339</v>
      </c>
      <c r="R124" s="7">
        <v>37226</v>
      </c>
      <c r="S124" s="8">
        <f t="shared" si="8"/>
        <v>2001</v>
      </c>
      <c r="T124" s="8">
        <v>2001</v>
      </c>
      <c r="U124" s="8">
        <f t="shared" si="9"/>
        <v>21</v>
      </c>
      <c r="V124" s="7">
        <v>37226</v>
      </c>
      <c r="W124" t="s">
        <v>226</v>
      </c>
      <c r="X124" s="2">
        <v>1.6519999999999999</v>
      </c>
      <c r="Y124" s="6">
        <f t="shared" si="14"/>
        <v>4.409919649769093E-2</v>
      </c>
      <c r="AA124" t="s">
        <v>225</v>
      </c>
      <c r="AB124">
        <v>17337</v>
      </c>
      <c r="AD124" t="s">
        <v>1</v>
      </c>
      <c r="AE124">
        <v>49</v>
      </c>
      <c r="AF124">
        <v>12</v>
      </c>
      <c r="AH124" t="s">
        <v>9338</v>
      </c>
      <c r="AI124" t="s">
        <v>9337</v>
      </c>
      <c r="AJ124" t="s">
        <v>9336</v>
      </c>
      <c r="AK124" t="s">
        <v>9335</v>
      </c>
      <c r="AL124">
        <v>67</v>
      </c>
      <c r="AM124" s="5">
        <f t="shared" si="10"/>
        <v>3.1904761904761907</v>
      </c>
      <c r="AN124" s="4">
        <f t="shared" si="15"/>
        <v>4.8322244460071041E-3</v>
      </c>
      <c r="AO124" s="3"/>
      <c r="AP124">
        <v>0</v>
      </c>
      <c r="AR124" t="s">
        <v>0</v>
      </c>
      <c r="AT124" s="2" t="s">
        <v>7</v>
      </c>
      <c r="AU124" s="1">
        <f t="shared" si="11"/>
        <v>3.2319104882185785</v>
      </c>
      <c r="AV124" s="1">
        <f t="shared" si="12"/>
        <v>2.4465710471849018</v>
      </c>
      <c r="AW124" s="1">
        <f t="shared" si="13"/>
        <v>1.6612316061512251</v>
      </c>
    </row>
    <row r="125" spans="1:49" x14ac:dyDescent="0.2">
      <c r="A125">
        <v>123</v>
      </c>
      <c r="B125" t="s">
        <v>9334</v>
      </c>
      <c r="C125" t="s">
        <v>9333</v>
      </c>
      <c r="D125" t="s">
        <v>9332</v>
      </c>
      <c r="F125" t="s">
        <v>9331</v>
      </c>
      <c r="G125" t="s">
        <v>6</v>
      </c>
      <c r="H125" t="s">
        <v>5</v>
      </c>
      <c r="I125" t="s">
        <v>9330</v>
      </c>
      <c r="J125" t="s">
        <v>9329</v>
      </c>
      <c r="K125" t="s">
        <v>9328</v>
      </c>
      <c r="L125" t="s">
        <v>9327</v>
      </c>
      <c r="M125" t="s">
        <v>128</v>
      </c>
      <c r="N125">
        <v>4</v>
      </c>
      <c r="O125" t="s">
        <v>9326</v>
      </c>
      <c r="P125" t="s">
        <v>9325</v>
      </c>
      <c r="Q125" t="s">
        <v>9324</v>
      </c>
      <c r="R125" s="7">
        <v>37226</v>
      </c>
      <c r="S125" s="8">
        <f t="shared" si="8"/>
        <v>2001</v>
      </c>
      <c r="T125" s="8">
        <v>2001</v>
      </c>
      <c r="U125" s="8">
        <f t="shared" si="9"/>
        <v>21</v>
      </c>
      <c r="V125" s="7">
        <v>37226</v>
      </c>
      <c r="W125" t="s">
        <v>226</v>
      </c>
      <c r="X125" s="2">
        <v>1.6519999999999999</v>
      </c>
      <c r="Y125" s="6">
        <f t="shared" si="14"/>
        <v>4.409919649769093E-2</v>
      </c>
      <c r="AA125" t="s">
        <v>225</v>
      </c>
      <c r="AB125">
        <v>17337</v>
      </c>
      <c r="AD125" t="s">
        <v>1</v>
      </c>
      <c r="AE125">
        <v>49</v>
      </c>
      <c r="AF125">
        <v>12</v>
      </c>
      <c r="AH125" t="s">
        <v>9323</v>
      </c>
      <c r="AI125" t="s">
        <v>9322</v>
      </c>
      <c r="AJ125" t="s">
        <v>9321</v>
      </c>
      <c r="AK125" t="s">
        <v>9320</v>
      </c>
      <c r="AL125">
        <v>80</v>
      </c>
      <c r="AM125" s="5">
        <f t="shared" si="10"/>
        <v>3.8095238095238093</v>
      </c>
      <c r="AN125" s="4">
        <f t="shared" si="15"/>
        <v>5.7698202340383331E-3</v>
      </c>
      <c r="AO125" s="3"/>
      <c r="AP125">
        <v>0</v>
      </c>
      <c r="AR125" t="s">
        <v>0</v>
      </c>
      <c r="AT125" s="2" t="s">
        <v>7</v>
      </c>
      <c r="AU125" s="1">
        <f t="shared" si="11"/>
        <v>3.260038361859515</v>
      </c>
      <c r="AV125" s="1">
        <f t="shared" si="12"/>
        <v>2.4934508365864629</v>
      </c>
      <c r="AW125" s="1">
        <f t="shared" si="13"/>
        <v>1.7268633113134111</v>
      </c>
    </row>
    <row r="126" spans="1:49" x14ac:dyDescent="0.2">
      <c r="A126">
        <v>124</v>
      </c>
      <c r="B126" t="s">
        <v>9319</v>
      </c>
      <c r="C126" t="s">
        <v>9318</v>
      </c>
      <c r="D126" t="s">
        <v>9317</v>
      </c>
      <c r="F126" t="s">
        <v>9316</v>
      </c>
      <c r="G126" t="s">
        <v>6</v>
      </c>
      <c r="H126" t="s">
        <v>5</v>
      </c>
      <c r="I126" t="s">
        <v>9315</v>
      </c>
      <c r="J126" t="s">
        <v>9314</v>
      </c>
      <c r="K126" t="s">
        <v>9313</v>
      </c>
      <c r="L126" t="s">
        <v>9312</v>
      </c>
      <c r="M126" t="s">
        <v>44</v>
      </c>
      <c r="N126">
        <v>2</v>
      </c>
      <c r="O126" t="s">
        <v>9311</v>
      </c>
      <c r="P126" t="s">
        <v>9310</v>
      </c>
      <c r="Q126" t="s">
        <v>9309</v>
      </c>
      <c r="R126" s="7">
        <v>37226</v>
      </c>
      <c r="S126" s="8">
        <f t="shared" si="8"/>
        <v>2001</v>
      </c>
      <c r="T126" s="8">
        <v>2001</v>
      </c>
      <c r="U126" s="8">
        <f t="shared" si="9"/>
        <v>21</v>
      </c>
      <c r="V126" s="7">
        <v>37226</v>
      </c>
      <c r="W126" t="s">
        <v>226</v>
      </c>
      <c r="X126" s="2">
        <v>1.6519999999999999</v>
      </c>
      <c r="Y126" s="6">
        <f t="shared" si="14"/>
        <v>4.409919649769093E-2</v>
      </c>
      <c r="AA126" t="s">
        <v>225</v>
      </c>
      <c r="AB126">
        <v>17337</v>
      </c>
      <c r="AD126" t="s">
        <v>1</v>
      </c>
      <c r="AE126">
        <v>49</v>
      </c>
      <c r="AF126">
        <v>12</v>
      </c>
      <c r="AH126" t="s">
        <v>9308</v>
      </c>
      <c r="AI126" t="s">
        <v>9307</v>
      </c>
      <c r="AJ126" t="s">
        <v>9306</v>
      </c>
      <c r="AK126" t="s">
        <v>9305</v>
      </c>
      <c r="AL126">
        <v>5</v>
      </c>
      <c r="AM126" s="5">
        <f t="shared" si="10"/>
        <v>0.23809523809523808</v>
      </c>
      <c r="AN126" s="4">
        <f t="shared" si="15"/>
        <v>3.6061376462739582E-4</v>
      </c>
      <c r="AO126" s="3"/>
      <c r="AP126">
        <v>0</v>
      </c>
      <c r="AR126" t="s">
        <v>0</v>
      </c>
      <c r="AT126" s="2" t="s">
        <v>7</v>
      </c>
      <c r="AU126" s="1">
        <f t="shared" si="11"/>
        <v>3.0977621677771872</v>
      </c>
      <c r="AV126" s="1">
        <f t="shared" si="12"/>
        <v>2.2229905131159167</v>
      </c>
      <c r="AW126" s="1">
        <f t="shared" si="13"/>
        <v>1.3482188584546455</v>
      </c>
    </row>
    <row r="127" spans="1:49" x14ac:dyDescent="0.2">
      <c r="A127">
        <v>125</v>
      </c>
      <c r="B127" t="s">
        <v>9304</v>
      </c>
      <c r="C127" t="s">
        <v>9303</v>
      </c>
      <c r="D127" t="s">
        <v>9302</v>
      </c>
      <c r="F127" t="s">
        <v>9301</v>
      </c>
      <c r="G127" t="s">
        <v>6</v>
      </c>
      <c r="H127" t="s">
        <v>5</v>
      </c>
      <c r="I127" t="s">
        <v>9300</v>
      </c>
      <c r="J127" t="s">
        <v>734</v>
      </c>
      <c r="K127" t="s">
        <v>733</v>
      </c>
      <c r="L127" t="s">
        <v>732</v>
      </c>
      <c r="M127" t="s">
        <v>686</v>
      </c>
      <c r="N127">
        <v>2</v>
      </c>
      <c r="O127" t="s">
        <v>9299</v>
      </c>
      <c r="P127" t="s">
        <v>9298</v>
      </c>
      <c r="Q127" t="s">
        <v>9297</v>
      </c>
      <c r="R127" s="7">
        <v>37226</v>
      </c>
      <c r="S127" s="8">
        <f t="shared" si="8"/>
        <v>2001</v>
      </c>
      <c r="T127" s="8">
        <v>2001</v>
      </c>
      <c r="U127" s="8">
        <f t="shared" si="9"/>
        <v>21</v>
      </c>
      <c r="V127" s="7">
        <v>37226</v>
      </c>
      <c r="W127" t="s">
        <v>226</v>
      </c>
      <c r="X127" s="2">
        <v>1.6519999999999999</v>
      </c>
      <c r="Y127" s="6">
        <f t="shared" si="14"/>
        <v>4.409919649769093E-2</v>
      </c>
      <c r="AA127" t="s">
        <v>225</v>
      </c>
      <c r="AB127">
        <v>17337</v>
      </c>
      <c r="AD127" t="s">
        <v>1</v>
      </c>
      <c r="AE127">
        <v>49</v>
      </c>
      <c r="AF127">
        <v>12</v>
      </c>
      <c r="AH127" t="s">
        <v>9296</v>
      </c>
      <c r="AI127" t="s">
        <v>9295</v>
      </c>
      <c r="AJ127" t="s">
        <v>9294</v>
      </c>
      <c r="AK127" t="s">
        <v>9293</v>
      </c>
      <c r="AL127">
        <v>38</v>
      </c>
      <c r="AM127" s="5">
        <f t="shared" si="10"/>
        <v>1.8095238095238095</v>
      </c>
      <c r="AN127" s="4">
        <f t="shared" si="15"/>
        <v>2.7406646111682084E-3</v>
      </c>
      <c r="AO127" s="3"/>
      <c r="AP127">
        <v>0</v>
      </c>
      <c r="AR127" t="s">
        <v>0</v>
      </c>
      <c r="AT127" s="2" t="s">
        <v>7</v>
      </c>
      <c r="AU127" s="1">
        <f t="shared" si="11"/>
        <v>3.1691636931734117</v>
      </c>
      <c r="AV127" s="1">
        <f t="shared" si="12"/>
        <v>2.3419930554429569</v>
      </c>
      <c r="AW127" s="1">
        <f t="shared" si="13"/>
        <v>1.5148224177125023</v>
      </c>
    </row>
    <row r="128" spans="1:49" x14ac:dyDescent="0.2">
      <c r="A128">
        <v>126</v>
      </c>
      <c r="B128" t="s">
        <v>9292</v>
      </c>
      <c r="C128" t="s">
        <v>9291</v>
      </c>
      <c r="D128" t="s">
        <v>9290</v>
      </c>
      <c r="F128" t="s">
        <v>9289</v>
      </c>
      <c r="G128" t="s">
        <v>6</v>
      </c>
      <c r="H128" t="s">
        <v>5</v>
      </c>
      <c r="I128" t="s">
        <v>9288</v>
      </c>
      <c r="J128" t="s">
        <v>820</v>
      </c>
      <c r="K128" t="s">
        <v>819</v>
      </c>
      <c r="L128" t="s">
        <v>818</v>
      </c>
      <c r="M128" t="s">
        <v>295</v>
      </c>
      <c r="N128">
        <v>2</v>
      </c>
      <c r="O128" t="s">
        <v>9287</v>
      </c>
      <c r="P128" t="s">
        <v>9286</v>
      </c>
      <c r="Q128" t="s">
        <v>9285</v>
      </c>
      <c r="R128" s="7">
        <v>37226</v>
      </c>
      <c r="S128" s="8">
        <f t="shared" si="8"/>
        <v>2001</v>
      </c>
      <c r="T128" s="8">
        <v>2001</v>
      </c>
      <c r="U128" s="8">
        <f t="shared" si="9"/>
        <v>21</v>
      </c>
      <c r="V128" s="7">
        <v>37226</v>
      </c>
      <c r="W128" t="s">
        <v>226</v>
      </c>
      <c r="X128" s="2">
        <v>1.6519999999999999</v>
      </c>
      <c r="Y128" s="6">
        <f t="shared" si="14"/>
        <v>4.409919649769093E-2</v>
      </c>
      <c r="AA128" t="s">
        <v>225</v>
      </c>
      <c r="AB128">
        <v>17337</v>
      </c>
      <c r="AD128" t="s">
        <v>1</v>
      </c>
      <c r="AE128">
        <v>49</v>
      </c>
      <c r="AF128">
        <v>12</v>
      </c>
      <c r="AH128" t="s">
        <v>9284</v>
      </c>
      <c r="AI128" t="s">
        <v>9283</v>
      </c>
      <c r="AJ128" t="s">
        <v>9282</v>
      </c>
      <c r="AK128" t="s">
        <v>9281</v>
      </c>
      <c r="AL128">
        <v>146</v>
      </c>
      <c r="AM128" s="5">
        <f t="shared" si="10"/>
        <v>6.9523809523809526</v>
      </c>
      <c r="AN128" s="4">
        <f t="shared" si="15"/>
        <v>1.0529921927119958E-2</v>
      </c>
      <c r="AO128" s="3"/>
      <c r="AP128">
        <v>0</v>
      </c>
      <c r="AR128" t="s">
        <v>0</v>
      </c>
      <c r="AT128" s="2" t="s">
        <v>7</v>
      </c>
      <c r="AU128" s="1">
        <f t="shared" si="11"/>
        <v>3.4028414126519637</v>
      </c>
      <c r="AV128" s="1">
        <f t="shared" si="12"/>
        <v>2.7314559212405443</v>
      </c>
      <c r="AW128" s="1">
        <f t="shared" si="13"/>
        <v>2.0600704298291248</v>
      </c>
    </row>
    <row r="129" spans="1:49" x14ac:dyDescent="0.2">
      <c r="A129">
        <v>127</v>
      </c>
      <c r="B129" t="s">
        <v>9280</v>
      </c>
      <c r="C129" t="s">
        <v>9279</v>
      </c>
      <c r="D129" t="s">
        <v>9278</v>
      </c>
      <c r="F129" t="s">
        <v>9277</v>
      </c>
      <c r="G129" t="s">
        <v>6</v>
      </c>
      <c r="H129" t="s">
        <v>5</v>
      </c>
      <c r="I129" t="s">
        <v>1617</v>
      </c>
      <c r="J129" t="s">
        <v>1616</v>
      </c>
      <c r="K129" t="s">
        <v>1615</v>
      </c>
      <c r="L129" t="s">
        <v>1614</v>
      </c>
      <c r="M129" t="s">
        <v>44</v>
      </c>
      <c r="N129">
        <v>2</v>
      </c>
      <c r="O129" t="s">
        <v>1613</v>
      </c>
      <c r="P129" t="s">
        <v>1612</v>
      </c>
      <c r="Q129" t="s">
        <v>1611</v>
      </c>
      <c r="R129" s="7">
        <v>37226</v>
      </c>
      <c r="S129" s="8">
        <f t="shared" si="8"/>
        <v>2001</v>
      </c>
      <c r="T129" s="8">
        <v>2001</v>
      </c>
      <c r="U129" s="8">
        <f t="shared" si="9"/>
        <v>21</v>
      </c>
      <c r="V129" s="7">
        <v>37226</v>
      </c>
      <c r="W129" t="s">
        <v>226</v>
      </c>
      <c r="X129" s="2">
        <v>1.6519999999999999</v>
      </c>
      <c r="Y129" s="6">
        <f t="shared" si="14"/>
        <v>4.409919649769093E-2</v>
      </c>
      <c r="AA129" t="s">
        <v>225</v>
      </c>
      <c r="AB129">
        <v>17337</v>
      </c>
      <c r="AD129" t="s">
        <v>1</v>
      </c>
      <c r="AE129">
        <v>49</v>
      </c>
      <c r="AF129">
        <v>12</v>
      </c>
      <c r="AH129" t="s">
        <v>9276</v>
      </c>
      <c r="AI129" t="s">
        <v>9275</v>
      </c>
      <c r="AJ129" t="s">
        <v>9274</v>
      </c>
      <c r="AK129" t="s">
        <v>9273</v>
      </c>
      <c r="AL129">
        <v>63</v>
      </c>
      <c r="AM129" s="5">
        <f t="shared" si="10"/>
        <v>3</v>
      </c>
      <c r="AN129" s="4">
        <f t="shared" si="15"/>
        <v>4.5437334343051876E-3</v>
      </c>
      <c r="AO129" s="3"/>
      <c r="AP129">
        <v>0</v>
      </c>
      <c r="AQ129" t="s">
        <v>722</v>
      </c>
      <c r="AR129" t="s">
        <v>1606</v>
      </c>
      <c r="AS129" t="s">
        <v>721</v>
      </c>
      <c r="AT129" s="2" t="s">
        <v>7</v>
      </c>
      <c r="AU129" s="1">
        <f t="shared" si="11"/>
        <v>3.2232557578675207</v>
      </c>
      <c r="AV129" s="1">
        <f t="shared" si="12"/>
        <v>2.4321464965998061</v>
      </c>
      <c r="AW129" s="1">
        <f t="shared" si="13"/>
        <v>1.641037235332091</v>
      </c>
    </row>
    <row r="130" spans="1:49" x14ac:dyDescent="0.2">
      <c r="A130">
        <v>128</v>
      </c>
      <c r="B130" t="s">
        <v>9272</v>
      </c>
      <c r="C130" t="s">
        <v>9271</v>
      </c>
      <c r="D130" t="s">
        <v>9270</v>
      </c>
      <c r="F130" t="s">
        <v>9269</v>
      </c>
      <c r="G130" t="s">
        <v>6</v>
      </c>
      <c r="H130" t="s">
        <v>5</v>
      </c>
      <c r="I130" t="s">
        <v>9268</v>
      </c>
      <c r="J130" t="s">
        <v>9267</v>
      </c>
      <c r="K130" t="s">
        <v>9266</v>
      </c>
      <c r="L130" t="s">
        <v>9265</v>
      </c>
      <c r="M130" t="s">
        <v>128</v>
      </c>
      <c r="N130">
        <v>2</v>
      </c>
      <c r="O130" t="s">
        <v>9264</v>
      </c>
      <c r="P130" t="s">
        <v>9263</v>
      </c>
      <c r="Q130" t="s">
        <v>9262</v>
      </c>
      <c r="R130" s="7">
        <v>37226</v>
      </c>
      <c r="S130" s="8">
        <f t="shared" ref="S130:S193" si="16">YEAR(R130)</f>
        <v>2001</v>
      </c>
      <c r="T130" s="8">
        <v>2001</v>
      </c>
      <c r="U130" s="8">
        <f t="shared" ref="U130:U193" si="17">2022-T130</f>
        <v>21</v>
      </c>
      <c r="V130" s="7">
        <v>37226</v>
      </c>
      <c r="W130" t="s">
        <v>226</v>
      </c>
      <c r="X130" s="2">
        <v>1.6519999999999999</v>
      </c>
      <c r="Y130" s="6">
        <f t="shared" si="14"/>
        <v>4.409919649769093E-2</v>
      </c>
      <c r="AA130" t="s">
        <v>225</v>
      </c>
      <c r="AB130">
        <v>17337</v>
      </c>
      <c r="AD130" t="s">
        <v>1</v>
      </c>
      <c r="AE130">
        <v>49</v>
      </c>
      <c r="AF130">
        <v>12</v>
      </c>
      <c r="AH130" t="s">
        <v>9261</v>
      </c>
      <c r="AI130" t="s">
        <v>9260</v>
      </c>
      <c r="AJ130" t="s">
        <v>9259</v>
      </c>
      <c r="AK130" t="s">
        <v>9258</v>
      </c>
      <c r="AL130">
        <v>7</v>
      </c>
      <c r="AM130" s="5">
        <f t="shared" ref="AM130:AM193" si="18">AL130/U130</f>
        <v>0.33333333333333331</v>
      </c>
      <c r="AN130" s="4">
        <f t="shared" si="15"/>
        <v>5.048592704783541E-4</v>
      </c>
      <c r="AO130" s="3"/>
      <c r="AP130">
        <v>0</v>
      </c>
      <c r="AR130" t="s">
        <v>0</v>
      </c>
      <c r="AT130" s="2" t="s">
        <v>7</v>
      </c>
      <c r="AU130" s="1">
        <f t="shared" ref="AU130:AU193" si="19">(Y130*0.7+AN130*0.3)*100</f>
        <v>3.1020895329527156</v>
      </c>
      <c r="AV130" s="1">
        <f t="shared" ref="AV130:AV193" si="20">(Y130*0.5+AN130*0.5)*100</f>
        <v>2.2302027884084641</v>
      </c>
      <c r="AW130" s="1">
        <f t="shared" ref="AW130:AW193" si="21">(Y130*0.3+AN130*0.7)*100</f>
        <v>1.3583160438642126</v>
      </c>
    </row>
    <row r="131" spans="1:49" x14ac:dyDescent="0.2">
      <c r="A131">
        <v>129</v>
      </c>
      <c r="B131" t="s">
        <v>9257</v>
      </c>
      <c r="C131" t="s">
        <v>9256</v>
      </c>
      <c r="D131" t="s">
        <v>9255</v>
      </c>
      <c r="F131" t="s">
        <v>9254</v>
      </c>
      <c r="G131" t="s">
        <v>6</v>
      </c>
      <c r="H131" t="s">
        <v>5</v>
      </c>
      <c r="I131" t="s">
        <v>241</v>
      </c>
      <c r="J131">
        <v>60008673</v>
      </c>
      <c r="K131" t="s">
        <v>850</v>
      </c>
      <c r="L131" t="s">
        <v>641</v>
      </c>
      <c r="M131" t="s">
        <v>197</v>
      </c>
      <c r="N131">
        <v>3</v>
      </c>
      <c r="O131" t="s">
        <v>9253</v>
      </c>
      <c r="P131" t="s">
        <v>9252</v>
      </c>
      <c r="Q131" t="s">
        <v>9251</v>
      </c>
      <c r="R131" s="7">
        <v>37226</v>
      </c>
      <c r="S131" s="8">
        <f t="shared" si="16"/>
        <v>2001</v>
      </c>
      <c r="T131" s="8">
        <v>2001</v>
      </c>
      <c r="U131" s="8">
        <f t="shared" si="17"/>
        <v>21</v>
      </c>
      <c r="V131" s="7">
        <v>37226</v>
      </c>
      <c r="W131" t="s">
        <v>226</v>
      </c>
      <c r="X131" s="2">
        <v>1.6519999999999999</v>
      </c>
      <c r="Y131" s="6">
        <f t="shared" ref="Y131:Y194" si="22">(X131-$Z$3)/($Z$2-$Z$3)</f>
        <v>4.409919649769093E-2</v>
      </c>
      <c r="AA131" t="s">
        <v>225</v>
      </c>
      <c r="AB131">
        <v>17337</v>
      </c>
      <c r="AD131" t="s">
        <v>1</v>
      </c>
      <c r="AE131">
        <v>49</v>
      </c>
      <c r="AF131">
        <v>12</v>
      </c>
      <c r="AH131" t="s">
        <v>9250</v>
      </c>
      <c r="AI131" t="s">
        <v>9249</v>
      </c>
      <c r="AJ131" t="s">
        <v>9248</v>
      </c>
      <c r="AK131" t="s">
        <v>9247</v>
      </c>
      <c r="AL131">
        <v>17</v>
      </c>
      <c r="AM131" s="5">
        <f t="shared" si="18"/>
        <v>0.80952380952380953</v>
      </c>
      <c r="AN131" s="4">
        <f t="shared" ref="AN131:AN194" si="23">(AM131-$AO$3)/($AO$2-$AO$3)</f>
        <v>1.2260867997331457E-3</v>
      </c>
      <c r="AO131" s="3"/>
      <c r="AP131">
        <v>0</v>
      </c>
      <c r="AQ131" t="s">
        <v>707</v>
      </c>
      <c r="AR131" t="s">
        <v>9246</v>
      </c>
      <c r="AS131" t="s">
        <v>218</v>
      </c>
      <c r="AT131" s="2" t="s">
        <v>7</v>
      </c>
      <c r="AU131" s="1">
        <f t="shared" si="19"/>
        <v>3.1237263588303597</v>
      </c>
      <c r="AV131" s="1">
        <f t="shared" si="20"/>
        <v>2.2662641648712039</v>
      </c>
      <c r="AW131" s="1">
        <f t="shared" si="21"/>
        <v>1.4088019709120481</v>
      </c>
    </row>
    <row r="132" spans="1:49" x14ac:dyDescent="0.2">
      <c r="A132">
        <v>130</v>
      </c>
      <c r="B132" t="s">
        <v>9245</v>
      </c>
      <c r="C132" t="s">
        <v>9244</v>
      </c>
      <c r="D132" t="s">
        <v>9243</v>
      </c>
      <c r="F132" t="s">
        <v>9242</v>
      </c>
      <c r="G132" t="s">
        <v>6</v>
      </c>
      <c r="H132" t="s">
        <v>5</v>
      </c>
      <c r="I132" t="s">
        <v>9241</v>
      </c>
      <c r="J132" t="s">
        <v>9240</v>
      </c>
      <c r="K132" t="s">
        <v>9239</v>
      </c>
      <c r="L132" t="s">
        <v>9238</v>
      </c>
      <c r="M132" t="s">
        <v>125</v>
      </c>
      <c r="N132">
        <v>3</v>
      </c>
      <c r="O132" t="s">
        <v>9237</v>
      </c>
      <c r="P132" t="s">
        <v>9236</v>
      </c>
      <c r="Q132" t="s">
        <v>9235</v>
      </c>
      <c r="R132" s="7">
        <v>37226</v>
      </c>
      <c r="S132" s="8">
        <f t="shared" si="16"/>
        <v>2001</v>
      </c>
      <c r="T132" s="8">
        <v>2001</v>
      </c>
      <c r="U132" s="8">
        <f t="shared" si="17"/>
        <v>21</v>
      </c>
      <c r="V132" s="7">
        <v>37226</v>
      </c>
      <c r="W132" t="s">
        <v>226</v>
      </c>
      <c r="X132" s="2">
        <v>1.6519999999999999</v>
      </c>
      <c r="Y132" s="6">
        <f t="shared" si="22"/>
        <v>4.409919649769093E-2</v>
      </c>
      <c r="AA132" t="s">
        <v>225</v>
      </c>
      <c r="AB132">
        <v>17337</v>
      </c>
      <c r="AD132" t="s">
        <v>1</v>
      </c>
      <c r="AE132">
        <v>49</v>
      </c>
      <c r="AF132">
        <v>12</v>
      </c>
      <c r="AH132" t="s">
        <v>9234</v>
      </c>
      <c r="AI132" t="s">
        <v>9233</v>
      </c>
      <c r="AJ132" t="s">
        <v>9232</v>
      </c>
      <c r="AK132" t="s">
        <v>9231</v>
      </c>
      <c r="AL132">
        <v>8</v>
      </c>
      <c r="AM132" s="5">
        <f t="shared" si="18"/>
        <v>0.38095238095238093</v>
      </c>
      <c r="AN132" s="4">
        <f t="shared" si="23"/>
        <v>5.7698202340383331E-4</v>
      </c>
      <c r="AO132" s="3"/>
      <c r="AP132">
        <v>0</v>
      </c>
      <c r="AR132" t="s">
        <v>0</v>
      </c>
      <c r="AT132" s="2" t="s">
        <v>7</v>
      </c>
      <c r="AU132" s="1">
        <f t="shared" si="19"/>
        <v>3.1042532155404801</v>
      </c>
      <c r="AV132" s="1">
        <f t="shared" si="20"/>
        <v>2.233808926054738</v>
      </c>
      <c r="AW132" s="1">
        <f t="shared" si="21"/>
        <v>1.3633646365689962</v>
      </c>
    </row>
    <row r="133" spans="1:49" x14ac:dyDescent="0.2">
      <c r="A133">
        <v>131</v>
      </c>
      <c r="B133" t="s">
        <v>9230</v>
      </c>
      <c r="C133" t="s">
        <v>9229</v>
      </c>
      <c r="D133" t="s">
        <v>9228</v>
      </c>
      <c r="F133" t="s">
        <v>9227</v>
      </c>
      <c r="G133" t="s">
        <v>6</v>
      </c>
      <c r="H133" t="s">
        <v>5</v>
      </c>
      <c r="I133" t="s">
        <v>9226</v>
      </c>
      <c r="J133" t="s">
        <v>9225</v>
      </c>
      <c r="K133" t="s">
        <v>9224</v>
      </c>
      <c r="L133" t="s">
        <v>9223</v>
      </c>
      <c r="M133" t="s">
        <v>128</v>
      </c>
      <c r="N133">
        <v>2</v>
      </c>
      <c r="O133" t="s">
        <v>9222</v>
      </c>
      <c r="P133" t="s">
        <v>9221</v>
      </c>
      <c r="Q133" t="s">
        <v>9220</v>
      </c>
      <c r="R133" s="7">
        <v>37226</v>
      </c>
      <c r="S133" s="8">
        <f t="shared" si="16"/>
        <v>2001</v>
      </c>
      <c r="T133" s="8">
        <v>2001</v>
      </c>
      <c r="U133" s="8">
        <f t="shared" si="17"/>
        <v>21</v>
      </c>
      <c r="V133" s="7">
        <v>37226</v>
      </c>
      <c r="W133" t="s">
        <v>226</v>
      </c>
      <c r="X133" s="2">
        <v>1.6519999999999999</v>
      </c>
      <c r="Y133" s="6">
        <f t="shared" si="22"/>
        <v>4.409919649769093E-2</v>
      </c>
      <c r="AA133" t="s">
        <v>225</v>
      </c>
      <c r="AB133">
        <v>17337</v>
      </c>
      <c r="AD133" t="s">
        <v>1</v>
      </c>
      <c r="AE133">
        <v>49</v>
      </c>
      <c r="AF133">
        <v>12</v>
      </c>
      <c r="AH133" t="s">
        <v>9219</v>
      </c>
      <c r="AI133" t="s">
        <v>9218</v>
      </c>
      <c r="AJ133" t="s">
        <v>9217</v>
      </c>
      <c r="AK133" t="s">
        <v>9216</v>
      </c>
      <c r="AL133">
        <v>30</v>
      </c>
      <c r="AM133" s="5">
        <f t="shared" si="18"/>
        <v>1.4285714285714286</v>
      </c>
      <c r="AN133" s="4">
        <f t="shared" si="23"/>
        <v>2.163682587764375E-3</v>
      </c>
      <c r="AO133" s="3"/>
      <c r="AP133">
        <v>0</v>
      </c>
      <c r="AQ133" t="s">
        <v>256</v>
      </c>
      <c r="AR133" t="s">
        <v>9215</v>
      </c>
      <c r="AS133" t="s">
        <v>217</v>
      </c>
      <c r="AT133" s="2" t="s">
        <v>7</v>
      </c>
      <c r="AU133" s="1">
        <f t="shared" si="19"/>
        <v>3.1518542324712961</v>
      </c>
      <c r="AV133" s="1">
        <f t="shared" si="20"/>
        <v>2.313143954272765</v>
      </c>
      <c r="AW133" s="1">
        <f t="shared" si="21"/>
        <v>1.474433676074234</v>
      </c>
    </row>
    <row r="134" spans="1:49" x14ac:dyDescent="0.2">
      <c r="A134">
        <v>132</v>
      </c>
      <c r="B134" t="s">
        <v>9214</v>
      </c>
      <c r="C134" t="s">
        <v>9213</v>
      </c>
      <c r="D134" t="s">
        <v>9212</v>
      </c>
      <c r="F134" t="s">
        <v>9211</v>
      </c>
      <c r="G134" t="s">
        <v>6</v>
      </c>
      <c r="H134" t="s">
        <v>5</v>
      </c>
      <c r="I134" t="s">
        <v>9210</v>
      </c>
      <c r="J134" t="s">
        <v>745</v>
      </c>
      <c r="K134" t="s">
        <v>744</v>
      </c>
      <c r="L134" t="s">
        <v>743</v>
      </c>
      <c r="M134" t="s">
        <v>44</v>
      </c>
      <c r="N134">
        <v>4</v>
      </c>
      <c r="O134" t="s">
        <v>9209</v>
      </c>
      <c r="P134" t="s">
        <v>9208</v>
      </c>
      <c r="Q134" t="s">
        <v>9207</v>
      </c>
      <c r="R134" s="7">
        <v>37226</v>
      </c>
      <c r="S134" s="8">
        <f t="shared" si="16"/>
        <v>2001</v>
      </c>
      <c r="T134" s="8">
        <v>2001</v>
      </c>
      <c r="U134" s="8">
        <f t="shared" si="17"/>
        <v>21</v>
      </c>
      <c r="V134" s="7">
        <v>37226</v>
      </c>
      <c r="W134" t="s">
        <v>226</v>
      </c>
      <c r="X134" s="2">
        <v>1.6519999999999999</v>
      </c>
      <c r="Y134" s="6">
        <f t="shared" si="22"/>
        <v>4.409919649769093E-2</v>
      </c>
      <c r="AA134" t="s">
        <v>225</v>
      </c>
      <c r="AB134">
        <v>17337</v>
      </c>
      <c r="AD134" t="s">
        <v>1</v>
      </c>
      <c r="AE134">
        <v>49</v>
      </c>
      <c r="AF134">
        <v>12</v>
      </c>
      <c r="AH134" t="s">
        <v>9206</v>
      </c>
      <c r="AI134" t="s">
        <v>9205</v>
      </c>
      <c r="AJ134" t="s">
        <v>9204</v>
      </c>
      <c r="AK134" t="s">
        <v>9203</v>
      </c>
      <c r="AL134">
        <v>31</v>
      </c>
      <c r="AM134" s="5">
        <f t="shared" si="18"/>
        <v>1.4761904761904763</v>
      </c>
      <c r="AN134" s="4">
        <f t="shared" si="23"/>
        <v>2.2358053406898544E-3</v>
      </c>
      <c r="AO134" s="3"/>
      <c r="AP134">
        <v>0</v>
      </c>
      <c r="AR134" t="s">
        <v>0</v>
      </c>
      <c r="AT134" s="2" t="s">
        <v>7</v>
      </c>
      <c r="AU134" s="1">
        <f t="shared" si="19"/>
        <v>3.1540179150590606</v>
      </c>
      <c r="AV134" s="1">
        <f t="shared" si="20"/>
        <v>2.3167500919190389</v>
      </c>
      <c r="AW134" s="1">
        <f t="shared" si="21"/>
        <v>1.4794822687790177</v>
      </c>
    </row>
    <row r="135" spans="1:49" x14ac:dyDescent="0.2">
      <c r="A135">
        <v>133</v>
      </c>
      <c r="B135" t="s">
        <v>9202</v>
      </c>
      <c r="C135" t="s">
        <v>9201</v>
      </c>
      <c r="D135" t="s">
        <v>9200</v>
      </c>
      <c r="F135" t="s">
        <v>9199</v>
      </c>
      <c r="G135" t="s">
        <v>6</v>
      </c>
      <c r="H135" t="s">
        <v>5</v>
      </c>
      <c r="I135" t="s">
        <v>9198</v>
      </c>
      <c r="J135" t="s">
        <v>9197</v>
      </c>
      <c r="K135" t="s">
        <v>9196</v>
      </c>
      <c r="L135" t="s">
        <v>9195</v>
      </c>
      <c r="M135" t="s">
        <v>235</v>
      </c>
      <c r="N135">
        <v>3</v>
      </c>
      <c r="O135" t="s">
        <v>9194</v>
      </c>
      <c r="P135" t="s">
        <v>9193</v>
      </c>
      <c r="Q135" t="s">
        <v>9192</v>
      </c>
      <c r="R135" s="7">
        <v>37226</v>
      </c>
      <c r="S135" s="8">
        <f t="shared" si="16"/>
        <v>2001</v>
      </c>
      <c r="T135" s="8">
        <v>2001</v>
      </c>
      <c r="U135" s="8">
        <f t="shared" si="17"/>
        <v>21</v>
      </c>
      <c r="V135" s="7">
        <v>37226</v>
      </c>
      <c r="W135" t="s">
        <v>226</v>
      </c>
      <c r="X135" s="2">
        <v>1.6519999999999999</v>
      </c>
      <c r="Y135" s="6">
        <f t="shared" si="22"/>
        <v>4.409919649769093E-2</v>
      </c>
      <c r="AA135" t="s">
        <v>225</v>
      </c>
      <c r="AB135">
        <v>17337</v>
      </c>
      <c r="AD135" t="s">
        <v>1</v>
      </c>
      <c r="AE135">
        <v>49</v>
      </c>
      <c r="AF135">
        <v>12</v>
      </c>
      <c r="AH135" t="s">
        <v>9191</v>
      </c>
      <c r="AI135" t="s">
        <v>9190</v>
      </c>
      <c r="AJ135" t="s">
        <v>9189</v>
      </c>
      <c r="AK135" t="s">
        <v>9188</v>
      </c>
      <c r="AL135">
        <v>30</v>
      </c>
      <c r="AM135" s="5">
        <f t="shared" si="18"/>
        <v>1.4285714285714286</v>
      </c>
      <c r="AN135" s="4">
        <f t="shared" si="23"/>
        <v>2.163682587764375E-3</v>
      </c>
      <c r="AO135" s="3"/>
      <c r="AP135">
        <v>0</v>
      </c>
      <c r="AR135" t="s">
        <v>0</v>
      </c>
      <c r="AT135" s="2" t="s">
        <v>7</v>
      </c>
      <c r="AU135" s="1">
        <f t="shared" si="19"/>
        <v>3.1518542324712961</v>
      </c>
      <c r="AV135" s="1">
        <f t="shared" si="20"/>
        <v>2.313143954272765</v>
      </c>
      <c r="AW135" s="1">
        <f t="shared" si="21"/>
        <v>1.474433676074234</v>
      </c>
    </row>
    <row r="136" spans="1:49" x14ac:dyDescent="0.2">
      <c r="A136">
        <v>134</v>
      </c>
      <c r="B136" t="s">
        <v>9187</v>
      </c>
      <c r="C136" t="s">
        <v>9186</v>
      </c>
      <c r="D136" t="s">
        <v>9185</v>
      </c>
      <c r="F136" t="s">
        <v>9184</v>
      </c>
      <c r="G136" t="s">
        <v>6</v>
      </c>
      <c r="H136" t="s">
        <v>5</v>
      </c>
      <c r="I136" t="s">
        <v>2962</v>
      </c>
      <c r="J136" t="s">
        <v>9183</v>
      </c>
      <c r="K136" t="s">
        <v>9182</v>
      </c>
      <c r="L136" t="s">
        <v>9181</v>
      </c>
      <c r="M136" t="s">
        <v>44</v>
      </c>
      <c r="N136">
        <v>2</v>
      </c>
      <c r="O136" t="s">
        <v>9180</v>
      </c>
      <c r="P136" t="s">
        <v>9179</v>
      </c>
      <c r="Q136" t="s">
        <v>9178</v>
      </c>
      <c r="R136" s="7">
        <v>37226</v>
      </c>
      <c r="S136" s="8">
        <f t="shared" si="16"/>
        <v>2001</v>
      </c>
      <c r="T136" s="8">
        <v>2001</v>
      </c>
      <c r="U136" s="8">
        <f t="shared" si="17"/>
        <v>21</v>
      </c>
      <c r="V136" s="7">
        <v>37226</v>
      </c>
      <c r="W136" t="s">
        <v>226</v>
      </c>
      <c r="X136" s="2">
        <v>1.6519999999999999</v>
      </c>
      <c r="Y136" s="6">
        <f t="shared" si="22"/>
        <v>4.409919649769093E-2</v>
      </c>
      <c r="AA136" t="s">
        <v>225</v>
      </c>
      <c r="AB136">
        <v>17337</v>
      </c>
      <c r="AD136" t="s">
        <v>1</v>
      </c>
      <c r="AE136">
        <v>49</v>
      </c>
      <c r="AF136">
        <v>12</v>
      </c>
      <c r="AH136" t="s">
        <v>9177</v>
      </c>
      <c r="AI136" t="s">
        <v>9176</v>
      </c>
      <c r="AJ136" t="s">
        <v>9175</v>
      </c>
      <c r="AK136" t="s">
        <v>9174</v>
      </c>
      <c r="AL136">
        <v>85</v>
      </c>
      <c r="AM136" s="5">
        <f t="shared" si="18"/>
        <v>4.0476190476190474</v>
      </c>
      <c r="AN136" s="4">
        <f t="shared" si="23"/>
        <v>6.1304339986657285E-3</v>
      </c>
      <c r="AO136" s="3"/>
      <c r="AP136">
        <v>0</v>
      </c>
      <c r="AQ136" t="s">
        <v>256</v>
      </c>
      <c r="AR136" t="s">
        <v>9173</v>
      </c>
      <c r="AS136" t="s">
        <v>217</v>
      </c>
      <c r="AT136" s="2" t="s">
        <v>7</v>
      </c>
      <c r="AU136" s="1">
        <f t="shared" si="19"/>
        <v>3.2708567747983373</v>
      </c>
      <c r="AV136" s="1">
        <f t="shared" si="20"/>
        <v>2.511481524817833</v>
      </c>
      <c r="AW136" s="1">
        <f t="shared" si="21"/>
        <v>1.7521062748373288</v>
      </c>
    </row>
    <row r="137" spans="1:49" x14ac:dyDescent="0.2">
      <c r="A137">
        <v>135</v>
      </c>
      <c r="B137" t="s">
        <v>9172</v>
      </c>
      <c r="C137" t="s">
        <v>9171</v>
      </c>
      <c r="D137" t="s">
        <v>9170</v>
      </c>
      <c r="F137" t="s">
        <v>9169</v>
      </c>
      <c r="G137" t="s">
        <v>6</v>
      </c>
      <c r="H137" t="s">
        <v>5</v>
      </c>
      <c r="I137" t="s">
        <v>2098</v>
      </c>
      <c r="J137" t="s">
        <v>9168</v>
      </c>
      <c r="K137" t="s">
        <v>9167</v>
      </c>
      <c r="L137" t="s">
        <v>9166</v>
      </c>
      <c r="M137" t="s">
        <v>29</v>
      </c>
      <c r="N137">
        <v>3</v>
      </c>
      <c r="O137" t="s">
        <v>2097</v>
      </c>
      <c r="P137" t="s">
        <v>2096</v>
      </c>
      <c r="Q137" t="s">
        <v>9165</v>
      </c>
      <c r="R137" s="7">
        <v>37226</v>
      </c>
      <c r="S137" s="8">
        <f t="shared" si="16"/>
        <v>2001</v>
      </c>
      <c r="T137" s="8">
        <v>2001</v>
      </c>
      <c r="U137" s="8">
        <f t="shared" si="17"/>
        <v>21</v>
      </c>
      <c r="V137" s="7">
        <v>37226</v>
      </c>
      <c r="W137" t="s">
        <v>226</v>
      </c>
      <c r="X137" s="2">
        <v>1.6519999999999999</v>
      </c>
      <c r="Y137" s="6">
        <f t="shared" si="22"/>
        <v>4.409919649769093E-2</v>
      </c>
      <c r="AA137" t="s">
        <v>225</v>
      </c>
      <c r="AB137">
        <v>17337</v>
      </c>
      <c r="AD137" t="s">
        <v>1</v>
      </c>
      <c r="AE137">
        <v>49</v>
      </c>
      <c r="AF137">
        <v>12</v>
      </c>
      <c r="AH137" t="s">
        <v>9164</v>
      </c>
      <c r="AI137" t="s">
        <v>9163</v>
      </c>
      <c r="AJ137" t="s">
        <v>9162</v>
      </c>
      <c r="AK137" t="s">
        <v>9161</v>
      </c>
      <c r="AL137">
        <v>23</v>
      </c>
      <c r="AM137" s="5">
        <f t="shared" si="18"/>
        <v>1.0952380952380953</v>
      </c>
      <c r="AN137" s="4">
        <f t="shared" si="23"/>
        <v>1.658823317286021E-3</v>
      </c>
      <c r="AO137" s="3"/>
      <c r="AP137">
        <v>0</v>
      </c>
      <c r="AQ137" t="s">
        <v>534</v>
      </c>
      <c r="AR137" t="s">
        <v>0</v>
      </c>
      <c r="AS137" t="s">
        <v>533</v>
      </c>
      <c r="AT137" s="2" t="s">
        <v>7</v>
      </c>
      <c r="AU137" s="1">
        <f t="shared" si="19"/>
        <v>3.1367084543569455</v>
      </c>
      <c r="AV137" s="1">
        <f t="shared" si="20"/>
        <v>2.2879009907488475</v>
      </c>
      <c r="AW137" s="1">
        <f t="shared" si="21"/>
        <v>1.4390935271407492</v>
      </c>
    </row>
    <row r="138" spans="1:49" x14ac:dyDescent="0.2">
      <c r="A138">
        <v>136</v>
      </c>
      <c r="B138" t="s">
        <v>9160</v>
      </c>
      <c r="C138" t="s">
        <v>9159</v>
      </c>
      <c r="D138" t="s">
        <v>9158</v>
      </c>
      <c r="F138" t="s">
        <v>9157</v>
      </c>
      <c r="G138" t="s">
        <v>6</v>
      </c>
      <c r="H138" t="s">
        <v>5</v>
      </c>
      <c r="I138" t="s">
        <v>428</v>
      </c>
      <c r="J138" t="s">
        <v>9156</v>
      </c>
      <c r="K138" t="s">
        <v>9155</v>
      </c>
      <c r="L138" t="s">
        <v>9154</v>
      </c>
      <c r="M138" t="s">
        <v>9153</v>
      </c>
      <c r="N138">
        <v>4</v>
      </c>
      <c r="O138" t="s">
        <v>9152</v>
      </c>
      <c r="P138" t="s">
        <v>9151</v>
      </c>
      <c r="Q138" t="s">
        <v>9150</v>
      </c>
      <c r="R138" s="7">
        <v>37226</v>
      </c>
      <c r="S138" s="8">
        <f t="shared" si="16"/>
        <v>2001</v>
      </c>
      <c r="T138" s="8">
        <v>2001</v>
      </c>
      <c r="U138" s="8">
        <f t="shared" si="17"/>
        <v>21</v>
      </c>
      <c r="V138" s="7">
        <v>37226</v>
      </c>
      <c r="W138" t="s">
        <v>226</v>
      </c>
      <c r="X138" s="2">
        <v>1.6519999999999999</v>
      </c>
      <c r="Y138" s="6">
        <f t="shared" si="22"/>
        <v>4.409919649769093E-2</v>
      </c>
      <c r="AA138" t="s">
        <v>225</v>
      </c>
      <c r="AB138">
        <v>17337</v>
      </c>
      <c r="AD138" t="s">
        <v>1</v>
      </c>
      <c r="AE138">
        <v>49</v>
      </c>
      <c r="AF138">
        <v>12</v>
      </c>
      <c r="AH138" t="s">
        <v>9149</v>
      </c>
      <c r="AI138" t="s">
        <v>9148</v>
      </c>
      <c r="AJ138" t="s">
        <v>9147</v>
      </c>
      <c r="AK138" t="s">
        <v>9146</v>
      </c>
      <c r="AL138">
        <v>12</v>
      </c>
      <c r="AM138" s="5">
        <f t="shared" si="18"/>
        <v>0.5714285714285714</v>
      </c>
      <c r="AN138" s="4">
        <f t="shared" si="23"/>
        <v>8.6547303510574997E-4</v>
      </c>
      <c r="AO138" s="3"/>
      <c r="AP138">
        <v>0</v>
      </c>
      <c r="AR138" t="s">
        <v>0</v>
      </c>
      <c r="AT138" s="2" t="s">
        <v>7</v>
      </c>
      <c r="AU138" s="1">
        <f t="shared" si="19"/>
        <v>3.1129079458915374</v>
      </c>
      <c r="AV138" s="1">
        <f t="shared" si="20"/>
        <v>2.2482334766398342</v>
      </c>
      <c r="AW138" s="1">
        <f t="shared" si="21"/>
        <v>1.3835590073881303</v>
      </c>
    </row>
    <row r="139" spans="1:49" x14ac:dyDescent="0.2">
      <c r="A139">
        <v>137</v>
      </c>
      <c r="B139" t="s">
        <v>9145</v>
      </c>
      <c r="C139" t="s">
        <v>9144</v>
      </c>
      <c r="D139" t="s">
        <v>9143</v>
      </c>
      <c r="F139" t="s">
        <v>9142</v>
      </c>
      <c r="G139" t="s">
        <v>6</v>
      </c>
      <c r="H139" t="s">
        <v>5</v>
      </c>
      <c r="I139" t="s">
        <v>9141</v>
      </c>
      <c r="J139" t="s">
        <v>9140</v>
      </c>
      <c r="K139" t="s">
        <v>9139</v>
      </c>
      <c r="L139" t="s">
        <v>9138</v>
      </c>
      <c r="M139" t="s">
        <v>1055</v>
      </c>
      <c r="N139">
        <v>2</v>
      </c>
      <c r="O139" t="s">
        <v>9137</v>
      </c>
      <c r="P139" t="s">
        <v>9136</v>
      </c>
      <c r="Q139" t="s">
        <v>9135</v>
      </c>
      <c r="R139" s="7">
        <v>37226</v>
      </c>
      <c r="S139" s="8">
        <f t="shared" si="16"/>
        <v>2001</v>
      </c>
      <c r="T139" s="8">
        <v>2001</v>
      </c>
      <c r="U139" s="8">
        <f t="shared" si="17"/>
        <v>21</v>
      </c>
      <c r="V139" s="7">
        <v>37226</v>
      </c>
      <c r="W139" t="s">
        <v>226</v>
      </c>
      <c r="X139" s="2">
        <v>1.6519999999999999</v>
      </c>
      <c r="Y139" s="6">
        <f t="shared" si="22"/>
        <v>4.409919649769093E-2</v>
      </c>
      <c r="AA139" t="s">
        <v>225</v>
      </c>
      <c r="AB139">
        <v>17337</v>
      </c>
      <c r="AD139" t="s">
        <v>1</v>
      </c>
      <c r="AE139">
        <v>49</v>
      </c>
      <c r="AF139">
        <v>12</v>
      </c>
      <c r="AH139" t="s">
        <v>9134</v>
      </c>
      <c r="AI139" t="s">
        <v>9133</v>
      </c>
      <c r="AJ139" t="s">
        <v>806</v>
      </c>
      <c r="AK139" t="s">
        <v>9132</v>
      </c>
      <c r="AL139">
        <v>11</v>
      </c>
      <c r="AM139" s="5">
        <f t="shared" si="18"/>
        <v>0.52380952380952384</v>
      </c>
      <c r="AN139" s="4">
        <f t="shared" si="23"/>
        <v>7.9335028218027086E-4</v>
      </c>
      <c r="AO139" s="3"/>
      <c r="AP139">
        <v>0</v>
      </c>
      <c r="AR139" t="s">
        <v>0</v>
      </c>
      <c r="AT139" s="2" t="s">
        <v>7</v>
      </c>
      <c r="AU139" s="1">
        <f t="shared" si="19"/>
        <v>3.1107442633037734</v>
      </c>
      <c r="AV139" s="1">
        <f t="shared" si="20"/>
        <v>2.2446273389935598</v>
      </c>
      <c r="AW139" s="1">
        <f t="shared" si="21"/>
        <v>1.3785104146833469</v>
      </c>
    </row>
    <row r="140" spans="1:49" x14ac:dyDescent="0.2">
      <c r="A140">
        <v>138</v>
      </c>
      <c r="B140" t="s">
        <v>9131</v>
      </c>
      <c r="C140" t="s">
        <v>9130</v>
      </c>
      <c r="D140" t="s">
        <v>9129</v>
      </c>
      <c r="F140" t="s">
        <v>9128</v>
      </c>
      <c r="G140" t="s">
        <v>6</v>
      </c>
      <c r="H140" t="s">
        <v>5</v>
      </c>
      <c r="I140" t="s">
        <v>9127</v>
      </c>
      <c r="J140" t="s">
        <v>9126</v>
      </c>
      <c r="K140" t="s">
        <v>9125</v>
      </c>
      <c r="L140" t="s">
        <v>809</v>
      </c>
      <c r="M140" t="s">
        <v>687</v>
      </c>
      <c r="N140">
        <v>1</v>
      </c>
      <c r="O140" t="s">
        <v>9124</v>
      </c>
      <c r="P140">
        <v>7004164152</v>
      </c>
      <c r="Q140" t="s">
        <v>9123</v>
      </c>
      <c r="R140" s="7">
        <v>37226</v>
      </c>
      <c r="S140" s="8">
        <f t="shared" si="16"/>
        <v>2001</v>
      </c>
      <c r="T140" s="8">
        <v>2001</v>
      </c>
      <c r="U140" s="8">
        <f t="shared" si="17"/>
        <v>21</v>
      </c>
      <c r="V140" s="7">
        <v>37226</v>
      </c>
      <c r="W140" t="s">
        <v>226</v>
      </c>
      <c r="X140" s="2">
        <v>1.6519999999999999</v>
      </c>
      <c r="Y140" s="6">
        <f t="shared" si="22"/>
        <v>4.409919649769093E-2</v>
      </c>
      <c r="AA140" t="s">
        <v>225</v>
      </c>
      <c r="AB140">
        <v>17337</v>
      </c>
      <c r="AD140" t="s">
        <v>1</v>
      </c>
      <c r="AE140">
        <v>49</v>
      </c>
      <c r="AF140">
        <v>12</v>
      </c>
      <c r="AH140" t="s">
        <v>9122</v>
      </c>
      <c r="AI140" t="s">
        <v>9121</v>
      </c>
      <c r="AJ140" t="s">
        <v>9120</v>
      </c>
      <c r="AK140" t="s">
        <v>9119</v>
      </c>
      <c r="AL140">
        <v>7</v>
      </c>
      <c r="AM140" s="5">
        <f t="shared" si="18"/>
        <v>0.33333333333333331</v>
      </c>
      <c r="AN140" s="4">
        <f t="shared" si="23"/>
        <v>5.048592704783541E-4</v>
      </c>
      <c r="AO140" s="3"/>
      <c r="AP140">
        <v>0</v>
      </c>
      <c r="AR140" t="s">
        <v>0</v>
      </c>
      <c r="AT140" s="2" t="s">
        <v>7</v>
      </c>
      <c r="AU140" s="1">
        <f t="shared" si="19"/>
        <v>3.1020895329527156</v>
      </c>
      <c r="AV140" s="1">
        <f t="shared" si="20"/>
        <v>2.2302027884084641</v>
      </c>
      <c r="AW140" s="1">
        <f t="shared" si="21"/>
        <v>1.3583160438642126</v>
      </c>
    </row>
    <row r="141" spans="1:49" x14ac:dyDescent="0.2">
      <c r="A141">
        <v>139</v>
      </c>
      <c r="B141" t="s">
        <v>9118</v>
      </c>
      <c r="C141" t="s">
        <v>9117</v>
      </c>
      <c r="D141" t="s">
        <v>9116</v>
      </c>
      <c r="F141" t="s">
        <v>9115</v>
      </c>
      <c r="G141" t="s">
        <v>6</v>
      </c>
      <c r="H141" t="s">
        <v>5</v>
      </c>
      <c r="I141" t="s">
        <v>9114</v>
      </c>
      <c r="J141" t="s">
        <v>9113</v>
      </c>
      <c r="K141" t="s">
        <v>9112</v>
      </c>
      <c r="L141" t="s">
        <v>9111</v>
      </c>
      <c r="M141" t="s">
        <v>44</v>
      </c>
      <c r="N141">
        <v>2</v>
      </c>
      <c r="O141" t="s">
        <v>9110</v>
      </c>
      <c r="P141" t="s">
        <v>9109</v>
      </c>
      <c r="Q141" t="s">
        <v>9108</v>
      </c>
      <c r="R141" s="7">
        <v>37226</v>
      </c>
      <c r="S141" s="8">
        <f t="shared" si="16"/>
        <v>2001</v>
      </c>
      <c r="T141" s="8">
        <v>2001</v>
      </c>
      <c r="U141" s="8">
        <f t="shared" si="17"/>
        <v>21</v>
      </c>
      <c r="V141" s="7">
        <v>37226</v>
      </c>
      <c r="W141" t="s">
        <v>226</v>
      </c>
      <c r="X141" s="2">
        <v>1.6519999999999999</v>
      </c>
      <c r="Y141" s="6">
        <f t="shared" si="22"/>
        <v>4.409919649769093E-2</v>
      </c>
      <c r="AA141" t="s">
        <v>225</v>
      </c>
      <c r="AB141">
        <v>17337</v>
      </c>
      <c r="AD141" t="s">
        <v>1</v>
      </c>
      <c r="AE141">
        <v>49</v>
      </c>
      <c r="AF141">
        <v>12</v>
      </c>
      <c r="AH141" t="s">
        <v>9107</v>
      </c>
      <c r="AI141" t="s">
        <v>9106</v>
      </c>
      <c r="AJ141" t="s">
        <v>9105</v>
      </c>
      <c r="AK141" t="s">
        <v>9104</v>
      </c>
      <c r="AL141">
        <v>36</v>
      </c>
      <c r="AM141" s="5">
        <f t="shared" si="18"/>
        <v>1.7142857142857142</v>
      </c>
      <c r="AN141" s="4">
        <f t="shared" si="23"/>
        <v>2.5964191053172497E-3</v>
      </c>
      <c r="AO141" s="3"/>
      <c r="AP141">
        <v>0</v>
      </c>
      <c r="AR141" t="s">
        <v>0</v>
      </c>
      <c r="AT141" s="2" t="s">
        <v>7</v>
      </c>
      <c r="AU141" s="1">
        <f t="shared" si="19"/>
        <v>3.1648363279978824</v>
      </c>
      <c r="AV141" s="1">
        <f t="shared" si="20"/>
        <v>2.334780780150409</v>
      </c>
      <c r="AW141" s="1">
        <f t="shared" si="21"/>
        <v>1.5047252323029352</v>
      </c>
    </row>
    <row r="142" spans="1:49" x14ac:dyDescent="0.2">
      <c r="A142">
        <v>140</v>
      </c>
      <c r="B142" t="s">
        <v>9103</v>
      </c>
      <c r="C142" t="s">
        <v>9102</v>
      </c>
      <c r="D142" t="s">
        <v>9101</v>
      </c>
      <c r="F142" t="s">
        <v>9100</v>
      </c>
      <c r="G142" t="s">
        <v>6</v>
      </c>
      <c r="H142" t="s">
        <v>5</v>
      </c>
      <c r="I142" t="s">
        <v>9099</v>
      </c>
      <c r="J142">
        <v>60000990</v>
      </c>
      <c r="K142" t="s">
        <v>117</v>
      </c>
      <c r="L142" t="s">
        <v>116</v>
      </c>
      <c r="M142" t="s">
        <v>115</v>
      </c>
      <c r="N142">
        <v>1</v>
      </c>
      <c r="O142" t="s">
        <v>9098</v>
      </c>
      <c r="P142">
        <v>6602218593</v>
      </c>
      <c r="Q142">
        <v>60000990</v>
      </c>
      <c r="R142" s="7">
        <v>37226</v>
      </c>
      <c r="S142" s="8">
        <f t="shared" si="16"/>
        <v>2001</v>
      </c>
      <c r="T142" s="8">
        <v>2001</v>
      </c>
      <c r="U142" s="8">
        <f t="shared" si="17"/>
        <v>21</v>
      </c>
      <c r="V142" s="7">
        <v>37226</v>
      </c>
      <c r="W142" t="s">
        <v>226</v>
      </c>
      <c r="X142" s="2">
        <v>1.6519999999999999</v>
      </c>
      <c r="Y142" s="6">
        <f t="shared" si="22"/>
        <v>4.409919649769093E-2</v>
      </c>
      <c r="AA142" t="s">
        <v>225</v>
      </c>
      <c r="AB142">
        <v>17337</v>
      </c>
      <c r="AD142" t="s">
        <v>1</v>
      </c>
      <c r="AE142">
        <v>49</v>
      </c>
      <c r="AF142">
        <v>12</v>
      </c>
      <c r="AH142" t="s">
        <v>9097</v>
      </c>
      <c r="AI142" t="s">
        <v>9096</v>
      </c>
      <c r="AJ142" t="s">
        <v>9095</v>
      </c>
      <c r="AK142" t="s">
        <v>9094</v>
      </c>
      <c r="AL142">
        <v>2</v>
      </c>
      <c r="AM142" s="5">
        <f t="shared" si="18"/>
        <v>9.5238095238095233E-2</v>
      </c>
      <c r="AN142" s="4">
        <f t="shared" si="23"/>
        <v>1.4424550585095833E-4</v>
      </c>
      <c r="AO142" s="3"/>
      <c r="AP142">
        <v>0</v>
      </c>
      <c r="AR142" t="s">
        <v>0</v>
      </c>
      <c r="AS142" t="s">
        <v>9093</v>
      </c>
      <c r="AT142" s="2" t="s">
        <v>7</v>
      </c>
      <c r="AU142" s="1">
        <f t="shared" si="19"/>
        <v>3.0912711200138938</v>
      </c>
      <c r="AV142" s="1">
        <f t="shared" si="20"/>
        <v>2.2121721001770944</v>
      </c>
      <c r="AW142" s="1">
        <f t="shared" si="21"/>
        <v>1.3330730803402948</v>
      </c>
    </row>
    <row r="143" spans="1:49" x14ac:dyDescent="0.2">
      <c r="A143">
        <v>141</v>
      </c>
      <c r="B143" t="s">
        <v>9092</v>
      </c>
      <c r="C143" t="s">
        <v>9091</v>
      </c>
      <c r="F143" t="s">
        <v>9090</v>
      </c>
      <c r="G143" t="s">
        <v>6</v>
      </c>
      <c r="H143" t="s">
        <v>5</v>
      </c>
      <c r="I143" t="s">
        <v>9089</v>
      </c>
      <c r="J143" t="s">
        <v>9088</v>
      </c>
      <c r="K143" t="s">
        <v>9087</v>
      </c>
      <c r="L143" t="s">
        <v>9086</v>
      </c>
      <c r="M143" t="s">
        <v>9085</v>
      </c>
      <c r="N143">
        <v>6</v>
      </c>
      <c r="O143" t="s">
        <v>9084</v>
      </c>
      <c r="P143" t="s">
        <v>9083</v>
      </c>
      <c r="Q143" t="s">
        <v>9082</v>
      </c>
      <c r="R143" s="7">
        <v>37226</v>
      </c>
      <c r="S143" s="8">
        <f t="shared" si="16"/>
        <v>2001</v>
      </c>
      <c r="T143" s="8">
        <v>2001</v>
      </c>
      <c r="U143" s="8">
        <f t="shared" si="17"/>
        <v>21</v>
      </c>
      <c r="V143" s="7">
        <v>2001</v>
      </c>
      <c r="W143" t="s">
        <v>9081</v>
      </c>
      <c r="X143" s="2" t="s">
        <v>7</v>
      </c>
      <c r="Y143" s="6" t="e">
        <f t="shared" si="22"/>
        <v>#VALUE!</v>
      </c>
      <c r="AA143">
        <v>12178977</v>
      </c>
      <c r="AB143">
        <v>27409</v>
      </c>
      <c r="AD143" t="s">
        <v>1</v>
      </c>
      <c r="AE143">
        <v>36</v>
      </c>
      <c r="AF143">
        <v>4</v>
      </c>
      <c r="AH143" t="s">
        <v>9080</v>
      </c>
      <c r="AI143" t="s">
        <v>9079</v>
      </c>
      <c r="AJ143" t="s">
        <v>9078</v>
      </c>
      <c r="AK143" t="s">
        <v>9077</v>
      </c>
      <c r="AL143">
        <v>2</v>
      </c>
      <c r="AM143" s="5">
        <f t="shared" si="18"/>
        <v>9.5238095238095233E-2</v>
      </c>
      <c r="AN143" s="4">
        <f t="shared" si="23"/>
        <v>1.4424550585095833E-4</v>
      </c>
      <c r="AO143" s="3"/>
      <c r="AP143">
        <v>0</v>
      </c>
      <c r="AR143" t="s">
        <v>0</v>
      </c>
      <c r="AT143" s="2" t="s">
        <v>7</v>
      </c>
      <c r="AU143" s="1" t="e">
        <f t="shared" si="19"/>
        <v>#VALUE!</v>
      </c>
      <c r="AV143" s="1" t="e">
        <f t="shared" si="20"/>
        <v>#VALUE!</v>
      </c>
      <c r="AW143" s="1" t="e">
        <f t="shared" si="21"/>
        <v>#VALUE!</v>
      </c>
    </row>
    <row r="144" spans="1:49" x14ac:dyDescent="0.2">
      <c r="A144">
        <v>142</v>
      </c>
      <c r="B144" t="s">
        <v>9076</v>
      </c>
      <c r="C144" t="s">
        <v>9075</v>
      </c>
      <c r="D144" t="s">
        <v>9074</v>
      </c>
      <c r="F144" t="s">
        <v>9073</v>
      </c>
      <c r="G144" t="s">
        <v>6</v>
      </c>
      <c r="H144" t="s">
        <v>5</v>
      </c>
      <c r="I144" t="s">
        <v>40</v>
      </c>
      <c r="J144">
        <v>60001881</v>
      </c>
      <c r="K144" t="s">
        <v>39</v>
      </c>
      <c r="L144" t="s">
        <v>38</v>
      </c>
      <c r="M144" t="s">
        <v>37</v>
      </c>
      <c r="N144">
        <v>3</v>
      </c>
      <c r="O144" t="s">
        <v>9072</v>
      </c>
      <c r="P144" t="s">
        <v>9071</v>
      </c>
      <c r="Q144" t="s">
        <v>3864</v>
      </c>
      <c r="R144" s="7">
        <v>37226</v>
      </c>
      <c r="S144" s="8">
        <f t="shared" si="16"/>
        <v>2001</v>
      </c>
      <c r="T144" s="8">
        <v>2001</v>
      </c>
      <c r="U144" s="8">
        <f t="shared" si="17"/>
        <v>21</v>
      </c>
      <c r="V144" s="7">
        <v>37226</v>
      </c>
      <c r="W144" t="s">
        <v>535</v>
      </c>
      <c r="X144" s="2">
        <v>0.78200000000000003</v>
      </c>
      <c r="Y144" s="6">
        <f t="shared" si="22"/>
        <v>2.0875043378446919E-2</v>
      </c>
      <c r="AA144">
        <v>189316</v>
      </c>
      <c r="AB144">
        <v>19901</v>
      </c>
      <c r="AD144" t="s">
        <v>1</v>
      </c>
      <c r="AE144">
        <v>47</v>
      </c>
      <c r="AF144">
        <v>4</v>
      </c>
      <c r="AH144" t="s">
        <v>9070</v>
      </c>
      <c r="AI144" t="s">
        <v>9069</v>
      </c>
      <c r="AJ144" t="s">
        <v>9068</v>
      </c>
      <c r="AK144" t="s">
        <v>9067</v>
      </c>
      <c r="AL144">
        <v>4</v>
      </c>
      <c r="AM144" s="5">
        <f t="shared" si="18"/>
        <v>0.19047619047619047</v>
      </c>
      <c r="AN144" s="4">
        <f t="shared" si="23"/>
        <v>2.8849101170191666E-4</v>
      </c>
      <c r="AO144" s="3"/>
      <c r="AP144">
        <v>0</v>
      </c>
      <c r="AR144" t="s">
        <v>0</v>
      </c>
      <c r="AT144" s="2">
        <v>3.863</v>
      </c>
      <c r="AU144" s="1">
        <f t="shared" si="19"/>
        <v>1.4699077668423417</v>
      </c>
      <c r="AV144" s="1">
        <f t="shared" si="20"/>
        <v>1.0581767195074416</v>
      </c>
      <c r="AW144" s="1">
        <f t="shared" si="21"/>
        <v>0.64644567217254179</v>
      </c>
    </row>
    <row r="145" spans="1:49" x14ac:dyDescent="0.2">
      <c r="A145">
        <v>143</v>
      </c>
      <c r="B145" t="s">
        <v>9066</v>
      </c>
      <c r="C145" t="s">
        <v>9065</v>
      </c>
      <c r="E145">
        <v>11840195</v>
      </c>
      <c r="F145" t="s">
        <v>9064</v>
      </c>
      <c r="G145" t="s">
        <v>6</v>
      </c>
      <c r="H145" t="s">
        <v>5</v>
      </c>
      <c r="I145" t="s">
        <v>9063</v>
      </c>
      <c r="J145">
        <v>60172319</v>
      </c>
      <c r="K145" t="s">
        <v>9062</v>
      </c>
      <c r="L145" t="s">
        <v>9061</v>
      </c>
      <c r="M145" t="s">
        <v>26</v>
      </c>
      <c r="N145">
        <v>7</v>
      </c>
      <c r="O145" t="s">
        <v>9060</v>
      </c>
      <c r="P145" t="s">
        <v>9059</v>
      </c>
      <c r="Q145" t="s">
        <v>9058</v>
      </c>
      <c r="R145" s="7">
        <v>37226</v>
      </c>
      <c r="S145" s="8">
        <f t="shared" si="16"/>
        <v>2001</v>
      </c>
      <c r="T145" s="8">
        <v>2001</v>
      </c>
      <c r="U145" s="8">
        <f t="shared" si="17"/>
        <v>21</v>
      </c>
      <c r="V145" s="7">
        <v>2001</v>
      </c>
      <c r="W145" t="s">
        <v>9057</v>
      </c>
      <c r="X145" s="2">
        <v>1.587</v>
      </c>
      <c r="Y145" s="6">
        <f t="shared" si="22"/>
        <v>4.2364058620965803E-2</v>
      </c>
      <c r="AA145">
        <v>10184813</v>
      </c>
      <c r="AB145">
        <v>22101</v>
      </c>
      <c r="AD145" t="s">
        <v>1</v>
      </c>
      <c r="AE145">
        <v>9</v>
      </c>
      <c r="AF145">
        <v>12</v>
      </c>
      <c r="AH145" t="s">
        <v>9056</v>
      </c>
      <c r="AI145" t="s">
        <v>9055</v>
      </c>
      <c r="AJ145" t="s">
        <v>9054</v>
      </c>
      <c r="AK145" t="s">
        <v>9053</v>
      </c>
      <c r="AL145">
        <v>9</v>
      </c>
      <c r="AM145" s="5">
        <f t="shared" si="18"/>
        <v>0.42857142857142855</v>
      </c>
      <c r="AN145" s="4">
        <f t="shared" si="23"/>
        <v>6.4910477632931242E-4</v>
      </c>
      <c r="AO145" s="3"/>
      <c r="AP145">
        <v>1</v>
      </c>
      <c r="AQ145" t="s">
        <v>9052</v>
      </c>
      <c r="AR145" t="s">
        <v>0</v>
      </c>
      <c r="AS145" t="s">
        <v>9051</v>
      </c>
      <c r="AT145" s="2">
        <v>4.2460000000000004</v>
      </c>
      <c r="AU145" s="1">
        <f t="shared" si="19"/>
        <v>2.9849572467574852</v>
      </c>
      <c r="AV145" s="1">
        <f t="shared" si="20"/>
        <v>2.1506581698647556</v>
      </c>
      <c r="AW145" s="1">
        <f t="shared" si="21"/>
        <v>1.3163590929720259</v>
      </c>
    </row>
    <row r="146" spans="1:49" x14ac:dyDescent="0.2">
      <c r="A146">
        <v>144</v>
      </c>
      <c r="B146" t="s">
        <v>9050</v>
      </c>
      <c r="C146" t="s">
        <v>9049</v>
      </c>
      <c r="D146" t="s">
        <v>9048</v>
      </c>
      <c r="F146" t="s">
        <v>9047</v>
      </c>
      <c r="G146" t="s">
        <v>6</v>
      </c>
      <c r="H146" t="s">
        <v>5</v>
      </c>
      <c r="I146" t="s">
        <v>196</v>
      </c>
      <c r="J146" t="s">
        <v>9046</v>
      </c>
      <c r="K146" t="s">
        <v>9045</v>
      </c>
      <c r="L146" t="s">
        <v>9044</v>
      </c>
      <c r="M146" t="s">
        <v>44</v>
      </c>
      <c r="N146">
        <v>4</v>
      </c>
      <c r="O146" t="s">
        <v>9043</v>
      </c>
      <c r="P146" t="s">
        <v>9042</v>
      </c>
      <c r="Q146" t="s">
        <v>9041</v>
      </c>
      <c r="R146" s="7">
        <v>37226</v>
      </c>
      <c r="S146" s="8">
        <f t="shared" si="16"/>
        <v>2001</v>
      </c>
      <c r="T146" s="8">
        <v>2001</v>
      </c>
      <c r="U146" s="8">
        <f t="shared" si="17"/>
        <v>21</v>
      </c>
      <c r="V146" s="7">
        <v>37226</v>
      </c>
      <c r="W146" t="s">
        <v>389</v>
      </c>
      <c r="X146" s="2">
        <v>0.94</v>
      </c>
      <c r="Y146" s="6">
        <f t="shared" si="22"/>
        <v>2.5092763140332611E-2</v>
      </c>
      <c r="AA146">
        <v>15311309</v>
      </c>
      <c r="AB146">
        <v>17295</v>
      </c>
      <c r="AD146" t="s">
        <v>1</v>
      </c>
      <c r="AE146">
        <v>11</v>
      </c>
      <c r="AF146">
        <v>12</v>
      </c>
      <c r="AH146" t="s">
        <v>9040</v>
      </c>
      <c r="AI146" t="s">
        <v>9039</v>
      </c>
      <c r="AK146" t="s">
        <v>9038</v>
      </c>
      <c r="AL146">
        <v>37</v>
      </c>
      <c r="AM146" s="5">
        <f t="shared" si="18"/>
        <v>1.7619047619047619</v>
      </c>
      <c r="AN146" s="4">
        <f t="shared" si="23"/>
        <v>2.668541858242729E-3</v>
      </c>
      <c r="AO146" s="3"/>
      <c r="AP146">
        <v>0</v>
      </c>
      <c r="AR146" t="s">
        <v>0</v>
      </c>
      <c r="AT146" s="2" t="s">
        <v>7</v>
      </c>
      <c r="AU146" s="1">
        <f t="shared" si="19"/>
        <v>1.8365496755705646</v>
      </c>
      <c r="AV146" s="1">
        <f t="shared" si="20"/>
        <v>1.3880652499287671</v>
      </c>
      <c r="AW146" s="1">
        <f t="shared" si="21"/>
        <v>0.93958082428696932</v>
      </c>
    </row>
    <row r="147" spans="1:49" x14ac:dyDescent="0.2">
      <c r="A147">
        <v>145</v>
      </c>
      <c r="B147" t="s">
        <v>9037</v>
      </c>
      <c r="C147" t="s">
        <v>9036</v>
      </c>
      <c r="D147" t="s">
        <v>9035</v>
      </c>
      <c r="F147" t="s">
        <v>9034</v>
      </c>
      <c r="G147" t="s">
        <v>6</v>
      </c>
      <c r="H147" t="s">
        <v>5</v>
      </c>
      <c r="I147" t="s">
        <v>371</v>
      </c>
      <c r="J147" t="s">
        <v>9033</v>
      </c>
      <c r="K147" t="s">
        <v>9032</v>
      </c>
      <c r="L147" t="s">
        <v>9031</v>
      </c>
      <c r="M147" t="s">
        <v>9030</v>
      </c>
      <c r="N147">
        <v>3</v>
      </c>
      <c r="O147" t="s">
        <v>9029</v>
      </c>
      <c r="P147" t="s">
        <v>9028</v>
      </c>
      <c r="Q147" t="s">
        <v>9027</v>
      </c>
      <c r="R147" s="7">
        <v>37226</v>
      </c>
      <c r="S147" s="8">
        <f t="shared" si="16"/>
        <v>2001</v>
      </c>
      <c r="T147" s="8">
        <v>2001</v>
      </c>
      <c r="U147" s="8">
        <f t="shared" si="17"/>
        <v>21</v>
      </c>
      <c r="V147" s="7">
        <v>37226</v>
      </c>
      <c r="W147" t="s">
        <v>389</v>
      </c>
      <c r="X147" s="2">
        <v>0.94</v>
      </c>
      <c r="Y147" s="6">
        <f t="shared" si="22"/>
        <v>2.5092763140332611E-2</v>
      </c>
      <c r="AA147">
        <v>15311309</v>
      </c>
      <c r="AB147">
        <v>17295</v>
      </c>
      <c r="AD147" t="s">
        <v>1</v>
      </c>
      <c r="AE147">
        <v>11</v>
      </c>
      <c r="AF147">
        <v>12</v>
      </c>
      <c r="AH147" t="s">
        <v>9026</v>
      </c>
      <c r="AI147" t="s">
        <v>9025</v>
      </c>
      <c r="AJ147" t="s">
        <v>9024</v>
      </c>
      <c r="AK147" t="s">
        <v>9023</v>
      </c>
      <c r="AL147">
        <v>10</v>
      </c>
      <c r="AM147" s="5">
        <f t="shared" si="18"/>
        <v>0.47619047619047616</v>
      </c>
      <c r="AN147" s="4">
        <f t="shared" si="23"/>
        <v>7.2122752925479164E-4</v>
      </c>
      <c r="AO147" s="3"/>
      <c r="AP147">
        <v>0</v>
      </c>
      <c r="AQ147" t="s">
        <v>100</v>
      </c>
      <c r="AR147" t="s">
        <v>0</v>
      </c>
      <c r="AS147" t="s">
        <v>99</v>
      </c>
      <c r="AT147" s="2" t="s">
        <v>7</v>
      </c>
      <c r="AU147" s="1">
        <f t="shared" si="19"/>
        <v>1.7781302457009263</v>
      </c>
      <c r="AV147" s="1">
        <f t="shared" si="20"/>
        <v>1.2906995334793701</v>
      </c>
      <c r="AW147" s="1">
        <f t="shared" si="21"/>
        <v>0.80326882125781374</v>
      </c>
    </row>
    <row r="148" spans="1:49" x14ac:dyDescent="0.2">
      <c r="A148">
        <v>146</v>
      </c>
      <c r="B148" t="s">
        <v>9022</v>
      </c>
      <c r="C148" t="s">
        <v>9021</v>
      </c>
      <c r="D148" t="s">
        <v>9020</v>
      </c>
      <c r="F148" t="s">
        <v>9019</v>
      </c>
      <c r="G148" t="s">
        <v>6</v>
      </c>
      <c r="H148" t="s">
        <v>5</v>
      </c>
      <c r="I148" t="s">
        <v>9018</v>
      </c>
      <c r="J148">
        <v>60027245</v>
      </c>
      <c r="K148" t="s">
        <v>7372</v>
      </c>
      <c r="L148" t="s">
        <v>7371</v>
      </c>
      <c r="M148" t="s">
        <v>87</v>
      </c>
      <c r="N148">
        <v>2</v>
      </c>
      <c r="O148" t="s">
        <v>9017</v>
      </c>
      <c r="P148" t="s">
        <v>9016</v>
      </c>
      <c r="Q148" t="s">
        <v>9015</v>
      </c>
      <c r="R148" s="7">
        <v>37226</v>
      </c>
      <c r="S148" s="8">
        <f t="shared" si="16"/>
        <v>2001</v>
      </c>
      <c r="T148" s="8">
        <v>2001</v>
      </c>
      <c r="U148" s="8">
        <f t="shared" si="17"/>
        <v>21</v>
      </c>
      <c r="V148" s="7">
        <v>2001</v>
      </c>
      <c r="W148" t="s">
        <v>9014</v>
      </c>
      <c r="X148" s="2">
        <v>0.95399999999999996</v>
      </c>
      <c r="Y148" s="6">
        <f t="shared" si="22"/>
        <v>2.5466485144550331E-2</v>
      </c>
      <c r="AA148">
        <v>361399</v>
      </c>
      <c r="AB148">
        <v>26404</v>
      </c>
      <c r="AD148" t="s">
        <v>1</v>
      </c>
      <c r="AE148">
        <v>61</v>
      </c>
      <c r="AF148">
        <v>6</v>
      </c>
      <c r="AH148" t="s">
        <v>9013</v>
      </c>
      <c r="AI148" t="s">
        <v>9012</v>
      </c>
      <c r="AJ148" t="s">
        <v>9011</v>
      </c>
      <c r="AK148" t="s">
        <v>9010</v>
      </c>
      <c r="AL148">
        <v>18</v>
      </c>
      <c r="AM148" s="5">
        <f t="shared" si="18"/>
        <v>0.8571428571428571</v>
      </c>
      <c r="AN148" s="4">
        <f t="shared" si="23"/>
        <v>1.2982095526586248E-3</v>
      </c>
      <c r="AO148" s="3"/>
      <c r="AP148">
        <v>0</v>
      </c>
      <c r="AR148" t="s">
        <v>0</v>
      </c>
      <c r="AT148" s="2">
        <v>2.08</v>
      </c>
      <c r="AU148" s="1">
        <f t="shared" si="19"/>
        <v>1.8216002466982815</v>
      </c>
      <c r="AV148" s="1">
        <f t="shared" si="20"/>
        <v>1.3382347348604477</v>
      </c>
      <c r="AW148" s="1">
        <f t="shared" si="21"/>
        <v>0.8548692230226137</v>
      </c>
    </row>
    <row r="149" spans="1:49" x14ac:dyDescent="0.2">
      <c r="A149">
        <v>147</v>
      </c>
      <c r="B149" t="s">
        <v>9009</v>
      </c>
      <c r="C149" t="s">
        <v>9008</v>
      </c>
      <c r="F149" t="s">
        <v>9007</v>
      </c>
      <c r="G149" t="s">
        <v>6</v>
      </c>
      <c r="H149" t="s">
        <v>5</v>
      </c>
      <c r="I149" t="s">
        <v>9006</v>
      </c>
      <c r="J149">
        <v>60001111</v>
      </c>
      <c r="K149" t="s">
        <v>9005</v>
      </c>
      <c r="L149" t="s">
        <v>214</v>
      </c>
      <c r="M149" t="s">
        <v>66</v>
      </c>
      <c r="N149">
        <v>5</v>
      </c>
      <c r="O149" t="s">
        <v>9004</v>
      </c>
      <c r="P149" t="s">
        <v>9003</v>
      </c>
      <c r="Q149" t="s">
        <v>9002</v>
      </c>
      <c r="R149" s="7">
        <v>37226</v>
      </c>
      <c r="S149" s="8">
        <f t="shared" si="16"/>
        <v>2001</v>
      </c>
      <c r="T149" s="8">
        <v>2001</v>
      </c>
      <c r="U149" s="8">
        <f t="shared" si="17"/>
        <v>21</v>
      </c>
      <c r="V149" s="7">
        <v>37226</v>
      </c>
      <c r="W149" s="11" t="s">
        <v>761</v>
      </c>
      <c r="X149" s="2">
        <v>2.383</v>
      </c>
      <c r="Y149" s="6">
        <f t="shared" si="22"/>
        <v>6.3612824003630442E-2</v>
      </c>
      <c r="AA149">
        <v>13502395</v>
      </c>
      <c r="AB149">
        <v>17418</v>
      </c>
      <c r="AD149" t="s">
        <v>1</v>
      </c>
      <c r="AE149">
        <v>148</v>
      </c>
      <c r="AF149">
        <v>6</v>
      </c>
      <c r="AH149" t="s">
        <v>9001</v>
      </c>
      <c r="AI149" t="s">
        <v>9000</v>
      </c>
      <c r="AK149" t="s">
        <v>8999</v>
      </c>
      <c r="AL149">
        <v>116</v>
      </c>
      <c r="AM149" s="5">
        <f t="shared" si="18"/>
        <v>5.5238095238095237</v>
      </c>
      <c r="AN149" s="4">
        <f t="shared" si="23"/>
        <v>8.3662393393555828E-3</v>
      </c>
      <c r="AO149" s="3"/>
      <c r="AP149">
        <v>0</v>
      </c>
      <c r="AR149" t="s">
        <v>0</v>
      </c>
      <c r="AT149" s="2" t="s">
        <v>7</v>
      </c>
      <c r="AU149" s="1">
        <f t="shared" si="19"/>
        <v>4.7038848604347985</v>
      </c>
      <c r="AV149" s="1">
        <f t="shared" si="20"/>
        <v>3.5989531671493014</v>
      </c>
      <c r="AW149" s="1">
        <f t="shared" si="21"/>
        <v>2.4940214738638042</v>
      </c>
    </row>
    <row r="150" spans="1:49" x14ac:dyDescent="0.2">
      <c r="A150">
        <v>148</v>
      </c>
      <c r="B150" t="s">
        <v>8998</v>
      </c>
      <c r="C150" t="s">
        <v>8997</v>
      </c>
      <c r="F150" t="s">
        <v>8996</v>
      </c>
      <c r="G150" t="s">
        <v>6</v>
      </c>
      <c r="H150" t="s">
        <v>5</v>
      </c>
      <c r="I150" t="s">
        <v>8995</v>
      </c>
      <c r="J150">
        <v>60080190</v>
      </c>
      <c r="K150" t="s">
        <v>8994</v>
      </c>
      <c r="L150" t="s">
        <v>8993</v>
      </c>
      <c r="M150" t="s">
        <v>79</v>
      </c>
      <c r="N150">
        <v>1</v>
      </c>
      <c r="O150" t="s">
        <v>8992</v>
      </c>
      <c r="P150">
        <v>6602954793</v>
      </c>
      <c r="Q150">
        <v>60080190</v>
      </c>
      <c r="R150" s="7">
        <v>37226</v>
      </c>
      <c r="S150" s="8">
        <f t="shared" si="16"/>
        <v>2001</v>
      </c>
      <c r="T150" s="8">
        <v>2001</v>
      </c>
      <c r="U150" s="8">
        <f t="shared" si="17"/>
        <v>21</v>
      </c>
      <c r="V150" s="7">
        <v>37226</v>
      </c>
      <c r="W150" s="11" t="s">
        <v>761</v>
      </c>
      <c r="X150" s="2">
        <v>2.383</v>
      </c>
      <c r="Y150" s="6">
        <f t="shared" si="22"/>
        <v>6.3612824003630442E-2</v>
      </c>
      <c r="AA150">
        <v>13502395</v>
      </c>
      <c r="AB150">
        <v>17418</v>
      </c>
      <c r="AD150" t="s">
        <v>1</v>
      </c>
      <c r="AE150">
        <v>148</v>
      </c>
      <c r="AF150">
        <v>6</v>
      </c>
      <c r="AH150" t="s">
        <v>8991</v>
      </c>
      <c r="AI150" t="s">
        <v>8990</v>
      </c>
      <c r="AK150" t="s">
        <v>8989</v>
      </c>
      <c r="AL150">
        <v>2</v>
      </c>
      <c r="AM150" s="5">
        <f t="shared" si="18"/>
        <v>9.5238095238095233E-2</v>
      </c>
      <c r="AN150" s="4">
        <f t="shared" si="23"/>
        <v>1.4424550585095833E-4</v>
      </c>
      <c r="AO150" s="3"/>
      <c r="AP150">
        <v>0</v>
      </c>
      <c r="AR150" t="s">
        <v>0</v>
      </c>
      <c r="AT150" s="2" t="s">
        <v>7</v>
      </c>
      <c r="AU150" s="1">
        <f t="shared" si="19"/>
        <v>4.4572250454296594</v>
      </c>
      <c r="AV150" s="1">
        <f t="shared" si="20"/>
        <v>3.1878534754740699</v>
      </c>
      <c r="AW150" s="1">
        <f t="shared" si="21"/>
        <v>1.9184819055184803</v>
      </c>
    </row>
    <row r="151" spans="1:49" x14ac:dyDescent="0.2">
      <c r="A151">
        <v>149</v>
      </c>
      <c r="B151" t="s">
        <v>8988</v>
      </c>
      <c r="C151" t="s">
        <v>8987</v>
      </c>
      <c r="F151" t="s">
        <v>8986</v>
      </c>
      <c r="G151" t="s">
        <v>6</v>
      </c>
      <c r="H151" t="s">
        <v>5</v>
      </c>
      <c r="I151" t="s">
        <v>8985</v>
      </c>
      <c r="J151">
        <v>60025778</v>
      </c>
      <c r="K151" t="s">
        <v>149</v>
      </c>
      <c r="L151" t="s">
        <v>148</v>
      </c>
      <c r="M151" t="s">
        <v>3</v>
      </c>
      <c r="N151">
        <v>4</v>
      </c>
      <c r="O151" t="s">
        <v>8984</v>
      </c>
      <c r="P151" t="s">
        <v>8983</v>
      </c>
      <c r="Q151" t="s">
        <v>8982</v>
      </c>
      <c r="R151" s="7">
        <v>37226</v>
      </c>
      <c r="S151" s="8">
        <f t="shared" si="16"/>
        <v>2001</v>
      </c>
      <c r="T151" s="8">
        <v>2001</v>
      </c>
      <c r="U151" s="8">
        <f t="shared" si="17"/>
        <v>21</v>
      </c>
      <c r="V151" s="7">
        <v>37226</v>
      </c>
      <c r="W151" t="s">
        <v>499</v>
      </c>
      <c r="X151" s="2">
        <v>0.88100000000000001</v>
      </c>
      <c r="Y151" s="6">
        <f t="shared" si="22"/>
        <v>2.3517791836843653E-2</v>
      </c>
      <c r="AA151">
        <v>10459243</v>
      </c>
      <c r="AB151">
        <v>17248</v>
      </c>
      <c r="AD151" t="s">
        <v>1</v>
      </c>
      <c r="AE151">
        <v>43</v>
      </c>
      <c r="AF151">
        <v>6</v>
      </c>
      <c r="AH151" t="s">
        <v>8981</v>
      </c>
      <c r="AI151" t="s">
        <v>8980</v>
      </c>
      <c r="AJ151" t="s">
        <v>8979</v>
      </c>
      <c r="AK151" t="s">
        <v>8978</v>
      </c>
      <c r="AL151">
        <v>18</v>
      </c>
      <c r="AM151" s="5">
        <f t="shared" si="18"/>
        <v>0.8571428571428571</v>
      </c>
      <c r="AN151" s="4">
        <f t="shared" si="23"/>
        <v>1.2982095526586248E-3</v>
      </c>
      <c r="AO151" s="3"/>
      <c r="AP151">
        <v>0</v>
      </c>
      <c r="AQ151" t="s">
        <v>536</v>
      </c>
      <c r="AR151" t="s">
        <v>0</v>
      </c>
      <c r="AS151" t="s">
        <v>498</v>
      </c>
      <c r="AT151" s="2" t="s">
        <v>7</v>
      </c>
      <c r="AU151" s="1">
        <f t="shared" si="19"/>
        <v>1.6851917151588143</v>
      </c>
      <c r="AV151" s="1">
        <f t="shared" si="20"/>
        <v>1.240800069475114</v>
      </c>
      <c r="AW151" s="1">
        <f t="shared" si="21"/>
        <v>0.7964084237914133</v>
      </c>
    </row>
    <row r="152" spans="1:49" x14ac:dyDescent="0.2">
      <c r="A152">
        <v>150</v>
      </c>
      <c r="B152" t="s">
        <v>8977</v>
      </c>
      <c r="C152" t="s">
        <v>8976</v>
      </c>
      <c r="D152" t="s">
        <v>8975</v>
      </c>
      <c r="F152" t="s">
        <v>8974</v>
      </c>
      <c r="G152" t="s">
        <v>6</v>
      </c>
      <c r="H152" t="s">
        <v>5</v>
      </c>
      <c r="I152" t="s">
        <v>8973</v>
      </c>
      <c r="J152" t="s">
        <v>8972</v>
      </c>
      <c r="K152" t="s">
        <v>8971</v>
      </c>
      <c r="L152" t="s">
        <v>8970</v>
      </c>
      <c r="M152" t="s">
        <v>14</v>
      </c>
      <c r="N152">
        <v>3</v>
      </c>
      <c r="O152" t="s">
        <v>8969</v>
      </c>
      <c r="P152" t="s">
        <v>8968</v>
      </c>
      <c r="Q152" t="s">
        <v>8967</v>
      </c>
      <c r="R152" s="7">
        <v>37226</v>
      </c>
      <c r="S152" s="8">
        <f t="shared" si="16"/>
        <v>2001</v>
      </c>
      <c r="T152" s="8">
        <v>2001</v>
      </c>
      <c r="U152" s="8">
        <f t="shared" si="17"/>
        <v>21</v>
      </c>
      <c r="V152" s="7">
        <v>37226</v>
      </c>
      <c r="W152" t="s">
        <v>284</v>
      </c>
      <c r="X152" s="2">
        <v>1.468</v>
      </c>
      <c r="Y152" s="6">
        <f t="shared" si="22"/>
        <v>3.9187421585115186E-2</v>
      </c>
      <c r="AA152">
        <v>906778</v>
      </c>
      <c r="AB152">
        <v>18931</v>
      </c>
      <c r="AD152" t="s">
        <v>1</v>
      </c>
      <c r="AE152">
        <v>49</v>
      </c>
      <c r="AF152">
        <v>12</v>
      </c>
      <c r="AH152" t="s">
        <v>8966</v>
      </c>
      <c r="AI152" t="s">
        <v>8965</v>
      </c>
      <c r="AJ152" t="s">
        <v>8964</v>
      </c>
      <c r="AK152" t="s">
        <v>8963</v>
      </c>
      <c r="AL152">
        <v>8</v>
      </c>
      <c r="AM152" s="5">
        <f t="shared" si="18"/>
        <v>0.38095238095238093</v>
      </c>
      <c r="AN152" s="4">
        <f t="shared" si="23"/>
        <v>5.7698202340383331E-4</v>
      </c>
      <c r="AO152" s="3"/>
      <c r="AP152">
        <v>0</v>
      </c>
      <c r="AR152" t="s">
        <v>0</v>
      </c>
      <c r="AT152" s="2">
        <v>5.0830000000000002</v>
      </c>
      <c r="AU152" s="1">
        <f t="shared" si="19"/>
        <v>2.7604289716601778</v>
      </c>
      <c r="AV152" s="1">
        <f t="shared" si="20"/>
        <v>1.9882201804259507</v>
      </c>
      <c r="AW152" s="1">
        <f t="shared" si="21"/>
        <v>1.2160113891917239</v>
      </c>
    </row>
    <row r="153" spans="1:49" x14ac:dyDescent="0.2">
      <c r="A153">
        <v>151</v>
      </c>
      <c r="B153" t="s">
        <v>8962</v>
      </c>
      <c r="C153" t="s">
        <v>8961</v>
      </c>
      <c r="F153" t="s">
        <v>8960</v>
      </c>
      <c r="G153" t="s">
        <v>6</v>
      </c>
      <c r="H153" t="s">
        <v>5</v>
      </c>
      <c r="I153" t="s">
        <v>340</v>
      </c>
      <c r="J153">
        <v>60030000</v>
      </c>
      <c r="K153" t="s">
        <v>605</v>
      </c>
      <c r="L153" t="s">
        <v>604</v>
      </c>
      <c r="M153" t="s">
        <v>223</v>
      </c>
      <c r="N153">
        <v>1</v>
      </c>
      <c r="O153" t="s">
        <v>8959</v>
      </c>
      <c r="P153">
        <v>7003474509</v>
      </c>
      <c r="Q153">
        <v>60030000</v>
      </c>
      <c r="R153" s="7">
        <v>37226</v>
      </c>
      <c r="S153" s="8">
        <f t="shared" si="16"/>
        <v>2001</v>
      </c>
      <c r="T153" s="8">
        <v>2001</v>
      </c>
      <c r="U153" s="8">
        <f t="shared" si="17"/>
        <v>21</v>
      </c>
      <c r="V153" s="7">
        <v>37226</v>
      </c>
      <c r="W153" t="s">
        <v>499</v>
      </c>
      <c r="X153" s="2">
        <v>0.88100000000000001</v>
      </c>
      <c r="Y153" s="6">
        <f t="shared" si="22"/>
        <v>2.3517791836843653E-2</v>
      </c>
      <c r="AA153">
        <v>10459243</v>
      </c>
      <c r="AB153">
        <v>17248</v>
      </c>
      <c r="AD153" t="s">
        <v>1</v>
      </c>
      <c r="AE153">
        <v>43</v>
      </c>
      <c r="AF153">
        <v>6</v>
      </c>
      <c r="AH153" t="s">
        <v>6275</v>
      </c>
      <c r="AI153" t="s">
        <v>8958</v>
      </c>
      <c r="AJ153" t="s">
        <v>8957</v>
      </c>
      <c r="AK153" t="s">
        <v>8956</v>
      </c>
      <c r="AL153">
        <v>20</v>
      </c>
      <c r="AM153" s="5">
        <f t="shared" si="18"/>
        <v>0.95238095238095233</v>
      </c>
      <c r="AN153" s="4">
        <f t="shared" si="23"/>
        <v>1.4424550585095833E-3</v>
      </c>
      <c r="AO153" s="3"/>
      <c r="AP153">
        <v>0</v>
      </c>
      <c r="AR153" t="s">
        <v>0</v>
      </c>
      <c r="AT153" s="2" t="s">
        <v>7</v>
      </c>
      <c r="AU153" s="1">
        <f t="shared" si="19"/>
        <v>1.6895190803343432</v>
      </c>
      <c r="AV153" s="1">
        <f t="shared" si="20"/>
        <v>1.2480123447676619</v>
      </c>
      <c r="AW153" s="1">
        <f t="shared" si="21"/>
        <v>0.80650560920098036</v>
      </c>
    </row>
    <row r="154" spans="1:49" x14ac:dyDescent="0.2">
      <c r="A154">
        <v>152</v>
      </c>
      <c r="B154" t="s">
        <v>8955</v>
      </c>
      <c r="C154" t="s">
        <v>8954</v>
      </c>
      <c r="F154" t="s">
        <v>8953</v>
      </c>
      <c r="G154" t="s">
        <v>6</v>
      </c>
      <c r="H154" t="s">
        <v>5</v>
      </c>
      <c r="I154" t="s">
        <v>8952</v>
      </c>
      <c r="J154">
        <v>60003500</v>
      </c>
      <c r="K154" t="s">
        <v>83</v>
      </c>
      <c r="L154" t="s">
        <v>82</v>
      </c>
      <c r="M154" t="s">
        <v>3</v>
      </c>
      <c r="N154">
        <v>3</v>
      </c>
      <c r="O154" t="s">
        <v>8951</v>
      </c>
      <c r="P154" t="s">
        <v>8950</v>
      </c>
      <c r="Q154" t="s">
        <v>1136</v>
      </c>
      <c r="R154" s="7">
        <v>37226</v>
      </c>
      <c r="S154" s="8">
        <f t="shared" si="16"/>
        <v>2001</v>
      </c>
      <c r="T154" s="8">
        <v>2001</v>
      </c>
      <c r="U154" s="8">
        <f t="shared" si="17"/>
        <v>21</v>
      </c>
      <c r="V154" s="7">
        <v>37226</v>
      </c>
      <c r="W154" t="s">
        <v>499</v>
      </c>
      <c r="X154" s="2">
        <v>0.88100000000000001</v>
      </c>
      <c r="Y154" s="6">
        <f t="shared" si="22"/>
        <v>2.3517791836843653E-2</v>
      </c>
      <c r="AA154">
        <v>10459243</v>
      </c>
      <c r="AB154">
        <v>17248</v>
      </c>
      <c r="AD154" t="s">
        <v>1</v>
      </c>
      <c r="AE154">
        <v>43</v>
      </c>
      <c r="AF154">
        <v>6</v>
      </c>
      <c r="AH154" t="s">
        <v>8949</v>
      </c>
      <c r="AI154" t="s">
        <v>8948</v>
      </c>
      <c r="AJ154" t="s">
        <v>8947</v>
      </c>
      <c r="AK154" t="s">
        <v>8946</v>
      </c>
      <c r="AL154">
        <v>8</v>
      </c>
      <c r="AM154" s="5">
        <f t="shared" si="18"/>
        <v>0.38095238095238093</v>
      </c>
      <c r="AN154" s="4">
        <f t="shared" si="23"/>
        <v>5.7698202340383331E-4</v>
      </c>
      <c r="AO154" s="3"/>
      <c r="AP154">
        <v>0</v>
      </c>
      <c r="AR154" t="s">
        <v>0</v>
      </c>
      <c r="AT154" s="2" t="s">
        <v>7</v>
      </c>
      <c r="AU154" s="1">
        <f t="shared" si="19"/>
        <v>1.6635548892811707</v>
      </c>
      <c r="AV154" s="1">
        <f t="shared" si="20"/>
        <v>1.2047386930123745</v>
      </c>
      <c r="AW154" s="1">
        <f t="shared" si="21"/>
        <v>0.74592249674357791</v>
      </c>
    </row>
    <row r="155" spans="1:49" x14ac:dyDescent="0.2">
      <c r="A155">
        <v>153</v>
      </c>
      <c r="B155" t="s">
        <v>8945</v>
      </c>
      <c r="C155" t="s">
        <v>8944</v>
      </c>
      <c r="F155" t="s">
        <v>8943</v>
      </c>
      <c r="G155" t="s">
        <v>6</v>
      </c>
      <c r="H155" t="s">
        <v>5</v>
      </c>
      <c r="I155" t="s">
        <v>8942</v>
      </c>
      <c r="J155">
        <v>60025778</v>
      </c>
      <c r="K155" t="s">
        <v>149</v>
      </c>
      <c r="L155" t="s">
        <v>148</v>
      </c>
      <c r="M155" t="s">
        <v>3</v>
      </c>
      <c r="N155">
        <v>1</v>
      </c>
      <c r="O155" t="s">
        <v>8941</v>
      </c>
      <c r="P155">
        <v>7202900529</v>
      </c>
      <c r="Q155">
        <v>60025778</v>
      </c>
      <c r="R155" s="7">
        <v>37226</v>
      </c>
      <c r="S155" s="8">
        <f t="shared" si="16"/>
        <v>2001</v>
      </c>
      <c r="T155" s="8">
        <v>2001</v>
      </c>
      <c r="U155" s="8">
        <f t="shared" si="17"/>
        <v>21</v>
      </c>
      <c r="V155" s="7">
        <v>37226</v>
      </c>
      <c r="W155" t="s">
        <v>499</v>
      </c>
      <c r="X155" s="2">
        <v>0.88100000000000001</v>
      </c>
      <c r="Y155" s="6">
        <f t="shared" si="22"/>
        <v>2.3517791836843653E-2</v>
      </c>
      <c r="AA155">
        <v>10459243</v>
      </c>
      <c r="AB155">
        <v>17248</v>
      </c>
      <c r="AD155" t="s">
        <v>1</v>
      </c>
      <c r="AE155">
        <v>43</v>
      </c>
      <c r="AF155">
        <v>6</v>
      </c>
      <c r="AH155" t="s">
        <v>8940</v>
      </c>
      <c r="AI155" t="s">
        <v>8939</v>
      </c>
      <c r="AJ155" t="s">
        <v>8938</v>
      </c>
      <c r="AK155" t="s">
        <v>8937</v>
      </c>
      <c r="AL155">
        <v>0</v>
      </c>
      <c r="AM155" s="5">
        <f t="shared" si="18"/>
        <v>0</v>
      </c>
      <c r="AN155" s="4">
        <f t="shared" si="23"/>
        <v>0</v>
      </c>
      <c r="AO155" s="3"/>
      <c r="AP155">
        <v>0</v>
      </c>
      <c r="AR155" t="s">
        <v>0</v>
      </c>
      <c r="AT155" s="2" t="s">
        <v>7</v>
      </c>
      <c r="AU155" s="1">
        <f t="shared" si="19"/>
        <v>1.6462454285790555</v>
      </c>
      <c r="AV155" s="1">
        <f t="shared" si="20"/>
        <v>1.1758895918421826</v>
      </c>
      <c r="AW155" s="1">
        <f t="shared" si="21"/>
        <v>0.70553375510530958</v>
      </c>
    </row>
    <row r="156" spans="1:49" x14ac:dyDescent="0.2">
      <c r="A156">
        <v>154</v>
      </c>
      <c r="B156" t="s">
        <v>8936</v>
      </c>
      <c r="C156" t="s">
        <v>8935</v>
      </c>
      <c r="D156" t="s">
        <v>8934</v>
      </c>
      <c r="F156" t="s">
        <v>8933</v>
      </c>
      <c r="G156" t="s">
        <v>6</v>
      </c>
      <c r="H156" t="s">
        <v>5</v>
      </c>
      <c r="I156" t="s">
        <v>8932</v>
      </c>
      <c r="J156" t="s">
        <v>8931</v>
      </c>
      <c r="K156" t="s">
        <v>8930</v>
      </c>
      <c r="L156" t="s">
        <v>8832</v>
      </c>
      <c r="M156" t="s">
        <v>140</v>
      </c>
      <c r="N156">
        <v>3</v>
      </c>
      <c r="O156" t="s">
        <v>8929</v>
      </c>
      <c r="P156" t="s">
        <v>8928</v>
      </c>
      <c r="Q156" t="s">
        <v>8927</v>
      </c>
      <c r="R156" s="7">
        <v>37226</v>
      </c>
      <c r="S156" s="8">
        <f t="shared" si="16"/>
        <v>2001</v>
      </c>
      <c r="T156" s="8">
        <v>2001</v>
      </c>
      <c r="U156" s="8">
        <f t="shared" si="17"/>
        <v>21</v>
      </c>
      <c r="V156" s="7">
        <v>37226</v>
      </c>
      <c r="W156" t="s">
        <v>258</v>
      </c>
      <c r="X156" s="2">
        <v>0.92900000000000005</v>
      </c>
      <c r="Y156" s="6">
        <f t="shared" si="22"/>
        <v>2.4799124422732979E-2</v>
      </c>
      <c r="AA156">
        <v>10897798</v>
      </c>
      <c r="AB156">
        <v>18896</v>
      </c>
      <c r="AD156" t="s">
        <v>1</v>
      </c>
      <c r="AE156">
        <v>5</v>
      </c>
      <c r="AF156">
        <v>12</v>
      </c>
      <c r="AH156" t="s">
        <v>8926</v>
      </c>
      <c r="AI156" t="s">
        <v>8925</v>
      </c>
      <c r="AJ156" t="s">
        <v>8924</v>
      </c>
      <c r="AK156" t="s">
        <v>8923</v>
      </c>
      <c r="AL156">
        <v>9</v>
      </c>
      <c r="AM156" s="5">
        <f t="shared" si="18"/>
        <v>0.42857142857142855</v>
      </c>
      <c r="AN156" s="4">
        <f t="shared" si="23"/>
        <v>6.4910477632931242E-4</v>
      </c>
      <c r="AO156" s="3"/>
      <c r="AP156">
        <v>0</v>
      </c>
      <c r="AQ156" t="s">
        <v>8922</v>
      </c>
      <c r="AR156" t="s">
        <v>0</v>
      </c>
      <c r="AS156" t="s">
        <v>8921</v>
      </c>
      <c r="AT156" s="2">
        <v>3.4359999999999999</v>
      </c>
      <c r="AU156" s="1">
        <f t="shared" si="19"/>
        <v>1.7554118528811877</v>
      </c>
      <c r="AV156" s="1">
        <f t="shared" si="20"/>
        <v>1.2724114599531144</v>
      </c>
      <c r="AW156" s="1">
        <f t="shared" si="21"/>
        <v>0.78941106702504116</v>
      </c>
    </row>
    <row r="157" spans="1:49" x14ac:dyDescent="0.2">
      <c r="A157">
        <v>155</v>
      </c>
      <c r="B157" t="s">
        <v>8920</v>
      </c>
      <c r="C157" t="s">
        <v>8919</v>
      </c>
      <c r="F157" t="s">
        <v>8918</v>
      </c>
      <c r="G157" t="s">
        <v>6</v>
      </c>
      <c r="H157" t="s">
        <v>5</v>
      </c>
      <c r="I157" t="s">
        <v>8172</v>
      </c>
      <c r="J157">
        <v>60028419</v>
      </c>
      <c r="K157" t="s">
        <v>545</v>
      </c>
      <c r="L157" t="s">
        <v>544</v>
      </c>
      <c r="M157" t="s">
        <v>194</v>
      </c>
      <c r="N157">
        <v>3</v>
      </c>
      <c r="O157" t="s">
        <v>8917</v>
      </c>
      <c r="P157" t="s">
        <v>8916</v>
      </c>
      <c r="Q157" t="s">
        <v>8915</v>
      </c>
      <c r="R157" s="7">
        <v>37226</v>
      </c>
      <c r="S157" s="8">
        <f t="shared" si="16"/>
        <v>2001</v>
      </c>
      <c r="T157" s="8">
        <v>2001</v>
      </c>
      <c r="U157" s="8">
        <f t="shared" si="17"/>
        <v>21</v>
      </c>
      <c r="V157" s="7">
        <v>37226</v>
      </c>
      <c r="W157" t="s">
        <v>499</v>
      </c>
      <c r="X157" s="2">
        <v>0.88100000000000001</v>
      </c>
      <c r="Y157" s="6">
        <f t="shared" si="22"/>
        <v>2.3517791836843653E-2</v>
      </c>
      <c r="AA157">
        <v>10459243</v>
      </c>
      <c r="AB157">
        <v>17248</v>
      </c>
      <c r="AD157" t="s">
        <v>1</v>
      </c>
      <c r="AE157">
        <v>43</v>
      </c>
      <c r="AF157">
        <v>6</v>
      </c>
      <c r="AH157" t="s">
        <v>8914</v>
      </c>
      <c r="AI157" t="s">
        <v>8913</v>
      </c>
      <c r="AJ157" t="s">
        <v>8912</v>
      </c>
      <c r="AK157" t="s">
        <v>8911</v>
      </c>
      <c r="AL157">
        <v>34</v>
      </c>
      <c r="AM157" s="5">
        <f t="shared" si="18"/>
        <v>1.6190476190476191</v>
      </c>
      <c r="AN157" s="4">
        <f t="shared" si="23"/>
        <v>2.4521735994662915E-3</v>
      </c>
      <c r="AO157" s="3"/>
      <c r="AP157">
        <v>0</v>
      </c>
      <c r="AR157" t="s">
        <v>0</v>
      </c>
      <c r="AT157" s="2" t="s">
        <v>7</v>
      </c>
      <c r="AU157" s="1">
        <f t="shared" si="19"/>
        <v>1.7198106365630443</v>
      </c>
      <c r="AV157" s="1">
        <f t="shared" si="20"/>
        <v>1.2984982718154972</v>
      </c>
      <c r="AW157" s="1">
        <f t="shared" si="21"/>
        <v>0.87718590706795008</v>
      </c>
    </row>
    <row r="158" spans="1:49" x14ac:dyDescent="0.2">
      <c r="A158">
        <v>156</v>
      </c>
      <c r="B158" t="s">
        <v>8910</v>
      </c>
      <c r="C158" t="s">
        <v>8909</v>
      </c>
      <c r="F158" t="s">
        <v>8908</v>
      </c>
      <c r="G158" t="s">
        <v>6</v>
      </c>
      <c r="H158" t="s">
        <v>5</v>
      </c>
      <c r="I158" t="s">
        <v>8907</v>
      </c>
      <c r="J158" t="s">
        <v>8906</v>
      </c>
      <c r="K158" t="s">
        <v>8905</v>
      </c>
      <c r="L158" t="s">
        <v>8904</v>
      </c>
      <c r="M158" t="s">
        <v>128</v>
      </c>
      <c r="N158">
        <v>3</v>
      </c>
      <c r="O158" t="s">
        <v>8903</v>
      </c>
      <c r="P158" t="s">
        <v>8902</v>
      </c>
      <c r="Q158" t="s">
        <v>8901</v>
      </c>
      <c r="R158" s="7">
        <v>37226</v>
      </c>
      <c r="S158" s="8">
        <f t="shared" si="16"/>
        <v>2001</v>
      </c>
      <c r="T158" s="8">
        <v>2001</v>
      </c>
      <c r="U158" s="8">
        <f t="shared" si="17"/>
        <v>21</v>
      </c>
      <c r="V158" s="7">
        <v>37226</v>
      </c>
      <c r="W158" t="s">
        <v>499</v>
      </c>
      <c r="X158" s="2">
        <v>0.88100000000000001</v>
      </c>
      <c r="Y158" s="6">
        <f t="shared" si="22"/>
        <v>2.3517791836843653E-2</v>
      </c>
      <c r="AA158">
        <v>10459243</v>
      </c>
      <c r="AB158">
        <v>17248</v>
      </c>
      <c r="AD158" t="s">
        <v>1</v>
      </c>
      <c r="AE158">
        <v>43</v>
      </c>
      <c r="AF158">
        <v>6</v>
      </c>
      <c r="AH158" t="s">
        <v>8900</v>
      </c>
      <c r="AI158" t="s">
        <v>8899</v>
      </c>
      <c r="AJ158" t="s">
        <v>8898</v>
      </c>
      <c r="AK158" t="s">
        <v>8897</v>
      </c>
      <c r="AL158">
        <v>61</v>
      </c>
      <c r="AM158" s="5">
        <f t="shared" si="18"/>
        <v>2.9047619047619047</v>
      </c>
      <c r="AN158" s="4">
        <f t="shared" si="23"/>
        <v>4.399487928454229E-3</v>
      </c>
      <c r="AO158" s="3"/>
      <c r="AP158">
        <v>0</v>
      </c>
      <c r="AR158" t="s">
        <v>0</v>
      </c>
      <c r="AT158" s="2" t="s">
        <v>7</v>
      </c>
      <c r="AU158" s="1">
        <f t="shared" si="19"/>
        <v>1.7782300664326824</v>
      </c>
      <c r="AV158" s="1">
        <f t="shared" si="20"/>
        <v>1.3958639882648942</v>
      </c>
      <c r="AW158" s="1">
        <f t="shared" si="21"/>
        <v>1.0134979100971058</v>
      </c>
    </row>
    <row r="159" spans="1:49" x14ac:dyDescent="0.2">
      <c r="A159">
        <v>157</v>
      </c>
      <c r="B159" t="s">
        <v>8896</v>
      </c>
      <c r="C159" t="s">
        <v>8895</v>
      </c>
      <c r="F159" t="s">
        <v>8894</v>
      </c>
      <c r="G159" t="s">
        <v>6</v>
      </c>
      <c r="H159" t="s">
        <v>5</v>
      </c>
      <c r="I159" t="s">
        <v>8893</v>
      </c>
      <c r="J159" t="s">
        <v>8892</v>
      </c>
      <c r="K159" t="s">
        <v>8891</v>
      </c>
      <c r="L159" t="s">
        <v>8890</v>
      </c>
      <c r="M159" t="s">
        <v>792</v>
      </c>
      <c r="N159">
        <v>6</v>
      </c>
      <c r="O159" t="s">
        <v>8889</v>
      </c>
      <c r="P159" t="s">
        <v>8888</v>
      </c>
      <c r="Q159" t="s">
        <v>8887</v>
      </c>
      <c r="R159" s="7">
        <v>37226</v>
      </c>
      <c r="S159" s="8">
        <f t="shared" si="16"/>
        <v>2001</v>
      </c>
      <c r="T159" s="8">
        <v>2001</v>
      </c>
      <c r="U159" s="8">
        <f t="shared" si="17"/>
        <v>21</v>
      </c>
      <c r="V159" s="7">
        <v>37226</v>
      </c>
      <c r="W159" t="s">
        <v>499</v>
      </c>
      <c r="X159" s="2">
        <v>0.88100000000000001</v>
      </c>
      <c r="Y159" s="6">
        <f t="shared" si="22"/>
        <v>2.3517791836843653E-2</v>
      </c>
      <c r="AA159">
        <v>10459243</v>
      </c>
      <c r="AB159">
        <v>17248</v>
      </c>
      <c r="AD159" t="s">
        <v>1</v>
      </c>
      <c r="AE159">
        <v>43</v>
      </c>
      <c r="AF159">
        <v>6</v>
      </c>
      <c r="AH159" t="s">
        <v>8886</v>
      </c>
      <c r="AI159" t="s">
        <v>8885</v>
      </c>
      <c r="AJ159" t="s">
        <v>8884</v>
      </c>
      <c r="AK159" t="s">
        <v>8883</v>
      </c>
      <c r="AL159">
        <v>39</v>
      </c>
      <c r="AM159" s="5">
        <f t="shared" si="18"/>
        <v>1.8571428571428572</v>
      </c>
      <c r="AN159" s="4">
        <f t="shared" si="23"/>
        <v>2.8127873640936877E-3</v>
      </c>
      <c r="AO159" s="3"/>
      <c r="AP159">
        <v>0</v>
      </c>
      <c r="AR159" t="s">
        <v>0</v>
      </c>
      <c r="AT159" s="2" t="s">
        <v>7</v>
      </c>
      <c r="AU159" s="1">
        <f t="shared" si="19"/>
        <v>1.7306290495018664</v>
      </c>
      <c r="AV159" s="1">
        <f t="shared" si="20"/>
        <v>1.316528960046867</v>
      </c>
      <c r="AW159" s="1">
        <f t="shared" si="21"/>
        <v>0.9024288705918676</v>
      </c>
    </row>
    <row r="160" spans="1:49" x14ac:dyDescent="0.2">
      <c r="A160">
        <v>158</v>
      </c>
      <c r="B160" t="s">
        <v>8882</v>
      </c>
      <c r="C160" t="s">
        <v>8881</v>
      </c>
      <c r="D160" t="s">
        <v>8880</v>
      </c>
      <c r="F160" t="s">
        <v>8879</v>
      </c>
      <c r="G160" t="s">
        <v>6</v>
      </c>
      <c r="H160" t="s">
        <v>5</v>
      </c>
      <c r="I160" t="s">
        <v>8878</v>
      </c>
      <c r="J160" t="s">
        <v>8877</v>
      </c>
      <c r="K160" t="s">
        <v>8876</v>
      </c>
      <c r="L160" t="s">
        <v>994</v>
      </c>
      <c r="M160" t="s">
        <v>44</v>
      </c>
      <c r="N160">
        <v>2</v>
      </c>
      <c r="O160" t="s">
        <v>8875</v>
      </c>
      <c r="P160" t="s">
        <v>8874</v>
      </c>
      <c r="Q160" t="s">
        <v>8873</v>
      </c>
      <c r="R160" s="7">
        <v>37226</v>
      </c>
      <c r="S160" s="8">
        <f t="shared" si="16"/>
        <v>2001</v>
      </c>
      <c r="T160" s="8">
        <v>2001</v>
      </c>
      <c r="U160" s="8">
        <f t="shared" si="17"/>
        <v>21</v>
      </c>
      <c r="V160" s="7">
        <v>37226</v>
      </c>
      <c r="W160" t="s">
        <v>252</v>
      </c>
      <c r="X160" s="2">
        <v>2.9860000000000002</v>
      </c>
      <c r="Y160" s="6">
        <f t="shared" si="22"/>
        <v>7.9709564613865094E-2</v>
      </c>
      <c r="AA160">
        <v>7338716</v>
      </c>
      <c r="AB160">
        <v>18902</v>
      </c>
      <c r="AD160" t="s">
        <v>1</v>
      </c>
      <c r="AE160">
        <v>19</v>
      </c>
      <c r="AF160">
        <v>12</v>
      </c>
      <c r="AH160" t="s">
        <v>8872</v>
      </c>
      <c r="AI160" t="s">
        <v>8871</v>
      </c>
      <c r="AJ160" t="s">
        <v>8870</v>
      </c>
      <c r="AK160" t="s">
        <v>8869</v>
      </c>
      <c r="AL160">
        <v>7</v>
      </c>
      <c r="AM160" s="5">
        <f t="shared" si="18"/>
        <v>0.33333333333333331</v>
      </c>
      <c r="AN160" s="4">
        <f t="shared" si="23"/>
        <v>5.048592704783541E-4</v>
      </c>
      <c r="AO160" s="3"/>
      <c r="AP160">
        <v>0</v>
      </c>
      <c r="AQ160" t="s">
        <v>8868</v>
      </c>
      <c r="AR160" t="s">
        <v>0</v>
      </c>
      <c r="AS160" t="s">
        <v>8867</v>
      </c>
      <c r="AT160" s="2" t="s">
        <v>7</v>
      </c>
      <c r="AU160" s="1">
        <f t="shared" si="19"/>
        <v>5.5948153010849069</v>
      </c>
      <c r="AV160" s="1">
        <f t="shared" si="20"/>
        <v>4.0107211942171723</v>
      </c>
      <c r="AW160" s="1">
        <f t="shared" si="21"/>
        <v>2.4266270873494373</v>
      </c>
    </row>
    <row r="161" spans="1:49" x14ac:dyDescent="0.2">
      <c r="A161">
        <v>159</v>
      </c>
      <c r="B161" t="s">
        <v>8866</v>
      </c>
      <c r="C161" t="s">
        <v>8865</v>
      </c>
      <c r="D161" t="s">
        <v>8864</v>
      </c>
      <c r="F161" t="s">
        <v>8863</v>
      </c>
      <c r="G161" t="s">
        <v>6</v>
      </c>
      <c r="H161" t="s">
        <v>5</v>
      </c>
      <c r="I161" t="s">
        <v>8862</v>
      </c>
      <c r="J161" t="s">
        <v>8861</v>
      </c>
      <c r="K161" t="s">
        <v>8860</v>
      </c>
      <c r="L161" t="s">
        <v>8859</v>
      </c>
      <c r="M161" t="s">
        <v>1471</v>
      </c>
      <c r="N161">
        <v>5</v>
      </c>
      <c r="O161" t="s">
        <v>8858</v>
      </c>
      <c r="P161" t="s">
        <v>8857</v>
      </c>
      <c r="Q161" t="s">
        <v>8856</v>
      </c>
      <c r="R161" s="7">
        <v>37226</v>
      </c>
      <c r="S161" s="8">
        <f t="shared" si="16"/>
        <v>2001</v>
      </c>
      <c r="T161" s="8">
        <v>2001</v>
      </c>
      <c r="U161" s="8">
        <f t="shared" si="17"/>
        <v>21</v>
      </c>
      <c r="V161" s="7">
        <v>37226</v>
      </c>
      <c r="W161" t="s">
        <v>283</v>
      </c>
      <c r="X161" s="2">
        <v>2.141</v>
      </c>
      <c r="Y161" s="6">
        <f t="shared" si="22"/>
        <v>5.7152772216438434E-2</v>
      </c>
      <c r="AA161">
        <v>1962892</v>
      </c>
      <c r="AB161">
        <v>17360</v>
      </c>
      <c r="AD161" t="s">
        <v>1</v>
      </c>
      <c r="AE161">
        <v>39</v>
      </c>
      <c r="AF161">
        <v>12</v>
      </c>
      <c r="AH161" t="s">
        <v>8855</v>
      </c>
      <c r="AI161" t="s">
        <v>8854</v>
      </c>
      <c r="AJ161" t="s">
        <v>8853</v>
      </c>
      <c r="AK161" t="s">
        <v>8852</v>
      </c>
      <c r="AL161">
        <v>15</v>
      </c>
      <c r="AM161" s="5">
        <f t="shared" si="18"/>
        <v>0.7142857142857143</v>
      </c>
      <c r="AN161" s="4">
        <f t="shared" si="23"/>
        <v>1.0818412938821875E-3</v>
      </c>
      <c r="AO161" s="3"/>
      <c r="AP161">
        <v>0</v>
      </c>
      <c r="AQ161" t="s">
        <v>21</v>
      </c>
      <c r="AR161" t="s">
        <v>995</v>
      </c>
      <c r="AS161" t="s">
        <v>20</v>
      </c>
      <c r="AT161" s="2" t="s">
        <v>7</v>
      </c>
      <c r="AU161" s="1">
        <f t="shared" si="19"/>
        <v>4.0331492939671563</v>
      </c>
      <c r="AV161" s="1">
        <f t="shared" si="20"/>
        <v>2.911730675516031</v>
      </c>
      <c r="AW161" s="1">
        <f t="shared" si="21"/>
        <v>1.790312057064906</v>
      </c>
    </row>
    <row r="162" spans="1:49" x14ac:dyDescent="0.2">
      <c r="A162">
        <v>160</v>
      </c>
      <c r="B162" t="s">
        <v>8851</v>
      </c>
      <c r="C162" t="s">
        <v>8850</v>
      </c>
      <c r="F162" t="s">
        <v>8849</v>
      </c>
      <c r="G162" t="s">
        <v>6</v>
      </c>
      <c r="H162" t="s">
        <v>5</v>
      </c>
      <c r="I162" t="s">
        <v>8848</v>
      </c>
      <c r="J162">
        <v>60070211</v>
      </c>
      <c r="K162" t="s">
        <v>8847</v>
      </c>
      <c r="L162" t="s">
        <v>8846</v>
      </c>
      <c r="M162" t="s">
        <v>80</v>
      </c>
      <c r="N162">
        <v>2</v>
      </c>
      <c r="O162" t="s">
        <v>8845</v>
      </c>
      <c r="P162" t="s">
        <v>8844</v>
      </c>
      <c r="Q162" t="s">
        <v>8843</v>
      </c>
      <c r="R162" s="7">
        <v>37226</v>
      </c>
      <c r="S162" s="8">
        <f t="shared" si="16"/>
        <v>2001</v>
      </c>
      <c r="T162" s="8">
        <v>2001</v>
      </c>
      <c r="U162" s="8">
        <f t="shared" si="17"/>
        <v>21</v>
      </c>
      <c r="V162" s="7">
        <v>2001</v>
      </c>
      <c r="W162" t="s">
        <v>2473</v>
      </c>
      <c r="X162" s="2">
        <v>0.79500000000000004</v>
      </c>
      <c r="Y162" s="6">
        <f t="shared" si="22"/>
        <v>2.1222070953791944E-2</v>
      </c>
      <c r="AA162">
        <v>9312048</v>
      </c>
      <c r="AB162">
        <v>20459</v>
      </c>
      <c r="AD162" t="s">
        <v>1</v>
      </c>
      <c r="AE162">
        <v>125</v>
      </c>
      <c r="AF162" s="10">
        <v>44478</v>
      </c>
      <c r="AH162" t="s">
        <v>8842</v>
      </c>
      <c r="AI162" t="s">
        <v>8841</v>
      </c>
      <c r="AK162" t="s">
        <v>8840</v>
      </c>
      <c r="AL162">
        <v>4</v>
      </c>
      <c r="AM162" s="5">
        <f t="shared" si="18"/>
        <v>0.19047619047619047</v>
      </c>
      <c r="AN162" s="4">
        <f t="shared" si="23"/>
        <v>2.8849101170191666E-4</v>
      </c>
      <c r="AO162" s="3"/>
      <c r="AP162">
        <v>0</v>
      </c>
      <c r="AR162" t="s">
        <v>0</v>
      </c>
      <c r="AT162" s="2">
        <v>2.6030000000000002</v>
      </c>
      <c r="AU162" s="1">
        <f t="shared" si="19"/>
        <v>1.4941996971164935</v>
      </c>
      <c r="AV162" s="1">
        <f t="shared" si="20"/>
        <v>1.0755280982746929</v>
      </c>
      <c r="AW162" s="1">
        <f t="shared" si="21"/>
        <v>0.65685649943289248</v>
      </c>
    </row>
    <row r="163" spans="1:49" x14ac:dyDescent="0.2">
      <c r="A163">
        <v>161</v>
      </c>
      <c r="B163" t="s">
        <v>8839</v>
      </c>
      <c r="C163" t="s">
        <v>8838</v>
      </c>
      <c r="D163" t="s">
        <v>8837</v>
      </c>
      <c r="F163" t="s">
        <v>8836</v>
      </c>
      <c r="G163" t="s">
        <v>6</v>
      </c>
      <c r="H163" t="s">
        <v>5</v>
      </c>
      <c r="I163" t="s">
        <v>8835</v>
      </c>
      <c r="J163" t="s">
        <v>8834</v>
      </c>
      <c r="K163" t="s">
        <v>8833</v>
      </c>
      <c r="L163" t="s">
        <v>8832</v>
      </c>
      <c r="M163" t="s">
        <v>140</v>
      </c>
      <c r="N163">
        <v>3</v>
      </c>
      <c r="O163" t="s">
        <v>8831</v>
      </c>
      <c r="P163" t="s">
        <v>8830</v>
      </c>
      <c r="Q163" t="s">
        <v>8829</v>
      </c>
      <c r="R163" s="7">
        <v>37226</v>
      </c>
      <c r="S163" s="8">
        <f t="shared" si="16"/>
        <v>2001</v>
      </c>
      <c r="T163" s="8">
        <v>2001</v>
      </c>
      <c r="U163" s="8">
        <f t="shared" si="17"/>
        <v>21</v>
      </c>
      <c r="V163" s="7">
        <v>37226</v>
      </c>
      <c r="W163" t="s">
        <v>252</v>
      </c>
      <c r="X163" s="2">
        <v>2.9860000000000002</v>
      </c>
      <c r="Y163" s="6">
        <f t="shared" si="22"/>
        <v>7.9709564613865094E-2</v>
      </c>
      <c r="AA163">
        <v>7338716</v>
      </c>
      <c r="AB163">
        <v>18902</v>
      </c>
      <c r="AD163" t="s">
        <v>1</v>
      </c>
      <c r="AE163">
        <v>19</v>
      </c>
      <c r="AF163">
        <v>12</v>
      </c>
      <c r="AH163" t="s">
        <v>8828</v>
      </c>
      <c r="AI163" t="s">
        <v>8827</v>
      </c>
      <c r="AJ163" t="s">
        <v>8826</v>
      </c>
      <c r="AK163" t="s">
        <v>8825</v>
      </c>
      <c r="AL163">
        <v>31</v>
      </c>
      <c r="AM163" s="5">
        <f t="shared" si="18"/>
        <v>1.4761904761904763</v>
      </c>
      <c r="AN163" s="4">
        <f t="shared" si="23"/>
        <v>2.2358053406898544E-3</v>
      </c>
      <c r="AO163" s="3"/>
      <c r="AP163">
        <v>0</v>
      </c>
      <c r="AR163" t="s">
        <v>0</v>
      </c>
      <c r="AT163" s="2" t="s">
        <v>7</v>
      </c>
      <c r="AU163" s="1">
        <f t="shared" si="19"/>
        <v>5.646743683191251</v>
      </c>
      <c r="AV163" s="1">
        <f t="shared" si="20"/>
        <v>4.0972684977277476</v>
      </c>
      <c r="AW163" s="1">
        <f t="shared" si="21"/>
        <v>2.5477933122642424</v>
      </c>
    </row>
    <row r="164" spans="1:49" x14ac:dyDescent="0.2">
      <c r="A164">
        <v>162</v>
      </c>
      <c r="B164" t="s">
        <v>8824</v>
      </c>
      <c r="C164" t="s">
        <v>8823</v>
      </c>
      <c r="F164" t="s">
        <v>8822</v>
      </c>
      <c r="G164" t="s">
        <v>6</v>
      </c>
      <c r="H164" t="s">
        <v>5</v>
      </c>
      <c r="I164" t="s">
        <v>8821</v>
      </c>
      <c r="J164" t="s">
        <v>8820</v>
      </c>
      <c r="K164" t="s">
        <v>8819</v>
      </c>
      <c r="L164" t="s">
        <v>8818</v>
      </c>
      <c r="M164" t="s">
        <v>176</v>
      </c>
      <c r="N164">
        <v>8</v>
      </c>
      <c r="O164" t="s">
        <v>8817</v>
      </c>
      <c r="P164" t="s">
        <v>8816</v>
      </c>
      <c r="Q164" t="s">
        <v>8815</v>
      </c>
      <c r="R164" s="7">
        <v>37226</v>
      </c>
      <c r="S164" s="8">
        <f t="shared" si="16"/>
        <v>2001</v>
      </c>
      <c r="T164" s="8">
        <v>2001</v>
      </c>
      <c r="U164" s="8">
        <f t="shared" si="17"/>
        <v>21</v>
      </c>
      <c r="V164" s="7">
        <v>37226</v>
      </c>
      <c r="W164" t="s">
        <v>887</v>
      </c>
      <c r="X164" s="2">
        <v>3.2160000000000002</v>
      </c>
      <c r="Y164" s="6">
        <f t="shared" si="22"/>
        <v>8.5849283254584782E-2</v>
      </c>
      <c r="AA164">
        <v>10709916</v>
      </c>
      <c r="AB164">
        <v>80015</v>
      </c>
      <c r="AD164" t="s">
        <v>1</v>
      </c>
      <c r="AE164">
        <v>8</v>
      </c>
      <c r="AF164">
        <v>6</v>
      </c>
      <c r="AH164" t="s">
        <v>8814</v>
      </c>
      <c r="AI164" t="s">
        <v>8813</v>
      </c>
      <c r="AK164" t="s">
        <v>8812</v>
      </c>
      <c r="AL164">
        <v>94</v>
      </c>
      <c r="AM164" s="5">
        <f t="shared" si="18"/>
        <v>4.4761904761904763</v>
      </c>
      <c r="AN164" s="4">
        <f t="shared" si="23"/>
        <v>6.779538774995042E-3</v>
      </c>
      <c r="AO164" s="3"/>
      <c r="AP164">
        <v>0</v>
      </c>
      <c r="AR164" t="s">
        <v>0</v>
      </c>
      <c r="AT164" s="2" t="s">
        <v>7</v>
      </c>
      <c r="AU164" s="1">
        <f t="shared" si="19"/>
        <v>6.2128359910707847</v>
      </c>
      <c r="AV164" s="1">
        <f t="shared" si="20"/>
        <v>4.6314411014789911</v>
      </c>
      <c r="AW164" s="1">
        <f t="shared" si="21"/>
        <v>3.0500462118871963</v>
      </c>
    </row>
    <row r="165" spans="1:49" x14ac:dyDescent="0.2">
      <c r="A165">
        <v>163</v>
      </c>
      <c r="B165" t="s">
        <v>8811</v>
      </c>
      <c r="E165">
        <v>11779803</v>
      </c>
      <c r="F165" t="s">
        <v>8810</v>
      </c>
      <c r="G165" t="s">
        <v>6</v>
      </c>
      <c r="H165" t="s">
        <v>5</v>
      </c>
      <c r="I165" t="s">
        <v>8809</v>
      </c>
      <c r="J165" t="s">
        <v>8808</v>
      </c>
      <c r="K165" t="s">
        <v>8807</v>
      </c>
      <c r="L165" t="s">
        <v>8806</v>
      </c>
      <c r="M165" t="s">
        <v>128</v>
      </c>
      <c r="N165">
        <v>5</v>
      </c>
      <c r="O165" t="s">
        <v>8805</v>
      </c>
      <c r="P165" t="s">
        <v>8804</v>
      </c>
      <c r="Q165" t="s">
        <v>8803</v>
      </c>
      <c r="R165" s="7">
        <v>37226</v>
      </c>
      <c r="S165" s="8">
        <f t="shared" si="16"/>
        <v>2001</v>
      </c>
      <c r="T165" s="8">
        <v>2001</v>
      </c>
      <c r="U165" s="8">
        <f t="shared" si="17"/>
        <v>21</v>
      </c>
      <c r="V165" s="7">
        <v>2001</v>
      </c>
      <c r="W165" t="s">
        <v>8802</v>
      </c>
      <c r="X165" s="2">
        <v>2.7919999999999998</v>
      </c>
      <c r="Y165" s="6">
        <f t="shared" si="22"/>
        <v>7.4530845412562399E-2</v>
      </c>
      <c r="AA165">
        <v>166731</v>
      </c>
      <c r="AB165">
        <v>22173</v>
      </c>
      <c r="AD165" t="s">
        <v>1</v>
      </c>
      <c r="AE165">
        <v>159</v>
      </c>
      <c r="AF165">
        <v>4</v>
      </c>
      <c r="AH165" t="s">
        <v>8801</v>
      </c>
      <c r="AI165" t="s">
        <v>8800</v>
      </c>
      <c r="AK165" t="s">
        <v>8799</v>
      </c>
      <c r="AL165">
        <v>26</v>
      </c>
      <c r="AM165" s="5">
        <f t="shared" si="18"/>
        <v>1.2380952380952381</v>
      </c>
      <c r="AN165" s="4">
        <f t="shared" si="23"/>
        <v>1.8751915760624584E-3</v>
      </c>
      <c r="AO165" s="3"/>
      <c r="AP165">
        <v>0</v>
      </c>
      <c r="AR165" t="s">
        <v>0</v>
      </c>
      <c r="AT165" s="2">
        <v>4.5620000000000003</v>
      </c>
      <c r="AU165" s="1">
        <f t="shared" si="19"/>
        <v>5.2734149261612417</v>
      </c>
      <c r="AV165" s="1">
        <f t="shared" si="20"/>
        <v>3.8203018494312428</v>
      </c>
      <c r="AW165" s="1">
        <f t="shared" si="21"/>
        <v>2.3671887727012439</v>
      </c>
    </row>
    <row r="166" spans="1:49" x14ac:dyDescent="0.2">
      <c r="A166">
        <v>164</v>
      </c>
      <c r="B166" t="s">
        <v>8798</v>
      </c>
      <c r="C166" t="s">
        <v>8797</v>
      </c>
      <c r="D166" t="s">
        <v>8796</v>
      </c>
      <c r="E166">
        <v>11804762</v>
      </c>
      <c r="F166" t="s">
        <v>8795</v>
      </c>
      <c r="G166" t="s">
        <v>6</v>
      </c>
      <c r="H166" t="s">
        <v>5</v>
      </c>
      <c r="I166" t="s">
        <v>8794</v>
      </c>
      <c r="J166">
        <v>60003500</v>
      </c>
      <c r="K166" t="s">
        <v>83</v>
      </c>
      <c r="L166" t="s">
        <v>82</v>
      </c>
      <c r="M166" t="s">
        <v>3</v>
      </c>
      <c r="N166">
        <v>6</v>
      </c>
      <c r="O166" t="s">
        <v>8793</v>
      </c>
      <c r="P166" t="s">
        <v>8792</v>
      </c>
      <c r="Q166" t="s">
        <v>8791</v>
      </c>
      <c r="R166" s="7">
        <v>37226</v>
      </c>
      <c r="S166" s="8">
        <f t="shared" si="16"/>
        <v>2001</v>
      </c>
      <c r="T166" s="8">
        <v>2001</v>
      </c>
      <c r="U166" s="8">
        <f t="shared" si="17"/>
        <v>21</v>
      </c>
      <c r="V166" s="7">
        <v>2001</v>
      </c>
      <c r="W166" t="s">
        <v>8790</v>
      </c>
      <c r="X166" s="2">
        <v>0.72299999999999998</v>
      </c>
      <c r="Y166" s="6">
        <f t="shared" si="22"/>
        <v>1.9300072074957958E-2</v>
      </c>
      <c r="AA166" t="s">
        <v>8789</v>
      </c>
      <c r="AB166">
        <v>17264</v>
      </c>
      <c r="AD166" t="s">
        <v>1</v>
      </c>
      <c r="AE166">
        <v>19</v>
      </c>
      <c r="AF166">
        <v>10</v>
      </c>
      <c r="AH166" t="s">
        <v>8788</v>
      </c>
      <c r="AI166" t="s">
        <v>8787</v>
      </c>
      <c r="AJ166" t="s">
        <v>8786</v>
      </c>
      <c r="AK166" t="s">
        <v>8785</v>
      </c>
      <c r="AL166">
        <v>173</v>
      </c>
      <c r="AM166" s="5">
        <f t="shared" si="18"/>
        <v>8.2380952380952372</v>
      </c>
      <c r="AN166" s="4">
        <f t="shared" si="23"/>
        <v>1.2477236256107894E-2</v>
      </c>
      <c r="AO166" s="3"/>
      <c r="AP166">
        <v>0</v>
      </c>
      <c r="AQ166" t="s">
        <v>53</v>
      </c>
      <c r="AR166" t="s">
        <v>8784</v>
      </c>
      <c r="AS166" t="s">
        <v>51</v>
      </c>
      <c r="AT166" s="2">
        <v>2.5459999999999998</v>
      </c>
      <c r="AU166" s="1">
        <f t="shared" si="19"/>
        <v>1.7253221329302939</v>
      </c>
      <c r="AV166" s="1">
        <f t="shared" si="20"/>
        <v>1.5888654165532927</v>
      </c>
      <c r="AW166" s="1">
        <f t="shared" si="21"/>
        <v>1.4524087001762913</v>
      </c>
    </row>
    <row r="167" spans="1:49" x14ac:dyDescent="0.2">
      <c r="A167">
        <v>165</v>
      </c>
      <c r="B167" t="s">
        <v>8783</v>
      </c>
      <c r="C167" t="s">
        <v>8782</v>
      </c>
      <c r="D167" t="s">
        <v>8781</v>
      </c>
      <c r="F167" t="s">
        <v>8780</v>
      </c>
      <c r="G167" t="s">
        <v>6</v>
      </c>
      <c r="H167" t="s">
        <v>5</v>
      </c>
      <c r="I167" t="s">
        <v>8779</v>
      </c>
      <c r="J167" t="s">
        <v>8778</v>
      </c>
      <c r="K167" t="s">
        <v>8777</v>
      </c>
      <c r="L167" t="s">
        <v>8776</v>
      </c>
      <c r="M167" t="s">
        <v>14</v>
      </c>
      <c r="N167">
        <v>7</v>
      </c>
      <c r="O167" t="s">
        <v>8775</v>
      </c>
      <c r="P167" t="s">
        <v>8774</v>
      </c>
      <c r="Q167" t="s">
        <v>8773</v>
      </c>
      <c r="R167" s="7">
        <v>37226</v>
      </c>
      <c r="S167" s="8">
        <f t="shared" si="16"/>
        <v>2001</v>
      </c>
      <c r="T167" s="8">
        <v>2001</v>
      </c>
      <c r="U167" s="8">
        <f t="shared" si="17"/>
        <v>21</v>
      </c>
      <c r="V167" s="7">
        <v>37226</v>
      </c>
      <c r="W167" t="s">
        <v>684</v>
      </c>
      <c r="X167" s="2">
        <v>1.3280000000000001</v>
      </c>
      <c r="Y167" s="6">
        <f t="shared" si="22"/>
        <v>3.5450201542937994E-2</v>
      </c>
      <c r="AA167">
        <v>7413335</v>
      </c>
      <c r="AB167">
        <v>29251</v>
      </c>
      <c r="AD167" t="s">
        <v>1</v>
      </c>
      <c r="AE167">
        <v>43</v>
      </c>
      <c r="AF167">
        <v>12</v>
      </c>
      <c r="AH167" t="s">
        <v>8772</v>
      </c>
      <c r="AI167" t="s">
        <v>8771</v>
      </c>
      <c r="AK167" t="s">
        <v>8770</v>
      </c>
      <c r="AL167">
        <v>25</v>
      </c>
      <c r="AM167" s="5">
        <f t="shared" si="18"/>
        <v>1.1904761904761905</v>
      </c>
      <c r="AN167" s="4">
        <f t="shared" si="23"/>
        <v>1.8030688231369791E-3</v>
      </c>
      <c r="AO167" s="3"/>
      <c r="AP167">
        <v>0</v>
      </c>
      <c r="AR167" t="s">
        <v>0</v>
      </c>
      <c r="AT167" s="2">
        <v>2.4580000000000002</v>
      </c>
      <c r="AU167" s="1">
        <f t="shared" si="19"/>
        <v>2.5356061726997692</v>
      </c>
      <c r="AV167" s="1">
        <f t="shared" si="20"/>
        <v>1.8626635183037488</v>
      </c>
      <c r="AW167" s="1">
        <f t="shared" si="21"/>
        <v>1.1897208639077284</v>
      </c>
    </row>
    <row r="168" spans="1:49" x14ac:dyDescent="0.2">
      <c r="A168">
        <v>166</v>
      </c>
      <c r="B168" t="s">
        <v>8769</v>
      </c>
      <c r="C168" t="s">
        <v>8768</v>
      </c>
      <c r="D168" t="s">
        <v>8767</v>
      </c>
      <c r="F168" t="s">
        <v>19</v>
      </c>
      <c r="G168" t="s">
        <v>6</v>
      </c>
      <c r="H168" t="s">
        <v>5</v>
      </c>
      <c r="I168" t="s">
        <v>18</v>
      </c>
      <c r="J168" t="s">
        <v>17</v>
      </c>
      <c r="K168" t="s">
        <v>16</v>
      </c>
      <c r="L168" t="s">
        <v>15</v>
      </c>
      <c r="M168" t="s">
        <v>9</v>
      </c>
      <c r="N168">
        <v>5</v>
      </c>
      <c r="O168" t="s">
        <v>8766</v>
      </c>
      <c r="P168" t="s">
        <v>8765</v>
      </c>
      <c r="Q168" t="s">
        <v>8764</v>
      </c>
      <c r="R168" s="7">
        <v>37226</v>
      </c>
      <c r="S168" s="8">
        <f t="shared" si="16"/>
        <v>2001</v>
      </c>
      <c r="T168" s="8">
        <v>2001</v>
      </c>
      <c r="U168" s="8">
        <f t="shared" si="17"/>
        <v>21</v>
      </c>
      <c r="V168" s="7">
        <v>37226</v>
      </c>
      <c r="W168" t="s">
        <v>684</v>
      </c>
      <c r="X168" s="2">
        <v>1.3280000000000001</v>
      </c>
      <c r="Y168" s="6">
        <f t="shared" si="22"/>
        <v>3.5450201542937994E-2</v>
      </c>
      <c r="AA168">
        <v>7413335</v>
      </c>
      <c r="AB168">
        <v>29251</v>
      </c>
      <c r="AD168" t="s">
        <v>1</v>
      </c>
      <c r="AE168">
        <v>43</v>
      </c>
      <c r="AF168">
        <v>12</v>
      </c>
      <c r="AH168" t="s">
        <v>8763</v>
      </c>
      <c r="AI168" t="s">
        <v>8762</v>
      </c>
      <c r="AK168" t="s">
        <v>8761</v>
      </c>
      <c r="AL168">
        <v>177</v>
      </c>
      <c r="AM168" s="5">
        <f t="shared" si="18"/>
        <v>8.4285714285714288</v>
      </c>
      <c r="AN168" s="4">
        <f t="shared" si="23"/>
        <v>1.2765727267809814E-2</v>
      </c>
      <c r="AO168" s="3"/>
      <c r="AP168">
        <v>0</v>
      </c>
      <c r="AR168" t="s">
        <v>0</v>
      </c>
      <c r="AT168" s="2">
        <v>2.4580000000000002</v>
      </c>
      <c r="AU168" s="1">
        <f t="shared" si="19"/>
        <v>2.8644859260399542</v>
      </c>
      <c r="AV168" s="1">
        <f t="shared" si="20"/>
        <v>2.4107964405373905</v>
      </c>
      <c r="AW168" s="1">
        <f t="shared" si="21"/>
        <v>1.9571069550348268</v>
      </c>
    </row>
    <row r="169" spans="1:49" x14ac:dyDescent="0.2">
      <c r="A169">
        <v>167</v>
      </c>
      <c r="B169" t="s">
        <v>8760</v>
      </c>
      <c r="F169" t="s">
        <v>8759</v>
      </c>
      <c r="G169" t="s">
        <v>6</v>
      </c>
      <c r="H169" t="s">
        <v>5</v>
      </c>
      <c r="I169" t="s">
        <v>8758</v>
      </c>
      <c r="J169">
        <v>60014652</v>
      </c>
      <c r="K169" t="s">
        <v>193</v>
      </c>
      <c r="L169" t="s">
        <v>136</v>
      </c>
      <c r="M169" t="s">
        <v>26</v>
      </c>
      <c r="N169">
        <v>2</v>
      </c>
      <c r="O169" t="s">
        <v>8757</v>
      </c>
      <c r="P169" t="s">
        <v>8756</v>
      </c>
      <c r="Q169" t="s">
        <v>518</v>
      </c>
      <c r="R169" s="7">
        <v>37226</v>
      </c>
      <c r="S169" s="8">
        <f t="shared" si="16"/>
        <v>2001</v>
      </c>
      <c r="T169" s="8">
        <v>2001</v>
      </c>
      <c r="U169" s="8">
        <f t="shared" si="17"/>
        <v>21</v>
      </c>
      <c r="V169" s="7">
        <v>2001</v>
      </c>
      <c r="W169" t="s">
        <v>75</v>
      </c>
      <c r="X169" s="2">
        <v>0.26900000000000002</v>
      </c>
      <c r="Y169" s="6">
        <f t="shared" si="22"/>
        <v>7.1808013667547591E-3</v>
      </c>
      <c r="AA169" t="s">
        <v>74</v>
      </c>
      <c r="AB169">
        <v>13669</v>
      </c>
      <c r="AD169" t="s">
        <v>1</v>
      </c>
      <c r="AE169">
        <v>114</v>
      </c>
      <c r="AF169">
        <v>4</v>
      </c>
      <c r="AH169" t="s">
        <v>8755</v>
      </c>
      <c r="AI169" t="s">
        <v>8754</v>
      </c>
      <c r="AK169" t="s">
        <v>8753</v>
      </c>
      <c r="AL169">
        <v>1</v>
      </c>
      <c r="AM169" s="5">
        <f t="shared" si="18"/>
        <v>4.7619047619047616E-2</v>
      </c>
      <c r="AN169" s="4">
        <f t="shared" si="23"/>
        <v>7.2122752925479164E-5</v>
      </c>
      <c r="AO169" s="3"/>
      <c r="AP169">
        <v>0</v>
      </c>
      <c r="AR169" t="s">
        <v>0</v>
      </c>
      <c r="AT169" s="2" t="s">
        <v>7</v>
      </c>
      <c r="AU169" s="1">
        <f t="shared" si="19"/>
        <v>0.50481977826059743</v>
      </c>
      <c r="AV169" s="1">
        <f t="shared" si="20"/>
        <v>0.36264620598401187</v>
      </c>
      <c r="AW169" s="1">
        <f t="shared" si="21"/>
        <v>0.22047263370742631</v>
      </c>
    </row>
    <row r="170" spans="1:49" x14ac:dyDescent="0.2">
      <c r="A170">
        <v>168</v>
      </c>
      <c r="B170" t="s">
        <v>8752</v>
      </c>
      <c r="C170" t="s">
        <v>8751</v>
      </c>
      <c r="F170" t="s">
        <v>8750</v>
      </c>
      <c r="G170" t="s">
        <v>6</v>
      </c>
      <c r="H170" t="s">
        <v>5</v>
      </c>
      <c r="I170" t="s">
        <v>8749</v>
      </c>
      <c r="J170">
        <v>60027716</v>
      </c>
      <c r="K170" t="s">
        <v>502</v>
      </c>
      <c r="L170" t="s">
        <v>278</v>
      </c>
      <c r="M170" t="s">
        <v>3</v>
      </c>
      <c r="N170">
        <v>5</v>
      </c>
      <c r="O170" t="s">
        <v>8748</v>
      </c>
      <c r="P170" t="s">
        <v>8747</v>
      </c>
      <c r="Q170" t="s">
        <v>8746</v>
      </c>
      <c r="R170" s="7">
        <v>37226</v>
      </c>
      <c r="S170" s="8">
        <f t="shared" si="16"/>
        <v>2001</v>
      </c>
      <c r="T170" s="8">
        <v>2001</v>
      </c>
      <c r="U170" s="8">
        <f t="shared" si="17"/>
        <v>21</v>
      </c>
      <c r="V170" s="7">
        <v>2001</v>
      </c>
      <c r="W170" t="s">
        <v>8745</v>
      </c>
      <c r="X170" s="2">
        <v>1.78</v>
      </c>
      <c r="Y170" s="6">
        <f t="shared" si="22"/>
        <v>4.7516083393395803E-2</v>
      </c>
      <c r="AA170">
        <v>9497714</v>
      </c>
      <c r="AB170">
        <v>28439</v>
      </c>
      <c r="AD170" t="s">
        <v>1</v>
      </c>
      <c r="AE170">
        <v>75</v>
      </c>
      <c r="AF170">
        <v>12</v>
      </c>
      <c r="AH170" t="s">
        <v>8744</v>
      </c>
      <c r="AI170" t="s">
        <v>8743</v>
      </c>
      <c r="AJ170" t="s">
        <v>8742</v>
      </c>
      <c r="AK170" t="s">
        <v>8741</v>
      </c>
      <c r="AL170">
        <v>110</v>
      </c>
      <c r="AM170" s="5">
        <f t="shared" si="18"/>
        <v>5.2380952380952381</v>
      </c>
      <c r="AN170" s="4">
        <f t="shared" si="23"/>
        <v>7.9335028218027077E-3</v>
      </c>
      <c r="AO170" s="3"/>
      <c r="AP170">
        <v>0</v>
      </c>
      <c r="AR170" t="s">
        <v>0</v>
      </c>
      <c r="AT170" s="2">
        <v>4.26</v>
      </c>
      <c r="AU170" s="1">
        <f t="shared" si="19"/>
        <v>3.564130922191787</v>
      </c>
      <c r="AV170" s="1">
        <f t="shared" si="20"/>
        <v>2.7724793107599255</v>
      </c>
      <c r="AW170" s="1">
        <f t="shared" si="21"/>
        <v>1.9808276993280634</v>
      </c>
    </row>
    <row r="171" spans="1:49" x14ac:dyDescent="0.2">
      <c r="A171">
        <v>169</v>
      </c>
      <c r="B171" t="s">
        <v>8740</v>
      </c>
      <c r="C171" t="s">
        <v>8739</v>
      </c>
      <c r="D171" t="s">
        <v>8738</v>
      </c>
      <c r="F171" t="s">
        <v>8737</v>
      </c>
      <c r="G171" t="s">
        <v>6</v>
      </c>
      <c r="H171" t="s">
        <v>5</v>
      </c>
      <c r="I171" t="s">
        <v>8736</v>
      </c>
      <c r="J171" t="s">
        <v>8735</v>
      </c>
      <c r="K171" t="s">
        <v>8734</v>
      </c>
      <c r="L171" t="s">
        <v>8733</v>
      </c>
      <c r="M171" t="s">
        <v>128</v>
      </c>
      <c r="N171">
        <v>3</v>
      </c>
      <c r="O171" t="s">
        <v>8732</v>
      </c>
      <c r="P171" t="s">
        <v>8731</v>
      </c>
      <c r="Q171" t="s">
        <v>8730</v>
      </c>
      <c r="R171" s="7">
        <v>37226</v>
      </c>
      <c r="S171" s="8">
        <f t="shared" si="16"/>
        <v>2001</v>
      </c>
      <c r="T171" s="8">
        <v>2001</v>
      </c>
      <c r="U171" s="8">
        <f t="shared" si="17"/>
        <v>21</v>
      </c>
      <c r="V171" s="7">
        <v>37226</v>
      </c>
      <c r="W171" t="s">
        <v>294</v>
      </c>
      <c r="X171" s="2">
        <v>1.6379999999999999</v>
      </c>
      <c r="Y171" s="6">
        <f t="shared" si="22"/>
        <v>4.3725474493473214E-2</v>
      </c>
      <c r="AA171" t="s">
        <v>293</v>
      </c>
      <c r="AB171">
        <v>17391</v>
      </c>
      <c r="AD171" t="s">
        <v>1</v>
      </c>
      <c r="AE171">
        <v>49</v>
      </c>
      <c r="AF171">
        <v>12</v>
      </c>
      <c r="AH171" t="s">
        <v>8729</v>
      </c>
      <c r="AI171" t="s">
        <v>8728</v>
      </c>
      <c r="AJ171" t="s">
        <v>8727</v>
      </c>
      <c r="AK171" t="s">
        <v>8726</v>
      </c>
      <c r="AL171">
        <v>27</v>
      </c>
      <c r="AM171" s="5">
        <f t="shared" si="18"/>
        <v>1.2857142857142858</v>
      </c>
      <c r="AN171" s="4">
        <f t="shared" si="23"/>
        <v>1.9473143289879377E-3</v>
      </c>
      <c r="AO171" s="3"/>
      <c r="AP171">
        <v>0</v>
      </c>
      <c r="AR171" t="s">
        <v>0</v>
      </c>
      <c r="AT171" s="2">
        <v>4.931</v>
      </c>
      <c r="AU171" s="1">
        <f t="shared" si="19"/>
        <v>3.1192026444127627</v>
      </c>
      <c r="AV171" s="1">
        <f t="shared" si="20"/>
        <v>2.2836394411230576</v>
      </c>
      <c r="AW171" s="1">
        <f t="shared" si="21"/>
        <v>1.448076237833352</v>
      </c>
    </row>
    <row r="172" spans="1:49" x14ac:dyDescent="0.2">
      <c r="A172">
        <v>170</v>
      </c>
      <c r="B172" t="s">
        <v>8725</v>
      </c>
      <c r="C172" t="s">
        <v>8724</v>
      </c>
      <c r="F172" t="s">
        <v>8723</v>
      </c>
      <c r="G172" t="s">
        <v>6</v>
      </c>
      <c r="H172" t="s">
        <v>5</v>
      </c>
      <c r="I172" t="s">
        <v>8722</v>
      </c>
      <c r="J172">
        <v>60009037</v>
      </c>
      <c r="K172" t="s">
        <v>124</v>
      </c>
      <c r="L172" t="s">
        <v>123</v>
      </c>
      <c r="M172" t="s">
        <v>3</v>
      </c>
      <c r="N172">
        <v>4</v>
      </c>
      <c r="O172" t="s">
        <v>8721</v>
      </c>
      <c r="P172" t="s">
        <v>8720</v>
      </c>
      <c r="Q172" t="s">
        <v>751</v>
      </c>
      <c r="R172" s="7">
        <v>37226</v>
      </c>
      <c r="S172" s="8">
        <f t="shared" si="16"/>
        <v>2001</v>
      </c>
      <c r="T172" s="8">
        <v>2001</v>
      </c>
      <c r="U172" s="8">
        <f t="shared" si="17"/>
        <v>21</v>
      </c>
      <c r="V172" s="7">
        <v>37226</v>
      </c>
      <c r="W172" t="s">
        <v>637</v>
      </c>
      <c r="X172" s="2">
        <v>2.0070000000000001</v>
      </c>
      <c r="Y172" s="6">
        <f t="shared" si="22"/>
        <v>5.3575718747497406E-2</v>
      </c>
      <c r="AA172">
        <v>948276</v>
      </c>
      <c r="AB172">
        <v>27962</v>
      </c>
      <c r="AD172" t="s">
        <v>1</v>
      </c>
      <c r="AE172">
        <v>28</v>
      </c>
      <c r="AF172">
        <v>23</v>
      </c>
      <c r="AH172" t="s">
        <v>8719</v>
      </c>
      <c r="AI172" t="s">
        <v>8718</v>
      </c>
      <c r="AK172" t="s">
        <v>8717</v>
      </c>
      <c r="AL172">
        <v>109</v>
      </c>
      <c r="AM172" s="5">
        <f t="shared" si="18"/>
        <v>5.1904761904761907</v>
      </c>
      <c r="AN172" s="4">
        <f t="shared" si="23"/>
        <v>7.8613800688772297E-3</v>
      </c>
      <c r="AO172" s="3"/>
      <c r="AP172">
        <v>0</v>
      </c>
      <c r="AR172" t="s">
        <v>0</v>
      </c>
      <c r="AT172" s="2">
        <v>4.72</v>
      </c>
      <c r="AU172" s="1">
        <f t="shared" si="19"/>
        <v>3.9861417143911351</v>
      </c>
      <c r="AV172" s="1">
        <f t="shared" si="20"/>
        <v>3.0718549408187319</v>
      </c>
      <c r="AW172" s="1">
        <f t="shared" si="21"/>
        <v>2.1575681672463278</v>
      </c>
    </row>
    <row r="173" spans="1:49" x14ac:dyDescent="0.2">
      <c r="A173">
        <v>171</v>
      </c>
      <c r="B173" t="s">
        <v>8716</v>
      </c>
      <c r="F173" t="s">
        <v>8715</v>
      </c>
      <c r="G173" t="s">
        <v>6</v>
      </c>
      <c r="H173" t="s">
        <v>5</v>
      </c>
      <c r="I173" t="s">
        <v>8714</v>
      </c>
      <c r="J173">
        <v>100327651</v>
      </c>
      <c r="K173" t="s">
        <v>8713</v>
      </c>
      <c r="L173" t="s">
        <v>63</v>
      </c>
      <c r="M173" t="s">
        <v>62</v>
      </c>
      <c r="N173">
        <v>2</v>
      </c>
      <c r="O173" t="s">
        <v>8712</v>
      </c>
      <c r="P173" t="s">
        <v>8711</v>
      </c>
      <c r="Q173" t="s">
        <v>8710</v>
      </c>
      <c r="R173" s="7">
        <v>37226</v>
      </c>
      <c r="S173" s="8">
        <f t="shared" si="16"/>
        <v>2001</v>
      </c>
      <c r="T173" s="8">
        <v>2001</v>
      </c>
      <c r="U173" s="8">
        <f t="shared" si="17"/>
        <v>21</v>
      </c>
      <c r="V173" s="7">
        <v>2001</v>
      </c>
      <c r="W173" t="s">
        <v>959</v>
      </c>
      <c r="X173" s="2">
        <v>0.30099999999999999</v>
      </c>
      <c r="Y173" s="6">
        <f t="shared" si="22"/>
        <v>8.0350230906809754E-3</v>
      </c>
      <c r="AA173">
        <v>16711793</v>
      </c>
      <c r="AB173">
        <v>58655</v>
      </c>
      <c r="AD173" t="s">
        <v>1</v>
      </c>
      <c r="AE173">
        <v>12</v>
      </c>
      <c r="AF173">
        <v>4</v>
      </c>
      <c r="AH173" s="10">
        <v>44348</v>
      </c>
      <c r="AI173" t="s">
        <v>8709</v>
      </c>
      <c r="AJ173" t="s">
        <v>8708</v>
      </c>
      <c r="AK173" t="s">
        <v>8707</v>
      </c>
      <c r="AL173">
        <v>1</v>
      </c>
      <c r="AM173" s="5">
        <f t="shared" si="18"/>
        <v>4.7619047619047616E-2</v>
      </c>
      <c r="AN173" s="4">
        <f t="shared" si="23"/>
        <v>7.2122752925479164E-5</v>
      </c>
      <c r="AO173" s="3"/>
      <c r="AP173">
        <v>0</v>
      </c>
      <c r="AR173" t="s">
        <v>0</v>
      </c>
      <c r="AT173" s="2">
        <v>1.1859999999999999</v>
      </c>
      <c r="AU173" s="1">
        <f t="shared" si="19"/>
        <v>0.56461529893543261</v>
      </c>
      <c r="AV173" s="1">
        <f t="shared" si="20"/>
        <v>0.40535729218032274</v>
      </c>
      <c r="AW173" s="1">
        <f t="shared" si="21"/>
        <v>0.24609928542521281</v>
      </c>
    </row>
    <row r="174" spans="1:49" x14ac:dyDescent="0.2">
      <c r="A174">
        <v>172</v>
      </c>
      <c r="B174" t="s">
        <v>8706</v>
      </c>
      <c r="C174" t="s">
        <v>8705</v>
      </c>
      <c r="D174" t="s">
        <v>8704</v>
      </c>
      <c r="F174" t="s">
        <v>8703</v>
      </c>
      <c r="G174" t="s">
        <v>6</v>
      </c>
      <c r="H174" t="s">
        <v>5</v>
      </c>
      <c r="I174" t="s">
        <v>530</v>
      </c>
      <c r="J174" t="s">
        <v>8702</v>
      </c>
      <c r="K174" t="s">
        <v>8701</v>
      </c>
      <c r="L174" t="s">
        <v>8700</v>
      </c>
      <c r="M174" t="s">
        <v>44</v>
      </c>
      <c r="N174">
        <v>2</v>
      </c>
      <c r="O174" t="s">
        <v>8699</v>
      </c>
      <c r="P174" t="s">
        <v>8698</v>
      </c>
      <c r="Q174" t="s">
        <v>8697</v>
      </c>
      <c r="R174" s="7">
        <v>37226</v>
      </c>
      <c r="S174" s="8">
        <f t="shared" si="16"/>
        <v>2001</v>
      </c>
      <c r="T174" s="8">
        <v>2001</v>
      </c>
      <c r="U174" s="8">
        <f t="shared" si="17"/>
        <v>21</v>
      </c>
      <c r="V174" s="7">
        <v>37226</v>
      </c>
      <c r="W174" t="s">
        <v>294</v>
      </c>
      <c r="X174" s="2">
        <v>1.6379999999999999</v>
      </c>
      <c r="Y174" s="6">
        <f t="shared" si="22"/>
        <v>4.3725474493473214E-2</v>
      </c>
      <c r="AA174" t="s">
        <v>293</v>
      </c>
      <c r="AB174">
        <v>17391</v>
      </c>
      <c r="AD174" t="s">
        <v>1</v>
      </c>
      <c r="AE174">
        <v>49</v>
      </c>
      <c r="AF174">
        <v>12</v>
      </c>
      <c r="AH174" t="s">
        <v>8696</v>
      </c>
      <c r="AI174" t="s">
        <v>8695</v>
      </c>
      <c r="AJ174" t="s">
        <v>8694</v>
      </c>
      <c r="AK174" t="s">
        <v>8693</v>
      </c>
      <c r="AL174">
        <v>48</v>
      </c>
      <c r="AM174" s="5">
        <f t="shared" si="18"/>
        <v>2.2857142857142856</v>
      </c>
      <c r="AN174" s="4">
        <f t="shared" si="23"/>
        <v>3.4618921404229999E-3</v>
      </c>
      <c r="AO174" s="3"/>
      <c r="AP174">
        <v>0</v>
      </c>
      <c r="AQ174" t="s">
        <v>256</v>
      </c>
      <c r="AR174" t="s">
        <v>8692</v>
      </c>
      <c r="AS174" t="s">
        <v>217</v>
      </c>
      <c r="AT174" s="2">
        <v>4.931</v>
      </c>
      <c r="AU174" s="1">
        <f t="shared" si="19"/>
        <v>3.1646399787558148</v>
      </c>
      <c r="AV174" s="1">
        <f t="shared" si="20"/>
        <v>2.3593683316948106</v>
      </c>
      <c r="AW174" s="1">
        <f t="shared" si="21"/>
        <v>1.5540966846338065</v>
      </c>
    </row>
    <row r="175" spans="1:49" x14ac:dyDescent="0.2">
      <c r="A175">
        <v>173</v>
      </c>
      <c r="B175" t="s">
        <v>8691</v>
      </c>
      <c r="C175" t="s">
        <v>8690</v>
      </c>
      <c r="D175" t="s">
        <v>8689</v>
      </c>
      <c r="F175" t="s">
        <v>8688</v>
      </c>
      <c r="G175" t="s">
        <v>6</v>
      </c>
      <c r="H175" t="s">
        <v>5</v>
      </c>
      <c r="I175" t="s">
        <v>966</v>
      </c>
      <c r="J175">
        <v>60001439</v>
      </c>
      <c r="K175" t="s">
        <v>24</v>
      </c>
      <c r="L175" t="s">
        <v>23</v>
      </c>
      <c r="M175" t="s">
        <v>3</v>
      </c>
      <c r="N175">
        <v>2</v>
      </c>
      <c r="O175" t="s">
        <v>8687</v>
      </c>
      <c r="P175" t="s">
        <v>8686</v>
      </c>
      <c r="Q175" t="s">
        <v>22</v>
      </c>
      <c r="R175" s="7">
        <v>37226</v>
      </c>
      <c r="S175" s="8">
        <f t="shared" si="16"/>
        <v>2001</v>
      </c>
      <c r="T175" s="8">
        <v>2001</v>
      </c>
      <c r="U175" s="8">
        <f t="shared" si="17"/>
        <v>21</v>
      </c>
      <c r="V175" s="7">
        <v>37226</v>
      </c>
      <c r="W175" t="s">
        <v>2796</v>
      </c>
      <c r="X175" s="2">
        <v>0.89800000000000002</v>
      </c>
      <c r="Y175" s="6">
        <f t="shared" si="22"/>
        <v>2.3971597127679455E-2</v>
      </c>
      <c r="AA175">
        <v>9641726</v>
      </c>
      <c r="AB175">
        <v>29859</v>
      </c>
      <c r="AD175" t="s">
        <v>1</v>
      </c>
      <c r="AE175">
        <v>10</v>
      </c>
      <c r="AF175">
        <v>6</v>
      </c>
      <c r="AH175" t="s">
        <v>8685</v>
      </c>
      <c r="AI175" t="s">
        <v>8684</v>
      </c>
      <c r="AK175" t="s">
        <v>8683</v>
      </c>
      <c r="AL175">
        <v>33</v>
      </c>
      <c r="AM175" s="5">
        <f t="shared" si="18"/>
        <v>1.5714285714285714</v>
      </c>
      <c r="AN175" s="4">
        <f t="shared" si="23"/>
        <v>2.3800508465408126E-3</v>
      </c>
      <c r="AO175" s="3"/>
      <c r="AP175">
        <v>0</v>
      </c>
      <c r="AR175" t="s">
        <v>0</v>
      </c>
      <c r="AT175" s="2">
        <v>3.585</v>
      </c>
      <c r="AU175" s="1">
        <f t="shared" si="19"/>
        <v>1.7494133243337859</v>
      </c>
      <c r="AV175" s="1">
        <f t="shared" si="20"/>
        <v>1.3175823987110133</v>
      </c>
      <c r="AW175" s="1">
        <f t="shared" si="21"/>
        <v>0.88575147308824054</v>
      </c>
    </row>
    <row r="176" spans="1:49" x14ac:dyDescent="0.2">
      <c r="A176">
        <v>174</v>
      </c>
      <c r="B176" t="s">
        <v>8682</v>
      </c>
      <c r="C176" t="s">
        <v>8681</v>
      </c>
      <c r="D176" t="s">
        <v>8680</v>
      </c>
      <c r="F176" t="s">
        <v>8679</v>
      </c>
      <c r="G176" t="s">
        <v>6</v>
      </c>
      <c r="H176" t="s">
        <v>5</v>
      </c>
      <c r="I176" t="s">
        <v>8678</v>
      </c>
      <c r="J176" t="s">
        <v>8677</v>
      </c>
      <c r="K176" t="s">
        <v>8676</v>
      </c>
      <c r="L176" t="s">
        <v>8675</v>
      </c>
      <c r="M176" t="s">
        <v>611</v>
      </c>
      <c r="N176">
        <v>4</v>
      </c>
      <c r="O176" t="s">
        <v>8674</v>
      </c>
      <c r="P176" t="s">
        <v>8673</v>
      </c>
      <c r="Q176" t="s">
        <v>8672</v>
      </c>
      <c r="R176" s="7">
        <v>37226</v>
      </c>
      <c r="S176" s="8">
        <f t="shared" si="16"/>
        <v>2001</v>
      </c>
      <c r="T176" s="8">
        <v>2001</v>
      </c>
      <c r="U176" s="8">
        <f t="shared" si="17"/>
        <v>21</v>
      </c>
      <c r="V176" s="7">
        <v>37226</v>
      </c>
      <c r="W176" t="s">
        <v>8671</v>
      </c>
      <c r="X176" s="2">
        <v>1.0329999999999999</v>
      </c>
      <c r="Y176" s="6">
        <f t="shared" si="22"/>
        <v>2.7575345025493178E-2</v>
      </c>
      <c r="AA176">
        <v>9532048</v>
      </c>
      <c r="AB176">
        <v>12278</v>
      </c>
      <c r="AD176" t="s">
        <v>1</v>
      </c>
      <c r="AE176">
        <v>14</v>
      </c>
      <c r="AF176">
        <v>12</v>
      </c>
      <c r="AH176" t="s">
        <v>8670</v>
      </c>
      <c r="AI176" t="s">
        <v>8669</v>
      </c>
      <c r="AK176" t="s">
        <v>8668</v>
      </c>
      <c r="AL176">
        <v>6</v>
      </c>
      <c r="AM176" s="5">
        <f t="shared" si="18"/>
        <v>0.2857142857142857</v>
      </c>
      <c r="AN176" s="4">
        <f t="shared" si="23"/>
        <v>4.3273651755287499E-4</v>
      </c>
      <c r="AO176" s="3"/>
      <c r="AP176">
        <v>0</v>
      </c>
      <c r="AR176" t="s">
        <v>0</v>
      </c>
      <c r="AT176" s="2" t="s">
        <v>7</v>
      </c>
      <c r="AU176" s="1">
        <f t="shared" si="19"/>
        <v>1.9432562473111086</v>
      </c>
      <c r="AV176" s="1">
        <f t="shared" si="20"/>
        <v>1.4004040771523028</v>
      </c>
      <c r="AW176" s="1">
        <f t="shared" si="21"/>
        <v>0.85755190699349659</v>
      </c>
    </row>
    <row r="177" spans="1:49" x14ac:dyDescent="0.2">
      <c r="A177">
        <v>175</v>
      </c>
      <c r="B177" t="s">
        <v>8667</v>
      </c>
      <c r="C177" t="s">
        <v>8666</v>
      </c>
      <c r="F177" t="s">
        <v>8665</v>
      </c>
      <c r="G177" t="s">
        <v>6</v>
      </c>
      <c r="H177" t="s">
        <v>5</v>
      </c>
      <c r="I177" t="s">
        <v>8664</v>
      </c>
      <c r="J177" t="s">
        <v>8663</v>
      </c>
      <c r="K177" t="s">
        <v>8662</v>
      </c>
      <c r="L177" t="s">
        <v>8661</v>
      </c>
      <c r="M177" t="s">
        <v>8660</v>
      </c>
      <c r="N177">
        <v>4</v>
      </c>
      <c r="O177" t="s">
        <v>8659</v>
      </c>
      <c r="P177" t="s">
        <v>8658</v>
      </c>
      <c r="Q177" t="s">
        <v>8657</v>
      </c>
      <c r="R177" s="7">
        <v>37226</v>
      </c>
      <c r="S177" s="8">
        <f t="shared" si="16"/>
        <v>2001</v>
      </c>
      <c r="T177" s="8">
        <v>2001</v>
      </c>
      <c r="U177" s="8">
        <f t="shared" si="17"/>
        <v>21</v>
      </c>
      <c r="V177" s="7">
        <v>2001</v>
      </c>
      <c r="W177" t="s">
        <v>602</v>
      </c>
      <c r="X177" s="2">
        <v>1.1579999999999999</v>
      </c>
      <c r="Y177" s="6">
        <f t="shared" si="22"/>
        <v>3.0912148634579962E-2</v>
      </c>
      <c r="AA177">
        <v>1668595</v>
      </c>
      <c r="AB177">
        <v>14223</v>
      </c>
      <c r="AD177" t="s">
        <v>1</v>
      </c>
      <c r="AE177">
        <v>68</v>
      </c>
      <c r="AF177">
        <v>3</v>
      </c>
      <c r="AH177" t="s">
        <v>8656</v>
      </c>
      <c r="AI177" t="s">
        <v>8655</v>
      </c>
      <c r="AJ177" t="s">
        <v>8654</v>
      </c>
      <c r="AK177" t="s">
        <v>8653</v>
      </c>
      <c r="AL177">
        <v>27</v>
      </c>
      <c r="AM177" s="5">
        <f t="shared" si="18"/>
        <v>1.2857142857142858</v>
      </c>
      <c r="AN177" s="4">
        <f t="shared" si="23"/>
        <v>1.9473143289879377E-3</v>
      </c>
      <c r="AO177" s="3"/>
      <c r="AP177">
        <v>0</v>
      </c>
      <c r="AR177" t="s">
        <v>8652</v>
      </c>
      <c r="AS177" t="s">
        <v>8651</v>
      </c>
      <c r="AT177" s="2">
        <v>3.573</v>
      </c>
      <c r="AU177" s="1">
        <f t="shared" si="19"/>
        <v>2.2222698342902349</v>
      </c>
      <c r="AV177" s="1">
        <f t="shared" si="20"/>
        <v>1.6429731481783949</v>
      </c>
      <c r="AW177" s="1">
        <f t="shared" si="21"/>
        <v>1.0636764620665544</v>
      </c>
    </row>
    <row r="178" spans="1:49" x14ac:dyDescent="0.2">
      <c r="A178">
        <v>176</v>
      </c>
      <c r="B178" t="s">
        <v>8650</v>
      </c>
      <c r="C178" t="s">
        <v>8649</v>
      </c>
      <c r="F178" t="s">
        <v>8648</v>
      </c>
      <c r="G178" t="s">
        <v>6</v>
      </c>
      <c r="H178" t="s">
        <v>5</v>
      </c>
      <c r="I178" t="s">
        <v>8647</v>
      </c>
      <c r="J178" t="s">
        <v>8646</v>
      </c>
      <c r="K178" t="s">
        <v>8645</v>
      </c>
      <c r="L178" t="s">
        <v>8644</v>
      </c>
      <c r="M178" t="s">
        <v>3942</v>
      </c>
      <c r="N178">
        <v>4</v>
      </c>
      <c r="O178" t="s">
        <v>8643</v>
      </c>
      <c r="P178" t="s">
        <v>8642</v>
      </c>
      <c r="Q178" t="s">
        <v>8641</v>
      </c>
      <c r="R178" s="7">
        <v>37226</v>
      </c>
      <c r="S178" s="8">
        <f t="shared" si="16"/>
        <v>2001</v>
      </c>
      <c r="T178" s="8">
        <v>2001</v>
      </c>
      <c r="U178" s="8">
        <f t="shared" si="17"/>
        <v>21</v>
      </c>
      <c r="V178" s="7">
        <v>2001</v>
      </c>
      <c r="W178" t="s">
        <v>8640</v>
      </c>
      <c r="X178" s="2">
        <v>2.6459999999999999</v>
      </c>
      <c r="Y178" s="6">
        <f t="shared" si="22"/>
        <v>7.0633458797149037E-2</v>
      </c>
      <c r="AA178">
        <v>1407791</v>
      </c>
      <c r="AB178">
        <v>13041</v>
      </c>
      <c r="AD178" t="s">
        <v>1</v>
      </c>
      <c r="AE178">
        <v>24</v>
      </c>
      <c r="AF178">
        <v>12</v>
      </c>
      <c r="AH178" t="s">
        <v>8639</v>
      </c>
      <c r="AI178" t="s">
        <v>8638</v>
      </c>
      <c r="AJ178" t="s">
        <v>8637</v>
      </c>
      <c r="AK178" t="s">
        <v>8636</v>
      </c>
      <c r="AL178">
        <v>106</v>
      </c>
      <c r="AM178" s="5">
        <f t="shared" si="18"/>
        <v>5.0476190476190474</v>
      </c>
      <c r="AN178" s="4">
        <f t="shared" si="23"/>
        <v>7.6450118101007913E-3</v>
      </c>
      <c r="AO178" s="3"/>
      <c r="AP178">
        <v>1</v>
      </c>
      <c r="AR178" t="s">
        <v>0</v>
      </c>
      <c r="AT178" s="2" t="s">
        <v>7</v>
      </c>
      <c r="AU178" s="1">
        <f t="shared" si="19"/>
        <v>5.1736924701034557</v>
      </c>
      <c r="AV178" s="1">
        <f t="shared" si="20"/>
        <v>3.9139235303624913</v>
      </c>
      <c r="AW178" s="1">
        <f t="shared" si="21"/>
        <v>2.6541545906215265</v>
      </c>
    </row>
    <row r="179" spans="1:49" x14ac:dyDescent="0.2">
      <c r="A179">
        <v>177</v>
      </c>
      <c r="B179" t="s">
        <v>8635</v>
      </c>
      <c r="F179" t="s">
        <v>8634</v>
      </c>
      <c r="G179" t="s">
        <v>6</v>
      </c>
      <c r="H179" t="s">
        <v>5</v>
      </c>
      <c r="I179" t="s">
        <v>8633</v>
      </c>
      <c r="J179">
        <v>60020486</v>
      </c>
      <c r="K179" t="s">
        <v>2529</v>
      </c>
      <c r="L179" t="s">
        <v>785</v>
      </c>
      <c r="M179" t="s">
        <v>72</v>
      </c>
      <c r="N179">
        <v>1</v>
      </c>
      <c r="O179" t="s">
        <v>8632</v>
      </c>
      <c r="P179">
        <v>7006817889</v>
      </c>
      <c r="Q179">
        <v>60020486</v>
      </c>
      <c r="R179" s="7">
        <v>37226</v>
      </c>
      <c r="S179" s="8">
        <f t="shared" si="16"/>
        <v>2001</v>
      </c>
      <c r="T179" s="8">
        <v>2001</v>
      </c>
      <c r="U179" s="8">
        <f t="shared" si="17"/>
        <v>21</v>
      </c>
      <c r="V179" s="7">
        <v>2001</v>
      </c>
      <c r="W179" t="s">
        <v>8631</v>
      </c>
      <c r="X179" s="2">
        <v>0.38700000000000001</v>
      </c>
      <c r="Y179" s="6">
        <f t="shared" si="22"/>
        <v>1.0330743973732683E-2</v>
      </c>
      <c r="AA179">
        <v>94293</v>
      </c>
      <c r="AB179">
        <v>23433</v>
      </c>
      <c r="AD179" t="s">
        <v>1</v>
      </c>
      <c r="AE179">
        <v>55</v>
      </c>
      <c r="AF179">
        <v>12</v>
      </c>
      <c r="AH179" t="s">
        <v>8630</v>
      </c>
      <c r="AI179" t="s">
        <v>8629</v>
      </c>
      <c r="AJ179" t="s">
        <v>8628</v>
      </c>
      <c r="AK179" t="s">
        <v>8627</v>
      </c>
      <c r="AL179">
        <v>6</v>
      </c>
      <c r="AM179" s="5">
        <f t="shared" si="18"/>
        <v>0.2857142857142857</v>
      </c>
      <c r="AN179" s="4">
        <f t="shared" si="23"/>
        <v>4.3273651755287499E-4</v>
      </c>
      <c r="AO179" s="3"/>
      <c r="AP179">
        <v>0</v>
      </c>
      <c r="AR179" t="s">
        <v>0</v>
      </c>
      <c r="AT179" s="2">
        <v>1.5089999999999999</v>
      </c>
      <c r="AU179" s="1">
        <f t="shared" si="19"/>
        <v>0.73613417368787404</v>
      </c>
      <c r="AV179" s="1">
        <f t="shared" si="20"/>
        <v>0.53817402456427788</v>
      </c>
      <c r="AW179" s="1">
        <f t="shared" si="21"/>
        <v>0.34021387544068171</v>
      </c>
    </row>
    <row r="180" spans="1:49" x14ac:dyDescent="0.2">
      <c r="A180">
        <v>178</v>
      </c>
      <c r="B180" t="s">
        <v>8626</v>
      </c>
      <c r="C180" t="s">
        <v>8625</v>
      </c>
      <c r="F180" t="s">
        <v>8624</v>
      </c>
      <c r="G180" t="s">
        <v>6</v>
      </c>
      <c r="H180" t="s">
        <v>5</v>
      </c>
      <c r="I180" t="s">
        <v>643</v>
      </c>
      <c r="J180" t="s">
        <v>8623</v>
      </c>
      <c r="K180" t="s">
        <v>8622</v>
      </c>
      <c r="L180" t="s">
        <v>8621</v>
      </c>
      <c r="M180" t="s">
        <v>8620</v>
      </c>
      <c r="N180">
        <v>6</v>
      </c>
      <c r="O180" t="s">
        <v>8619</v>
      </c>
      <c r="P180" t="s">
        <v>8618</v>
      </c>
      <c r="Q180" t="s">
        <v>8617</v>
      </c>
      <c r="R180" s="7">
        <v>37226</v>
      </c>
      <c r="S180" s="8">
        <f t="shared" si="16"/>
        <v>2001</v>
      </c>
      <c r="T180" s="8">
        <v>2001</v>
      </c>
      <c r="U180" s="8">
        <f t="shared" si="17"/>
        <v>21</v>
      </c>
      <c r="V180" s="7">
        <v>2001</v>
      </c>
      <c r="W180" t="s">
        <v>578</v>
      </c>
      <c r="X180" s="2">
        <v>0.39800000000000002</v>
      </c>
      <c r="Y180" s="6">
        <f t="shared" si="22"/>
        <v>1.0624382691332319E-2</v>
      </c>
      <c r="AA180" t="s">
        <v>577</v>
      </c>
      <c r="AB180">
        <v>26771</v>
      </c>
      <c r="AD180" t="s">
        <v>1</v>
      </c>
      <c r="AE180">
        <v>277</v>
      </c>
      <c r="AF180" s="10">
        <v>44228</v>
      </c>
      <c r="AH180" t="s">
        <v>8616</v>
      </c>
      <c r="AI180" t="s">
        <v>8615</v>
      </c>
      <c r="AK180" t="s">
        <v>8614</v>
      </c>
      <c r="AL180">
        <v>1</v>
      </c>
      <c r="AM180" s="5">
        <f t="shared" si="18"/>
        <v>4.7619047619047616E-2</v>
      </c>
      <c r="AN180" s="4">
        <f t="shared" si="23"/>
        <v>7.2122752925479164E-5</v>
      </c>
      <c r="AO180" s="3"/>
      <c r="AP180">
        <v>0</v>
      </c>
      <c r="AR180" t="s">
        <v>8613</v>
      </c>
      <c r="AT180" s="2">
        <v>1.83</v>
      </c>
      <c r="AU180" s="1">
        <f t="shared" si="19"/>
        <v>0.74587047098102666</v>
      </c>
      <c r="AV180" s="1">
        <f t="shared" si="20"/>
        <v>0.53482527221289</v>
      </c>
      <c r="AW180" s="1">
        <f t="shared" si="21"/>
        <v>0.32378007344475312</v>
      </c>
    </row>
    <row r="181" spans="1:49" x14ac:dyDescent="0.2">
      <c r="A181">
        <v>179</v>
      </c>
      <c r="B181" t="s">
        <v>8612</v>
      </c>
      <c r="F181" t="s">
        <v>8611</v>
      </c>
      <c r="G181" t="s">
        <v>6</v>
      </c>
      <c r="H181" t="s">
        <v>5</v>
      </c>
      <c r="I181" t="s">
        <v>8610</v>
      </c>
      <c r="J181">
        <v>60069258</v>
      </c>
      <c r="K181" t="s">
        <v>8609</v>
      </c>
      <c r="L181" t="s">
        <v>8608</v>
      </c>
      <c r="M181" t="s">
        <v>197</v>
      </c>
      <c r="N181">
        <v>3</v>
      </c>
      <c r="O181" t="s">
        <v>8607</v>
      </c>
      <c r="P181" t="s">
        <v>8606</v>
      </c>
      <c r="Q181" t="s">
        <v>8605</v>
      </c>
      <c r="R181" s="7">
        <v>37226</v>
      </c>
      <c r="S181" s="8">
        <f t="shared" si="16"/>
        <v>2001</v>
      </c>
      <c r="T181" s="8">
        <v>2001</v>
      </c>
      <c r="U181" s="8">
        <f t="shared" si="17"/>
        <v>21</v>
      </c>
      <c r="V181" s="7">
        <v>2001</v>
      </c>
      <c r="W181" t="s">
        <v>8604</v>
      </c>
      <c r="X181" s="2">
        <v>0.24199999999999999</v>
      </c>
      <c r="Y181" s="6">
        <f t="shared" si="22"/>
        <v>6.4600517871920135E-3</v>
      </c>
      <c r="AA181">
        <v>10637796</v>
      </c>
      <c r="AB181">
        <v>29485</v>
      </c>
      <c r="AD181" t="s">
        <v>1</v>
      </c>
      <c r="AE181">
        <v>32</v>
      </c>
      <c r="AF181">
        <v>4</v>
      </c>
      <c r="AH181" t="s">
        <v>8603</v>
      </c>
      <c r="AI181" t="s">
        <v>8602</v>
      </c>
      <c r="AK181" t="s">
        <v>8601</v>
      </c>
      <c r="AL181">
        <v>0</v>
      </c>
      <c r="AM181" s="5">
        <f t="shared" si="18"/>
        <v>0</v>
      </c>
      <c r="AN181" s="4">
        <f t="shared" si="23"/>
        <v>0</v>
      </c>
      <c r="AO181" s="3"/>
      <c r="AP181">
        <v>0</v>
      </c>
      <c r="AR181" t="s">
        <v>0</v>
      </c>
      <c r="AT181" s="2">
        <v>0.48499999999999999</v>
      </c>
      <c r="AU181" s="1">
        <f t="shared" si="19"/>
        <v>0.45220362510344098</v>
      </c>
      <c r="AV181" s="1">
        <f t="shared" si="20"/>
        <v>0.32300258935960069</v>
      </c>
      <c r="AW181" s="1">
        <f t="shared" si="21"/>
        <v>0.1938015536157604</v>
      </c>
    </row>
    <row r="182" spans="1:49" x14ac:dyDescent="0.2">
      <c r="A182">
        <v>180</v>
      </c>
      <c r="B182" t="s">
        <v>8600</v>
      </c>
      <c r="C182" t="s">
        <v>8599</v>
      </c>
      <c r="F182" t="s">
        <v>8598</v>
      </c>
      <c r="G182" t="s">
        <v>6</v>
      </c>
      <c r="H182" t="s">
        <v>5</v>
      </c>
      <c r="I182" t="s">
        <v>8597</v>
      </c>
      <c r="J182" t="s">
        <v>8596</v>
      </c>
      <c r="K182" t="s">
        <v>8595</v>
      </c>
      <c r="L182" t="s">
        <v>8594</v>
      </c>
      <c r="M182" t="s">
        <v>240</v>
      </c>
      <c r="N182">
        <v>4</v>
      </c>
      <c r="O182" t="s">
        <v>8593</v>
      </c>
      <c r="P182" t="s">
        <v>8592</v>
      </c>
      <c r="Q182" t="s">
        <v>8591</v>
      </c>
      <c r="R182" s="7">
        <v>37226</v>
      </c>
      <c r="S182" s="8">
        <f t="shared" si="16"/>
        <v>2001</v>
      </c>
      <c r="T182" s="8">
        <v>2001</v>
      </c>
      <c r="U182" s="8">
        <f t="shared" si="17"/>
        <v>21</v>
      </c>
      <c r="V182" s="7">
        <v>2001</v>
      </c>
      <c r="W182" t="s">
        <v>578</v>
      </c>
      <c r="X182" s="2">
        <v>0.39800000000000002</v>
      </c>
      <c r="Y182" s="6">
        <f t="shared" si="22"/>
        <v>1.0624382691332319E-2</v>
      </c>
      <c r="AA182" t="s">
        <v>577</v>
      </c>
      <c r="AB182">
        <v>26771</v>
      </c>
      <c r="AD182" t="s">
        <v>1</v>
      </c>
      <c r="AE182">
        <v>277</v>
      </c>
      <c r="AF182" s="10">
        <v>44228</v>
      </c>
      <c r="AH182" t="s">
        <v>8590</v>
      </c>
      <c r="AI182" t="s">
        <v>8589</v>
      </c>
      <c r="AK182" t="s">
        <v>8588</v>
      </c>
      <c r="AL182">
        <v>2</v>
      </c>
      <c r="AM182" s="5">
        <f t="shared" si="18"/>
        <v>9.5238095238095233E-2</v>
      </c>
      <c r="AN182" s="4">
        <f t="shared" si="23"/>
        <v>1.4424550585095833E-4</v>
      </c>
      <c r="AO182" s="3"/>
      <c r="AP182">
        <v>0</v>
      </c>
      <c r="AR182" t="s">
        <v>8587</v>
      </c>
      <c r="AT182" s="2">
        <v>1.83</v>
      </c>
      <c r="AU182" s="1">
        <f t="shared" si="19"/>
        <v>0.74803415356879099</v>
      </c>
      <c r="AV182" s="1">
        <f t="shared" si="20"/>
        <v>0.53843140985916382</v>
      </c>
      <c r="AW182" s="1">
        <f t="shared" si="21"/>
        <v>0.32882866614953665</v>
      </c>
    </row>
    <row r="183" spans="1:49" x14ac:dyDescent="0.2">
      <c r="A183">
        <v>181</v>
      </c>
      <c r="B183" t="s">
        <v>8586</v>
      </c>
      <c r="F183" t="s">
        <v>8585</v>
      </c>
      <c r="G183" t="s">
        <v>6</v>
      </c>
      <c r="H183" t="s">
        <v>5</v>
      </c>
      <c r="I183" t="s">
        <v>8584</v>
      </c>
      <c r="J183">
        <v>60115148</v>
      </c>
      <c r="K183" t="s">
        <v>8583</v>
      </c>
      <c r="L183" t="s">
        <v>8582</v>
      </c>
      <c r="M183" t="s">
        <v>197</v>
      </c>
      <c r="N183">
        <v>4</v>
      </c>
      <c r="O183" t="s">
        <v>8581</v>
      </c>
      <c r="P183" t="s">
        <v>8580</v>
      </c>
      <c r="Q183" t="s">
        <v>8579</v>
      </c>
      <c r="R183" s="7">
        <v>37226</v>
      </c>
      <c r="S183" s="8">
        <f t="shared" si="16"/>
        <v>2001</v>
      </c>
      <c r="T183" s="8">
        <v>2001</v>
      </c>
      <c r="U183" s="8">
        <f t="shared" si="17"/>
        <v>21</v>
      </c>
      <c r="V183" s="7">
        <v>2001</v>
      </c>
      <c r="W183" t="s">
        <v>8578</v>
      </c>
      <c r="X183" s="2" t="s">
        <v>7</v>
      </c>
      <c r="Y183" s="6" t="e">
        <f t="shared" si="22"/>
        <v>#VALUE!</v>
      </c>
      <c r="AA183">
        <v>2043467</v>
      </c>
      <c r="AB183">
        <v>29484</v>
      </c>
      <c r="AD183" t="s">
        <v>1</v>
      </c>
      <c r="AE183">
        <v>2001</v>
      </c>
      <c r="AF183" s="10">
        <v>44289</v>
      </c>
      <c r="AH183" t="s">
        <v>8577</v>
      </c>
      <c r="AI183" t="s">
        <v>8576</v>
      </c>
      <c r="AK183" t="s">
        <v>8575</v>
      </c>
      <c r="AL183">
        <v>0</v>
      </c>
      <c r="AM183" s="5">
        <f t="shared" si="18"/>
        <v>0</v>
      </c>
      <c r="AN183" s="4">
        <f t="shared" si="23"/>
        <v>0</v>
      </c>
      <c r="AO183" s="3"/>
      <c r="AP183">
        <v>0</v>
      </c>
      <c r="AR183" t="s">
        <v>0</v>
      </c>
      <c r="AT183" s="2" t="s">
        <v>7</v>
      </c>
      <c r="AU183" s="1" t="e">
        <f t="shared" si="19"/>
        <v>#VALUE!</v>
      </c>
      <c r="AV183" s="1" t="e">
        <f t="shared" si="20"/>
        <v>#VALUE!</v>
      </c>
      <c r="AW183" s="1" t="e">
        <f t="shared" si="21"/>
        <v>#VALUE!</v>
      </c>
    </row>
    <row r="184" spans="1:49" x14ac:dyDescent="0.2">
      <c r="A184">
        <v>182</v>
      </c>
      <c r="B184" t="s">
        <v>8574</v>
      </c>
      <c r="C184" t="s">
        <v>8573</v>
      </c>
      <c r="F184" t="s">
        <v>8572</v>
      </c>
      <c r="G184" t="s">
        <v>6</v>
      </c>
      <c r="H184" t="s">
        <v>5</v>
      </c>
      <c r="I184" t="s">
        <v>8571</v>
      </c>
      <c r="J184">
        <v>60024322</v>
      </c>
      <c r="K184" t="s">
        <v>263</v>
      </c>
      <c r="L184" t="s">
        <v>262</v>
      </c>
      <c r="M184" t="s">
        <v>26</v>
      </c>
      <c r="N184">
        <v>3</v>
      </c>
      <c r="O184" t="s">
        <v>8570</v>
      </c>
      <c r="P184" t="s">
        <v>8569</v>
      </c>
      <c r="Q184" t="s">
        <v>680</v>
      </c>
      <c r="R184" s="7">
        <v>37226</v>
      </c>
      <c r="S184" s="8">
        <f t="shared" si="16"/>
        <v>2001</v>
      </c>
      <c r="T184" s="8">
        <v>2001</v>
      </c>
      <c r="U184" s="8">
        <f t="shared" si="17"/>
        <v>21</v>
      </c>
      <c r="V184" s="7">
        <v>37226</v>
      </c>
      <c r="W184" t="s">
        <v>8568</v>
      </c>
      <c r="X184" s="2" t="s">
        <v>7</v>
      </c>
      <c r="Y184" s="6" t="e">
        <f t="shared" si="22"/>
        <v>#VALUE!</v>
      </c>
      <c r="AA184">
        <v>9230750</v>
      </c>
      <c r="AB184">
        <v>51064</v>
      </c>
      <c r="AD184" t="s">
        <v>1</v>
      </c>
      <c r="AE184">
        <v>41</v>
      </c>
      <c r="AF184" s="10">
        <v>44287</v>
      </c>
      <c r="AH184" t="s">
        <v>8567</v>
      </c>
      <c r="AI184" t="s">
        <v>8566</v>
      </c>
      <c r="AJ184" t="s">
        <v>8565</v>
      </c>
      <c r="AK184" t="s">
        <v>8564</v>
      </c>
      <c r="AL184">
        <v>11</v>
      </c>
      <c r="AM184" s="5">
        <f t="shared" si="18"/>
        <v>0.52380952380952384</v>
      </c>
      <c r="AN184" s="4">
        <f t="shared" si="23"/>
        <v>7.9335028218027086E-4</v>
      </c>
      <c r="AO184" s="3"/>
      <c r="AP184">
        <v>0</v>
      </c>
      <c r="AQ184" t="s">
        <v>8563</v>
      </c>
      <c r="AR184" t="s">
        <v>0</v>
      </c>
      <c r="AS184" t="s">
        <v>533</v>
      </c>
      <c r="AT184" s="2" t="s">
        <v>7</v>
      </c>
      <c r="AU184" s="1" t="e">
        <f t="shared" si="19"/>
        <v>#VALUE!</v>
      </c>
      <c r="AV184" s="1" t="e">
        <f t="shared" si="20"/>
        <v>#VALUE!</v>
      </c>
      <c r="AW184" s="1" t="e">
        <f t="shared" si="21"/>
        <v>#VALUE!</v>
      </c>
    </row>
    <row r="185" spans="1:49" x14ac:dyDescent="0.2">
      <c r="A185">
        <v>183</v>
      </c>
      <c r="B185" t="s">
        <v>8562</v>
      </c>
      <c r="C185" t="s">
        <v>8561</v>
      </c>
      <c r="E185">
        <v>11754509</v>
      </c>
      <c r="F185" t="s">
        <v>8560</v>
      </c>
      <c r="G185" t="s">
        <v>6</v>
      </c>
      <c r="H185" t="s">
        <v>5</v>
      </c>
      <c r="I185" t="s">
        <v>8559</v>
      </c>
      <c r="J185" t="s">
        <v>8558</v>
      </c>
      <c r="K185" t="s">
        <v>8557</v>
      </c>
      <c r="L185" t="s">
        <v>8556</v>
      </c>
      <c r="M185" t="s">
        <v>8555</v>
      </c>
      <c r="N185">
        <v>8</v>
      </c>
      <c r="O185" t="s">
        <v>8554</v>
      </c>
      <c r="P185" t="s">
        <v>8553</v>
      </c>
      <c r="Q185" t="s">
        <v>8552</v>
      </c>
      <c r="R185" s="7">
        <v>37226</v>
      </c>
      <c r="S185" s="8">
        <f t="shared" si="16"/>
        <v>2001</v>
      </c>
      <c r="T185" s="8">
        <v>2001</v>
      </c>
      <c r="U185" s="8">
        <f t="shared" si="17"/>
        <v>21</v>
      </c>
      <c r="V185" s="7">
        <v>37226</v>
      </c>
      <c r="W185" t="s">
        <v>8505</v>
      </c>
      <c r="X185" s="2">
        <v>0.53600000000000003</v>
      </c>
      <c r="Y185" s="6">
        <f t="shared" si="22"/>
        <v>1.430821387576413E-2</v>
      </c>
      <c r="AA185" t="s">
        <v>8504</v>
      </c>
      <c r="AB185">
        <v>20920</v>
      </c>
      <c r="AD185" t="s">
        <v>1</v>
      </c>
      <c r="AE185">
        <v>55</v>
      </c>
      <c r="AF185">
        <v>5</v>
      </c>
      <c r="AH185" t="s">
        <v>8551</v>
      </c>
      <c r="AI185" t="s">
        <v>8550</v>
      </c>
      <c r="AJ185" t="s">
        <v>8549</v>
      </c>
      <c r="AK185" t="s">
        <v>8548</v>
      </c>
      <c r="AL185">
        <v>93</v>
      </c>
      <c r="AM185" s="5">
        <f t="shared" si="18"/>
        <v>4.4285714285714288</v>
      </c>
      <c r="AN185" s="4">
        <f t="shared" si="23"/>
        <v>6.7074160220695631E-3</v>
      </c>
      <c r="AO185" s="3"/>
      <c r="AP185">
        <v>0</v>
      </c>
      <c r="AR185" t="s">
        <v>0</v>
      </c>
      <c r="AT185" s="2">
        <v>2.7690000000000001</v>
      </c>
      <c r="AU185" s="1">
        <f t="shared" si="19"/>
        <v>1.202797451965576</v>
      </c>
      <c r="AV185" s="1">
        <f t="shared" si="20"/>
        <v>1.0507814948916847</v>
      </c>
      <c r="AW185" s="1">
        <f t="shared" si="21"/>
        <v>0.89876553781779345</v>
      </c>
    </row>
    <row r="186" spans="1:49" x14ac:dyDescent="0.2">
      <c r="A186">
        <v>184</v>
      </c>
      <c r="B186" t="s">
        <v>8547</v>
      </c>
      <c r="C186" t="s">
        <v>8546</v>
      </c>
      <c r="E186">
        <v>11754510</v>
      </c>
      <c r="F186" t="s">
        <v>8545</v>
      </c>
      <c r="G186" t="s">
        <v>6</v>
      </c>
      <c r="H186" t="s">
        <v>5</v>
      </c>
      <c r="I186" t="s">
        <v>59</v>
      </c>
      <c r="J186" t="s">
        <v>58</v>
      </c>
      <c r="K186" t="s">
        <v>57</v>
      </c>
      <c r="L186" t="s">
        <v>56</v>
      </c>
      <c r="M186" t="s">
        <v>44</v>
      </c>
      <c r="N186">
        <v>2</v>
      </c>
      <c r="O186" t="s">
        <v>8544</v>
      </c>
      <c r="P186" t="s">
        <v>55</v>
      </c>
      <c r="Q186" t="s">
        <v>8543</v>
      </c>
      <c r="R186" s="7">
        <v>37226</v>
      </c>
      <c r="S186" s="8">
        <f t="shared" si="16"/>
        <v>2001</v>
      </c>
      <c r="T186" s="8">
        <v>2001</v>
      </c>
      <c r="U186" s="8">
        <f t="shared" si="17"/>
        <v>21</v>
      </c>
      <c r="V186" s="7">
        <v>37226</v>
      </c>
      <c r="W186" t="s">
        <v>8505</v>
      </c>
      <c r="X186" s="2">
        <v>0.53600000000000003</v>
      </c>
      <c r="Y186" s="6">
        <f t="shared" si="22"/>
        <v>1.430821387576413E-2</v>
      </c>
      <c r="AA186" t="s">
        <v>8504</v>
      </c>
      <c r="AB186">
        <v>20920</v>
      </c>
      <c r="AD186" t="s">
        <v>1</v>
      </c>
      <c r="AE186">
        <v>55</v>
      </c>
      <c r="AF186">
        <v>5</v>
      </c>
      <c r="AH186" t="s">
        <v>8542</v>
      </c>
      <c r="AI186" t="s">
        <v>8541</v>
      </c>
      <c r="AJ186" t="s">
        <v>8540</v>
      </c>
      <c r="AK186" t="s">
        <v>8539</v>
      </c>
      <c r="AL186">
        <v>60</v>
      </c>
      <c r="AM186" s="5">
        <f t="shared" si="18"/>
        <v>2.8571428571428572</v>
      </c>
      <c r="AN186" s="4">
        <f t="shared" si="23"/>
        <v>4.3273651755287501E-3</v>
      </c>
      <c r="AO186" s="3"/>
      <c r="AP186">
        <v>0</v>
      </c>
      <c r="AQ186" t="s">
        <v>787</v>
      </c>
      <c r="AR186" t="s">
        <v>52</v>
      </c>
      <c r="AS186" t="s">
        <v>786</v>
      </c>
      <c r="AT186" s="2">
        <v>2.7690000000000001</v>
      </c>
      <c r="AU186" s="1">
        <f t="shared" si="19"/>
        <v>1.1313959265693516</v>
      </c>
      <c r="AV186" s="1">
        <f t="shared" si="20"/>
        <v>0.93177895256464394</v>
      </c>
      <c r="AW186" s="1">
        <f t="shared" si="21"/>
        <v>0.73216197855993637</v>
      </c>
    </row>
    <row r="187" spans="1:49" x14ac:dyDescent="0.2">
      <c r="A187">
        <v>185</v>
      </c>
      <c r="B187" t="s">
        <v>8538</v>
      </c>
      <c r="C187" t="s">
        <v>8537</v>
      </c>
      <c r="E187">
        <v>11754512</v>
      </c>
      <c r="F187" t="s">
        <v>8536</v>
      </c>
      <c r="G187" t="s">
        <v>6</v>
      </c>
      <c r="H187" t="s">
        <v>5</v>
      </c>
      <c r="I187" t="s">
        <v>8535</v>
      </c>
      <c r="J187" t="s">
        <v>8534</v>
      </c>
      <c r="K187" t="s">
        <v>8533</v>
      </c>
      <c r="L187" t="s">
        <v>8532</v>
      </c>
      <c r="M187" t="s">
        <v>8531</v>
      </c>
      <c r="N187">
        <v>5</v>
      </c>
      <c r="O187" t="s">
        <v>8530</v>
      </c>
      <c r="P187" t="s">
        <v>8529</v>
      </c>
      <c r="Q187" t="s">
        <v>8528</v>
      </c>
      <c r="R187" s="7">
        <v>37226</v>
      </c>
      <c r="S187" s="8">
        <f t="shared" si="16"/>
        <v>2001</v>
      </c>
      <c r="T187" s="8">
        <v>2001</v>
      </c>
      <c r="U187" s="8">
        <f t="shared" si="17"/>
        <v>21</v>
      </c>
      <c r="V187" s="7">
        <v>37226</v>
      </c>
      <c r="W187" t="s">
        <v>8505</v>
      </c>
      <c r="X187" s="2">
        <v>0.53600000000000003</v>
      </c>
      <c r="Y187" s="6">
        <f t="shared" si="22"/>
        <v>1.430821387576413E-2</v>
      </c>
      <c r="AA187" t="s">
        <v>8504</v>
      </c>
      <c r="AB187">
        <v>20920</v>
      </c>
      <c r="AD187" t="s">
        <v>1</v>
      </c>
      <c r="AE187">
        <v>55</v>
      </c>
      <c r="AF187">
        <v>5</v>
      </c>
      <c r="AH187" t="s">
        <v>8527</v>
      </c>
      <c r="AI187" t="s">
        <v>8526</v>
      </c>
      <c r="AJ187" t="s">
        <v>8525</v>
      </c>
      <c r="AK187" t="s">
        <v>8524</v>
      </c>
      <c r="AL187">
        <v>49</v>
      </c>
      <c r="AM187" s="5">
        <f t="shared" si="18"/>
        <v>2.3333333333333335</v>
      </c>
      <c r="AN187" s="4">
        <f t="shared" si="23"/>
        <v>3.5340148933484792E-3</v>
      </c>
      <c r="AO187" s="3"/>
      <c r="AP187">
        <v>0</v>
      </c>
      <c r="AR187" t="s">
        <v>0</v>
      </c>
      <c r="AT187" s="2">
        <v>2.7690000000000001</v>
      </c>
      <c r="AU187" s="1">
        <f t="shared" si="19"/>
        <v>1.1075954181039434</v>
      </c>
      <c r="AV187" s="1">
        <f t="shared" si="20"/>
        <v>0.89211143845563046</v>
      </c>
      <c r="AW187" s="1">
        <f t="shared" si="21"/>
        <v>0.67662745880731745</v>
      </c>
    </row>
    <row r="188" spans="1:49" x14ac:dyDescent="0.2">
      <c r="A188">
        <v>186</v>
      </c>
      <c r="B188" t="s">
        <v>8523</v>
      </c>
      <c r="C188" t="s">
        <v>8522</v>
      </c>
      <c r="E188">
        <v>11754513</v>
      </c>
      <c r="F188" t="s">
        <v>8521</v>
      </c>
      <c r="G188" t="s">
        <v>6</v>
      </c>
      <c r="H188" t="s">
        <v>5</v>
      </c>
      <c r="I188" t="s">
        <v>8520</v>
      </c>
      <c r="J188" t="s">
        <v>8519</v>
      </c>
      <c r="K188" t="s">
        <v>8518</v>
      </c>
      <c r="L188" t="s">
        <v>8517</v>
      </c>
      <c r="M188" t="s">
        <v>215</v>
      </c>
      <c r="N188">
        <v>3</v>
      </c>
      <c r="O188" t="s">
        <v>8516</v>
      </c>
      <c r="P188" t="s">
        <v>8515</v>
      </c>
      <c r="Q188" t="s">
        <v>8514</v>
      </c>
      <c r="R188" s="7">
        <v>37226</v>
      </c>
      <c r="S188" s="8">
        <f t="shared" si="16"/>
        <v>2001</v>
      </c>
      <c r="T188" s="8">
        <v>2001</v>
      </c>
      <c r="U188" s="8">
        <f t="shared" si="17"/>
        <v>21</v>
      </c>
      <c r="V188" s="7">
        <v>37226</v>
      </c>
      <c r="W188" t="s">
        <v>8505</v>
      </c>
      <c r="X188" s="2">
        <v>0.53600000000000003</v>
      </c>
      <c r="Y188" s="6">
        <f t="shared" si="22"/>
        <v>1.430821387576413E-2</v>
      </c>
      <c r="AA188" t="s">
        <v>8504</v>
      </c>
      <c r="AB188">
        <v>20920</v>
      </c>
      <c r="AD188" t="s">
        <v>1</v>
      </c>
      <c r="AE188">
        <v>55</v>
      </c>
      <c r="AF188">
        <v>5</v>
      </c>
      <c r="AH188" t="s">
        <v>8513</v>
      </c>
      <c r="AI188" t="s">
        <v>8512</v>
      </c>
      <c r="AJ188" t="s">
        <v>8511</v>
      </c>
      <c r="AK188" t="s">
        <v>8510</v>
      </c>
      <c r="AL188">
        <v>47</v>
      </c>
      <c r="AM188" s="5">
        <f t="shared" si="18"/>
        <v>2.2380952380952381</v>
      </c>
      <c r="AN188" s="4">
        <f t="shared" si="23"/>
        <v>3.389769387497521E-3</v>
      </c>
      <c r="AO188" s="3"/>
      <c r="AP188">
        <v>0</v>
      </c>
      <c r="AR188" t="s">
        <v>0</v>
      </c>
      <c r="AT188" s="2">
        <v>2.7690000000000001</v>
      </c>
      <c r="AU188" s="1">
        <f t="shared" si="19"/>
        <v>1.1032680529284147</v>
      </c>
      <c r="AV188" s="1">
        <f t="shared" si="20"/>
        <v>0.88489916316308248</v>
      </c>
      <c r="AW188" s="1">
        <f t="shared" si="21"/>
        <v>0.66653027339775039</v>
      </c>
    </row>
    <row r="189" spans="1:49" x14ac:dyDescent="0.2">
      <c r="A189">
        <v>187</v>
      </c>
      <c r="B189" t="s">
        <v>8509</v>
      </c>
      <c r="C189" t="s">
        <v>8508</v>
      </c>
      <c r="E189">
        <v>11754511</v>
      </c>
      <c r="F189" t="s">
        <v>8507</v>
      </c>
      <c r="G189" t="s">
        <v>6</v>
      </c>
      <c r="H189" t="s">
        <v>5</v>
      </c>
      <c r="I189" t="s">
        <v>306</v>
      </c>
      <c r="J189">
        <v>60141119</v>
      </c>
      <c r="K189" t="s">
        <v>305</v>
      </c>
      <c r="L189" t="s">
        <v>304</v>
      </c>
      <c r="M189" t="s">
        <v>3</v>
      </c>
      <c r="N189">
        <v>1</v>
      </c>
      <c r="O189" t="s">
        <v>8506</v>
      </c>
      <c r="P189">
        <v>7403001261</v>
      </c>
      <c r="Q189">
        <v>60141119</v>
      </c>
      <c r="R189" s="7">
        <v>37226</v>
      </c>
      <c r="S189" s="8">
        <f t="shared" si="16"/>
        <v>2001</v>
      </c>
      <c r="T189" s="8">
        <v>2001</v>
      </c>
      <c r="U189" s="8">
        <f t="shared" si="17"/>
        <v>21</v>
      </c>
      <c r="V189" s="7">
        <v>37226</v>
      </c>
      <c r="W189" t="s">
        <v>8505</v>
      </c>
      <c r="X189" s="2">
        <v>0.53600000000000003</v>
      </c>
      <c r="Y189" s="6">
        <f t="shared" si="22"/>
        <v>1.430821387576413E-2</v>
      </c>
      <c r="AA189" t="s">
        <v>8504</v>
      </c>
      <c r="AB189">
        <v>20920</v>
      </c>
      <c r="AD189" t="s">
        <v>1</v>
      </c>
      <c r="AE189">
        <v>55</v>
      </c>
      <c r="AF189">
        <v>5</v>
      </c>
      <c r="AH189" t="s">
        <v>749</v>
      </c>
      <c r="AI189" t="s">
        <v>8503</v>
      </c>
      <c r="AJ189" t="s">
        <v>8502</v>
      </c>
      <c r="AK189" t="s">
        <v>8501</v>
      </c>
      <c r="AL189">
        <v>3</v>
      </c>
      <c r="AM189" s="5">
        <f t="shared" si="18"/>
        <v>0.14285714285714285</v>
      </c>
      <c r="AN189" s="4">
        <f t="shared" si="23"/>
        <v>2.1636825877643749E-4</v>
      </c>
      <c r="AO189" s="3"/>
      <c r="AP189">
        <v>0</v>
      </c>
      <c r="AR189" t="s">
        <v>0</v>
      </c>
      <c r="AT189" s="2">
        <v>2.7690000000000001</v>
      </c>
      <c r="AU189" s="1">
        <f t="shared" si="19"/>
        <v>1.0080660190667823</v>
      </c>
      <c r="AV189" s="1">
        <f t="shared" si="20"/>
        <v>0.72622910672702834</v>
      </c>
      <c r="AW189" s="1">
        <f t="shared" si="21"/>
        <v>0.44439219438727456</v>
      </c>
    </row>
    <row r="190" spans="1:49" x14ac:dyDescent="0.2">
      <c r="A190">
        <v>188</v>
      </c>
      <c r="B190" t="s">
        <v>8500</v>
      </c>
      <c r="C190" t="s">
        <v>8499</v>
      </c>
      <c r="F190" t="s">
        <v>8498</v>
      </c>
      <c r="G190" t="s">
        <v>6</v>
      </c>
      <c r="H190" t="s">
        <v>5</v>
      </c>
      <c r="I190" t="s">
        <v>8497</v>
      </c>
      <c r="J190">
        <v>60005686</v>
      </c>
      <c r="K190" t="s">
        <v>8496</v>
      </c>
      <c r="L190" t="s">
        <v>8495</v>
      </c>
      <c r="M190" t="s">
        <v>7836</v>
      </c>
      <c r="N190">
        <v>1</v>
      </c>
      <c r="O190" t="s">
        <v>8494</v>
      </c>
      <c r="P190">
        <v>7003306034</v>
      </c>
      <c r="Q190">
        <v>60005686</v>
      </c>
      <c r="R190" s="7">
        <v>37226</v>
      </c>
      <c r="S190" s="8">
        <f t="shared" si="16"/>
        <v>2001</v>
      </c>
      <c r="T190" s="8">
        <v>2001</v>
      </c>
      <c r="U190" s="8">
        <f t="shared" si="17"/>
        <v>21</v>
      </c>
      <c r="V190" s="7">
        <v>37226</v>
      </c>
      <c r="W190" t="s">
        <v>98</v>
      </c>
      <c r="X190" s="2">
        <v>0.30199999999999999</v>
      </c>
      <c r="Y190" s="6">
        <f t="shared" si="22"/>
        <v>8.0617175195536687E-3</v>
      </c>
      <c r="AA190">
        <v>9296212</v>
      </c>
      <c r="AB190">
        <v>20725</v>
      </c>
      <c r="AD190" t="s">
        <v>1</v>
      </c>
      <c r="AE190">
        <v>19</v>
      </c>
      <c r="AF190">
        <v>3</v>
      </c>
      <c r="AH190" t="s">
        <v>8493</v>
      </c>
      <c r="AI190" t="s">
        <v>8492</v>
      </c>
      <c r="AJ190" t="s">
        <v>8491</v>
      </c>
      <c r="AK190" t="s">
        <v>8490</v>
      </c>
      <c r="AL190">
        <v>10</v>
      </c>
      <c r="AM190" s="5">
        <f t="shared" si="18"/>
        <v>0.47619047619047616</v>
      </c>
      <c r="AN190" s="4">
        <f t="shared" si="23"/>
        <v>7.2122752925479164E-4</v>
      </c>
      <c r="AO190" s="3"/>
      <c r="AP190">
        <v>0</v>
      </c>
      <c r="AR190" t="s">
        <v>0</v>
      </c>
      <c r="AT190" s="2">
        <v>1.671</v>
      </c>
      <c r="AU190" s="1">
        <f t="shared" si="19"/>
        <v>0.58595705224640049</v>
      </c>
      <c r="AV190" s="1">
        <f t="shared" si="20"/>
        <v>0.43914725244042307</v>
      </c>
      <c r="AW190" s="1">
        <f t="shared" si="21"/>
        <v>0.29233745263444544</v>
      </c>
    </row>
    <row r="191" spans="1:49" x14ac:dyDescent="0.2">
      <c r="A191">
        <v>189</v>
      </c>
      <c r="B191" t="s">
        <v>8489</v>
      </c>
      <c r="C191" t="s">
        <v>8488</v>
      </c>
      <c r="F191" t="s">
        <v>8487</v>
      </c>
      <c r="G191" t="s">
        <v>6</v>
      </c>
      <c r="H191" t="s">
        <v>5</v>
      </c>
      <c r="I191" t="s">
        <v>414</v>
      </c>
      <c r="J191">
        <v>60017161</v>
      </c>
      <c r="K191" t="s">
        <v>132</v>
      </c>
      <c r="L191" t="s">
        <v>131</v>
      </c>
      <c r="M191" t="s">
        <v>130</v>
      </c>
      <c r="N191">
        <v>4</v>
      </c>
      <c r="O191" t="s">
        <v>8486</v>
      </c>
      <c r="P191" t="s">
        <v>413</v>
      </c>
      <c r="Q191" t="s">
        <v>255</v>
      </c>
      <c r="R191" s="7">
        <v>37226</v>
      </c>
      <c r="S191" s="8">
        <f t="shared" si="16"/>
        <v>2001</v>
      </c>
      <c r="T191" s="8">
        <v>2001</v>
      </c>
      <c r="U191" s="8">
        <f t="shared" si="17"/>
        <v>21</v>
      </c>
      <c r="V191" s="7">
        <v>37226</v>
      </c>
      <c r="W191" t="s">
        <v>98</v>
      </c>
      <c r="X191" s="2">
        <v>0.30199999999999999</v>
      </c>
      <c r="Y191" s="6">
        <f t="shared" si="22"/>
        <v>8.0617175195536687E-3</v>
      </c>
      <c r="AA191">
        <v>9296212</v>
      </c>
      <c r="AB191">
        <v>20725</v>
      </c>
      <c r="AD191" t="s">
        <v>1</v>
      </c>
      <c r="AE191">
        <v>19</v>
      </c>
      <c r="AF191">
        <v>3</v>
      </c>
      <c r="AH191" t="s">
        <v>8485</v>
      </c>
      <c r="AI191" t="s">
        <v>8484</v>
      </c>
      <c r="AJ191" t="s">
        <v>8483</v>
      </c>
      <c r="AK191" t="s">
        <v>8482</v>
      </c>
      <c r="AL191">
        <v>1</v>
      </c>
      <c r="AM191" s="5">
        <f t="shared" si="18"/>
        <v>4.7619047619047616E-2</v>
      </c>
      <c r="AN191" s="4">
        <f t="shared" si="23"/>
        <v>7.2122752925479164E-5</v>
      </c>
      <c r="AO191" s="3"/>
      <c r="AP191">
        <v>0</v>
      </c>
      <c r="AR191" t="s">
        <v>0</v>
      </c>
      <c r="AT191" s="2">
        <v>1.671</v>
      </c>
      <c r="AU191" s="1">
        <f t="shared" si="19"/>
        <v>0.56648390895652112</v>
      </c>
      <c r="AV191" s="1">
        <f t="shared" si="20"/>
        <v>0.4066920136239574</v>
      </c>
      <c r="AW191" s="1">
        <f t="shared" si="21"/>
        <v>0.24690011829139358</v>
      </c>
    </row>
    <row r="192" spans="1:49" x14ac:dyDescent="0.2">
      <c r="A192">
        <v>190</v>
      </c>
      <c r="B192" t="s">
        <v>8481</v>
      </c>
      <c r="F192" t="s">
        <v>8480</v>
      </c>
      <c r="G192" t="s">
        <v>6</v>
      </c>
      <c r="H192" t="s">
        <v>5</v>
      </c>
      <c r="I192" t="s">
        <v>8479</v>
      </c>
      <c r="N192">
        <v>1</v>
      </c>
      <c r="O192" t="s">
        <v>8478</v>
      </c>
      <c r="P192">
        <v>7202758543</v>
      </c>
      <c r="R192" s="7">
        <v>37226</v>
      </c>
      <c r="S192" s="8">
        <f t="shared" si="16"/>
        <v>2001</v>
      </c>
      <c r="T192" s="8">
        <v>2001</v>
      </c>
      <c r="U192" s="8">
        <f t="shared" si="17"/>
        <v>21</v>
      </c>
      <c r="V192" s="7">
        <v>2001</v>
      </c>
      <c r="W192" t="s">
        <v>8477</v>
      </c>
      <c r="X192" s="2">
        <v>0.14099999999999999</v>
      </c>
      <c r="Y192" s="6">
        <f t="shared" si="22"/>
        <v>3.7639144710498915E-3</v>
      </c>
      <c r="AA192">
        <v>7252986</v>
      </c>
      <c r="AB192">
        <v>18037</v>
      </c>
      <c r="AD192" t="s">
        <v>1</v>
      </c>
      <c r="AE192">
        <v>21</v>
      </c>
      <c r="AF192">
        <v>2</v>
      </c>
      <c r="AH192" t="s">
        <v>8476</v>
      </c>
      <c r="AI192" t="s">
        <v>8475</v>
      </c>
      <c r="AK192" t="s">
        <v>8474</v>
      </c>
      <c r="AL192">
        <v>0</v>
      </c>
      <c r="AM192" s="5">
        <f t="shared" si="18"/>
        <v>0</v>
      </c>
      <c r="AN192" s="4">
        <f t="shared" si="23"/>
        <v>0</v>
      </c>
      <c r="AO192" s="3"/>
      <c r="AP192">
        <v>0</v>
      </c>
      <c r="AR192" t="s">
        <v>0</v>
      </c>
      <c r="AT192" s="2" t="s">
        <v>7</v>
      </c>
      <c r="AU192" s="1">
        <f t="shared" si="19"/>
        <v>0.26347401297349238</v>
      </c>
      <c r="AV192" s="1">
        <f t="shared" si="20"/>
        <v>0.18819572355249459</v>
      </c>
      <c r="AW192" s="1">
        <f t="shared" si="21"/>
        <v>0.11291743413149673</v>
      </c>
    </row>
    <row r="193" spans="1:49" x14ac:dyDescent="0.2">
      <c r="A193">
        <v>191</v>
      </c>
      <c r="B193" t="s">
        <v>8473</v>
      </c>
      <c r="C193" t="s">
        <v>8472</v>
      </c>
      <c r="F193" t="s">
        <v>8471</v>
      </c>
      <c r="G193" t="s">
        <v>6</v>
      </c>
      <c r="H193" t="s">
        <v>5</v>
      </c>
      <c r="I193" t="s">
        <v>8470</v>
      </c>
      <c r="J193">
        <v>60000891</v>
      </c>
      <c r="K193" t="s">
        <v>8469</v>
      </c>
      <c r="L193" t="s">
        <v>8468</v>
      </c>
      <c r="M193" t="s">
        <v>37</v>
      </c>
      <c r="N193">
        <v>2</v>
      </c>
      <c r="O193" t="s">
        <v>8467</v>
      </c>
      <c r="P193" t="s">
        <v>8466</v>
      </c>
      <c r="Q193" t="s">
        <v>8465</v>
      </c>
      <c r="R193" s="7">
        <v>37226</v>
      </c>
      <c r="S193" s="8">
        <f t="shared" si="16"/>
        <v>2001</v>
      </c>
      <c r="T193" s="8">
        <v>2001</v>
      </c>
      <c r="U193" s="8">
        <f t="shared" si="17"/>
        <v>21</v>
      </c>
      <c r="V193" s="7">
        <v>37226</v>
      </c>
      <c r="W193" s="11" t="s">
        <v>724</v>
      </c>
      <c r="X193" s="2">
        <v>2.383</v>
      </c>
      <c r="Y193" s="6">
        <f t="shared" si="22"/>
        <v>6.3612824003630442E-2</v>
      </c>
      <c r="AA193">
        <v>13502417</v>
      </c>
      <c r="AB193">
        <v>17416</v>
      </c>
      <c r="AD193" t="s">
        <v>1</v>
      </c>
      <c r="AE193">
        <v>148</v>
      </c>
      <c r="AF193">
        <v>6</v>
      </c>
      <c r="AH193" t="s">
        <v>8464</v>
      </c>
      <c r="AI193" t="s">
        <v>8463</v>
      </c>
      <c r="AK193" t="s">
        <v>8462</v>
      </c>
      <c r="AL193">
        <v>541</v>
      </c>
      <c r="AM193" s="5">
        <f t="shared" si="18"/>
        <v>25.761904761904763</v>
      </c>
      <c r="AN193" s="4">
        <f t="shared" si="23"/>
        <v>3.9018409332684231E-2</v>
      </c>
      <c r="AO193" s="3"/>
      <c r="AP193">
        <v>0</v>
      </c>
      <c r="AR193" t="s">
        <v>0</v>
      </c>
      <c r="AT193" s="2" t="s">
        <v>7</v>
      </c>
      <c r="AU193" s="1">
        <f t="shared" si="19"/>
        <v>5.6234499602346579</v>
      </c>
      <c r="AV193" s="1">
        <f t="shared" si="20"/>
        <v>5.1315616668157338</v>
      </c>
      <c r="AW193" s="1">
        <f t="shared" si="21"/>
        <v>4.6396733733968087</v>
      </c>
    </row>
    <row r="194" spans="1:49" x14ac:dyDescent="0.2">
      <c r="A194">
        <v>192</v>
      </c>
      <c r="B194" t="s">
        <v>8461</v>
      </c>
      <c r="C194" t="s">
        <v>8460</v>
      </c>
      <c r="F194" t="s">
        <v>8459</v>
      </c>
      <c r="G194" t="s">
        <v>6</v>
      </c>
      <c r="H194" t="s">
        <v>5</v>
      </c>
      <c r="I194" t="s">
        <v>8458</v>
      </c>
      <c r="J194">
        <v>60022403</v>
      </c>
      <c r="K194" t="s">
        <v>942</v>
      </c>
      <c r="L194" t="s">
        <v>941</v>
      </c>
      <c r="M194" t="s">
        <v>419</v>
      </c>
      <c r="N194">
        <v>2</v>
      </c>
      <c r="O194" t="s">
        <v>8457</v>
      </c>
      <c r="P194" t="s">
        <v>8456</v>
      </c>
      <c r="Q194" t="s">
        <v>940</v>
      </c>
      <c r="R194" s="7">
        <v>37226</v>
      </c>
      <c r="S194" s="8">
        <f t="shared" ref="S194:S257" si="24">YEAR(R194)</f>
        <v>2001</v>
      </c>
      <c r="T194" s="8">
        <v>2001</v>
      </c>
      <c r="U194" s="8">
        <f t="shared" ref="U194:U257" si="25">2022-T194</f>
        <v>21</v>
      </c>
      <c r="V194" s="7">
        <v>37226</v>
      </c>
      <c r="W194" s="11" t="s">
        <v>724</v>
      </c>
      <c r="X194" s="2">
        <v>2.383</v>
      </c>
      <c r="Y194" s="6">
        <f t="shared" si="22"/>
        <v>6.3612824003630442E-2</v>
      </c>
      <c r="AA194">
        <v>13502417</v>
      </c>
      <c r="AB194">
        <v>17416</v>
      </c>
      <c r="AD194" t="s">
        <v>1</v>
      </c>
      <c r="AE194">
        <v>148</v>
      </c>
      <c r="AF194">
        <v>6</v>
      </c>
      <c r="AH194" t="s">
        <v>8455</v>
      </c>
      <c r="AI194" t="s">
        <v>8454</v>
      </c>
      <c r="AK194" t="s">
        <v>8453</v>
      </c>
      <c r="AL194">
        <v>16</v>
      </c>
      <c r="AM194" s="5">
        <f t="shared" ref="AM194:AM257" si="26">AL194/U194</f>
        <v>0.76190476190476186</v>
      </c>
      <c r="AN194" s="4">
        <f t="shared" si="23"/>
        <v>1.1539640468076666E-3</v>
      </c>
      <c r="AO194" s="3"/>
      <c r="AP194">
        <v>0</v>
      </c>
      <c r="AR194" t="s">
        <v>0</v>
      </c>
      <c r="AT194" s="2" t="s">
        <v>7</v>
      </c>
      <c r="AU194" s="1">
        <f t="shared" ref="AU194:AU257" si="27">(Y194*0.7+AN194*0.3)*100</f>
        <v>4.4875166016583607</v>
      </c>
      <c r="AV194" s="1">
        <f t="shared" ref="AV194:AV257" si="28">(Y194*0.5+AN194*0.5)*100</f>
        <v>3.238339402521905</v>
      </c>
      <c r="AW194" s="1">
        <f t="shared" ref="AW194:AW257" si="29">(Y194*0.3+AN194*0.7)*100</f>
        <v>1.9891622033854501</v>
      </c>
    </row>
    <row r="195" spans="1:49" x14ac:dyDescent="0.2">
      <c r="A195">
        <v>193</v>
      </c>
      <c r="B195" t="s">
        <v>8452</v>
      </c>
      <c r="C195" t="s">
        <v>8451</v>
      </c>
      <c r="F195" t="s">
        <v>8450</v>
      </c>
      <c r="G195" t="s">
        <v>6</v>
      </c>
      <c r="H195" t="s">
        <v>5</v>
      </c>
      <c r="I195" t="s">
        <v>8449</v>
      </c>
      <c r="J195">
        <v>60007284</v>
      </c>
      <c r="K195" t="s">
        <v>374</v>
      </c>
      <c r="L195" t="s">
        <v>131</v>
      </c>
      <c r="M195" t="s">
        <v>130</v>
      </c>
      <c r="N195">
        <v>2</v>
      </c>
      <c r="O195" t="s">
        <v>8448</v>
      </c>
      <c r="P195" t="s">
        <v>8447</v>
      </c>
      <c r="Q195" t="s">
        <v>373</v>
      </c>
      <c r="R195" s="7">
        <v>37226</v>
      </c>
      <c r="S195" s="8">
        <f t="shared" si="24"/>
        <v>2001</v>
      </c>
      <c r="T195" s="8">
        <v>2001</v>
      </c>
      <c r="U195" s="8">
        <f t="shared" si="25"/>
        <v>21</v>
      </c>
      <c r="V195" s="7">
        <v>37226</v>
      </c>
      <c r="W195" s="11" t="s">
        <v>724</v>
      </c>
      <c r="X195" s="2">
        <v>2.383</v>
      </c>
      <c r="Y195" s="6">
        <f t="shared" ref="Y195:Y258" si="30">(X195-$Z$3)/($Z$2-$Z$3)</f>
        <v>6.3612824003630442E-2</v>
      </c>
      <c r="AA195">
        <v>13502417</v>
      </c>
      <c r="AB195">
        <v>17416</v>
      </c>
      <c r="AD195" t="s">
        <v>1</v>
      </c>
      <c r="AE195">
        <v>148</v>
      </c>
      <c r="AF195">
        <v>6</v>
      </c>
      <c r="AH195" t="s">
        <v>8446</v>
      </c>
      <c r="AI195" t="s">
        <v>8445</v>
      </c>
      <c r="AK195" t="s">
        <v>8444</v>
      </c>
      <c r="AL195">
        <v>20</v>
      </c>
      <c r="AM195" s="5">
        <f t="shared" si="26"/>
        <v>0.95238095238095233</v>
      </c>
      <c r="AN195" s="4">
        <f t="shared" ref="AN195:AN258" si="31">(AM195-$AO$3)/($AO$2-$AO$3)</f>
        <v>1.4424550585095833E-3</v>
      </c>
      <c r="AO195" s="3"/>
      <c r="AP195">
        <v>0</v>
      </c>
      <c r="AR195" t="s">
        <v>0</v>
      </c>
      <c r="AT195" s="2" t="s">
        <v>7</v>
      </c>
      <c r="AU195" s="1">
        <f t="shared" si="27"/>
        <v>4.4961713320094177</v>
      </c>
      <c r="AV195" s="1">
        <f t="shared" si="28"/>
        <v>3.2527639531070012</v>
      </c>
      <c r="AW195" s="1">
        <f t="shared" si="29"/>
        <v>2.0093565742045842</v>
      </c>
    </row>
    <row r="196" spans="1:49" x14ac:dyDescent="0.2">
      <c r="A196">
        <v>194</v>
      </c>
      <c r="B196" t="s">
        <v>8443</v>
      </c>
      <c r="C196" t="s">
        <v>8442</v>
      </c>
      <c r="F196" t="s">
        <v>8441</v>
      </c>
      <c r="G196" t="s">
        <v>6</v>
      </c>
      <c r="H196" t="s">
        <v>5</v>
      </c>
      <c r="I196" t="s">
        <v>591</v>
      </c>
      <c r="J196">
        <v>60003196</v>
      </c>
      <c r="K196" t="s">
        <v>8440</v>
      </c>
      <c r="L196" t="s">
        <v>130</v>
      </c>
      <c r="M196" t="s">
        <v>130</v>
      </c>
      <c r="N196">
        <v>3</v>
      </c>
      <c r="O196" t="s">
        <v>8439</v>
      </c>
      <c r="P196" t="s">
        <v>8438</v>
      </c>
      <c r="Q196" t="s">
        <v>8437</v>
      </c>
      <c r="R196" s="7">
        <v>37226</v>
      </c>
      <c r="S196" s="8">
        <f t="shared" si="24"/>
        <v>2001</v>
      </c>
      <c r="T196" s="8">
        <v>2001</v>
      </c>
      <c r="U196" s="8">
        <f t="shared" si="25"/>
        <v>21</v>
      </c>
      <c r="V196" s="7">
        <v>37226</v>
      </c>
      <c r="W196" s="11" t="s">
        <v>724</v>
      </c>
      <c r="X196" s="2">
        <v>2.383</v>
      </c>
      <c r="Y196" s="6">
        <f t="shared" si="30"/>
        <v>6.3612824003630442E-2</v>
      </c>
      <c r="AA196">
        <v>13502417</v>
      </c>
      <c r="AB196">
        <v>17416</v>
      </c>
      <c r="AD196" t="s">
        <v>1</v>
      </c>
      <c r="AE196">
        <v>148</v>
      </c>
      <c r="AF196">
        <v>6</v>
      </c>
      <c r="AH196" t="s">
        <v>8436</v>
      </c>
      <c r="AI196" t="s">
        <v>8435</v>
      </c>
      <c r="AK196" t="s">
        <v>8434</v>
      </c>
      <c r="AL196">
        <v>25</v>
      </c>
      <c r="AM196" s="5">
        <f t="shared" si="26"/>
        <v>1.1904761904761905</v>
      </c>
      <c r="AN196" s="4">
        <f t="shared" si="31"/>
        <v>1.8030688231369791E-3</v>
      </c>
      <c r="AO196" s="3"/>
      <c r="AP196">
        <v>0</v>
      </c>
      <c r="AR196" t="s">
        <v>0</v>
      </c>
      <c r="AT196" s="2" t="s">
        <v>7</v>
      </c>
      <c r="AU196" s="1">
        <f t="shared" si="27"/>
        <v>4.5069897449482399</v>
      </c>
      <c r="AV196" s="1">
        <f t="shared" si="28"/>
        <v>3.2707946413383713</v>
      </c>
      <c r="AW196" s="1">
        <f t="shared" si="29"/>
        <v>2.0345995377285018</v>
      </c>
    </row>
    <row r="197" spans="1:49" x14ac:dyDescent="0.2">
      <c r="A197">
        <v>195</v>
      </c>
      <c r="B197" t="s">
        <v>8433</v>
      </c>
      <c r="C197" t="s">
        <v>8432</v>
      </c>
      <c r="F197" t="s">
        <v>8431</v>
      </c>
      <c r="G197" t="s">
        <v>6</v>
      </c>
      <c r="H197" t="s">
        <v>5</v>
      </c>
      <c r="I197" t="s">
        <v>8430</v>
      </c>
      <c r="J197">
        <v>60019656</v>
      </c>
      <c r="K197" t="s">
        <v>8429</v>
      </c>
      <c r="L197" t="s">
        <v>224</v>
      </c>
      <c r="M197" t="s">
        <v>37</v>
      </c>
      <c r="N197">
        <v>5</v>
      </c>
      <c r="O197" t="s">
        <v>8428</v>
      </c>
      <c r="P197" t="s">
        <v>8427</v>
      </c>
      <c r="Q197" t="s">
        <v>8426</v>
      </c>
      <c r="R197" s="7">
        <v>37226</v>
      </c>
      <c r="S197" s="8">
        <f t="shared" si="24"/>
        <v>2001</v>
      </c>
      <c r="T197" s="8">
        <v>2001</v>
      </c>
      <c r="U197" s="8">
        <f t="shared" si="25"/>
        <v>21</v>
      </c>
      <c r="V197" s="7">
        <v>37226</v>
      </c>
      <c r="W197" s="11" t="s">
        <v>724</v>
      </c>
      <c r="X197" s="2">
        <v>2.383</v>
      </c>
      <c r="Y197" s="6">
        <f t="shared" si="30"/>
        <v>6.3612824003630442E-2</v>
      </c>
      <c r="AA197">
        <v>13502417</v>
      </c>
      <c r="AB197">
        <v>17416</v>
      </c>
      <c r="AD197" t="s">
        <v>1</v>
      </c>
      <c r="AE197">
        <v>148</v>
      </c>
      <c r="AF197">
        <v>6</v>
      </c>
      <c r="AH197" t="s">
        <v>8425</v>
      </c>
      <c r="AI197" t="s">
        <v>8424</v>
      </c>
      <c r="AK197" t="s">
        <v>8423</v>
      </c>
      <c r="AL197">
        <v>4</v>
      </c>
      <c r="AM197" s="5">
        <f t="shared" si="26"/>
        <v>0.19047619047619047</v>
      </c>
      <c r="AN197" s="4">
        <f t="shared" si="31"/>
        <v>2.8849101170191666E-4</v>
      </c>
      <c r="AO197" s="3"/>
      <c r="AP197">
        <v>0</v>
      </c>
      <c r="AR197" t="s">
        <v>0</v>
      </c>
      <c r="AT197" s="2" t="s">
        <v>7</v>
      </c>
      <c r="AU197" s="1">
        <f t="shared" si="27"/>
        <v>4.4615524106051883</v>
      </c>
      <c r="AV197" s="1">
        <f t="shared" si="28"/>
        <v>3.1950657507666183</v>
      </c>
      <c r="AW197" s="1">
        <f t="shared" si="29"/>
        <v>1.9285790909280474</v>
      </c>
    </row>
    <row r="198" spans="1:49" x14ac:dyDescent="0.2">
      <c r="A198">
        <v>196</v>
      </c>
      <c r="B198" t="s">
        <v>8422</v>
      </c>
      <c r="C198" t="s">
        <v>8421</v>
      </c>
      <c r="F198" t="s">
        <v>8420</v>
      </c>
      <c r="G198" t="s">
        <v>6</v>
      </c>
      <c r="H198" t="s">
        <v>5</v>
      </c>
      <c r="I198" t="s">
        <v>8419</v>
      </c>
      <c r="J198">
        <v>60029738</v>
      </c>
      <c r="K198" t="s">
        <v>857</v>
      </c>
      <c r="L198" t="s">
        <v>856</v>
      </c>
      <c r="M198" t="s">
        <v>37</v>
      </c>
      <c r="N198">
        <v>3</v>
      </c>
      <c r="O198" t="s">
        <v>8418</v>
      </c>
      <c r="P198" t="s">
        <v>8417</v>
      </c>
      <c r="Q198" t="s">
        <v>855</v>
      </c>
      <c r="R198" s="7">
        <v>37226</v>
      </c>
      <c r="S198" s="8">
        <f t="shared" si="24"/>
        <v>2001</v>
      </c>
      <c r="T198" s="8">
        <v>2001</v>
      </c>
      <c r="U198" s="8">
        <f t="shared" si="25"/>
        <v>21</v>
      </c>
      <c r="V198" s="7">
        <v>37226</v>
      </c>
      <c r="W198" s="11" t="s">
        <v>724</v>
      </c>
      <c r="X198" s="2">
        <v>2.383</v>
      </c>
      <c r="Y198" s="6">
        <f t="shared" si="30"/>
        <v>6.3612824003630442E-2</v>
      </c>
      <c r="AA198">
        <v>13502417</v>
      </c>
      <c r="AB198">
        <v>17416</v>
      </c>
      <c r="AD198" t="s">
        <v>1</v>
      </c>
      <c r="AE198">
        <v>148</v>
      </c>
      <c r="AF198">
        <v>6</v>
      </c>
      <c r="AH198" t="s">
        <v>1031</v>
      </c>
      <c r="AI198" t="s">
        <v>8416</v>
      </c>
      <c r="AK198" t="s">
        <v>8415</v>
      </c>
      <c r="AL198">
        <v>6</v>
      </c>
      <c r="AM198" s="5">
        <f t="shared" si="26"/>
        <v>0.2857142857142857</v>
      </c>
      <c r="AN198" s="4">
        <f t="shared" si="31"/>
        <v>4.3273651755287499E-4</v>
      </c>
      <c r="AO198" s="3"/>
      <c r="AP198">
        <v>0</v>
      </c>
      <c r="AR198" t="s">
        <v>0</v>
      </c>
      <c r="AT198" s="2" t="s">
        <v>7</v>
      </c>
      <c r="AU198" s="1">
        <f t="shared" si="27"/>
        <v>4.4658797757807172</v>
      </c>
      <c r="AV198" s="1">
        <f t="shared" si="28"/>
        <v>3.2022780260591661</v>
      </c>
      <c r="AW198" s="1">
        <f t="shared" si="29"/>
        <v>1.9386762763376146</v>
      </c>
    </row>
    <row r="199" spans="1:49" x14ac:dyDescent="0.2">
      <c r="A199">
        <v>197</v>
      </c>
      <c r="B199" t="s">
        <v>8414</v>
      </c>
      <c r="C199" t="s">
        <v>8413</v>
      </c>
      <c r="F199" t="s">
        <v>8412</v>
      </c>
      <c r="G199" t="s">
        <v>6</v>
      </c>
      <c r="H199" t="s">
        <v>5</v>
      </c>
      <c r="I199" t="s">
        <v>8411</v>
      </c>
      <c r="J199">
        <v>60022195</v>
      </c>
      <c r="K199" t="s">
        <v>396</v>
      </c>
      <c r="L199" t="s">
        <v>4</v>
      </c>
      <c r="M199" t="s">
        <v>3</v>
      </c>
      <c r="N199">
        <v>2</v>
      </c>
      <c r="O199" t="s">
        <v>8410</v>
      </c>
      <c r="P199" t="s">
        <v>8409</v>
      </c>
      <c r="Q199" t="s">
        <v>8408</v>
      </c>
      <c r="R199" s="7">
        <v>37226</v>
      </c>
      <c r="S199" s="8">
        <f t="shared" si="24"/>
        <v>2001</v>
      </c>
      <c r="T199" s="8">
        <v>2001</v>
      </c>
      <c r="U199" s="8">
        <f t="shared" si="25"/>
        <v>21</v>
      </c>
      <c r="V199" s="7">
        <v>37226</v>
      </c>
      <c r="W199" s="11" t="s">
        <v>724</v>
      </c>
      <c r="X199" s="2">
        <v>2.383</v>
      </c>
      <c r="Y199" s="6">
        <f t="shared" si="30"/>
        <v>6.3612824003630442E-2</v>
      </c>
      <c r="AA199">
        <v>13502417</v>
      </c>
      <c r="AB199">
        <v>17416</v>
      </c>
      <c r="AD199" t="s">
        <v>1</v>
      </c>
      <c r="AE199">
        <v>148</v>
      </c>
      <c r="AF199">
        <v>6</v>
      </c>
      <c r="AH199" t="s">
        <v>8407</v>
      </c>
      <c r="AI199" t="s">
        <v>8406</v>
      </c>
      <c r="AK199" t="s">
        <v>8405</v>
      </c>
      <c r="AL199">
        <v>2</v>
      </c>
      <c r="AM199" s="5">
        <f t="shared" si="26"/>
        <v>9.5238095238095233E-2</v>
      </c>
      <c r="AN199" s="4">
        <f t="shared" si="31"/>
        <v>1.4424550585095833E-4</v>
      </c>
      <c r="AO199" s="3"/>
      <c r="AP199">
        <v>0</v>
      </c>
      <c r="AR199" t="s">
        <v>0</v>
      </c>
      <c r="AT199" s="2" t="s">
        <v>7</v>
      </c>
      <c r="AU199" s="1">
        <f t="shared" si="27"/>
        <v>4.4572250454296594</v>
      </c>
      <c r="AV199" s="1">
        <f t="shared" si="28"/>
        <v>3.1878534754740699</v>
      </c>
      <c r="AW199" s="1">
        <f t="shared" si="29"/>
        <v>1.9184819055184803</v>
      </c>
    </row>
    <row r="200" spans="1:49" x14ac:dyDescent="0.2">
      <c r="A200">
        <v>198</v>
      </c>
      <c r="B200" t="s">
        <v>8404</v>
      </c>
      <c r="C200" t="s">
        <v>8403</v>
      </c>
      <c r="F200" t="s">
        <v>8402</v>
      </c>
      <c r="G200" t="s">
        <v>6</v>
      </c>
      <c r="H200" t="s">
        <v>5</v>
      </c>
      <c r="I200" t="s">
        <v>8401</v>
      </c>
      <c r="J200">
        <v>60018319</v>
      </c>
      <c r="K200" t="s">
        <v>8400</v>
      </c>
      <c r="L200" t="s">
        <v>8399</v>
      </c>
      <c r="M200" t="s">
        <v>3</v>
      </c>
      <c r="N200">
        <v>2</v>
      </c>
      <c r="O200" t="s">
        <v>8398</v>
      </c>
      <c r="P200" t="s">
        <v>8397</v>
      </c>
      <c r="Q200" t="s">
        <v>8396</v>
      </c>
      <c r="R200" s="7">
        <v>37226</v>
      </c>
      <c r="S200" s="8">
        <f t="shared" si="24"/>
        <v>2001</v>
      </c>
      <c r="T200" s="8">
        <v>2001</v>
      </c>
      <c r="U200" s="8">
        <f t="shared" si="25"/>
        <v>21</v>
      </c>
      <c r="V200" s="7">
        <v>2001</v>
      </c>
      <c r="W200" t="s">
        <v>8395</v>
      </c>
      <c r="X200" s="2">
        <v>1.0680000000000001</v>
      </c>
      <c r="Y200" s="6">
        <f t="shared" si="30"/>
        <v>2.8509650036037483E-2</v>
      </c>
      <c r="AA200">
        <v>2545330</v>
      </c>
      <c r="AB200">
        <v>23090</v>
      </c>
      <c r="AC200">
        <v>15729338</v>
      </c>
      <c r="AD200" t="s">
        <v>1</v>
      </c>
      <c r="AE200">
        <v>106</v>
      </c>
      <c r="AF200" s="10">
        <v>44287</v>
      </c>
      <c r="AH200" t="s">
        <v>8394</v>
      </c>
      <c r="AI200" t="s">
        <v>8393</v>
      </c>
      <c r="AJ200" t="s">
        <v>8392</v>
      </c>
      <c r="AK200" t="s">
        <v>8391</v>
      </c>
      <c r="AL200">
        <v>11</v>
      </c>
      <c r="AM200" s="5">
        <f t="shared" si="26"/>
        <v>0.52380952380952384</v>
      </c>
      <c r="AN200" s="4">
        <f t="shared" si="31"/>
        <v>7.9335028218027086E-4</v>
      </c>
      <c r="AO200" s="3"/>
      <c r="AP200">
        <v>0</v>
      </c>
      <c r="AR200" t="s">
        <v>0</v>
      </c>
      <c r="AT200" s="2">
        <v>4.8540000000000001</v>
      </c>
      <c r="AU200" s="1">
        <f t="shared" si="27"/>
        <v>2.0194760109880319</v>
      </c>
      <c r="AV200" s="1">
        <f t="shared" si="28"/>
        <v>1.4651500159108877</v>
      </c>
      <c r="AW200" s="1">
        <f t="shared" si="29"/>
        <v>0.91082402083374348</v>
      </c>
    </row>
    <row r="201" spans="1:49" x14ac:dyDescent="0.2">
      <c r="A201">
        <v>199</v>
      </c>
      <c r="B201" t="s">
        <v>8390</v>
      </c>
      <c r="F201" t="s">
        <v>8389</v>
      </c>
      <c r="G201" t="s">
        <v>6</v>
      </c>
      <c r="H201" t="s">
        <v>5</v>
      </c>
      <c r="I201" t="s">
        <v>3127</v>
      </c>
      <c r="J201">
        <v>100329638</v>
      </c>
      <c r="K201" t="s">
        <v>8388</v>
      </c>
      <c r="L201" t="s">
        <v>8387</v>
      </c>
      <c r="M201" t="s">
        <v>197</v>
      </c>
      <c r="N201">
        <v>2</v>
      </c>
      <c r="O201" t="s">
        <v>8386</v>
      </c>
      <c r="P201" t="s">
        <v>8385</v>
      </c>
      <c r="Q201" t="s">
        <v>8384</v>
      </c>
      <c r="R201" s="7">
        <v>37226</v>
      </c>
      <c r="S201" s="8">
        <f t="shared" si="24"/>
        <v>2001</v>
      </c>
      <c r="T201" s="8">
        <v>2001</v>
      </c>
      <c r="U201" s="8">
        <f t="shared" si="25"/>
        <v>21</v>
      </c>
      <c r="V201" s="7">
        <v>2001</v>
      </c>
      <c r="W201" t="s">
        <v>8383</v>
      </c>
      <c r="X201" s="2">
        <v>0.29899999999999999</v>
      </c>
      <c r="Y201" s="6">
        <f t="shared" si="30"/>
        <v>7.9816342329355871E-3</v>
      </c>
      <c r="AA201">
        <v>1464116</v>
      </c>
      <c r="AB201">
        <v>24906</v>
      </c>
      <c r="AD201" t="s">
        <v>1</v>
      </c>
      <c r="AE201">
        <v>35</v>
      </c>
      <c r="AF201">
        <v>4</v>
      </c>
      <c r="AH201" t="s">
        <v>212</v>
      </c>
      <c r="AI201" t="s">
        <v>8382</v>
      </c>
      <c r="AK201" t="s">
        <v>8381</v>
      </c>
      <c r="AL201">
        <v>0</v>
      </c>
      <c r="AM201" s="5">
        <f t="shared" si="26"/>
        <v>0</v>
      </c>
      <c r="AN201" s="4">
        <f t="shared" si="31"/>
        <v>0</v>
      </c>
      <c r="AO201" s="3"/>
      <c r="AP201">
        <v>0</v>
      </c>
      <c r="AR201" t="s">
        <v>0</v>
      </c>
      <c r="AT201" s="2" t="s">
        <v>7</v>
      </c>
      <c r="AU201" s="1">
        <f t="shared" si="27"/>
        <v>0.55871439630549102</v>
      </c>
      <c r="AV201" s="1">
        <f t="shared" si="28"/>
        <v>0.39908171164677936</v>
      </c>
      <c r="AW201" s="1">
        <f t="shared" si="29"/>
        <v>0.23944902698806758</v>
      </c>
    </row>
    <row r="202" spans="1:49" x14ac:dyDescent="0.2">
      <c r="A202">
        <v>200</v>
      </c>
      <c r="B202" t="s">
        <v>8380</v>
      </c>
      <c r="F202" t="s">
        <v>8379</v>
      </c>
      <c r="G202" t="s">
        <v>6</v>
      </c>
      <c r="H202" t="s">
        <v>5</v>
      </c>
      <c r="I202" t="s">
        <v>758</v>
      </c>
      <c r="N202">
        <v>1</v>
      </c>
      <c r="O202" t="s">
        <v>757</v>
      </c>
      <c r="P202">
        <v>1</v>
      </c>
      <c r="R202" s="7">
        <v>37226</v>
      </c>
      <c r="S202" s="8">
        <f t="shared" si="24"/>
        <v>2001</v>
      </c>
      <c r="T202" s="8">
        <v>2001</v>
      </c>
      <c r="U202" s="8">
        <f t="shared" si="25"/>
        <v>21</v>
      </c>
      <c r="V202" s="7">
        <v>37226</v>
      </c>
      <c r="W202" t="s">
        <v>756</v>
      </c>
      <c r="X202" s="2" t="s">
        <v>7</v>
      </c>
      <c r="Y202" s="6" t="e">
        <f t="shared" si="30"/>
        <v>#VALUE!</v>
      </c>
      <c r="AA202" t="s">
        <v>755</v>
      </c>
      <c r="AB202">
        <v>26720</v>
      </c>
      <c r="AD202" t="s">
        <v>1</v>
      </c>
      <c r="AF202" t="s">
        <v>8378</v>
      </c>
      <c r="AH202" t="s">
        <v>8377</v>
      </c>
      <c r="AI202" t="s">
        <v>8376</v>
      </c>
      <c r="AK202" t="s">
        <v>8375</v>
      </c>
      <c r="AL202">
        <v>0</v>
      </c>
      <c r="AM202" s="5">
        <f t="shared" si="26"/>
        <v>0</v>
      </c>
      <c r="AN202" s="4">
        <f t="shared" si="31"/>
        <v>0</v>
      </c>
      <c r="AO202" s="3"/>
      <c r="AP202">
        <v>0</v>
      </c>
      <c r="AR202" t="s">
        <v>0</v>
      </c>
      <c r="AT202" s="2" t="s">
        <v>7</v>
      </c>
      <c r="AU202" s="1" t="e">
        <f t="shared" si="27"/>
        <v>#VALUE!</v>
      </c>
      <c r="AV202" s="1" t="e">
        <f t="shared" si="28"/>
        <v>#VALUE!</v>
      </c>
      <c r="AW202" s="1" t="e">
        <f t="shared" si="29"/>
        <v>#VALUE!</v>
      </c>
    </row>
    <row r="203" spans="1:49" x14ac:dyDescent="0.2">
      <c r="A203">
        <v>201</v>
      </c>
      <c r="B203" t="s">
        <v>8374</v>
      </c>
      <c r="C203" t="s">
        <v>8373</v>
      </c>
      <c r="F203" t="s">
        <v>8372</v>
      </c>
      <c r="G203" t="s">
        <v>6</v>
      </c>
      <c r="H203" t="s">
        <v>5</v>
      </c>
      <c r="I203" t="s">
        <v>8371</v>
      </c>
      <c r="J203" t="s">
        <v>8370</v>
      </c>
      <c r="K203" t="s">
        <v>8369</v>
      </c>
      <c r="L203" t="s">
        <v>8368</v>
      </c>
      <c r="M203" t="s">
        <v>703</v>
      </c>
      <c r="N203">
        <v>5</v>
      </c>
      <c r="O203" t="s">
        <v>8367</v>
      </c>
      <c r="P203" t="s">
        <v>8366</v>
      </c>
      <c r="Q203" t="s">
        <v>8365</v>
      </c>
      <c r="R203" s="7">
        <v>37226</v>
      </c>
      <c r="S203" s="8">
        <f t="shared" si="24"/>
        <v>2001</v>
      </c>
      <c r="T203" s="8">
        <v>2001</v>
      </c>
      <c r="U203" s="8">
        <f t="shared" si="25"/>
        <v>21</v>
      </c>
      <c r="V203" s="7">
        <v>2001</v>
      </c>
      <c r="W203" t="s">
        <v>6753</v>
      </c>
      <c r="X203" s="2">
        <v>0.755</v>
      </c>
      <c r="Y203" s="6">
        <f t="shared" si="30"/>
        <v>2.0154293798884174E-2</v>
      </c>
      <c r="AA203">
        <v>3003604</v>
      </c>
      <c r="AB203">
        <v>16515</v>
      </c>
      <c r="AD203" t="s">
        <v>1</v>
      </c>
      <c r="AE203">
        <v>39</v>
      </c>
      <c r="AF203">
        <v>4</v>
      </c>
      <c r="AH203" t="s">
        <v>8364</v>
      </c>
      <c r="AI203" t="s">
        <v>8363</v>
      </c>
      <c r="AJ203" t="s">
        <v>8362</v>
      </c>
      <c r="AK203" t="s">
        <v>8361</v>
      </c>
      <c r="AL203">
        <v>4</v>
      </c>
      <c r="AM203" s="5">
        <f t="shared" si="26"/>
        <v>0.19047619047619047</v>
      </c>
      <c r="AN203" s="4">
        <f t="shared" si="31"/>
        <v>2.8849101170191666E-4</v>
      </c>
      <c r="AO203" s="3"/>
      <c r="AP203">
        <v>0</v>
      </c>
      <c r="AR203" t="s">
        <v>0</v>
      </c>
      <c r="AT203" s="2">
        <v>3.1890000000000001</v>
      </c>
      <c r="AU203" s="1">
        <f t="shared" si="27"/>
        <v>1.4194552962729496</v>
      </c>
      <c r="AV203" s="1">
        <f t="shared" si="28"/>
        <v>1.0221392405293046</v>
      </c>
      <c r="AW203" s="1">
        <f t="shared" si="29"/>
        <v>0.62482318478565935</v>
      </c>
    </row>
    <row r="204" spans="1:49" x14ac:dyDescent="0.2">
      <c r="A204">
        <v>202</v>
      </c>
      <c r="B204" t="s">
        <v>8360</v>
      </c>
      <c r="C204" t="s">
        <v>8359</v>
      </c>
      <c r="D204" t="s">
        <v>8358</v>
      </c>
      <c r="F204" t="s">
        <v>8357</v>
      </c>
      <c r="G204" t="s">
        <v>6</v>
      </c>
      <c r="H204" t="s">
        <v>5</v>
      </c>
      <c r="I204" t="s">
        <v>8356</v>
      </c>
      <c r="J204" t="s">
        <v>8355</v>
      </c>
      <c r="K204" t="s">
        <v>8354</v>
      </c>
      <c r="L204" t="s">
        <v>8353</v>
      </c>
      <c r="M204" t="s">
        <v>8352</v>
      </c>
      <c r="N204">
        <v>5</v>
      </c>
      <c r="O204" t="s">
        <v>8351</v>
      </c>
      <c r="P204" t="s">
        <v>8350</v>
      </c>
      <c r="Q204" t="s">
        <v>8349</v>
      </c>
      <c r="R204" s="7">
        <v>37226</v>
      </c>
      <c r="S204" s="8">
        <f t="shared" si="24"/>
        <v>2001</v>
      </c>
      <c r="T204" s="8">
        <v>2001</v>
      </c>
      <c r="U204" s="8">
        <f t="shared" si="25"/>
        <v>21</v>
      </c>
      <c r="V204" s="7">
        <v>37226</v>
      </c>
      <c r="W204" t="s">
        <v>718</v>
      </c>
      <c r="X204" s="2">
        <v>0.54200000000000004</v>
      </c>
      <c r="Y204" s="6">
        <f t="shared" si="30"/>
        <v>1.4468380449000295E-2</v>
      </c>
      <c r="AA204">
        <v>13504495</v>
      </c>
      <c r="AB204">
        <v>12121</v>
      </c>
      <c r="AD204" t="s">
        <v>1</v>
      </c>
      <c r="AE204">
        <v>42</v>
      </c>
      <c r="AF204">
        <v>6</v>
      </c>
      <c r="AH204" t="s">
        <v>8348</v>
      </c>
      <c r="AI204" t="s">
        <v>8347</v>
      </c>
      <c r="AJ204" t="s">
        <v>8346</v>
      </c>
      <c r="AK204" t="s">
        <v>8345</v>
      </c>
      <c r="AL204">
        <v>42</v>
      </c>
      <c r="AM204" s="5">
        <f t="shared" si="26"/>
        <v>2</v>
      </c>
      <c r="AN204" s="4">
        <f t="shared" si="31"/>
        <v>3.0291556228701248E-3</v>
      </c>
      <c r="AO204" s="3"/>
      <c r="AP204">
        <v>0</v>
      </c>
      <c r="AR204" t="s">
        <v>0</v>
      </c>
      <c r="AS204" t="s">
        <v>8344</v>
      </c>
      <c r="AT204" s="2" t="s">
        <v>7</v>
      </c>
      <c r="AU204" s="1">
        <f t="shared" si="27"/>
        <v>1.1036613001161242</v>
      </c>
      <c r="AV204" s="1">
        <f t="shared" si="28"/>
        <v>0.87487680359352105</v>
      </c>
      <c r="AW204" s="1">
        <f t="shared" si="29"/>
        <v>0.64609230707091747</v>
      </c>
    </row>
    <row r="205" spans="1:49" x14ac:dyDescent="0.2">
      <c r="A205">
        <v>203</v>
      </c>
      <c r="B205" t="s">
        <v>8343</v>
      </c>
      <c r="C205" t="s">
        <v>8342</v>
      </c>
      <c r="E205">
        <v>11806638</v>
      </c>
      <c r="F205" t="s">
        <v>8341</v>
      </c>
      <c r="G205" t="s">
        <v>6</v>
      </c>
      <c r="H205" t="s">
        <v>5</v>
      </c>
      <c r="I205" t="s">
        <v>8340</v>
      </c>
      <c r="J205" t="s">
        <v>8339</v>
      </c>
      <c r="K205" t="s">
        <v>8338</v>
      </c>
      <c r="L205" t="s">
        <v>8337</v>
      </c>
      <c r="M205" t="s">
        <v>438</v>
      </c>
      <c r="N205">
        <v>3</v>
      </c>
      <c r="O205" t="s">
        <v>8336</v>
      </c>
      <c r="P205" t="s">
        <v>8335</v>
      </c>
      <c r="Q205" t="s">
        <v>8334</v>
      </c>
      <c r="R205" s="7">
        <v>37226</v>
      </c>
      <c r="S205" s="8">
        <f t="shared" si="24"/>
        <v>2001</v>
      </c>
      <c r="T205" s="8">
        <v>2001</v>
      </c>
      <c r="U205" s="8">
        <f t="shared" si="25"/>
        <v>21</v>
      </c>
      <c r="V205" s="7">
        <v>2001</v>
      </c>
      <c r="W205" t="s">
        <v>560</v>
      </c>
      <c r="X205" s="2">
        <v>0.65100000000000002</v>
      </c>
      <c r="Y205" s="6">
        <f t="shared" si="30"/>
        <v>1.7378073196123969E-2</v>
      </c>
      <c r="AA205" t="s">
        <v>559</v>
      </c>
      <c r="AB205">
        <v>14649</v>
      </c>
      <c r="AD205" t="s">
        <v>1</v>
      </c>
      <c r="AE205">
        <v>3</v>
      </c>
      <c r="AF205">
        <v>6</v>
      </c>
      <c r="AH205" t="s">
        <v>8333</v>
      </c>
      <c r="AI205" t="s">
        <v>8332</v>
      </c>
      <c r="AK205" t="s">
        <v>8331</v>
      </c>
      <c r="AL205">
        <v>18</v>
      </c>
      <c r="AM205" s="5">
        <f t="shared" si="26"/>
        <v>0.8571428571428571</v>
      </c>
      <c r="AN205" s="4">
        <f t="shared" si="31"/>
        <v>1.2982095526586248E-3</v>
      </c>
      <c r="AO205" s="3"/>
      <c r="AP205">
        <v>0</v>
      </c>
      <c r="AR205" t="s">
        <v>0</v>
      </c>
      <c r="AT205" s="2" t="s">
        <v>7</v>
      </c>
      <c r="AU205" s="1">
        <f t="shared" si="27"/>
        <v>1.2554114103084366</v>
      </c>
      <c r="AV205" s="1">
        <f t="shared" si="28"/>
        <v>0.93381413743912967</v>
      </c>
      <c r="AW205" s="1">
        <f t="shared" si="29"/>
        <v>0.61221686456982272</v>
      </c>
    </row>
    <row r="206" spans="1:49" x14ac:dyDescent="0.2">
      <c r="A206">
        <v>204</v>
      </c>
      <c r="B206" t="s">
        <v>8330</v>
      </c>
      <c r="C206" t="s">
        <v>8329</v>
      </c>
      <c r="F206" t="s">
        <v>8328</v>
      </c>
      <c r="G206" t="s">
        <v>6</v>
      </c>
      <c r="H206" t="s">
        <v>5</v>
      </c>
      <c r="I206" t="s">
        <v>8327</v>
      </c>
      <c r="J206">
        <v>60008794</v>
      </c>
      <c r="K206" t="s">
        <v>657</v>
      </c>
      <c r="L206" t="s">
        <v>458</v>
      </c>
      <c r="M206" t="s">
        <v>457</v>
      </c>
      <c r="N206">
        <v>1</v>
      </c>
      <c r="O206" t="s">
        <v>8326</v>
      </c>
      <c r="P206">
        <v>6602523577</v>
      </c>
      <c r="Q206">
        <v>60008794</v>
      </c>
      <c r="R206" s="7">
        <v>37226</v>
      </c>
      <c r="S206" s="8">
        <f t="shared" si="24"/>
        <v>2001</v>
      </c>
      <c r="T206" s="8">
        <v>2001</v>
      </c>
      <c r="U206" s="8">
        <f t="shared" si="25"/>
        <v>21</v>
      </c>
      <c r="V206" s="7">
        <v>37226</v>
      </c>
      <c r="W206" t="s">
        <v>556</v>
      </c>
      <c r="X206" s="2">
        <v>0.33300000000000002</v>
      </c>
      <c r="Y206" s="6">
        <f t="shared" si="30"/>
        <v>8.8892448146071917E-3</v>
      </c>
      <c r="AA206" t="s">
        <v>555</v>
      </c>
      <c r="AB206">
        <v>29252</v>
      </c>
      <c r="AD206" t="s">
        <v>1</v>
      </c>
      <c r="AE206">
        <v>27</v>
      </c>
      <c r="AF206">
        <v>12</v>
      </c>
      <c r="AH206" t="s">
        <v>8325</v>
      </c>
      <c r="AI206" t="s">
        <v>8324</v>
      </c>
      <c r="AK206" t="s">
        <v>8323</v>
      </c>
      <c r="AL206">
        <v>0</v>
      </c>
      <c r="AM206" s="5">
        <f t="shared" si="26"/>
        <v>0</v>
      </c>
      <c r="AN206" s="4">
        <f t="shared" si="31"/>
        <v>0</v>
      </c>
      <c r="AO206" s="3"/>
      <c r="AP206">
        <v>0</v>
      </c>
      <c r="AR206" t="s">
        <v>0</v>
      </c>
      <c r="AT206" s="2">
        <v>0.97699999999999998</v>
      </c>
      <c r="AU206" s="1">
        <f t="shared" si="27"/>
        <v>0.62224713702250345</v>
      </c>
      <c r="AV206" s="1">
        <f t="shared" si="28"/>
        <v>0.44446224073035956</v>
      </c>
      <c r="AW206" s="1">
        <f t="shared" si="29"/>
        <v>0.26667734443821572</v>
      </c>
    </row>
    <row r="207" spans="1:49" x14ac:dyDescent="0.2">
      <c r="A207">
        <v>205</v>
      </c>
      <c r="B207" t="s">
        <v>8322</v>
      </c>
      <c r="F207" t="s">
        <v>8321</v>
      </c>
      <c r="G207" t="s">
        <v>6</v>
      </c>
      <c r="H207" t="s">
        <v>5</v>
      </c>
      <c r="I207" t="s">
        <v>8320</v>
      </c>
      <c r="J207">
        <v>60003542</v>
      </c>
      <c r="K207" t="s">
        <v>8319</v>
      </c>
      <c r="L207" t="s">
        <v>8318</v>
      </c>
      <c r="M207" t="s">
        <v>199</v>
      </c>
      <c r="N207">
        <v>2</v>
      </c>
      <c r="O207" t="s">
        <v>8317</v>
      </c>
      <c r="P207" t="s">
        <v>8316</v>
      </c>
      <c r="Q207" t="s">
        <v>8315</v>
      </c>
      <c r="R207" s="7">
        <v>37226</v>
      </c>
      <c r="S207" s="8">
        <f t="shared" si="24"/>
        <v>2001</v>
      </c>
      <c r="T207" s="8">
        <v>2001</v>
      </c>
      <c r="U207" s="8">
        <f t="shared" si="25"/>
        <v>21</v>
      </c>
      <c r="V207" s="7">
        <v>2001</v>
      </c>
      <c r="W207" t="s">
        <v>8314</v>
      </c>
      <c r="X207" s="2">
        <v>0.378</v>
      </c>
      <c r="Y207" s="6">
        <f t="shared" si="30"/>
        <v>1.0090494113878435E-2</v>
      </c>
      <c r="AA207">
        <v>3616525</v>
      </c>
      <c r="AB207">
        <v>14248</v>
      </c>
      <c r="AD207" t="s">
        <v>1</v>
      </c>
      <c r="AE207">
        <v>38</v>
      </c>
      <c r="AF207" s="12">
        <v>0.125</v>
      </c>
      <c r="AH207" t="s">
        <v>8313</v>
      </c>
      <c r="AI207" t="s">
        <v>8312</v>
      </c>
      <c r="AJ207" t="s">
        <v>8311</v>
      </c>
      <c r="AK207" t="s">
        <v>8310</v>
      </c>
      <c r="AL207">
        <v>3</v>
      </c>
      <c r="AM207" s="5">
        <f t="shared" si="26"/>
        <v>0.14285714285714285</v>
      </c>
      <c r="AN207" s="4">
        <f t="shared" si="31"/>
        <v>2.1636825877643749E-4</v>
      </c>
      <c r="AO207" s="3"/>
      <c r="AP207">
        <v>0</v>
      </c>
      <c r="AR207" t="s">
        <v>0</v>
      </c>
      <c r="AT207" s="2">
        <v>0.98299999999999998</v>
      </c>
      <c r="AU207" s="1">
        <f t="shared" si="27"/>
        <v>0.71282563573478352</v>
      </c>
      <c r="AV207" s="1">
        <f t="shared" si="28"/>
        <v>0.51534311863274362</v>
      </c>
      <c r="AW207" s="1">
        <f t="shared" si="29"/>
        <v>0.31786060153070367</v>
      </c>
    </row>
    <row r="208" spans="1:49" x14ac:dyDescent="0.2">
      <c r="A208">
        <v>206</v>
      </c>
      <c r="B208" t="s">
        <v>8309</v>
      </c>
      <c r="C208" t="s">
        <v>8308</v>
      </c>
      <c r="D208" t="s">
        <v>8307</v>
      </c>
      <c r="E208">
        <v>11506225</v>
      </c>
      <c r="F208" t="s">
        <v>8306</v>
      </c>
      <c r="G208" t="s">
        <v>6</v>
      </c>
      <c r="H208" t="s">
        <v>5</v>
      </c>
      <c r="I208" t="s">
        <v>8305</v>
      </c>
      <c r="J208">
        <v>60002634</v>
      </c>
      <c r="K208" t="s">
        <v>8304</v>
      </c>
      <c r="L208" t="s">
        <v>416</v>
      </c>
      <c r="M208" t="s">
        <v>37</v>
      </c>
      <c r="N208">
        <v>1</v>
      </c>
      <c r="O208" t="s">
        <v>8303</v>
      </c>
      <c r="P208">
        <v>7202064593</v>
      </c>
      <c r="Q208">
        <v>60002634</v>
      </c>
      <c r="R208" s="7">
        <v>37226</v>
      </c>
      <c r="S208" s="8">
        <f t="shared" si="24"/>
        <v>2001</v>
      </c>
      <c r="T208" s="8">
        <v>2001</v>
      </c>
      <c r="U208" s="8">
        <f t="shared" si="25"/>
        <v>21</v>
      </c>
      <c r="V208" s="7">
        <v>2001</v>
      </c>
      <c r="W208" t="s">
        <v>8302</v>
      </c>
      <c r="X208" s="2">
        <v>0.96099999999999997</v>
      </c>
      <c r="Y208" s="6">
        <f t="shared" si="30"/>
        <v>2.5653346146659192E-2</v>
      </c>
      <c r="AA208">
        <v>10440305</v>
      </c>
      <c r="AB208">
        <v>29591</v>
      </c>
      <c r="AD208" t="s">
        <v>1</v>
      </c>
      <c r="AE208">
        <v>12</v>
      </c>
      <c r="AF208">
        <v>8</v>
      </c>
      <c r="AH208" t="s">
        <v>8301</v>
      </c>
      <c r="AI208" t="s">
        <v>8300</v>
      </c>
      <c r="AK208" t="s">
        <v>8299</v>
      </c>
      <c r="AL208">
        <v>54</v>
      </c>
      <c r="AM208" s="5">
        <f t="shared" si="26"/>
        <v>2.5714285714285716</v>
      </c>
      <c r="AN208" s="4">
        <f t="shared" si="31"/>
        <v>3.8946286579758754E-3</v>
      </c>
      <c r="AO208" s="3"/>
      <c r="AP208">
        <v>0</v>
      </c>
      <c r="AQ208" t="s">
        <v>622</v>
      </c>
      <c r="AR208" t="s">
        <v>0</v>
      </c>
      <c r="AS208" t="s">
        <v>621</v>
      </c>
      <c r="AT208" s="2" t="s">
        <v>7</v>
      </c>
      <c r="AU208" s="1">
        <f t="shared" si="27"/>
        <v>1.9125730900054194</v>
      </c>
      <c r="AV208" s="1">
        <f t="shared" si="28"/>
        <v>1.4773987402317534</v>
      </c>
      <c r="AW208" s="1">
        <f t="shared" si="29"/>
        <v>1.042224390458087</v>
      </c>
    </row>
    <row r="209" spans="1:49" x14ac:dyDescent="0.2">
      <c r="A209">
        <v>207</v>
      </c>
      <c r="B209" t="s">
        <v>8298</v>
      </c>
      <c r="C209" t="s">
        <v>8297</v>
      </c>
      <c r="E209">
        <v>11471269</v>
      </c>
      <c r="F209" t="s">
        <v>8296</v>
      </c>
      <c r="G209" t="s">
        <v>6</v>
      </c>
      <c r="H209" t="s">
        <v>5</v>
      </c>
      <c r="I209" t="s">
        <v>8295</v>
      </c>
      <c r="J209">
        <v>60033316</v>
      </c>
      <c r="K209" t="s">
        <v>8294</v>
      </c>
      <c r="L209" t="s">
        <v>8293</v>
      </c>
      <c r="M209" t="s">
        <v>287</v>
      </c>
      <c r="N209">
        <v>3</v>
      </c>
      <c r="O209" t="s">
        <v>8292</v>
      </c>
      <c r="P209" t="s">
        <v>8291</v>
      </c>
      <c r="Q209" t="s">
        <v>8290</v>
      </c>
      <c r="R209" s="7">
        <v>37226</v>
      </c>
      <c r="S209" s="8">
        <f t="shared" si="24"/>
        <v>2001</v>
      </c>
      <c r="T209" s="8">
        <v>2001</v>
      </c>
      <c r="U209" s="8">
        <f t="shared" si="25"/>
        <v>21</v>
      </c>
      <c r="V209" s="7">
        <v>2001</v>
      </c>
      <c r="W209" t="s">
        <v>8289</v>
      </c>
      <c r="X209" s="2">
        <v>1.252</v>
      </c>
      <c r="Y209" s="6">
        <f t="shared" si="30"/>
        <v>3.3421424948613228E-2</v>
      </c>
      <c r="AA209">
        <v>1415387</v>
      </c>
      <c r="AB209">
        <v>25026</v>
      </c>
      <c r="AD209" t="s">
        <v>1</v>
      </c>
      <c r="AE209">
        <v>23</v>
      </c>
      <c r="AF209">
        <v>3</v>
      </c>
      <c r="AH209" t="s">
        <v>8288</v>
      </c>
      <c r="AI209" t="s">
        <v>8287</v>
      </c>
      <c r="AK209" t="s">
        <v>8286</v>
      </c>
      <c r="AL209">
        <v>23</v>
      </c>
      <c r="AM209" s="5">
        <f t="shared" si="26"/>
        <v>1.0952380952380953</v>
      </c>
      <c r="AN209" s="4">
        <f t="shared" si="31"/>
        <v>1.658823317286021E-3</v>
      </c>
      <c r="AO209" s="3"/>
      <c r="AP209">
        <v>1</v>
      </c>
      <c r="AR209" t="s">
        <v>0</v>
      </c>
      <c r="AT209" s="2">
        <v>3.0750000000000002</v>
      </c>
      <c r="AU209" s="1">
        <f t="shared" si="27"/>
        <v>2.3892644459215062</v>
      </c>
      <c r="AV209" s="1">
        <f t="shared" si="28"/>
        <v>1.7540124132949624</v>
      </c>
      <c r="AW209" s="1">
        <f t="shared" si="29"/>
        <v>1.1187603806684181</v>
      </c>
    </row>
    <row r="210" spans="1:49" x14ac:dyDescent="0.2">
      <c r="A210">
        <v>208</v>
      </c>
      <c r="B210" t="s">
        <v>8285</v>
      </c>
      <c r="C210" t="s">
        <v>8284</v>
      </c>
      <c r="D210" t="s">
        <v>8283</v>
      </c>
      <c r="F210" t="s">
        <v>8282</v>
      </c>
      <c r="G210" t="s">
        <v>6</v>
      </c>
      <c r="H210" t="s">
        <v>5</v>
      </c>
      <c r="I210" t="s">
        <v>8281</v>
      </c>
      <c r="J210">
        <v>60001247</v>
      </c>
      <c r="K210" t="s">
        <v>8280</v>
      </c>
      <c r="M210" t="s">
        <v>3</v>
      </c>
      <c r="N210">
        <v>1</v>
      </c>
      <c r="O210" t="s">
        <v>8279</v>
      </c>
      <c r="P210">
        <v>8083786100</v>
      </c>
      <c r="Q210">
        <v>60001247</v>
      </c>
      <c r="R210" s="7">
        <v>37226</v>
      </c>
      <c r="S210" s="8">
        <f t="shared" si="24"/>
        <v>2001</v>
      </c>
      <c r="T210" s="8">
        <v>2001</v>
      </c>
      <c r="U210" s="8">
        <f t="shared" si="25"/>
        <v>21</v>
      </c>
      <c r="V210" s="7">
        <v>2001</v>
      </c>
      <c r="W210" t="s">
        <v>103</v>
      </c>
      <c r="X210" s="2">
        <v>1.3720000000000001</v>
      </c>
      <c r="Y210" s="6">
        <f t="shared" si="30"/>
        <v>3.662475641333654E-2</v>
      </c>
      <c r="AA210">
        <v>189480</v>
      </c>
      <c r="AB210">
        <v>17366</v>
      </c>
      <c r="AD210" t="s">
        <v>1</v>
      </c>
      <c r="AE210">
        <v>49</v>
      </c>
      <c r="AF210">
        <v>2</v>
      </c>
      <c r="AH210" t="s">
        <v>8278</v>
      </c>
      <c r="AI210" t="s">
        <v>8277</v>
      </c>
      <c r="AJ210" t="s">
        <v>8276</v>
      </c>
      <c r="AK210" t="s">
        <v>8275</v>
      </c>
      <c r="AL210">
        <v>5</v>
      </c>
      <c r="AM210" s="5">
        <f t="shared" si="26"/>
        <v>0.23809523809523808</v>
      </c>
      <c r="AN210" s="4">
        <f t="shared" si="31"/>
        <v>3.6061376462739582E-4</v>
      </c>
      <c r="AO210" s="3"/>
      <c r="AP210">
        <v>0</v>
      </c>
      <c r="AR210" t="s">
        <v>0</v>
      </c>
      <c r="AT210" s="2" t="s">
        <v>7</v>
      </c>
      <c r="AU210" s="1">
        <f t="shared" si="27"/>
        <v>2.5745513618723797</v>
      </c>
      <c r="AV210" s="1">
        <f t="shared" si="28"/>
        <v>1.8492685088981968</v>
      </c>
      <c r="AW210" s="1">
        <f t="shared" si="29"/>
        <v>1.123985655924014</v>
      </c>
    </row>
    <row r="211" spans="1:49" x14ac:dyDescent="0.2">
      <c r="A211">
        <v>209</v>
      </c>
      <c r="B211" t="s">
        <v>8274</v>
      </c>
      <c r="C211" t="s">
        <v>8273</v>
      </c>
      <c r="D211" t="s">
        <v>8272</v>
      </c>
      <c r="F211" t="s">
        <v>8271</v>
      </c>
      <c r="G211" t="s">
        <v>6</v>
      </c>
      <c r="H211" t="s">
        <v>5</v>
      </c>
      <c r="I211" t="s">
        <v>886</v>
      </c>
      <c r="J211">
        <v>60010491</v>
      </c>
      <c r="K211" t="s">
        <v>951</v>
      </c>
      <c r="L211" t="s">
        <v>950</v>
      </c>
      <c r="M211" t="s">
        <v>3</v>
      </c>
      <c r="N211">
        <v>3</v>
      </c>
      <c r="O211" t="s">
        <v>8270</v>
      </c>
      <c r="P211" t="s">
        <v>8269</v>
      </c>
      <c r="Q211" t="s">
        <v>949</v>
      </c>
      <c r="R211" s="7">
        <v>37226</v>
      </c>
      <c r="S211" s="8">
        <f t="shared" si="24"/>
        <v>2001</v>
      </c>
      <c r="T211" s="8">
        <v>2001</v>
      </c>
      <c r="U211" s="8">
        <f t="shared" si="25"/>
        <v>21</v>
      </c>
      <c r="V211" s="7">
        <v>2001</v>
      </c>
      <c r="W211" t="s">
        <v>103</v>
      </c>
      <c r="X211" s="2">
        <v>1.3720000000000001</v>
      </c>
      <c r="Y211" s="6">
        <f t="shared" si="30"/>
        <v>3.662475641333654E-2</v>
      </c>
      <c r="AA211">
        <v>189480</v>
      </c>
      <c r="AB211">
        <v>17366</v>
      </c>
      <c r="AD211" t="s">
        <v>1</v>
      </c>
      <c r="AE211">
        <v>49</v>
      </c>
      <c r="AF211">
        <v>2</v>
      </c>
      <c r="AH211" t="s">
        <v>8268</v>
      </c>
      <c r="AI211" t="s">
        <v>8267</v>
      </c>
      <c r="AJ211" t="s">
        <v>8266</v>
      </c>
      <c r="AK211" t="s">
        <v>8265</v>
      </c>
      <c r="AL211">
        <v>24</v>
      </c>
      <c r="AM211" s="5">
        <f t="shared" si="26"/>
        <v>1.1428571428571428</v>
      </c>
      <c r="AN211" s="4">
        <f t="shared" si="31"/>
        <v>1.7309460702114999E-3</v>
      </c>
      <c r="AO211" s="3"/>
      <c r="AP211">
        <v>0</v>
      </c>
      <c r="AQ211" t="s">
        <v>21</v>
      </c>
      <c r="AR211" t="s">
        <v>8264</v>
      </c>
      <c r="AS211" t="s">
        <v>20</v>
      </c>
      <c r="AT211" s="2" t="s">
        <v>7</v>
      </c>
      <c r="AU211" s="1">
        <f t="shared" si="27"/>
        <v>2.6156613310399024</v>
      </c>
      <c r="AV211" s="1">
        <f t="shared" si="28"/>
        <v>1.917785124177402</v>
      </c>
      <c r="AW211" s="1">
        <f t="shared" si="29"/>
        <v>1.2199089173149011</v>
      </c>
    </row>
    <row r="212" spans="1:49" x14ac:dyDescent="0.2">
      <c r="A212">
        <v>210</v>
      </c>
      <c r="B212" t="s">
        <v>8263</v>
      </c>
      <c r="C212" t="s">
        <v>8262</v>
      </c>
      <c r="D212" t="s">
        <v>8261</v>
      </c>
      <c r="F212" t="s">
        <v>8260</v>
      </c>
      <c r="G212" t="s">
        <v>6</v>
      </c>
      <c r="H212" t="s">
        <v>5</v>
      </c>
      <c r="I212" t="s">
        <v>8259</v>
      </c>
      <c r="J212" t="s">
        <v>8258</v>
      </c>
      <c r="K212" t="s">
        <v>8257</v>
      </c>
      <c r="L212" t="s">
        <v>8256</v>
      </c>
      <c r="M212" t="s">
        <v>44</v>
      </c>
      <c r="N212">
        <v>1</v>
      </c>
      <c r="O212" t="s">
        <v>8255</v>
      </c>
      <c r="P212">
        <v>7004144452</v>
      </c>
      <c r="Q212" t="s">
        <v>8254</v>
      </c>
      <c r="R212" s="7">
        <v>37226</v>
      </c>
      <c r="S212" s="8">
        <f t="shared" si="24"/>
        <v>2001</v>
      </c>
      <c r="T212" s="8">
        <v>2001</v>
      </c>
      <c r="U212" s="8">
        <f t="shared" si="25"/>
        <v>21</v>
      </c>
      <c r="V212" s="7">
        <v>2001</v>
      </c>
      <c r="W212" t="s">
        <v>284</v>
      </c>
      <c r="X212" s="2">
        <v>1.468</v>
      </c>
      <c r="Y212" s="6">
        <f t="shared" si="30"/>
        <v>3.9187421585115186E-2</v>
      </c>
      <c r="AA212">
        <v>906778</v>
      </c>
      <c r="AB212">
        <v>18931</v>
      </c>
      <c r="AD212" t="s">
        <v>1</v>
      </c>
      <c r="AE212">
        <v>49</v>
      </c>
      <c r="AF212">
        <v>1</v>
      </c>
      <c r="AH212" s="10">
        <v>44287</v>
      </c>
      <c r="AI212" t="s">
        <v>8253</v>
      </c>
      <c r="AJ212" t="s">
        <v>8252</v>
      </c>
      <c r="AK212" t="s">
        <v>8251</v>
      </c>
      <c r="AL212">
        <v>1112</v>
      </c>
      <c r="AM212" s="5">
        <f t="shared" si="26"/>
        <v>52.952380952380949</v>
      </c>
      <c r="AN212" s="4">
        <f t="shared" si="31"/>
        <v>8.0200501253132828E-2</v>
      </c>
      <c r="AO212" s="3"/>
      <c r="AP212">
        <v>0</v>
      </c>
      <c r="AQ212" t="s">
        <v>8250</v>
      </c>
      <c r="AR212">
        <v>317669</v>
      </c>
      <c r="AS212" t="s">
        <v>8249</v>
      </c>
      <c r="AT212" s="2">
        <v>5.0830000000000002</v>
      </c>
      <c r="AU212" s="1">
        <f t="shared" si="27"/>
        <v>5.1491345485520483</v>
      </c>
      <c r="AV212" s="1">
        <f t="shared" si="28"/>
        <v>5.9693961419124006</v>
      </c>
      <c r="AW212" s="1">
        <f t="shared" si="29"/>
        <v>6.789657735272753</v>
      </c>
    </row>
    <row r="213" spans="1:49" x14ac:dyDescent="0.2">
      <c r="A213">
        <v>211</v>
      </c>
      <c r="B213" t="s">
        <v>8248</v>
      </c>
      <c r="C213" t="s">
        <v>8247</v>
      </c>
      <c r="D213" t="s">
        <v>8246</v>
      </c>
      <c r="F213" t="s">
        <v>8245</v>
      </c>
      <c r="G213" t="s">
        <v>6</v>
      </c>
      <c r="H213" t="s">
        <v>5</v>
      </c>
      <c r="I213" t="s">
        <v>8244</v>
      </c>
      <c r="J213">
        <v>60032619</v>
      </c>
      <c r="K213" t="s">
        <v>8243</v>
      </c>
      <c r="L213" t="s">
        <v>8242</v>
      </c>
      <c r="M213" t="s">
        <v>126</v>
      </c>
      <c r="N213">
        <v>3</v>
      </c>
      <c r="O213" t="s">
        <v>8241</v>
      </c>
      <c r="P213" t="s">
        <v>8240</v>
      </c>
      <c r="Q213" t="s">
        <v>8239</v>
      </c>
      <c r="R213" s="7">
        <v>37226</v>
      </c>
      <c r="S213" s="8">
        <f t="shared" si="24"/>
        <v>2001</v>
      </c>
      <c r="T213" s="8">
        <v>2001</v>
      </c>
      <c r="U213" s="8">
        <f t="shared" si="25"/>
        <v>21</v>
      </c>
      <c r="V213" s="7">
        <v>2001</v>
      </c>
      <c r="W213" t="s">
        <v>103</v>
      </c>
      <c r="X213" s="2">
        <v>1.3720000000000001</v>
      </c>
      <c r="Y213" s="6">
        <f t="shared" si="30"/>
        <v>3.662475641333654E-2</v>
      </c>
      <c r="AA213">
        <v>189480</v>
      </c>
      <c r="AB213">
        <v>17366</v>
      </c>
      <c r="AD213" t="s">
        <v>1</v>
      </c>
      <c r="AE213">
        <v>49</v>
      </c>
      <c r="AF213">
        <v>1</v>
      </c>
      <c r="AH213" t="s">
        <v>8238</v>
      </c>
      <c r="AI213" t="s">
        <v>8237</v>
      </c>
      <c r="AJ213" t="s">
        <v>8236</v>
      </c>
      <c r="AK213" t="s">
        <v>8235</v>
      </c>
      <c r="AL213">
        <v>3</v>
      </c>
      <c r="AM213" s="5">
        <f t="shared" si="26"/>
        <v>0.14285714285714285</v>
      </c>
      <c r="AN213" s="4">
        <f t="shared" si="31"/>
        <v>2.1636825877643749E-4</v>
      </c>
      <c r="AO213" s="3"/>
      <c r="AP213">
        <v>0</v>
      </c>
      <c r="AR213" t="s">
        <v>0</v>
      </c>
      <c r="AT213" s="2" t="s">
        <v>7</v>
      </c>
      <c r="AU213" s="1">
        <f t="shared" si="27"/>
        <v>2.5702239966968508</v>
      </c>
      <c r="AV213" s="1">
        <f t="shared" si="28"/>
        <v>1.842056233605649</v>
      </c>
      <c r="AW213" s="1">
        <f t="shared" si="29"/>
        <v>1.1138884705144469</v>
      </c>
    </row>
    <row r="214" spans="1:49" x14ac:dyDescent="0.2">
      <c r="A214">
        <v>212</v>
      </c>
      <c r="B214" t="s">
        <v>8234</v>
      </c>
      <c r="C214" t="s">
        <v>8233</v>
      </c>
      <c r="F214" t="s">
        <v>8232</v>
      </c>
      <c r="G214" t="s">
        <v>6</v>
      </c>
      <c r="H214" t="s">
        <v>5</v>
      </c>
      <c r="I214" t="s">
        <v>8231</v>
      </c>
      <c r="J214" t="s">
        <v>8230</v>
      </c>
      <c r="K214" t="s">
        <v>8229</v>
      </c>
      <c r="L214" t="s">
        <v>8228</v>
      </c>
      <c r="M214" t="s">
        <v>8227</v>
      </c>
      <c r="N214">
        <v>4</v>
      </c>
      <c r="O214" t="s">
        <v>8226</v>
      </c>
      <c r="P214" t="s">
        <v>8225</v>
      </c>
      <c r="Q214" t="s">
        <v>8224</v>
      </c>
      <c r="R214" s="7">
        <v>37226</v>
      </c>
      <c r="S214" s="8">
        <f t="shared" si="24"/>
        <v>2001</v>
      </c>
      <c r="T214" s="8">
        <v>2001</v>
      </c>
      <c r="U214" s="8">
        <f t="shared" si="25"/>
        <v>21</v>
      </c>
      <c r="V214" s="7">
        <v>37226</v>
      </c>
      <c r="W214" t="s">
        <v>944</v>
      </c>
      <c r="X214" s="2">
        <v>2.61</v>
      </c>
      <c r="Y214" s="6">
        <f t="shared" si="30"/>
        <v>6.9672459357732044E-2</v>
      </c>
      <c r="AA214">
        <v>46256</v>
      </c>
      <c r="AB214">
        <v>26704</v>
      </c>
      <c r="AD214" t="s">
        <v>1</v>
      </c>
      <c r="AE214">
        <v>122</v>
      </c>
      <c r="AF214">
        <v>6</v>
      </c>
      <c r="AH214" t="s">
        <v>8223</v>
      </c>
      <c r="AI214" t="s">
        <v>8222</v>
      </c>
      <c r="AJ214" t="s">
        <v>8221</v>
      </c>
      <c r="AK214" t="s">
        <v>8220</v>
      </c>
      <c r="AL214">
        <v>122</v>
      </c>
      <c r="AM214" s="5">
        <f t="shared" si="26"/>
        <v>5.8095238095238093</v>
      </c>
      <c r="AN214" s="4">
        <f t="shared" si="31"/>
        <v>8.7989758569084579E-3</v>
      </c>
      <c r="AO214" s="3"/>
      <c r="AP214">
        <v>0</v>
      </c>
      <c r="AR214" t="s">
        <v>0</v>
      </c>
      <c r="AT214" s="2">
        <v>6.2629999999999999</v>
      </c>
      <c r="AU214" s="1">
        <f t="shared" si="27"/>
        <v>5.141041430748496</v>
      </c>
      <c r="AV214" s="1">
        <f t="shared" si="28"/>
        <v>3.9235717607320253</v>
      </c>
      <c r="AW214" s="1">
        <f t="shared" si="29"/>
        <v>2.7061020907155537</v>
      </c>
    </row>
    <row r="215" spans="1:49" x14ac:dyDescent="0.2">
      <c r="A215">
        <v>213</v>
      </c>
      <c r="B215" t="s">
        <v>8219</v>
      </c>
      <c r="C215" t="s">
        <v>8218</v>
      </c>
      <c r="F215" t="s">
        <v>8217</v>
      </c>
      <c r="G215" t="s">
        <v>6</v>
      </c>
      <c r="H215" t="s">
        <v>5</v>
      </c>
      <c r="I215" t="s">
        <v>8216</v>
      </c>
      <c r="J215" t="s">
        <v>8211</v>
      </c>
      <c r="K215" t="s">
        <v>8215</v>
      </c>
      <c r="L215" t="s">
        <v>8214</v>
      </c>
      <c r="M215" t="s">
        <v>44</v>
      </c>
      <c r="N215">
        <v>2</v>
      </c>
      <c r="O215" t="s">
        <v>8213</v>
      </c>
      <c r="P215" t="s">
        <v>8212</v>
      </c>
      <c r="Q215" t="s">
        <v>8211</v>
      </c>
      <c r="R215" s="7">
        <v>37226</v>
      </c>
      <c r="S215" s="8">
        <f t="shared" si="24"/>
        <v>2001</v>
      </c>
      <c r="T215" s="8">
        <v>2001</v>
      </c>
      <c r="U215" s="8">
        <f t="shared" si="25"/>
        <v>21</v>
      </c>
      <c r="V215" s="7">
        <v>37226</v>
      </c>
      <c r="W215" t="s">
        <v>8210</v>
      </c>
      <c r="X215" s="2">
        <v>0.52200000000000002</v>
      </c>
      <c r="Y215" s="6">
        <f t="shared" si="30"/>
        <v>1.393449187154641E-2</v>
      </c>
      <c r="AA215">
        <v>10826467</v>
      </c>
      <c r="AB215">
        <v>19500157423</v>
      </c>
      <c r="AC215">
        <v>19372426</v>
      </c>
      <c r="AD215" t="s">
        <v>1</v>
      </c>
      <c r="AE215">
        <v>10</v>
      </c>
      <c r="AF215">
        <v>2</v>
      </c>
      <c r="AH215" t="s">
        <v>480</v>
      </c>
      <c r="AI215" t="s">
        <v>8209</v>
      </c>
      <c r="AJ215" t="s">
        <v>8208</v>
      </c>
      <c r="AK215" t="s">
        <v>8207</v>
      </c>
      <c r="AL215">
        <v>6</v>
      </c>
      <c r="AM215" s="5">
        <f t="shared" si="26"/>
        <v>0.2857142857142857</v>
      </c>
      <c r="AN215" s="4">
        <f t="shared" si="31"/>
        <v>4.3273651755287499E-4</v>
      </c>
      <c r="AO215" s="3"/>
      <c r="AP215">
        <v>0</v>
      </c>
      <c r="AR215" t="s">
        <v>0</v>
      </c>
      <c r="AT215" s="2" t="s">
        <v>7</v>
      </c>
      <c r="AU215" s="1">
        <f t="shared" si="27"/>
        <v>0.9883965265348349</v>
      </c>
      <c r="AV215" s="1">
        <f t="shared" si="28"/>
        <v>0.71836141945496423</v>
      </c>
      <c r="AW215" s="1">
        <f t="shared" si="29"/>
        <v>0.44832631237509363</v>
      </c>
    </row>
    <row r="216" spans="1:49" x14ac:dyDescent="0.2">
      <c r="A216">
        <v>214</v>
      </c>
      <c r="B216" t="s">
        <v>8206</v>
      </c>
      <c r="C216" t="s">
        <v>8205</v>
      </c>
      <c r="D216" t="s">
        <v>8204</v>
      </c>
      <c r="F216" t="s">
        <v>8203</v>
      </c>
      <c r="G216" t="s">
        <v>6</v>
      </c>
      <c r="H216" t="s">
        <v>5</v>
      </c>
      <c r="I216" t="s">
        <v>8202</v>
      </c>
      <c r="J216" t="s">
        <v>8201</v>
      </c>
      <c r="K216" t="s">
        <v>8200</v>
      </c>
      <c r="L216" t="s">
        <v>8199</v>
      </c>
      <c r="M216" t="s">
        <v>45</v>
      </c>
      <c r="N216">
        <v>3</v>
      </c>
      <c r="O216" t="s">
        <v>8198</v>
      </c>
      <c r="P216" t="s">
        <v>8197</v>
      </c>
      <c r="Q216" t="s">
        <v>8196</v>
      </c>
      <c r="R216" s="7">
        <v>37226</v>
      </c>
      <c r="S216" s="8">
        <f t="shared" si="24"/>
        <v>2001</v>
      </c>
      <c r="T216" s="8">
        <v>2001</v>
      </c>
      <c r="U216" s="8">
        <f t="shared" si="25"/>
        <v>21</v>
      </c>
      <c r="V216" s="7">
        <v>37226</v>
      </c>
      <c r="W216" t="s">
        <v>8195</v>
      </c>
      <c r="X216" s="2">
        <v>1.591</v>
      </c>
      <c r="Y216" s="6">
        <f t="shared" si="30"/>
        <v>4.2470836336456583E-2</v>
      </c>
      <c r="AA216">
        <v>15249050</v>
      </c>
      <c r="AB216">
        <v>18378</v>
      </c>
      <c r="AD216" t="s">
        <v>1</v>
      </c>
      <c r="AE216">
        <v>2</v>
      </c>
      <c r="AF216">
        <v>4</v>
      </c>
      <c r="AH216" t="s">
        <v>203</v>
      </c>
      <c r="AI216" t="s">
        <v>8194</v>
      </c>
      <c r="AJ216" t="s">
        <v>8193</v>
      </c>
      <c r="AK216" t="s">
        <v>8192</v>
      </c>
      <c r="AL216">
        <v>7</v>
      </c>
      <c r="AM216" s="5">
        <f t="shared" si="26"/>
        <v>0.33333333333333331</v>
      </c>
      <c r="AN216" s="4">
        <f t="shared" si="31"/>
        <v>5.048592704783541E-4</v>
      </c>
      <c r="AO216" s="3"/>
      <c r="AP216">
        <v>0</v>
      </c>
      <c r="AR216" t="s">
        <v>0</v>
      </c>
      <c r="AT216" s="2" t="s">
        <v>7</v>
      </c>
      <c r="AU216" s="1">
        <f t="shared" si="27"/>
        <v>2.9881043216663112</v>
      </c>
      <c r="AV216" s="1">
        <f t="shared" si="28"/>
        <v>2.1487847803467468</v>
      </c>
      <c r="AW216" s="1">
        <f t="shared" si="29"/>
        <v>1.3094652390271824</v>
      </c>
    </row>
    <row r="217" spans="1:49" x14ac:dyDescent="0.2">
      <c r="A217">
        <v>215</v>
      </c>
      <c r="B217" t="s">
        <v>8191</v>
      </c>
      <c r="C217" t="s">
        <v>8190</v>
      </c>
      <c r="F217" t="s">
        <v>8189</v>
      </c>
      <c r="G217" t="s">
        <v>6</v>
      </c>
      <c r="H217" t="s">
        <v>5</v>
      </c>
      <c r="I217" t="s">
        <v>8188</v>
      </c>
      <c r="J217" t="s">
        <v>8187</v>
      </c>
      <c r="K217" t="s">
        <v>8186</v>
      </c>
      <c r="L217" t="s">
        <v>8185</v>
      </c>
      <c r="M217" t="s">
        <v>8184</v>
      </c>
      <c r="N217">
        <v>13</v>
      </c>
      <c r="O217" t="s">
        <v>8183</v>
      </c>
      <c r="P217" t="s">
        <v>8182</v>
      </c>
      <c r="Q217" t="s">
        <v>8181</v>
      </c>
      <c r="R217" s="7">
        <v>37226</v>
      </c>
      <c r="S217" s="8">
        <f t="shared" si="24"/>
        <v>2001</v>
      </c>
      <c r="T217" s="8">
        <v>2001</v>
      </c>
      <c r="U217" s="8">
        <f t="shared" si="25"/>
        <v>21</v>
      </c>
      <c r="V217" s="7">
        <v>2001</v>
      </c>
      <c r="W217" t="s">
        <v>8180</v>
      </c>
      <c r="X217" s="2">
        <v>1.026</v>
      </c>
      <c r="Y217" s="6">
        <f t="shared" si="30"/>
        <v>2.738848402338432E-2</v>
      </c>
      <c r="AA217">
        <v>380938</v>
      </c>
      <c r="AB217">
        <v>28245</v>
      </c>
      <c r="AD217" t="s">
        <v>1</v>
      </c>
      <c r="AE217">
        <v>200</v>
      </c>
      <c r="AF217" s="10">
        <v>44228</v>
      </c>
      <c r="AH217" t="s">
        <v>8179</v>
      </c>
      <c r="AI217" t="s">
        <v>8178</v>
      </c>
      <c r="AK217" t="s">
        <v>8177</v>
      </c>
      <c r="AL217">
        <v>30</v>
      </c>
      <c r="AM217" s="5">
        <f t="shared" si="26"/>
        <v>1.4285714285714286</v>
      </c>
      <c r="AN217" s="4">
        <f t="shared" si="31"/>
        <v>2.163682587764375E-3</v>
      </c>
      <c r="AO217" s="3"/>
      <c r="AP217">
        <v>0</v>
      </c>
      <c r="AQ217" t="s">
        <v>702</v>
      </c>
      <c r="AR217" t="s">
        <v>8176</v>
      </c>
      <c r="AS217" t="s">
        <v>701</v>
      </c>
      <c r="AT217" s="2">
        <v>2.6709999999999998</v>
      </c>
      <c r="AU217" s="1">
        <f t="shared" si="27"/>
        <v>1.9821043592698335</v>
      </c>
      <c r="AV217" s="1">
        <f t="shared" si="28"/>
        <v>1.4776083305574348</v>
      </c>
      <c r="AW217" s="1">
        <f t="shared" si="29"/>
        <v>0.97311230184503583</v>
      </c>
    </row>
    <row r="218" spans="1:49" x14ac:dyDescent="0.2">
      <c r="A218">
        <v>216</v>
      </c>
      <c r="B218" t="s">
        <v>8175</v>
      </c>
      <c r="C218" t="s">
        <v>8174</v>
      </c>
      <c r="F218" t="s">
        <v>8173</v>
      </c>
      <c r="G218" t="s">
        <v>6</v>
      </c>
      <c r="H218" t="s">
        <v>5</v>
      </c>
      <c r="I218" t="s">
        <v>8172</v>
      </c>
      <c r="J218">
        <v>60028419</v>
      </c>
      <c r="K218" t="s">
        <v>545</v>
      </c>
      <c r="L218" t="s">
        <v>544</v>
      </c>
      <c r="M218" t="s">
        <v>194</v>
      </c>
      <c r="N218">
        <v>2</v>
      </c>
      <c r="O218" t="s">
        <v>8171</v>
      </c>
      <c r="P218" t="s">
        <v>8170</v>
      </c>
      <c r="Q218" t="s">
        <v>8169</v>
      </c>
      <c r="R218" s="7">
        <v>37226</v>
      </c>
      <c r="S218" s="8">
        <f t="shared" si="24"/>
        <v>2001</v>
      </c>
      <c r="T218" s="8">
        <v>2001</v>
      </c>
      <c r="U218" s="8">
        <f t="shared" si="25"/>
        <v>21</v>
      </c>
      <c r="V218" s="7">
        <v>2001</v>
      </c>
      <c r="W218" t="s">
        <v>43</v>
      </c>
      <c r="X218" s="2">
        <v>0.437</v>
      </c>
      <c r="Y218" s="6">
        <f t="shared" si="30"/>
        <v>1.1665465417367396E-2</v>
      </c>
      <c r="AA218">
        <v>10704698</v>
      </c>
      <c r="AB218">
        <v>5300152513</v>
      </c>
      <c r="AC218">
        <v>15598985</v>
      </c>
      <c r="AD218" t="s">
        <v>1</v>
      </c>
      <c r="AE218">
        <v>30</v>
      </c>
      <c r="AH218" t="s">
        <v>220</v>
      </c>
      <c r="AI218" t="s">
        <v>8168</v>
      </c>
      <c r="AK218" t="s">
        <v>8167</v>
      </c>
      <c r="AL218">
        <v>15</v>
      </c>
      <c r="AM218" s="5">
        <f t="shared" si="26"/>
        <v>0.7142857142857143</v>
      </c>
      <c r="AN218" s="4">
        <f t="shared" si="31"/>
        <v>1.0818412938821875E-3</v>
      </c>
      <c r="AO218" s="3"/>
      <c r="AP218">
        <v>1</v>
      </c>
      <c r="AR218" t="s">
        <v>0</v>
      </c>
      <c r="AT218" s="2" t="s">
        <v>7</v>
      </c>
      <c r="AU218" s="1">
        <f t="shared" si="27"/>
        <v>0.84903781803218314</v>
      </c>
      <c r="AV218" s="1">
        <f t="shared" si="28"/>
        <v>0.63736533556247921</v>
      </c>
      <c r="AW218" s="1">
        <f t="shared" si="29"/>
        <v>0.42569285309277499</v>
      </c>
    </row>
    <row r="219" spans="1:49" x14ac:dyDescent="0.2">
      <c r="A219">
        <v>217</v>
      </c>
      <c r="B219" t="s">
        <v>8166</v>
      </c>
      <c r="C219" t="s">
        <v>8165</v>
      </c>
      <c r="F219" t="s">
        <v>8164</v>
      </c>
      <c r="G219" t="s">
        <v>6</v>
      </c>
      <c r="H219" t="s">
        <v>5</v>
      </c>
      <c r="I219" t="s">
        <v>521</v>
      </c>
      <c r="J219" t="s">
        <v>8163</v>
      </c>
      <c r="K219" t="s">
        <v>8162</v>
      </c>
      <c r="L219" t="s">
        <v>8161</v>
      </c>
      <c r="M219" t="s">
        <v>175</v>
      </c>
      <c r="N219">
        <v>5</v>
      </c>
      <c r="O219" t="s">
        <v>8160</v>
      </c>
      <c r="P219" t="s">
        <v>8159</v>
      </c>
      <c r="Q219" t="s">
        <v>8158</v>
      </c>
      <c r="R219" s="7">
        <v>37226</v>
      </c>
      <c r="S219" s="8">
        <f t="shared" si="24"/>
        <v>2001</v>
      </c>
      <c r="T219" s="8">
        <v>2001</v>
      </c>
      <c r="U219" s="8">
        <f t="shared" si="25"/>
        <v>21</v>
      </c>
      <c r="V219" s="7">
        <v>2001</v>
      </c>
      <c r="W219" t="s">
        <v>572</v>
      </c>
      <c r="X219" s="2">
        <v>0.78800000000000003</v>
      </c>
      <c r="Y219" s="6">
        <f t="shared" si="30"/>
        <v>2.1035209951683086E-2</v>
      </c>
      <c r="AA219">
        <v>9226435</v>
      </c>
      <c r="AB219">
        <v>27195</v>
      </c>
      <c r="AD219" t="s">
        <v>1</v>
      </c>
      <c r="AE219">
        <v>12</v>
      </c>
      <c r="AF219">
        <v>2</v>
      </c>
      <c r="AH219" t="s">
        <v>8157</v>
      </c>
      <c r="AI219" t="s">
        <v>8156</v>
      </c>
      <c r="AJ219" t="s">
        <v>8155</v>
      </c>
      <c r="AK219" t="s">
        <v>8154</v>
      </c>
      <c r="AL219">
        <v>26</v>
      </c>
      <c r="AM219" s="5">
        <f t="shared" si="26"/>
        <v>1.2380952380952381</v>
      </c>
      <c r="AN219" s="4">
        <f t="shared" si="31"/>
        <v>1.8751915760624584E-3</v>
      </c>
      <c r="AO219" s="3"/>
      <c r="AP219">
        <v>0</v>
      </c>
      <c r="AR219" t="s">
        <v>0</v>
      </c>
      <c r="AT219" s="2">
        <v>2.012</v>
      </c>
      <c r="AU219" s="1">
        <f t="shared" si="27"/>
        <v>1.5287204438996898</v>
      </c>
      <c r="AV219" s="1">
        <f t="shared" si="28"/>
        <v>1.1455200763872773</v>
      </c>
      <c r="AW219" s="1">
        <f t="shared" si="29"/>
        <v>0.76231970887486467</v>
      </c>
    </row>
    <row r="220" spans="1:49" x14ac:dyDescent="0.2">
      <c r="A220">
        <v>218</v>
      </c>
      <c r="B220" t="s">
        <v>8153</v>
      </c>
      <c r="C220" t="s">
        <v>8152</v>
      </c>
      <c r="D220" t="s">
        <v>8151</v>
      </c>
      <c r="F220" t="s">
        <v>8150</v>
      </c>
      <c r="G220" t="s">
        <v>6</v>
      </c>
      <c r="H220" t="s">
        <v>5</v>
      </c>
      <c r="I220" t="s">
        <v>8149</v>
      </c>
      <c r="J220" t="s">
        <v>8148</v>
      </c>
      <c r="K220" t="s">
        <v>8147</v>
      </c>
      <c r="L220" t="s">
        <v>8146</v>
      </c>
      <c r="M220" t="s">
        <v>8145</v>
      </c>
      <c r="N220">
        <v>4</v>
      </c>
      <c r="O220" t="s">
        <v>8144</v>
      </c>
      <c r="P220" t="s">
        <v>8143</v>
      </c>
      <c r="Q220" t="s">
        <v>8142</v>
      </c>
      <c r="R220" s="7">
        <v>37226</v>
      </c>
      <c r="S220" s="8">
        <f t="shared" si="24"/>
        <v>2001</v>
      </c>
      <c r="T220" s="8">
        <v>2001</v>
      </c>
      <c r="U220" s="8">
        <f t="shared" si="25"/>
        <v>21</v>
      </c>
      <c r="V220" s="7">
        <v>2001</v>
      </c>
      <c r="W220" t="s">
        <v>8141</v>
      </c>
      <c r="X220" s="2">
        <v>0.68100000000000005</v>
      </c>
      <c r="Y220" s="6">
        <f t="shared" si="30"/>
        <v>1.8178906062304798E-2</v>
      </c>
      <c r="AA220" t="s">
        <v>8140</v>
      </c>
      <c r="AB220">
        <v>15047</v>
      </c>
      <c r="AD220" t="s">
        <v>1</v>
      </c>
      <c r="AE220">
        <v>1</v>
      </c>
      <c r="AF220">
        <v>1</v>
      </c>
      <c r="AH220" t="s">
        <v>1038</v>
      </c>
      <c r="AI220" t="s">
        <v>8139</v>
      </c>
      <c r="AJ220" t="s">
        <v>8138</v>
      </c>
      <c r="AK220" t="s">
        <v>8137</v>
      </c>
      <c r="AL220">
        <v>99</v>
      </c>
      <c r="AM220" s="5">
        <f t="shared" si="26"/>
        <v>4.7142857142857144</v>
      </c>
      <c r="AN220" s="4">
        <f t="shared" si="31"/>
        <v>7.1401525396224373E-3</v>
      </c>
      <c r="AO220" s="3"/>
      <c r="AP220">
        <v>0</v>
      </c>
      <c r="AR220" t="s">
        <v>0</v>
      </c>
      <c r="AT220" s="2">
        <v>3.3010000000000002</v>
      </c>
      <c r="AU220" s="1">
        <f t="shared" si="27"/>
        <v>1.486728000550009</v>
      </c>
      <c r="AV220" s="1">
        <f t="shared" si="28"/>
        <v>1.2659529300963617</v>
      </c>
      <c r="AW220" s="1">
        <f t="shared" si="29"/>
        <v>1.0451778596427146</v>
      </c>
    </row>
    <row r="221" spans="1:49" x14ac:dyDescent="0.2">
      <c r="A221">
        <v>219</v>
      </c>
      <c r="B221" t="s">
        <v>8136</v>
      </c>
      <c r="C221" t="s">
        <v>8135</v>
      </c>
      <c r="F221" t="s">
        <v>8134</v>
      </c>
      <c r="G221" t="s">
        <v>6</v>
      </c>
      <c r="H221" t="s">
        <v>5</v>
      </c>
      <c r="I221" t="s">
        <v>8133</v>
      </c>
      <c r="J221">
        <v>60006514</v>
      </c>
      <c r="K221" t="s">
        <v>8132</v>
      </c>
      <c r="L221" t="s">
        <v>8131</v>
      </c>
      <c r="M221" t="s">
        <v>3</v>
      </c>
      <c r="N221">
        <v>2</v>
      </c>
      <c r="O221" t="s">
        <v>8130</v>
      </c>
      <c r="P221" t="s">
        <v>8129</v>
      </c>
      <c r="Q221" t="s">
        <v>8128</v>
      </c>
      <c r="R221" s="7">
        <v>37226</v>
      </c>
      <c r="S221" s="8">
        <f t="shared" si="24"/>
        <v>2001</v>
      </c>
      <c r="T221" s="8">
        <v>2001</v>
      </c>
      <c r="U221" s="8">
        <f t="shared" si="25"/>
        <v>21</v>
      </c>
      <c r="V221" s="7">
        <v>37226</v>
      </c>
      <c r="W221" t="s">
        <v>5700</v>
      </c>
      <c r="X221" s="2">
        <v>1.524</v>
      </c>
      <c r="Y221" s="6">
        <f t="shared" si="30"/>
        <v>4.0682309601986065E-2</v>
      </c>
      <c r="AA221">
        <v>1469592</v>
      </c>
      <c r="AB221">
        <v>12863</v>
      </c>
      <c r="AD221" t="s">
        <v>1</v>
      </c>
      <c r="AE221">
        <v>26</v>
      </c>
      <c r="AF221">
        <v>23</v>
      </c>
      <c r="AH221" t="s">
        <v>8127</v>
      </c>
      <c r="AI221" t="s">
        <v>8126</v>
      </c>
      <c r="AK221" t="s">
        <v>8125</v>
      </c>
      <c r="AL221">
        <v>24</v>
      </c>
      <c r="AM221" s="5">
        <f t="shared" si="26"/>
        <v>1.1428571428571428</v>
      </c>
      <c r="AN221" s="4">
        <f t="shared" si="31"/>
        <v>1.7309460702114999E-3</v>
      </c>
      <c r="AO221" s="3"/>
      <c r="AP221">
        <v>0</v>
      </c>
      <c r="AR221" t="s">
        <v>0</v>
      </c>
      <c r="AT221" s="2">
        <v>3.7759999999999998</v>
      </c>
      <c r="AU221" s="1">
        <f t="shared" si="27"/>
        <v>2.8996900542453692</v>
      </c>
      <c r="AV221" s="1">
        <f t="shared" si="28"/>
        <v>2.1206627836098781</v>
      </c>
      <c r="AW221" s="1">
        <f t="shared" si="29"/>
        <v>1.3416355129743869</v>
      </c>
    </row>
    <row r="222" spans="1:49" x14ac:dyDescent="0.2">
      <c r="A222">
        <v>220</v>
      </c>
      <c r="B222" t="s">
        <v>8124</v>
      </c>
      <c r="C222" t="s">
        <v>8123</v>
      </c>
      <c r="F222" t="s">
        <v>166</v>
      </c>
      <c r="G222" t="s">
        <v>6</v>
      </c>
      <c r="H222" t="s">
        <v>5</v>
      </c>
      <c r="I222" t="s">
        <v>114</v>
      </c>
      <c r="J222">
        <v>60003217</v>
      </c>
      <c r="K222" t="s">
        <v>113</v>
      </c>
      <c r="L222" t="s">
        <v>112</v>
      </c>
      <c r="M222" t="s">
        <v>111</v>
      </c>
      <c r="N222">
        <v>2</v>
      </c>
      <c r="O222" t="s">
        <v>8122</v>
      </c>
      <c r="P222" t="s">
        <v>165</v>
      </c>
      <c r="Q222" t="s">
        <v>164</v>
      </c>
      <c r="R222" s="7">
        <v>37226</v>
      </c>
      <c r="S222" s="8">
        <f t="shared" si="24"/>
        <v>2001</v>
      </c>
      <c r="T222" s="8">
        <v>2001</v>
      </c>
      <c r="U222" s="8">
        <f t="shared" si="25"/>
        <v>21</v>
      </c>
      <c r="V222" s="7">
        <v>2001</v>
      </c>
      <c r="W222" t="s">
        <v>43</v>
      </c>
      <c r="X222" s="2">
        <v>0.437</v>
      </c>
      <c r="Y222" s="6">
        <f t="shared" si="30"/>
        <v>1.1665465417367396E-2</v>
      </c>
      <c r="AA222">
        <v>10704698</v>
      </c>
      <c r="AB222">
        <v>5300152513</v>
      </c>
      <c r="AC222">
        <v>15598985</v>
      </c>
      <c r="AD222" t="s">
        <v>1</v>
      </c>
      <c r="AE222">
        <v>33</v>
      </c>
      <c r="AH222" t="s">
        <v>8121</v>
      </c>
      <c r="AI222" t="s">
        <v>163</v>
      </c>
      <c r="AK222" t="s">
        <v>162</v>
      </c>
      <c r="AL222">
        <v>91</v>
      </c>
      <c r="AM222" s="5">
        <f t="shared" si="26"/>
        <v>4.333333333333333</v>
      </c>
      <c r="AN222" s="4">
        <f t="shared" si="31"/>
        <v>6.5631705162186036E-3</v>
      </c>
      <c r="AO222" s="3"/>
      <c r="AP222">
        <v>1</v>
      </c>
      <c r="AR222" t="s">
        <v>0</v>
      </c>
      <c r="AT222" s="2" t="s">
        <v>7</v>
      </c>
      <c r="AU222" s="1">
        <f t="shared" si="27"/>
        <v>1.0134776947022757</v>
      </c>
      <c r="AV222" s="1">
        <f t="shared" si="28"/>
        <v>0.91143179667929997</v>
      </c>
      <c r="AW222" s="1">
        <f t="shared" si="29"/>
        <v>0.80938589865632415</v>
      </c>
    </row>
    <row r="223" spans="1:49" x14ac:dyDescent="0.2">
      <c r="A223">
        <v>221</v>
      </c>
      <c r="B223" t="s">
        <v>8120</v>
      </c>
      <c r="C223" t="s">
        <v>8119</v>
      </c>
      <c r="E223">
        <v>11729325</v>
      </c>
      <c r="F223" t="s">
        <v>8118</v>
      </c>
      <c r="G223" t="s">
        <v>6</v>
      </c>
      <c r="H223" t="s">
        <v>5</v>
      </c>
      <c r="I223" t="s">
        <v>8117</v>
      </c>
      <c r="J223">
        <v>60025038</v>
      </c>
      <c r="K223" t="s">
        <v>191</v>
      </c>
      <c r="L223" t="s">
        <v>190</v>
      </c>
      <c r="M223" t="s">
        <v>3</v>
      </c>
      <c r="N223">
        <v>7</v>
      </c>
      <c r="O223" t="s">
        <v>8116</v>
      </c>
      <c r="P223" t="s">
        <v>8115</v>
      </c>
      <c r="Q223" t="s">
        <v>8114</v>
      </c>
      <c r="R223" s="7">
        <v>37225</v>
      </c>
      <c r="S223" s="8">
        <f t="shared" si="24"/>
        <v>2001</v>
      </c>
      <c r="T223" s="8">
        <v>2001</v>
      </c>
      <c r="U223" s="8">
        <f t="shared" si="25"/>
        <v>21</v>
      </c>
      <c r="V223" s="7">
        <v>37225</v>
      </c>
      <c r="W223" t="s">
        <v>802</v>
      </c>
      <c r="X223" s="2">
        <v>12.555999999999999</v>
      </c>
      <c r="Y223" s="6">
        <f t="shared" si="30"/>
        <v>0.33517524892554923</v>
      </c>
      <c r="AA223">
        <v>368075</v>
      </c>
      <c r="AB223">
        <v>23571</v>
      </c>
      <c r="AD223" t="s">
        <v>1</v>
      </c>
      <c r="AE223">
        <v>294</v>
      </c>
      <c r="AF223">
        <v>5548</v>
      </c>
      <c r="AH223" t="s">
        <v>8113</v>
      </c>
      <c r="AI223" t="s">
        <v>8112</v>
      </c>
      <c r="AK223" t="s">
        <v>8111</v>
      </c>
      <c r="AL223">
        <v>129</v>
      </c>
      <c r="AM223" s="5">
        <f t="shared" si="26"/>
        <v>6.1428571428571432</v>
      </c>
      <c r="AN223" s="4">
        <f t="shared" si="31"/>
        <v>9.3038351273868128E-3</v>
      </c>
      <c r="AO223" s="3"/>
      <c r="AP223">
        <v>0</v>
      </c>
      <c r="AR223" t="s">
        <v>0</v>
      </c>
      <c r="AT223" s="2">
        <v>47.728000000000002</v>
      </c>
      <c r="AU223" s="1">
        <f t="shared" si="27"/>
        <v>23.741382478610049</v>
      </c>
      <c r="AV223" s="1">
        <f t="shared" si="28"/>
        <v>17.223954202646802</v>
      </c>
      <c r="AW223" s="1">
        <f t="shared" si="29"/>
        <v>10.706525926683554</v>
      </c>
    </row>
    <row r="224" spans="1:49" x14ac:dyDescent="0.2">
      <c r="A224">
        <v>222</v>
      </c>
      <c r="B224" t="s">
        <v>8110</v>
      </c>
      <c r="C224" t="s">
        <v>8109</v>
      </c>
      <c r="F224" t="s">
        <v>8108</v>
      </c>
      <c r="G224" t="s">
        <v>6</v>
      </c>
      <c r="H224" t="s">
        <v>5</v>
      </c>
      <c r="I224" t="s">
        <v>8095</v>
      </c>
      <c r="J224" t="s">
        <v>8103</v>
      </c>
      <c r="K224" t="s">
        <v>8102</v>
      </c>
      <c r="L224" t="s">
        <v>8101</v>
      </c>
      <c r="M224" t="s">
        <v>50</v>
      </c>
      <c r="N224">
        <v>3</v>
      </c>
      <c r="O224" t="s">
        <v>8100</v>
      </c>
      <c r="P224" t="s">
        <v>8093</v>
      </c>
      <c r="Q224" t="s">
        <v>8099</v>
      </c>
      <c r="R224" s="7">
        <v>37221</v>
      </c>
      <c r="S224" s="8">
        <f t="shared" si="24"/>
        <v>2001</v>
      </c>
      <c r="T224" s="8">
        <v>2001</v>
      </c>
      <c r="U224" s="8">
        <f t="shared" si="25"/>
        <v>21</v>
      </c>
      <c r="V224" s="7">
        <v>37221</v>
      </c>
      <c r="W224" t="s">
        <v>683</v>
      </c>
      <c r="X224" s="2">
        <v>3.6880000000000002</v>
      </c>
      <c r="Y224" s="6">
        <f t="shared" si="30"/>
        <v>9.8449053682496471E-2</v>
      </c>
      <c r="AA224">
        <v>319007</v>
      </c>
      <c r="AB224">
        <v>29150</v>
      </c>
      <c r="AC224">
        <v>10797114</v>
      </c>
      <c r="AD224" t="s">
        <v>1</v>
      </c>
      <c r="AE224">
        <v>87</v>
      </c>
      <c r="AF224">
        <v>22</v>
      </c>
      <c r="AH224" t="s">
        <v>8107</v>
      </c>
      <c r="AI224" t="s">
        <v>8106</v>
      </c>
      <c r="AK224" t="s">
        <v>8105</v>
      </c>
      <c r="AL224">
        <v>18</v>
      </c>
      <c r="AM224" s="5">
        <f t="shared" si="26"/>
        <v>0.8571428571428571</v>
      </c>
      <c r="AN224" s="4">
        <f t="shared" si="31"/>
        <v>1.2982095526586248E-3</v>
      </c>
      <c r="AO224" s="3"/>
      <c r="AP224">
        <v>0</v>
      </c>
      <c r="AR224" t="s">
        <v>0</v>
      </c>
      <c r="AT224" s="2">
        <v>9.1609999999999996</v>
      </c>
      <c r="AU224" s="1">
        <f t="shared" si="27"/>
        <v>6.9303800443545116</v>
      </c>
      <c r="AV224" s="1">
        <f t="shared" si="28"/>
        <v>4.987363161757755</v>
      </c>
      <c r="AW224" s="1">
        <f t="shared" si="29"/>
        <v>3.0443462791609979</v>
      </c>
    </row>
    <row r="225" spans="1:49" x14ac:dyDescent="0.2">
      <c r="A225">
        <v>223</v>
      </c>
      <c r="B225" t="s">
        <v>8104</v>
      </c>
      <c r="F225" t="s">
        <v>8096</v>
      </c>
      <c r="G225" t="s">
        <v>6</v>
      </c>
      <c r="H225" t="s">
        <v>5</v>
      </c>
      <c r="I225" t="s">
        <v>8095</v>
      </c>
      <c r="J225" t="s">
        <v>8103</v>
      </c>
      <c r="K225" t="s">
        <v>8102</v>
      </c>
      <c r="L225" t="s">
        <v>8101</v>
      </c>
      <c r="M225" t="s">
        <v>50</v>
      </c>
      <c r="N225">
        <v>3</v>
      </c>
      <c r="O225" t="s">
        <v>8100</v>
      </c>
      <c r="P225" t="s">
        <v>8093</v>
      </c>
      <c r="Q225" t="s">
        <v>8099</v>
      </c>
      <c r="R225" s="7">
        <v>37221</v>
      </c>
      <c r="S225" s="8">
        <f t="shared" si="24"/>
        <v>2001</v>
      </c>
      <c r="T225" s="8">
        <v>2001</v>
      </c>
      <c r="U225" s="8">
        <f t="shared" si="25"/>
        <v>21</v>
      </c>
      <c r="V225" s="7">
        <v>37221</v>
      </c>
      <c r="W225" t="s">
        <v>683</v>
      </c>
      <c r="X225" s="2">
        <v>3.6880000000000002</v>
      </c>
      <c r="Y225" s="6">
        <f t="shared" si="30"/>
        <v>9.8449053682496471E-2</v>
      </c>
      <c r="AA225">
        <v>319007</v>
      </c>
      <c r="AB225">
        <v>29150</v>
      </c>
      <c r="AD225" t="s">
        <v>1</v>
      </c>
      <c r="AE225">
        <v>87</v>
      </c>
      <c r="AF225">
        <v>22</v>
      </c>
      <c r="AG225">
        <v>221103</v>
      </c>
      <c r="AH225" t="s">
        <v>8098</v>
      </c>
      <c r="AI225" t="s">
        <v>8092</v>
      </c>
      <c r="AK225" t="s">
        <v>8091</v>
      </c>
      <c r="AL225">
        <v>39</v>
      </c>
      <c r="AM225" s="5">
        <f t="shared" si="26"/>
        <v>1.8571428571428572</v>
      </c>
      <c r="AN225" s="4">
        <f t="shared" si="31"/>
        <v>2.8127873640936877E-3</v>
      </c>
      <c r="AO225" s="3"/>
      <c r="AP225">
        <v>0</v>
      </c>
      <c r="AR225" t="s">
        <v>0</v>
      </c>
      <c r="AT225" s="2">
        <v>9.1609999999999996</v>
      </c>
      <c r="AU225" s="1">
        <f t="shared" si="27"/>
        <v>6.9758173786975632</v>
      </c>
      <c r="AV225" s="1">
        <f t="shared" si="28"/>
        <v>5.063092052329508</v>
      </c>
      <c r="AW225" s="1">
        <f t="shared" si="29"/>
        <v>3.1503667259614523</v>
      </c>
    </row>
    <row r="226" spans="1:49" x14ac:dyDescent="0.2">
      <c r="A226">
        <v>224</v>
      </c>
      <c r="B226" t="s">
        <v>8097</v>
      </c>
      <c r="F226" t="s">
        <v>8096</v>
      </c>
      <c r="G226" t="s">
        <v>6</v>
      </c>
      <c r="H226" t="s">
        <v>5</v>
      </c>
      <c r="I226" t="s">
        <v>8095</v>
      </c>
      <c r="J226">
        <v>60024322</v>
      </c>
      <c r="K226" t="s">
        <v>263</v>
      </c>
      <c r="L226" t="s">
        <v>262</v>
      </c>
      <c r="M226" t="s">
        <v>26</v>
      </c>
      <c r="N226">
        <v>3</v>
      </c>
      <c r="O226" t="s">
        <v>8094</v>
      </c>
      <c r="P226" t="s">
        <v>8093</v>
      </c>
      <c r="Q226" t="s">
        <v>680</v>
      </c>
      <c r="R226" s="7">
        <v>37221</v>
      </c>
      <c r="S226" s="8">
        <f t="shared" si="24"/>
        <v>2001</v>
      </c>
      <c r="T226" s="8">
        <v>2001</v>
      </c>
      <c r="U226" s="8">
        <f t="shared" si="25"/>
        <v>21</v>
      </c>
      <c r="V226" s="7">
        <v>37221</v>
      </c>
      <c r="W226" t="s">
        <v>683</v>
      </c>
      <c r="X226" s="2">
        <v>3.6880000000000002</v>
      </c>
      <c r="Y226" s="6">
        <f t="shared" si="30"/>
        <v>9.8449053682496471E-2</v>
      </c>
      <c r="AA226">
        <v>319007</v>
      </c>
      <c r="AB226">
        <v>29150</v>
      </c>
      <c r="AD226" t="s">
        <v>1</v>
      </c>
      <c r="AE226">
        <v>87</v>
      </c>
      <c r="AF226">
        <v>22</v>
      </c>
      <c r="AG226">
        <v>221103</v>
      </c>
      <c r="AI226" t="s">
        <v>8092</v>
      </c>
      <c r="AK226" t="s">
        <v>8091</v>
      </c>
      <c r="AL226">
        <v>417</v>
      </c>
      <c r="AM226" s="5">
        <f t="shared" si="26"/>
        <v>19.857142857142858</v>
      </c>
      <c r="AN226" s="4">
        <f t="shared" si="31"/>
        <v>3.0075187969924814E-2</v>
      </c>
      <c r="AO226" s="3"/>
      <c r="AP226">
        <v>0</v>
      </c>
      <c r="AR226" t="s">
        <v>0</v>
      </c>
      <c r="AT226" s="2">
        <v>9.1609999999999996</v>
      </c>
      <c r="AU226" s="1">
        <f t="shared" si="27"/>
        <v>7.7936893968724972</v>
      </c>
      <c r="AV226" s="1">
        <f t="shared" si="28"/>
        <v>6.4262120826210651</v>
      </c>
      <c r="AW226" s="1">
        <f t="shared" si="29"/>
        <v>5.0587347683696313</v>
      </c>
    </row>
    <row r="227" spans="1:49" x14ac:dyDescent="0.2">
      <c r="A227">
        <v>225</v>
      </c>
      <c r="B227" t="s">
        <v>8090</v>
      </c>
      <c r="C227" t="s">
        <v>8089</v>
      </c>
      <c r="E227">
        <v>11817077</v>
      </c>
      <c r="F227" t="s">
        <v>8088</v>
      </c>
      <c r="G227" t="s">
        <v>6</v>
      </c>
      <c r="H227" t="s">
        <v>5</v>
      </c>
      <c r="I227" t="s">
        <v>2480</v>
      </c>
      <c r="J227">
        <v>60016437</v>
      </c>
      <c r="K227" t="s">
        <v>447</v>
      </c>
      <c r="L227" t="s">
        <v>116</v>
      </c>
      <c r="M227" t="s">
        <v>115</v>
      </c>
      <c r="N227">
        <v>1</v>
      </c>
      <c r="O227" t="s">
        <v>8087</v>
      </c>
      <c r="P227">
        <v>7005299607</v>
      </c>
      <c r="Q227">
        <v>60016437</v>
      </c>
      <c r="R227" s="7">
        <v>37221</v>
      </c>
      <c r="S227" s="8">
        <f t="shared" si="24"/>
        <v>2001</v>
      </c>
      <c r="T227" s="8">
        <v>2001</v>
      </c>
      <c r="U227" s="8">
        <f t="shared" si="25"/>
        <v>21</v>
      </c>
      <c r="V227" s="7">
        <v>2001</v>
      </c>
      <c r="W227" t="s">
        <v>1003</v>
      </c>
      <c r="X227" s="2">
        <v>0.85499999999999998</v>
      </c>
      <c r="Y227" s="6">
        <f t="shared" si="30"/>
        <v>2.28237366861536E-2</v>
      </c>
      <c r="AA227">
        <v>980331</v>
      </c>
      <c r="AB227">
        <v>23342</v>
      </c>
      <c r="AD227" t="s">
        <v>1</v>
      </c>
      <c r="AE227">
        <v>27</v>
      </c>
      <c r="AF227">
        <v>11</v>
      </c>
      <c r="AH227" t="s">
        <v>8086</v>
      </c>
      <c r="AI227" t="s">
        <v>8085</v>
      </c>
      <c r="AJ227" t="s">
        <v>8084</v>
      </c>
      <c r="AK227" t="s">
        <v>8083</v>
      </c>
      <c r="AL227">
        <v>32</v>
      </c>
      <c r="AM227" s="5">
        <f t="shared" si="26"/>
        <v>1.5238095238095237</v>
      </c>
      <c r="AN227" s="4">
        <f t="shared" si="31"/>
        <v>2.3079280936153333E-3</v>
      </c>
      <c r="AO227" s="3"/>
      <c r="AP227">
        <v>0</v>
      </c>
      <c r="AR227" t="s">
        <v>0</v>
      </c>
      <c r="AT227" s="2">
        <v>2.6259999999999999</v>
      </c>
      <c r="AU227" s="1">
        <f t="shared" si="27"/>
        <v>1.6668994108392117</v>
      </c>
      <c r="AV227" s="1">
        <f t="shared" si="28"/>
        <v>1.2565832389884468</v>
      </c>
      <c r="AW227" s="1">
        <f t="shared" si="29"/>
        <v>0.84626706713768141</v>
      </c>
    </row>
    <row r="228" spans="1:49" x14ac:dyDescent="0.2">
      <c r="A228">
        <v>226</v>
      </c>
      <c r="B228" t="s">
        <v>8082</v>
      </c>
      <c r="C228" t="s">
        <v>8081</v>
      </c>
      <c r="F228" t="s">
        <v>8080</v>
      </c>
      <c r="G228" t="s">
        <v>6</v>
      </c>
      <c r="H228" t="s">
        <v>5</v>
      </c>
      <c r="I228" t="s">
        <v>8079</v>
      </c>
      <c r="J228">
        <v>60015658</v>
      </c>
      <c r="K228" t="s">
        <v>35</v>
      </c>
      <c r="L228" t="s">
        <v>34</v>
      </c>
      <c r="M228" t="s">
        <v>26</v>
      </c>
      <c r="N228">
        <v>5</v>
      </c>
      <c r="O228" t="s">
        <v>8078</v>
      </c>
      <c r="P228" t="s">
        <v>8077</v>
      </c>
      <c r="Q228" t="s">
        <v>8076</v>
      </c>
      <c r="R228" s="7">
        <v>37221</v>
      </c>
      <c r="S228" s="8">
        <f t="shared" si="24"/>
        <v>2001</v>
      </c>
      <c r="T228" s="8">
        <v>2001</v>
      </c>
      <c r="U228" s="8">
        <f t="shared" si="25"/>
        <v>21</v>
      </c>
      <c r="V228" s="7">
        <v>2001</v>
      </c>
      <c r="W228" t="s">
        <v>8075</v>
      </c>
      <c r="X228" s="2">
        <v>0.374</v>
      </c>
      <c r="Y228" s="6">
        <f t="shared" si="30"/>
        <v>9.9837163983876563E-3</v>
      </c>
      <c r="AA228">
        <v>2365731</v>
      </c>
      <c r="AB228">
        <v>24060</v>
      </c>
      <c r="AD228" t="s">
        <v>1</v>
      </c>
      <c r="AE228">
        <v>250</v>
      </c>
      <c r="AF228">
        <v>2</v>
      </c>
      <c r="AH228" t="s">
        <v>8074</v>
      </c>
      <c r="AI228" t="s">
        <v>8073</v>
      </c>
      <c r="AK228" t="s">
        <v>8072</v>
      </c>
      <c r="AL228">
        <v>15</v>
      </c>
      <c r="AM228" s="5">
        <f t="shared" si="26"/>
        <v>0.7142857142857143</v>
      </c>
      <c r="AN228" s="4">
        <f t="shared" si="31"/>
        <v>1.0818412938821875E-3</v>
      </c>
      <c r="AO228" s="3"/>
      <c r="AP228">
        <v>0</v>
      </c>
      <c r="AR228" t="s">
        <v>0</v>
      </c>
      <c r="AT228" s="2" t="s">
        <v>7</v>
      </c>
      <c r="AU228" s="1">
        <f t="shared" si="27"/>
        <v>0.73131538670360152</v>
      </c>
      <c r="AV228" s="1">
        <f t="shared" si="28"/>
        <v>0.55327788461349225</v>
      </c>
      <c r="AW228" s="1">
        <f t="shared" si="29"/>
        <v>0.37524038252338282</v>
      </c>
    </row>
    <row r="229" spans="1:49" x14ac:dyDescent="0.2">
      <c r="A229">
        <v>227</v>
      </c>
      <c r="B229" t="s">
        <v>8071</v>
      </c>
      <c r="C229" t="s">
        <v>8070</v>
      </c>
      <c r="F229" t="s">
        <v>8069</v>
      </c>
      <c r="G229" t="s">
        <v>6</v>
      </c>
      <c r="H229" t="s">
        <v>5</v>
      </c>
      <c r="I229" t="s">
        <v>8068</v>
      </c>
      <c r="J229">
        <v>60012070</v>
      </c>
      <c r="K229" t="s">
        <v>8067</v>
      </c>
      <c r="L229" t="s">
        <v>8066</v>
      </c>
      <c r="M229" t="s">
        <v>37</v>
      </c>
      <c r="N229">
        <v>1</v>
      </c>
      <c r="O229" t="s">
        <v>8065</v>
      </c>
      <c r="P229">
        <v>7103257526</v>
      </c>
      <c r="Q229">
        <v>60012070</v>
      </c>
      <c r="R229" s="7">
        <v>37220</v>
      </c>
      <c r="S229" s="8">
        <f t="shared" si="24"/>
        <v>2001</v>
      </c>
      <c r="T229" s="8">
        <v>2001</v>
      </c>
      <c r="U229" s="8">
        <f t="shared" si="25"/>
        <v>21</v>
      </c>
      <c r="V229" s="7">
        <v>37220</v>
      </c>
      <c r="W229" t="s">
        <v>4710</v>
      </c>
      <c r="X229" s="2">
        <v>0.71899999999999997</v>
      </c>
      <c r="Y229" s="6">
        <f t="shared" si="30"/>
        <v>1.9193294359467178E-2</v>
      </c>
      <c r="AA229">
        <v>1704214</v>
      </c>
      <c r="AB229">
        <v>24594</v>
      </c>
      <c r="AD229" t="s">
        <v>1</v>
      </c>
      <c r="AE229">
        <v>24</v>
      </c>
      <c r="AF229" t="s">
        <v>8064</v>
      </c>
      <c r="AH229" t="s">
        <v>8063</v>
      </c>
      <c r="AI229" t="s">
        <v>8062</v>
      </c>
      <c r="AJ229" t="s">
        <v>8061</v>
      </c>
      <c r="AK229" t="s">
        <v>8060</v>
      </c>
      <c r="AL229">
        <v>27</v>
      </c>
      <c r="AM229" s="5">
        <f t="shared" si="26"/>
        <v>1.2857142857142858</v>
      </c>
      <c r="AN229" s="4">
        <f t="shared" si="31"/>
        <v>1.9473143289879377E-3</v>
      </c>
      <c r="AO229" s="3"/>
      <c r="AP229">
        <v>0</v>
      </c>
      <c r="AR229" t="s">
        <v>0</v>
      </c>
      <c r="AT229" s="2" t="s">
        <v>7</v>
      </c>
      <c r="AU229" s="1">
        <f t="shared" si="27"/>
        <v>1.4019500350323404</v>
      </c>
      <c r="AV229" s="1">
        <f t="shared" si="28"/>
        <v>1.0570304344227557</v>
      </c>
      <c r="AW229" s="1">
        <f t="shared" si="29"/>
        <v>0.71211083381317097</v>
      </c>
    </row>
    <row r="230" spans="1:49" x14ac:dyDescent="0.2">
      <c r="A230">
        <v>228</v>
      </c>
      <c r="B230" t="s">
        <v>8059</v>
      </c>
      <c r="C230" t="s">
        <v>8058</v>
      </c>
      <c r="F230" t="s">
        <v>8057</v>
      </c>
      <c r="G230" t="s">
        <v>6</v>
      </c>
      <c r="H230" t="s">
        <v>5</v>
      </c>
      <c r="I230" t="s">
        <v>8056</v>
      </c>
      <c r="J230" t="s">
        <v>8055</v>
      </c>
      <c r="K230" t="s">
        <v>8054</v>
      </c>
      <c r="L230" t="s">
        <v>8053</v>
      </c>
      <c r="M230" t="s">
        <v>8052</v>
      </c>
      <c r="N230">
        <v>7</v>
      </c>
      <c r="O230" t="s">
        <v>8051</v>
      </c>
      <c r="P230" t="s">
        <v>8050</v>
      </c>
      <c r="Q230" t="s">
        <v>8049</v>
      </c>
      <c r="R230" s="7">
        <v>37217</v>
      </c>
      <c r="S230" s="8">
        <f t="shared" si="24"/>
        <v>2001</v>
      </c>
      <c r="T230" s="8">
        <v>2001</v>
      </c>
      <c r="U230" s="8">
        <f t="shared" si="25"/>
        <v>21</v>
      </c>
      <c r="V230" s="7">
        <v>37217</v>
      </c>
      <c r="W230" t="s">
        <v>835</v>
      </c>
      <c r="X230" s="2">
        <v>0.86399999999999999</v>
      </c>
      <c r="Y230" s="6">
        <f t="shared" si="30"/>
        <v>2.3063986546007848E-2</v>
      </c>
      <c r="AA230">
        <v>10895647</v>
      </c>
      <c r="AB230">
        <v>26970</v>
      </c>
      <c r="AD230" t="s">
        <v>1</v>
      </c>
      <c r="AE230">
        <v>105</v>
      </c>
      <c r="AF230">
        <v>46</v>
      </c>
      <c r="AH230" t="s">
        <v>8048</v>
      </c>
      <c r="AI230" t="s">
        <v>8047</v>
      </c>
      <c r="AK230" t="s">
        <v>8046</v>
      </c>
      <c r="AL230">
        <v>45</v>
      </c>
      <c r="AM230" s="5">
        <f t="shared" si="26"/>
        <v>2.1428571428571428</v>
      </c>
      <c r="AN230" s="4">
        <f t="shared" si="31"/>
        <v>3.2455238816465623E-3</v>
      </c>
      <c r="AO230" s="3"/>
      <c r="AP230">
        <v>0</v>
      </c>
      <c r="AR230" t="s">
        <v>0</v>
      </c>
      <c r="AT230" s="2">
        <v>2.9910000000000001</v>
      </c>
      <c r="AU230" s="1">
        <f t="shared" si="27"/>
        <v>1.7118447746699461</v>
      </c>
      <c r="AV230" s="1">
        <f t="shared" si="28"/>
        <v>1.3154755213827205</v>
      </c>
      <c r="AW230" s="1">
        <f t="shared" si="29"/>
        <v>0.91910626809549489</v>
      </c>
    </row>
    <row r="231" spans="1:49" x14ac:dyDescent="0.2">
      <c r="A231">
        <v>229</v>
      </c>
      <c r="B231" t="s">
        <v>8045</v>
      </c>
      <c r="C231" t="s">
        <v>8044</v>
      </c>
      <c r="F231" t="s">
        <v>8043</v>
      </c>
      <c r="G231" t="s">
        <v>6</v>
      </c>
      <c r="H231" t="s">
        <v>5</v>
      </c>
      <c r="I231" t="s">
        <v>8042</v>
      </c>
      <c r="J231" t="s">
        <v>8041</v>
      </c>
      <c r="K231" t="s">
        <v>8040</v>
      </c>
      <c r="L231" t="s">
        <v>8039</v>
      </c>
      <c r="M231" t="s">
        <v>8038</v>
      </c>
      <c r="N231">
        <v>5</v>
      </c>
      <c r="O231" t="s">
        <v>8037</v>
      </c>
      <c r="P231" t="s">
        <v>8036</v>
      </c>
      <c r="Q231" t="s">
        <v>8035</v>
      </c>
      <c r="R231" s="7">
        <v>37217</v>
      </c>
      <c r="S231" s="8">
        <f t="shared" si="24"/>
        <v>2001</v>
      </c>
      <c r="T231" s="8">
        <v>2001</v>
      </c>
      <c r="U231" s="8">
        <f t="shared" si="25"/>
        <v>21</v>
      </c>
      <c r="V231" s="7">
        <v>37217</v>
      </c>
      <c r="W231" t="s">
        <v>835</v>
      </c>
      <c r="X231" s="2">
        <v>0.86399999999999999</v>
      </c>
      <c r="Y231" s="6">
        <f t="shared" si="30"/>
        <v>2.3063986546007848E-2</v>
      </c>
      <c r="AA231">
        <v>10895647</v>
      </c>
      <c r="AB231">
        <v>26970</v>
      </c>
      <c r="AD231" t="s">
        <v>1</v>
      </c>
      <c r="AE231">
        <v>105</v>
      </c>
      <c r="AF231">
        <v>46</v>
      </c>
      <c r="AH231" t="s">
        <v>8034</v>
      </c>
      <c r="AI231" t="s">
        <v>8033</v>
      </c>
      <c r="AK231" t="s">
        <v>8032</v>
      </c>
      <c r="AL231">
        <v>63</v>
      </c>
      <c r="AM231" s="5">
        <f t="shared" si="26"/>
        <v>3</v>
      </c>
      <c r="AN231" s="4">
        <f t="shared" si="31"/>
        <v>4.5437334343051876E-3</v>
      </c>
      <c r="AO231" s="3"/>
      <c r="AP231">
        <v>0</v>
      </c>
      <c r="AR231" t="s">
        <v>0</v>
      </c>
      <c r="AT231" s="2">
        <v>2.9910000000000001</v>
      </c>
      <c r="AU231" s="1">
        <f t="shared" si="27"/>
        <v>1.7507910612497048</v>
      </c>
      <c r="AV231" s="1">
        <f t="shared" si="28"/>
        <v>1.3803859990156517</v>
      </c>
      <c r="AW231" s="1">
        <f t="shared" si="29"/>
        <v>1.0099809367815986</v>
      </c>
    </row>
    <row r="232" spans="1:49" x14ac:dyDescent="0.2">
      <c r="A232">
        <v>230</v>
      </c>
      <c r="B232" t="s">
        <v>8031</v>
      </c>
      <c r="C232" t="s">
        <v>8030</v>
      </c>
      <c r="F232" t="s">
        <v>8029</v>
      </c>
      <c r="G232" t="s">
        <v>6</v>
      </c>
      <c r="H232" t="s">
        <v>5</v>
      </c>
      <c r="I232" t="s">
        <v>4088</v>
      </c>
      <c r="J232">
        <v>60025555</v>
      </c>
      <c r="K232" t="s">
        <v>93</v>
      </c>
      <c r="L232" t="s">
        <v>92</v>
      </c>
      <c r="M232" t="s">
        <v>26</v>
      </c>
      <c r="N232">
        <v>2</v>
      </c>
      <c r="O232" t="s">
        <v>8028</v>
      </c>
      <c r="P232" t="s">
        <v>8027</v>
      </c>
      <c r="Q232" t="s">
        <v>527</v>
      </c>
      <c r="R232" s="7">
        <v>37217</v>
      </c>
      <c r="S232" s="8">
        <f t="shared" si="24"/>
        <v>2001</v>
      </c>
      <c r="T232" s="8">
        <v>2001</v>
      </c>
      <c r="U232" s="8">
        <f t="shared" si="25"/>
        <v>21</v>
      </c>
      <c r="V232" s="7">
        <v>37217</v>
      </c>
      <c r="W232" t="s">
        <v>698</v>
      </c>
      <c r="X232" s="2">
        <v>0.375</v>
      </c>
      <c r="Y232" s="6">
        <f t="shared" si="30"/>
        <v>1.0010410827260351E-2</v>
      </c>
      <c r="AA232">
        <v>135194</v>
      </c>
      <c r="AB232">
        <v>24918</v>
      </c>
      <c r="AD232" t="s">
        <v>1</v>
      </c>
      <c r="AE232">
        <v>37</v>
      </c>
      <c r="AF232">
        <v>24</v>
      </c>
      <c r="AH232" t="s">
        <v>8026</v>
      </c>
      <c r="AI232" t="s">
        <v>8025</v>
      </c>
      <c r="AK232" t="s">
        <v>8024</v>
      </c>
      <c r="AL232">
        <v>5</v>
      </c>
      <c r="AM232" s="5">
        <f t="shared" si="26"/>
        <v>0.23809523809523808</v>
      </c>
      <c r="AN232" s="4">
        <f t="shared" si="31"/>
        <v>3.6061376462739582E-4</v>
      </c>
      <c r="AO232" s="3"/>
      <c r="AP232">
        <v>0</v>
      </c>
      <c r="AR232" t="s">
        <v>0</v>
      </c>
      <c r="AT232" s="2">
        <v>1.3140000000000001</v>
      </c>
      <c r="AU232" s="1">
        <f t="shared" si="27"/>
        <v>0.71154717084704644</v>
      </c>
      <c r="AV232" s="1">
        <f t="shared" si="28"/>
        <v>0.51855122959438738</v>
      </c>
      <c r="AW232" s="1">
        <f t="shared" si="29"/>
        <v>0.3255552883417282</v>
      </c>
    </row>
    <row r="233" spans="1:49" x14ac:dyDescent="0.2">
      <c r="A233">
        <v>231</v>
      </c>
      <c r="B233" t="s">
        <v>8023</v>
      </c>
      <c r="C233" t="s">
        <v>8022</v>
      </c>
      <c r="F233" t="s">
        <v>8021</v>
      </c>
      <c r="G233" t="s">
        <v>6</v>
      </c>
      <c r="H233" t="s">
        <v>5</v>
      </c>
      <c r="I233" t="s">
        <v>8020</v>
      </c>
      <c r="J233" t="s">
        <v>8019</v>
      </c>
      <c r="K233" t="s">
        <v>8018</v>
      </c>
      <c r="L233" t="s">
        <v>8017</v>
      </c>
      <c r="M233" t="s">
        <v>412</v>
      </c>
      <c r="N233">
        <v>5</v>
      </c>
      <c r="O233" t="s">
        <v>8016</v>
      </c>
      <c r="P233" t="s">
        <v>8015</v>
      </c>
      <c r="Q233" t="s">
        <v>8014</v>
      </c>
      <c r="R233" s="7">
        <v>37217</v>
      </c>
      <c r="S233" s="8">
        <f t="shared" si="24"/>
        <v>2001</v>
      </c>
      <c r="T233" s="8">
        <v>2001</v>
      </c>
      <c r="U233" s="8">
        <f t="shared" si="25"/>
        <v>21</v>
      </c>
      <c r="V233" s="7">
        <v>37217</v>
      </c>
      <c r="W233" t="s">
        <v>698</v>
      </c>
      <c r="X233" s="2">
        <v>0.375</v>
      </c>
      <c r="Y233" s="6">
        <f t="shared" si="30"/>
        <v>1.0010410827260351E-2</v>
      </c>
      <c r="AA233">
        <v>135194</v>
      </c>
      <c r="AB233">
        <v>24918</v>
      </c>
      <c r="AD233" t="s">
        <v>1</v>
      </c>
      <c r="AE233">
        <v>37</v>
      </c>
      <c r="AF233">
        <v>24</v>
      </c>
      <c r="AH233" t="s">
        <v>8013</v>
      </c>
      <c r="AI233" t="s">
        <v>8012</v>
      </c>
      <c r="AK233" t="s">
        <v>8011</v>
      </c>
      <c r="AL233">
        <v>10</v>
      </c>
      <c r="AM233" s="5">
        <f t="shared" si="26"/>
        <v>0.47619047619047616</v>
      </c>
      <c r="AN233" s="4">
        <f t="shared" si="31"/>
        <v>7.2122752925479164E-4</v>
      </c>
      <c r="AO233" s="3"/>
      <c r="AP233">
        <v>0</v>
      </c>
      <c r="AR233" t="s">
        <v>0</v>
      </c>
      <c r="AT233" s="2">
        <v>1.3140000000000001</v>
      </c>
      <c r="AU233" s="1">
        <f t="shared" si="27"/>
        <v>0.72236558378586835</v>
      </c>
      <c r="AV233" s="1">
        <f t="shared" si="28"/>
        <v>0.53658191782575715</v>
      </c>
      <c r="AW233" s="1">
        <f t="shared" si="29"/>
        <v>0.35079825186564589</v>
      </c>
    </row>
    <row r="234" spans="1:49" x14ac:dyDescent="0.2">
      <c r="A234">
        <v>232</v>
      </c>
      <c r="B234" t="s">
        <v>8010</v>
      </c>
      <c r="C234" t="s">
        <v>8009</v>
      </c>
      <c r="F234" t="s">
        <v>8008</v>
      </c>
      <c r="G234" t="s">
        <v>6</v>
      </c>
      <c r="H234" t="s">
        <v>5</v>
      </c>
      <c r="I234" t="s">
        <v>8007</v>
      </c>
      <c r="J234">
        <v>60026851</v>
      </c>
      <c r="K234" t="s">
        <v>417</v>
      </c>
      <c r="L234" t="s">
        <v>416</v>
      </c>
      <c r="M234" t="s">
        <v>37</v>
      </c>
      <c r="N234">
        <v>4</v>
      </c>
      <c r="O234" t="s">
        <v>8006</v>
      </c>
      <c r="P234" t="s">
        <v>8005</v>
      </c>
      <c r="Q234" t="s">
        <v>415</v>
      </c>
      <c r="R234" s="7">
        <v>37217</v>
      </c>
      <c r="S234" s="8">
        <f t="shared" si="24"/>
        <v>2001</v>
      </c>
      <c r="T234" s="8">
        <v>2001</v>
      </c>
      <c r="U234" s="8">
        <f t="shared" si="25"/>
        <v>21</v>
      </c>
      <c r="V234" s="7">
        <v>37217</v>
      </c>
      <c r="W234" t="s">
        <v>7728</v>
      </c>
      <c r="X234" s="2">
        <v>2.3420000000000001</v>
      </c>
      <c r="Y234" s="6">
        <f t="shared" si="30"/>
        <v>6.2518352419849987E-2</v>
      </c>
      <c r="AA234">
        <v>9628452</v>
      </c>
      <c r="AB234">
        <v>130030</v>
      </c>
      <c r="AC234">
        <v>14712970</v>
      </c>
      <c r="AD234" t="s">
        <v>1</v>
      </c>
      <c r="AE234">
        <v>268</v>
      </c>
      <c r="AF234">
        <v>1483</v>
      </c>
      <c r="AH234" t="s">
        <v>8004</v>
      </c>
      <c r="AI234" t="s">
        <v>8003</v>
      </c>
      <c r="AJ234" t="s">
        <v>8002</v>
      </c>
      <c r="AK234" t="s">
        <v>8001</v>
      </c>
      <c r="AL234">
        <v>42</v>
      </c>
      <c r="AM234" s="5">
        <f t="shared" si="26"/>
        <v>2</v>
      </c>
      <c r="AN234" s="4">
        <f t="shared" si="31"/>
        <v>3.0291556228701248E-3</v>
      </c>
      <c r="AO234" s="3"/>
      <c r="AP234">
        <v>0</v>
      </c>
      <c r="AR234" t="s">
        <v>0</v>
      </c>
      <c r="AT234" s="2" t="s">
        <v>7</v>
      </c>
      <c r="AU234" s="1">
        <f t="shared" si="27"/>
        <v>4.4671593380756027</v>
      </c>
      <c r="AV234" s="1">
        <f t="shared" si="28"/>
        <v>3.2773754021360055</v>
      </c>
      <c r="AW234" s="1">
        <f t="shared" si="29"/>
        <v>2.0875914661964083</v>
      </c>
    </row>
    <row r="235" spans="1:49" x14ac:dyDescent="0.2">
      <c r="A235">
        <v>233</v>
      </c>
      <c r="B235" t="s">
        <v>8000</v>
      </c>
      <c r="C235" t="s">
        <v>7999</v>
      </c>
      <c r="F235" t="s">
        <v>7998</v>
      </c>
      <c r="G235" t="s">
        <v>6</v>
      </c>
      <c r="H235" t="s">
        <v>5</v>
      </c>
      <c r="I235" t="s">
        <v>5078</v>
      </c>
      <c r="J235">
        <v>60011357</v>
      </c>
      <c r="K235" t="s">
        <v>342</v>
      </c>
      <c r="L235" t="s">
        <v>329</v>
      </c>
      <c r="M235" t="s">
        <v>105</v>
      </c>
      <c r="N235">
        <v>2</v>
      </c>
      <c r="O235" t="s">
        <v>5077</v>
      </c>
      <c r="P235" t="s">
        <v>5076</v>
      </c>
      <c r="Q235" t="s">
        <v>341</v>
      </c>
      <c r="R235" s="7">
        <v>37215</v>
      </c>
      <c r="S235" s="8">
        <f t="shared" si="24"/>
        <v>2001</v>
      </c>
      <c r="T235" s="8">
        <v>2001</v>
      </c>
      <c r="U235" s="8">
        <f t="shared" si="25"/>
        <v>21</v>
      </c>
      <c r="V235" s="7">
        <v>37215</v>
      </c>
      <c r="W235" t="s">
        <v>290</v>
      </c>
      <c r="X235" s="2">
        <v>0.30399999999999999</v>
      </c>
      <c r="Y235" s="6">
        <f t="shared" si="30"/>
        <v>8.115106377299057E-3</v>
      </c>
      <c r="AA235">
        <v>8952477</v>
      </c>
      <c r="AB235">
        <v>12250</v>
      </c>
      <c r="AD235" t="s">
        <v>1</v>
      </c>
      <c r="AE235">
        <v>31</v>
      </c>
      <c r="AF235">
        <v>4</v>
      </c>
      <c r="AH235" t="s">
        <v>7997</v>
      </c>
      <c r="AI235" t="s">
        <v>7996</v>
      </c>
      <c r="AJ235" t="s">
        <v>7995</v>
      </c>
      <c r="AK235" t="s">
        <v>7994</v>
      </c>
      <c r="AL235">
        <v>12</v>
      </c>
      <c r="AM235" s="5">
        <f t="shared" si="26"/>
        <v>0.5714285714285714</v>
      </c>
      <c r="AN235" s="4">
        <f t="shared" si="31"/>
        <v>8.6547303510574997E-4</v>
      </c>
      <c r="AO235" s="3"/>
      <c r="AP235">
        <v>0</v>
      </c>
      <c r="AR235" t="s">
        <v>0</v>
      </c>
      <c r="AT235" s="2" t="s">
        <v>7</v>
      </c>
      <c r="AU235" s="1">
        <f t="shared" si="27"/>
        <v>0.59402163746410641</v>
      </c>
      <c r="AV235" s="1">
        <f t="shared" si="28"/>
        <v>0.44902897062024039</v>
      </c>
      <c r="AW235" s="1">
        <f t="shared" si="29"/>
        <v>0.30403630377637419</v>
      </c>
    </row>
    <row r="236" spans="1:49" x14ac:dyDescent="0.2">
      <c r="A236">
        <v>234</v>
      </c>
      <c r="B236" t="s">
        <v>7993</v>
      </c>
      <c r="C236" t="s">
        <v>7992</v>
      </c>
      <c r="F236" t="s">
        <v>7991</v>
      </c>
      <c r="G236" t="s">
        <v>6</v>
      </c>
      <c r="H236" t="s">
        <v>5</v>
      </c>
      <c r="I236" t="s">
        <v>1475</v>
      </c>
      <c r="J236">
        <v>60027550</v>
      </c>
      <c r="K236" t="s">
        <v>144</v>
      </c>
      <c r="L236" t="s">
        <v>65</v>
      </c>
      <c r="M236" t="s">
        <v>3</v>
      </c>
      <c r="N236">
        <v>2</v>
      </c>
      <c r="O236" t="s">
        <v>7627</v>
      </c>
      <c r="P236" t="s">
        <v>3235</v>
      </c>
      <c r="Q236" t="s">
        <v>143</v>
      </c>
      <c r="R236" s="7">
        <v>37215</v>
      </c>
      <c r="S236" s="8">
        <f t="shared" si="24"/>
        <v>2001</v>
      </c>
      <c r="T236" s="8">
        <v>2001</v>
      </c>
      <c r="U236" s="8">
        <f t="shared" si="25"/>
        <v>21</v>
      </c>
      <c r="V236" s="7">
        <v>37215</v>
      </c>
      <c r="W236" t="s">
        <v>290</v>
      </c>
      <c r="X236" s="2">
        <v>0.30399999999999999</v>
      </c>
      <c r="Y236" s="6">
        <f t="shared" si="30"/>
        <v>8.115106377299057E-3</v>
      </c>
      <c r="AA236">
        <v>8952477</v>
      </c>
      <c r="AB236">
        <v>12250</v>
      </c>
      <c r="AD236" t="s">
        <v>1</v>
      </c>
      <c r="AE236">
        <v>31</v>
      </c>
      <c r="AF236">
        <v>4</v>
      </c>
      <c r="AH236" t="s">
        <v>7990</v>
      </c>
      <c r="AI236" t="s">
        <v>7989</v>
      </c>
      <c r="AJ236" t="s">
        <v>7988</v>
      </c>
      <c r="AK236" t="s">
        <v>7987</v>
      </c>
      <c r="AL236">
        <v>97</v>
      </c>
      <c r="AM236" s="5">
        <f t="shared" si="26"/>
        <v>4.6190476190476186</v>
      </c>
      <c r="AN236" s="4">
        <f t="shared" si="31"/>
        <v>6.9959070337714787E-3</v>
      </c>
      <c r="AO236" s="3"/>
      <c r="AP236">
        <v>0</v>
      </c>
      <c r="AR236" t="s">
        <v>0</v>
      </c>
      <c r="AT236" s="2" t="s">
        <v>7</v>
      </c>
      <c r="AU236" s="1">
        <f t="shared" si="27"/>
        <v>0.7779346574240783</v>
      </c>
      <c r="AV236" s="1">
        <f t="shared" si="28"/>
        <v>0.75555067055352676</v>
      </c>
      <c r="AW236" s="1">
        <f t="shared" si="29"/>
        <v>0.73316668368297522</v>
      </c>
    </row>
    <row r="237" spans="1:49" x14ac:dyDescent="0.2">
      <c r="A237">
        <v>235</v>
      </c>
      <c r="B237" t="s">
        <v>7986</v>
      </c>
      <c r="C237" t="s">
        <v>7985</v>
      </c>
      <c r="F237" t="s">
        <v>7984</v>
      </c>
      <c r="G237" t="s">
        <v>6</v>
      </c>
      <c r="H237" t="s">
        <v>5</v>
      </c>
      <c r="I237" t="s">
        <v>796</v>
      </c>
      <c r="J237">
        <v>60012873</v>
      </c>
      <c r="K237" t="s">
        <v>3777</v>
      </c>
      <c r="L237" t="s">
        <v>3776</v>
      </c>
      <c r="M237" t="s">
        <v>3775</v>
      </c>
      <c r="N237">
        <v>1</v>
      </c>
      <c r="O237" t="s">
        <v>3774</v>
      </c>
      <c r="P237">
        <v>7005794256</v>
      </c>
      <c r="Q237">
        <v>60012873</v>
      </c>
      <c r="R237" s="7">
        <v>37215</v>
      </c>
      <c r="S237" s="8">
        <f t="shared" si="24"/>
        <v>2001</v>
      </c>
      <c r="T237" s="8">
        <v>2001</v>
      </c>
      <c r="U237" s="8">
        <f t="shared" si="25"/>
        <v>21</v>
      </c>
      <c r="V237" s="7">
        <v>37215</v>
      </c>
      <c r="W237" t="s">
        <v>290</v>
      </c>
      <c r="X237" s="2">
        <v>0.30399999999999999</v>
      </c>
      <c r="Y237" s="6">
        <f t="shared" si="30"/>
        <v>8.115106377299057E-3</v>
      </c>
      <c r="AA237">
        <v>8952477</v>
      </c>
      <c r="AB237">
        <v>12250</v>
      </c>
      <c r="AD237" t="s">
        <v>1</v>
      </c>
      <c r="AE237">
        <v>31</v>
      </c>
      <c r="AF237">
        <v>4</v>
      </c>
      <c r="AH237" t="s">
        <v>7983</v>
      </c>
      <c r="AI237" t="s">
        <v>7982</v>
      </c>
      <c r="AJ237" t="s">
        <v>7981</v>
      </c>
      <c r="AK237" t="s">
        <v>7980</v>
      </c>
      <c r="AL237">
        <v>4</v>
      </c>
      <c r="AM237" s="5">
        <f t="shared" si="26"/>
        <v>0.19047619047619047</v>
      </c>
      <c r="AN237" s="4">
        <f t="shared" si="31"/>
        <v>2.8849101170191666E-4</v>
      </c>
      <c r="AO237" s="3"/>
      <c r="AP237">
        <v>0</v>
      </c>
      <c r="AR237" t="s">
        <v>0</v>
      </c>
      <c r="AT237" s="2" t="s">
        <v>7</v>
      </c>
      <c r="AU237" s="1">
        <f t="shared" si="27"/>
        <v>0.57671217676199149</v>
      </c>
      <c r="AV237" s="1">
        <f t="shared" si="28"/>
        <v>0.4201798694500487</v>
      </c>
      <c r="AW237" s="1">
        <f t="shared" si="29"/>
        <v>0.26364756213810586</v>
      </c>
    </row>
    <row r="238" spans="1:49" x14ac:dyDescent="0.2">
      <c r="A238">
        <v>236</v>
      </c>
      <c r="B238" t="s">
        <v>7979</v>
      </c>
      <c r="C238" t="s">
        <v>7978</v>
      </c>
      <c r="F238" t="s">
        <v>7977</v>
      </c>
      <c r="G238" t="s">
        <v>6</v>
      </c>
      <c r="H238" t="s">
        <v>5</v>
      </c>
      <c r="I238" t="s">
        <v>7976</v>
      </c>
      <c r="J238">
        <v>60032144</v>
      </c>
      <c r="K238" t="s">
        <v>7975</v>
      </c>
      <c r="L238" t="s">
        <v>332</v>
      </c>
      <c r="M238" t="s">
        <v>76</v>
      </c>
      <c r="N238">
        <v>3</v>
      </c>
      <c r="O238" t="s">
        <v>7974</v>
      </c>
      <c r="P238" t="s">
        <v>7973</v>
      </c>
      <c r="Q238" t="s">
        <v>7972</v>
      </c>
      <c r="R238" s="7">
        <v>37215</v>
      </c>
      <c r="S238" s="8">
        <f t="shared" si="24"/>
        <v>2001</v>
      </c>
      <c r="T238" s="8">
        <v>2001</v>
      </c>
      <c r="U238" s="8">
        <f t="shared" si="25"/>
        <v>21</v>
      </c>
      <c r="V238" s="7">
        <v>37215</v>
      </c>
      <c r="W238" t="s">
        <v>290</v>
      </c>
      <c r="X238" s="2">
        <v>0.30399999999999999</v>
      </c>
      <c r="Y238" s="6">
        <f t="shared" si="30"/>
        <v>8.115106377299057E-3</v>
      </c>
      <c r="AA238">
        <v>8952477</v>
      </c>
      <c r="AB238">
        <v>12250</v>
      </c>
      <c r="AD238" t="s">
        <v>1</v>
      </c>
      <c r="AE238">
        <v>31</v>
      </c>
      <c r="AF238">
        <v>4</v>
      </c>
      <c r="AH238" t="s">
        <v>7971</v>
      </c>
      <c r="AI238" t="s">
        <v>7970</v>
      </c>
      <c r="AJ238" t="s">
        <v>7969</v>
      </c>
      <c r="AK238" t="s">
        <v>7968</v>
      </c>
      <c r="AL238">
        <v>2</v>
      </c>
      <c r="AM238" s="5">
        <f t="shared" si="26"/>
        <v>9.5238095238095233E-2</v>
      </c>
      <c r="AN238" s="4">
        <f t="shared" si="31"/>
        <v>1.4424550585095833E-4</v>
      </c>
      <c r="AO238" s="3"/>
      <c r="AP238">
        <v>0</v>
      </c>
      <c r="AR238" t="s">
        <v>0</v>
      </c>
      <c r="AT238" s="2" t="s">
        <v>7</v>
      </c>
      <c r="AU238" s="1">
        <f t="shared" si="27"/>
        <v>0.57238481158646271</v>
      </c>
      <c r="AV238" s="1">
        <f t="shared" si="28"/>
        <v>0.41296759415750073</v>
      </c>
      <c r="AW238" s="1">
        <f t="shared" si="29"/>
        <v>0.25355037672853881</v>
      </c>
    </row>
    <row r="239" spans="1:49" x14ac:dyDescent="0.2">
      <c r="A239">
        <v>237</v>
      </c>
      <c r="B239" t="s">
        <v>7967</v>
      </c>
      <c r="C239" t="s">
        <v>7966</v>
      </c>
      <c r="F239" t="s">
        <v>7965</v>
      </c>
      <c r="G239" t="s">
        <v>6</v>
      </c>
      <c r="H239" t="s">
        <v>5</v>
      </c>
      <c r="I239" t="s">
        <v>7964</v>
      </c>
      <c r="J239" t="s">
        <v>7963</v>
      </c>
      <c r="K239" t="s">
        <v>7962</v>
      </c>
      <c r="L239" t="s">
        <v>368</v>
      </c>
      <c r="M239" t="s">
        <v>49</v>
      </c>
      <c r="N239">
        <v>4</v>
      </c>
      <c r="O239" t="s">
        <v>7961</v>
      </c>
      <c r="P239" t="s">
        <v>7960</v>
      </c>
      <c r="Q239" t="s">
        <v>7959</v>
      </c>
      <c r="R239" s="7">
        <v>37215</v>
      </c>
      <c r="S239" s="8">
        <f t="shared" si="24"/>
        <v>2001</v>
      </c>
      <c r="T239" s="8">
        <v>2001</v>
      </c>
      <c r="U239" s="8">
        <f t="shared" si="25"/>
        <v>21</v>
      </c>
      <c r="V239" s="7">
        <v>37215</v>
      </c>
      <c r="W239" t="s">
        <v>290</v>
      </c>
      <c r="X239" s="2">
        <v>0.30399999999999999</v>
      </c>
      <c r="Y239" s="6">
        <f t="shared" si="30"/>
        <v>8.115106377299057E-3</v>
      </c>
      <c r="AA239">
        <v>8952477</v>
      </c>
      <c r="AB239">
        <v>12250</v>
      </c>
      <c r="AD239" t="s">
        <v>1</v>
      </c>
      <c r="AE239">
        <v>31</v>
      </c>
      <c r="AF239">
        <v>4</v>
      </c>
      <c r="AH239" t="s">
        <v>348</v>
      </c>
      <c r="AI239" t="s">
        <v>7958</v>
      </c>
      <c r="AJ239" t="s">
        <v>7957</v>
      </c>
      <c r="AK239" t="s">
        <v>7956</v>
      </c>
      <c r="AL239">
        <v>3</v>
      </c>
      <c r="AM239" s="5">
        <f t="shared" si="26"/>
        <v>0.14285714285714285</v>
      </c>
      <c r="AN239" s="4">
        <f t="shared" si="31"/>
        <v>2.1636825877643749E-4</v>
      </c>
      <c r="AO239" s="3"/>
      <c r="AP239">
        <v>0</v>
      </c>
      <c r="AR239" t="s">
        <v>0</v>
      </c>
      <c r="AT239" s="2" t="s">
        <v>7</v>
      </c>
      <c r="AU239" s="1">
        <f t="shared" si="27"/>
        <v>0.57454849417422704</v>
      </c>
      <c r="AV239" s="1">
        <f t="shared" si="28"/>
        <v>0.41657373180377472</v>
      </c>
      <c r="AW239" s="1">
        <f t="shared" si="29"/>
        <v>0.25859896943332233</v>
      </c>
    </row>
    <row r="240" spans="1:49" x14ac:dyDescent="0.2">
      <c r="A240">
        <v>238</v>
      </c>
      <c r="B240" t="s">
        <v>7955</v>
      </c>
      <c r="C240" t="s">
        <v>7954</v>
      </c>
      <c r="F240" t="s">
        <v>7953</v>
      </c>
      <c r="G240" t="s">
        <v>6</v>
      </c>
      <c r="H240" t="s">
        <v>5</v>
      </c>
      <c r="I240" t="s">
        <v>5078</v>
      </c>
      <c r="J240">
        <v>60011357</v>
      </c>
      <c r="K240" t="s">
        <v>342</v>
      </c>
      <c r="L240" t="s">
        <v>329</v>
      </c>
      <c r="M240" t="s">
        <v>105</v>
      </c>
      <c r="N240">
        <v>2</v>
      </c>
      <c r="O240" t="s">
        <v>5077</v>
      </c>
      <c r="P240" t="s">
        <v>5076</v>
      </c>
      <c r="Q240" t="s">
        <v>341</v>
      </c>
      <c r="R240" s="7">
        <v>37215</v>
      </c>
      <c r="S240" s="8">
        <f t="shared" si="24"/>
        <v>2001</v>
      </c>
      <c r="T240" s="8">
        <v>2001</v>
      </c>
      <c r="U240" s="8">
        <f t="shared" si="25"/>
        <v>21</v>
      </c>
      <c r="V240" s="7">
        <v>37215</v>
      </c>
      <c r="W240" t="s">
        <v>290</v>
      </c>
      <c r="X240" s="2">
        <v>0.30399999999999999</v>
      </c>
      <c r="Y240" s="6">
        <f t="shared" si="30"/>
        <v>8.115106377299057E-3</v>
      </c>
      <c r="AA240">
        <v>8952477</v>
      </c>
      <c r="AB240">
        <v>12250</v>
      </c>
      <c r="AD240" t="s">
        <v>1</v>
      </c>
      <c r="AE240">
        <v>31</v>
      </c>
      <c r="AF240">
        <v>4</v>
      </c>
      <c r="AH240" t="s">
        <v>7952</v>
      </c>
      <c r="AI240" t="s">
        <v>7951</v>
      </c>
      <c r="AJ240" t="s">
        <v>7950</v>
      </c>
      <c r="AK240" t="s">
        <v>7949</v>
      </c>
      <c r="AL240">
        <v>10</v>
      </c>
      <c r="AM240" s="5">
        <f t="shared" si="26"/>
        <v>0.47619047619047616</v>
      </c>
      <c r="AN240" s="4">
        <f t="shared" si="31"/>
        <v>7.2122752925479164E-4</v>
      </c>
      <c r="AO240" s="3"/>
      <c r="AP240">
        <v>0</v>
      </c>
      <c r="AR240" t="s">
        <v>0</v>
      </c>
      <c r="AT240" s="2" t="s">
        <v>7</v>
      </c>
      <c r="AU240" s="1">
        <f t="shared" si="27"/>
        <v>0.58969427228857774</v>
      </c>
      <c r="AV240" s="1">
        <f t="shared" si="28"/>
        <v>0.44181669532769247</v>
      </c>
      <c r="AW240" s="1">
        <f t="shared" si="29"/>
        <v>0.29393911836680714</v>
      </c>
    </row>
    <row r="241" spans="1:49" x14ac:dyDescent="0.2">
      <c r="A241">
        <v>239</v>
      </c>
      <c r="B241" t="s">
        <v>7948</v>
      </c>
      <c r="C241" t="s">
        <v>7947</v>
      </c>
      <c r="F241" t="s">
        <v>7946</v>
      </c>
      <c r="G241" t="s">
        <v>6</v>
      </c>
      <c r="H241" t="s">
        <v>5</v>
      </c>
      <c r="I241" t="s">
        <v>551</v>
      </c>
      <c r="J241">
        <v>60080744</v>
      </c>
      <c r="K241" t="s">
        <v>475</v>
      </c>
      <c r="L241" t="s">
        <v>474</v>
      </c>
      <c r="M241" t="s">
        <v>76</v>
      </c>
      <c r="N241">
        <v>1</v>
      </c>
      <c r="O241" t="s">
        <v>3371</v>
      </c>
      <c r="P241">
        <v>7201869206</v>
      </c>
      <c r="Q241">
        <v>60080744</v>
      </c>
      <c r="R241" s="7">
        <v>37215</v>
      </c>
      <c r="S241" s="8">
        <f t="shared" si="24"/>
        <v>2001</v>
      </c>
      <c r="T241" s="8">
        <v>2001</v>
      </c>
      <c r="U241" s="8">
        <f t="shared" si="25"/>
        <v>21</v>
      </c>
      <c r="V241" s="7">
        <v>37215</v>
      </c>
      <c r="W241" t="s">
        <v>290</v>
      </c>
      <c r="X241" s="2">
        <v>0.30399999999999999</v>
      </c>
      <c r="Y241" s="6">
        <f t="shared" si="30"/>
        <v>8.115106377299057E-3</v>
      </c>
      <c r="AA241">
        <v>8952477</v>
      </c>
      <c r="AB241">
        <v>12250</v>
      </c>
      <c r="AD241" t="s">
        <v>1</v>
      </c>
      <c r="AE241">
        <v>31</v>
      </c>
      <c r="AF241">
        <v>4</v>
      </c>
      <c r="AH241" t="s">
        <v>7945</v>
      </c>
      <c r="AI241" t="s">
        <v>7944</v>
      </c>
      <c r="AJ241" t="s">
        <v>7943</v>
      </c>
      <c r="AK241" t="s">
        <v>7942</v>
      </c>
      <c r="AL241">
        <v>1</v>
      </c>
      <c r="AM241" s="5">
        <f t="shared" si="26"/>
        <v>4.7619047619047616E-2</v>
      </c>
      <c r="AN241" s="4">
        <f t="shared" si="31"/>
        <v>7.2122752925479164E-5</v>
      </c>
      <c r="AO241" s="3"/>
      <c r="AP241">
        <v>0</v>
      </c>
      <c r="AR241" t="s">
        <v>0</v>
      </c>
      <c r="AT241" s="2" t="s">
        <v>7</v>
      </c>
      <c r="AU241" s="1">
        <f t="shared" si="27"/>
        <v>0.57022112899869826</v>
      </c>
      <c r="AV241" s="1">
        <f t="shared" si="28"/>
        <v>0.40936145651122685</v>
      </c>
      <c r="AW241" s="1">
        <f t="shared" si="29"/>
        <v>0.24850178402375528</v>
      </c>
    </row>
    <row r="242" spans="1:49" x14ac:dyDescent="0.2">
      <c r="A242">
        <v>240</v>
      </c>
      <c r="B242" t="s">
        <v>7941</v>
      </c>
      <c r="C242" t="s">
        <v>7940</v>
      </c>
      <c r="F242" t="s">
        <v>7939</v>
      </c>
      <c r="G242" t="s">
        <v>6</v>
      </c>
      <c r="H242" t="s">
        <v>5</v>
      </c>
      <c r="I242" t="s">
        <v>7938</v>
      </c>
      <c r="J242">
        <v>60001439</v>
      </c>
      <c r="K242" t="s">
        <v>24</v>
      </c>
      <c r="L242" t="s">
        <v>23</v>
      </c>
      <c r="M242" t="s">
        <v>3</v>
      </c>
      <c r="N242">
        <v>4</v>
      </c>
      <c r="O242" t="s">
        <v>7937</v>
      </c>
      <c r="P242" t="s">
        <v>7936</v>
      </c>
      <c r="Q242" t="s">
        <v>797</v>
      </c>
      <c r="R242" s="7">
        <v>37215</v>
      </c>
      <c r="S242" s="8">
        <f t="shared" si="24"/>
        <v>2001</v>
      </c>
      <c r="T242" s="8">
        <v>2001</v>
      </c>
      <c r="U242" s="8">
        <f t="shared" si="25"/>
        <v>21</v>
      </c>
      <c r="V242" s="7">
        <v>37215</v>
      </c>
      <c r="W242" t="s">
        <v>290</v>
      </c>
      <c r="X242" s="2">
        <v>0.30399999999999999</v>
      </c>
      <c r="Y242" s="6">
        <f t="shared" si="30"/>
        <v>8.115106377299057E-3</v>
      </c>
      <c r="AA242">
        <v>8952477</v>
      </c>
      <c r="AB242">
        <v>12250</v>
      </c>
      <c r="AD242" t="s">
        <v>1</v>
      </c>
      <c r="AE242">
        <v>31</v>
      </c>
      <c r="AF242">
        <v>4</v>
      </c>
      <c r="AH242" t="s">
        <v>7935</v>
      </c>
      <c r="AI242" t="s">
        <v>7934</v>
      </c>
      <c r="AJ242" t="s">
        <v>7933</v>
      </c>
      <c r="AK242" t="s">
        <v>7932</v>
      </c>
      <c r="AL242">
        <v>3</v>
      </c>
      <c r="AM242" s="5">
        <f t="shared" si="26"/>
        <v>0.14285714285714285</v>
      </c>
      <c r="AN242" s="4">
        <f t="shared" si="31"/>
        <v>2.1636825877643749E-4</v>
      </c>
      <c r="AO242" s="3"/>
      <c r="AP242">
        <v>0</v>
      </c>
      <c r="AR242" t="s">
        <v>0</v>
      </c>
      <c r="AT242" s="2" t="s">
        <v>7</v>
      </c>
      <c r="AU242" s="1">
        <f t="shared" si="27"/>
        <v>0.57454849417422704</v>
      </c>
      <c r="AV242" s="1">
        <f t="shared" si="28"/>
        <v>0.41657373180377472</v>
      </c>
      <c r="AW242" s="1">
        <f t="shared" si="29"/>
        <v>0.25859896943332233</v>
      </c>
    </row>
    <row r="243" spans="1:49" x14ac:dyDescent="0.2">
      <c r="A243">
        <v>241</v>
      </c>
      <c r="B243" t="s">
        <v>7931</v>
      </c>
      <c r="C243" t="s">
        <v>7930</v>
      </c>
      <c r="F243" t="s">
        <v>7929</v>
      </c>
      <c r="G243" t="s">
        <v>6</v>
      </c>
      <c r="H243" t="s">
        <v>5</v>
      </c>
      <c r="I243" t="s">
        <v>7928</v>
      </c>
      <c r="J243">
        <v>60021902</v>
      </c>
      <c r="K243" t="s">
        <v>5969</v>
      </c>
      <c r="L243" t="s">
        <v>5968</v>
      </c>
      <c r="M243" t="s">
        <v>138</v>
      </c>
      <c r="N243">
        <v>3</v>
      </c>
      <c r="O243" t="s">
        <v>7927</v>
      </c>
      <c r="P243" t="s">
        <v>7926</v>
      </c>
      <c r="Q243" t="s">
        <v>5965</v>
      </c>
      <c r="R243" s="7">
        <v>37215</v>
      </c>
      <c r="S243" s="8">
        <f t="shared" si="24"/>
        <v>2001</v>
      </c>
      <c r="T243" s="8">
        <v>2001</v>
      </c>
      <c r="U243" s="8">
        <f t="shared" si="25"/>
        <v>21</v>
      </c>
      <c r="V243" s="7">
        <v>37215</v>
      </c>
      <c r="W243" t="s">
        <v>290</v>
      </c>
      <c r="X243" s="2">
        <v>0.30399999999999999</v>
      </c>
      <c r="Y243" s="6">
        <f t="shared" si="30"/>
        <v>8.115106377299057E-3</v>
      </c>
      <c r="AA243">
        <v>8952477</v>
      </c>
      <c r="AB243">
        <v>12250</v>
      </c>
      <c r="AD243" t="s">
        <v>1</v>
      </c>
      <c r="AE243">
        <v>31</v>
      </c>
      <c r="AF243">
        <v>4</v>
      </c>
      <c r="AH243" t="s">
        <v>7925</v>
      </c>
      <c r="AI243" t="s">
        <v>7924</v>
      </c>
      <c r="AJ243" t="s">
        <v>7923</v>
      </c>
      <c r="AK243" t="s">
        <v>7922</v>
      </c>
      <c r="AL243">
        <v>2</v>
      </c>
      <c r="AM243" s="5">
        <f t="shared" si="26"/>
        <v>9.5238095238095233E-2</v>
      </c>
      <c r="AN243" s="4">
        <f t="shared" si="31"/>
        <v>1.4424550585095833E-4</v>
      </c>
      <c r="AO243" s="3"/>
      <c r="AP243">
        <v>0</v>
      </c>
      <c r="AR243" t="s">
        <v>0</v>
      </c>
      <c r="AT243" s="2" t="s">
        <v>7</v>
      </c>
      <c r="AU243" s="1">
        <f t="shared" si="27"/>
        <v>0.57238481158646271</v>
      </c>
      <c r="AV243" s="1">
        <f t="shared" si="28"/>
        <v>0.41296759415750073</v>
      </c>
      <c r="AW243" s="1">
        <f t="shared" si="29"/>
        <v>0.25355037672853881</v>
      </c>
    </row>
    <row r="244" spans="1:49" x14ac:dyDescent="0.2">
      <c r="A244">
        <v>242</v>
      </c>
      <c r="B244" t="s">
        <v>7921</v>
      </c>
      <c r="C244" t="s">
        <v>7920</v>
      </c>
      <c r="E244">
        <v>11703116</v>
      </c>
      <c r="F244" t="s">
        <v>7919</v>
      </c>
      <c r="G244" t="s">
        <v>6</v>
      </c>
      <c r="H244" t="s">
        <v>5</v>
      </c>
      <c r="I244" t="s">
        <v>7918</v>
      </c>
      <c r="J244" t="s">
        <v>7917</v>
      </c>
      <c r="K244" t="s">
        <v>7916</v>
      </c>
      <c r="L244" t="s">
        <v>7915</v>
      </c>
      <c r="M244" t="s">
        <v>7914</v>
      </c>
      <c r="N244">
        <v>10</v>
      </c>
      <c r="O244" t="s">
        <v>7913</v>
      </c>
      <c r="P244" t="s">
        <v>7912</v>
      </c>
      <c r="Q244" t="s">
        <v>7911</v>
      </c>
      <c r="R244" s="7">
        <v>37214</v>
      </c>
      <c r="S244" s="8">
        <f t="shared" si="24"/>
        <v>2001</v>
      </c>
      <c r="T244" s="8">
        <v>2001</v>
      </c>
      <c r="U244" s="8">
        <f t="shared" si="25"/>
        <v>21</v>
      </c>
      <c r="V244" s="7">
        <v>37214</v>
      </c>
      <c r="W244" t="s">
        <v>1901</v>
      </c>
      <c r="X244" s="2">
        <v>1.3480000000000001</v>
      </c>
      <c r="Y244" s="6">
        <f t="shared" si="30"/>
        <v>3.598409012039188E-2</v>
      </c>
      <c r="AA244">
        <v>201669</v>
      </c>
      <c r="AB244">
        <v>25264</v>
      </c>
      <c r="AD244" t="s">
        <v>1</v>
      </c>
      <c r="AE244">
        <v>40</v>
      </c>
      <c r="AF244">
        <v>24</v>
      </c>
      <c r="AH244" t="s">
        <v>7910</v>
      </c>
      <c r="AI244" t="s">
        <v>7909</v>
      </c>
      <c r="AK244" t="s">
        <v>7908</v>
      </c>
      <c r="AL244">
        <v>18</v>
      </c>
      <c r="AM244" s="5">
        <f t="shared" si="26"/>
        <v>0.8571428571428571</v>
      </c>
      <c r="AN244" s="4">
        <f t="shared" si="31"/>
        <v>1.2982095526586248E-3</v>
      </c>
      <c r="AO244" s="3"/>
      <c r="AP244">
        <v>0</v>
      </c>
      <c r="AR244" t="s">
        <v>0</v>
      </c>
      <c r="AT244" s="2">
        <v>5.165</v>
      </c>
      <c r="AU244" s="1">
        <f t="shared" si="27"/>
        <v>2.5578325950071901</v>
      </c>
      <c r="AV244" s="1">
        <f t="shared" si="28"/>
        <v>1.864114983652525</v>
      </c>
      <c r="AW244" s="1">
        <f t="shared" si="29"/>
        <v>1.17039737229786</v>
      </c>
    </row>
    <row r="245" spans="1:49" x14ac:dyDescent="0.2">
      <c r="A245">
        <v>243</v>
      </c>
      <c r="B245" t="s">
        <v>7907</v>
      </c>
      <c r="C245" t="s">
        <v>7906</v>
      </c>
      <c r="E245">
        <v>11710614</v>
      </c>
      <c r="F245" t="s">
        <v>7905</v>
      </c>
      <c r="G245" t="s">
        <v>6</v>
      </c>
      <c r="H245" t="s">
        <v>5</v>
      </c>
      <c r="I245" t="s">
        <v>7904</v>
      </c>
      <c r="J245">
        <v>60029170</v>
      </c>
      <c r="K245" t="s">
        <v>154</v>
      </c>
      <c r="L245" t="s">
        <v>153</v>
      </c>
      <c r="M245" t="s">
        <v>115</v>
      </c>
      <c r="N245">
        <v>3</v>
      </c>
      <c r="O245" t="s">
        <v>7903</v>
      </c>
      <c r="P245" t="s">
        <v>7902</v>
      </c>
      <c r="Q245" t="s">
        <v>1008</v>
      </c>
      <c r="R245" s="7">
        <v>37212</v>
      </c>
      <c r="S245" s="8">
        <f t="shared" si="24"/>
        <v>2001</v>
      </c>
      <c r="T245" s="8">
        <v>2001</v>
      </c>
      <c r="U245" s="8">
        <f t="shared" si="25"/>
        <v>21</v>
      </c>
      <c r="V245" s="7">
        <v>2001</v>
      </c>
      <c r="W245" t="s">
        <v>1003</v>
      </c>
      <c r="X245" s="2">
        <v>0.85499999999999998</v>
      </c>
      <c r="Y245" s="6">
        <f t="shared" si="30"/>
        <v>2.28237366861536E-2</v>
      </c>
      <c r="AA245">
        <v>980331</v>
      </c>
      <c r="AB245">
        <v>23342</v>
      </c>
      <c r="AD245" t="s">
        <v>1</v>
      </c>
      <c r="AE245">
        <v>27</v>
      </c>
      <c r="AF245">
        <v>10</v>
      </c>
      <c r="AH245" t="s">
        <v>7901</v>
      </c>
      <c r="AI245" t="s">
        <v>7900</v>
      </c>
      <c r="AJ245" t="s">
        <v>7899</v>
      </c>
      <c r="AK245" t="s">
        <v>7898</v>
      </c>
      <c r="AL245">
        <v>35</v>
      </c>
      <c r="AM245" s="5">
        <f t="shared" si="26"/>
        <v>1.6666666666666667</v>
      </c>
      <c r="AN245" s="4">
        <f t="shared" si="31"/>
        <v>2.5242963523917708E-3</v>
      </c>
      <c r="AO245" s="3"/>
      <c r="AP245">
        <v>0</v>
      </c>
      <c r="AR245" t="s">
        <v>0</v>
      </c>
      <c r="AS245" t="s">
        <v>652</v>
      </c>
      <c r="AT245" s="2">
        <v>2.6259999999999999</v>
      </c>
      <c r="AU245" s="1">
        <f t="shared" si="27"/>
        <v>1.6733904586025048</v>
      </c>
      <c r="AV245" s="1">
        <f t="shared" si="28"/>
        <v>1.2674016519272686</v>
      </c>
      <c r="AW245" s="1">
        <f t="shared" si="29"/>
        <v>0.86141284525203188</v>
      </c>
    </row>
    <row r="246" spans="1:49" x14ac:dyDescent="0.2">
      <c r="A246">
        <v>244</v>
      </c>
      <c r="B246" t="s">
        <v>7897</v>
      </c>
      <c r="C246" t="s">
        <v>7896</v>
      </c>
      <c r="E246">
        <v>11518716</v>
      </c>
      <c r="F246" t="s">
        <v>7895</v>
      </c>
      <c r="G246" t="s">
        <v>6</v>
      </c>
      <c r="H246" t="s">
        <v>5</v>
      </c>
      <c r="I246" t="s">
        <v>7894</v>
      </c>
      <c r="J246">
        <v>60015150</v>
      </c>
      <c r="K246" t="s">
        <v>623</v>
      </c>
      <c r="L246" t="s">
        <v>328</v>
      </c>
      <c r="M246" t="s">
        <v>37</v>
      </c>
      <c r="N246">
        <v>3</v>
      </c>
      <c r="O246" t="s">
        <v>7893</v>
      </c>
      <c r="P246" t="s">
        <v>3694</v>
      </c>
      <c r="Q246" t="s">
        <v>3693</v>
      </c>
      <c r="R246" s="7">
        <v>37211</v>
      </c>
      <c r="S246" s="8">
        <f t="shared" si="24"/>
        <v>2001</v>
      </c>
      <c r="T246" s="8">
        <v>2001</v>
      </c>
      <c r="U246" s="8">
        <f t="shared" si="25"/>
        <v>21</v>
      </c>
      <c r="V246" s="7">
        <v>37211</v>
      </c>
      <c r="W246" t="s">
        <v>784</v>
      </c>
      <c r="X246" s="2">
        <v>2.3610000000000002</v>
      </c>
      <c r="Y246" s="6">
        <f t="shared" si="30"/>
        <v>6.3025546568431179E-2</v>
      </c>
      <c r="AA246">
        <v>219258</v>
      </c>
      <c r="AB246">
        <v>17592</v>
      </c>
      <c r="AD246" t="s">
        <v>1</v>
      </c>
      <c r="AE246">
        <v>276</v>
      </c>
      <c r="AF246">
        <v>46</v>
      </c>
      <c r="AH246" t="s">
        <v>7892</v>
      </c>
      <c r="AI246" t="s">
        <v>7891</v>
      </c>
      <c r="AK246" t="s">
        <v>7890</v>
      </c>
      <c r="AL246">
        <v>64</v>
      </c>
      <c r="AM246" s="5">
        <f t="shared" si="26"/>
        <v>3.0476190476190474</v>
      </c>
      <c r="AN246" s="4">
        <f t="shared" si="31"/>
        <v>4.6158561872306665E-3</v>
      </c>
      <c r="AO246" s="3"/>
      <c r="AP246">
        <v>1</v>
      </c>
      <c r="AR246" t="s">
        <v>0</v>
      </c>
      <c r="AT246" s="2">
        <v>5.157</v>
      </c>
      <c r="AU246" s="1">
        <f t="shared" si="27"/>
        <v>4.5502639454071021</v>
      </c>
      <c r="AV246" s="1">
        <f t="shared" si="28"/>
        <v>3.3820701377830922</v>
      </c>
      <c r="AW246" s="1">
        <f t="shared" si="29"/>
        <v>2.2138763301590823</v>
      </c>
    </row>
    <row r="247" spans="1:49" x14ac:dyDescent="0.2">
      <c r="A247">
        <v>245</v>
      </c>
      <c r="B247" t="s">
        <v>7889</v>
      </c>
      <c r="C247" t="s">
        <v>7888</v>
      </c>
      <c r="D247" t="s">
        <v>7887</v>
      </c>
      <c r="F247" t="s">
        <v>7886</v>
      </c>
      <c r="G247" t="s">
        <v>6</v>
      </c>
      <c r="H247" t="s">
        <v>5</v>
      </c>
      <c r="I247" t="s">
        <v>7885</v>
      </c>
      <c r="J247" t="s">
        <v>7884</v>
      </c>
      <c r="K247" t="s">
        <v>7883</v>
      </c>
      <c r="L247" t="s">
        <v>7882</v>
      </c>
      <c r="M247" t="s">
        <v>9</v>
      </c>
      <c r="N247">
        <v>2</v>
      </c>
      <c r="O247" t="s">
        <v>7881</v>
      </c>
      <c r="P247" t="s">
        <v>7880</v>
      </c>
      <c r="Q247" t="s">
        <v>7879</v>
      </c>
      <c r="R247" s="7">
        <v>37210</v>
      </c>
      <c r="S247" s="8">
        <f t="shared" si="24"/>
        <v>2001</v>
      </c>
      <c r="T247" s="8">
        <v>2001</v>
      </c>
      <c r="U247" s="8">
        <f t="shared" si="25"/>
        <v>21</v>
      </c>
      <c r="V247" s="7">
        <v>2001</v>
      </c>
      <c r="W247" t="s">
        <v>7878</v>
      </c>
      <c r="X247" s="2">
        <v>0.998</v>
      </c>
      <c r="Y247" s="6">
        <f t="shared" si="30"/>
        <v>2.664104001494888E-2</v>
      </c>
      <c r="AA247">
        <v>14678039</v>
      </c>
      <c r="AB247">
        <v>19156</v>
      </c>
      <c r="AD247" t="s">
        <v>1</v>
      </c>
      <c r="AE247">
        <v>30</v>
      </c>
      <c r="AF247">
        <v>2</v>
      </c>
      <c r="AH247" t="s">
        <v>7877</v>
      </c>
      <c r="AI247" t="s">
        <v>7876</v>
      </c>
      <c r="AJ247" t="s">
        <v>7875</v>
      </c>
      <c r="AK247" t="s">
        <v>7874</v>
      </c>
      <c r="AL247">
        <v>27</v>
      </c>
      <c r="AM247" s="5">
        <f t="shared" si="26"/>
        <v>1.2857142857142858</v>
      </c>
      <c r="AN247" s="4">
        <f t="shared" si="31"/>
        <v>1.9473143289879377E-3</v>
      </c>
      <c r="AO247" s="3"/>
      <c r="AP247">
        <v>0</v>
      </c>
      <c r="AQ247" t="s">
        <v>152</v>
      </c>
      <c r="AR247" t="s">
        <v>7873</v>
      </c>
      <c r="AS247" t="s">
        <v>151</v>
      </c>
      <c r="AT247" s="2" t="s">
        <v>7</v>
      </c>
      <c r="AU247" s="1">
        <f t="shared" si="27"/>
        <v>1.9232922309160596</v>
      </c>
      <c r="AV247" s="1">
        <f t="shared" si="28"/>
        <v>1.4294177171968407</v>
      </c>
      <c r="AW247" s="1">
        <f t="shared" si="29"/>
        <v>0.9355432034776221</v>
      </c>
    </row>
    <row r="248" spans="1:49" x14ac:dyDescent="0.2">
      <c r="A248">
        <v>246</v>
      </c>
      <c r="B248" t="s">
        <v>7872</v>
      </c>
      <c r="C248" t="s">
        <v>7871</v>
      </c>
      <c r="E248">
        <v>11710610</v>
      </c>
      <c r="F248" t="s">
        <v>7870</v>
      </c>
      <c r="G248" t="s">
        <v>6</v>
      </c>
      <c r="H248" t="s">
        <v>5</v>
      </c>
      <c r="I248" t="s">
        <v>7869</v>
      </c>
      <c r="J248" t="s">
        <v>7868</v>
      </c>
      <c r="K248" t="s">
        <v>7867</v>
      </c>
      <c r="L248" t="s">
        <v>7866</v>
      </c>
      <c r="M248" t="s">
        <v>7865</v>
      </c>
      <c r="N248">
        <v>6</v>
      </c>
      <c r="O248" t="s">
        <v>7864</v>
      </c>
      <c r="P248" t="s">
        <v>7863</v>
      </c>
      <c r="Q248" t="s">
        <v>7862</v>
      </c>
      <c r="R248" s="7">
        <v>37210</v>
      </c>
      <c r="S248" s="8">
        <f t="shared" si="24"/>
        <v>2001</v>
      </c>
      <c r="T248" s="8">
        <v>2001</v>
      </c>
      <c r="U248" s="8">
        <f t="shared" si="25"/>
        <v>21</v>
      </c>
      <c r="V248" s="7">
        <v>2001</v>
      </c>
      <c r="W248" t="s">
        <v>1003</v>
      </c>
      <c r="X248" s="2">
        <v>0.85499999999999998</v>
      </c>
      <c r="Y248" s="6">
        <f t="shared" si="30"/>
        <v>2.28237366861536E-2</v>
      </c>
      <c r="AA248">
        <v>980331</v>
      </c>
      <c r="AB248">
        <v>23342</v>
      </c>
      <c r="AD248" t="s">
        <v>1</v>
      </c>
      <c r="AE248">
        <v>27</v>
      </c>
      <c r="AF248">
        <v>10</v>
      </c>
      <c r="AH248" t="s">
        <v>7861</v>
      </c>
      <c r="AI248" t="s">
        <v>7860</v>
      </c>
      <c r="AJ248" t="s">
        <v>7859</v>
      </c>
      <c r="AK248" t="s">
        <v>7858</v>
      </c>
      <c r="AL248">
        <v>21</v>
      </c>
      <c r="AM248" s="5">
        <f t="shared" si="26"/>
        <v>1</v>
      </c>
      <c r="AN248" s="4">
        <f t="shared" si="31"/>
        <v>1.5145778114350624E-3</v>
      </c>
      <c r="AO248" s="3"/>
      <c r="AP248">
        <v>0</v>
      </c>
      <c r="AR248" t="s">
        <v>0</v>
      </c>
      <c r="AT248" s="2">
        <v>2.6259999999999999</v>
      </c>
      <c r="AU248" s="1">
        <f t="shared" si="27"/>
        <v>1.6430989023738036</v>
      </c>
      <c r="AV248" s="1">
        <f t="shared" si="28"/>
        <v>1.2169157248794331</v>
      </c>
      <c r="AW248" s="1">
        <f t="shared" si="29"/>
        <v>0.79073254738506238</v>
      </c>
    </row>
    <row r="249" spans="1:49" x14ac:dyDescent="0.2">
      <c r="A249">
        <v>247</v>
      </c>
      <c r="B249" t="s">
        <v>7857</v>
      </c>
      <c r="C249" t="s">
        <v>7856</v>
      </c>
      <c r="D249" t="s">
        <v>7855</v>
      </c>
      <c r="E249">
        <v>11677016</v>
      </c>
      <c r="F249" t="s">
        <v>7854</v>
      </c>
      <c r="G249" t="s">
        <v>6</v>
      </c>
      <c r="H249" t="s">
        <v>5</v>
      </c>
      <c r="I249" t="s">
        <v>7853</v>
      </c>
      <c r="J249">
        <v>60004518</v>
      </c>
      <c r="K249" t="s">
        <v>7852</v>
      </c>
      <c r="L249" t="s">
        <v>790</v>
      </c>
      <c r="M249" t="s">
        <v>199</v>
      </c>
      <c r="N249">
        <v>5</v>
      </c>
      <c r="O249" t="s">
        <v>7851</v>
      </c>
      <c r="P249" t="s">
        <v>7850</v>
      </c>
      <c r="Q249" t="s">
        <v>7849</v>
      </c>
      <c r="R249" s="7">
        <v>37210</v>
      </c>
      <c r="S249" s="8">
        <f t="shared" si="24"/>
        <v>2001</v>
      </c>
      <c r="T249" s="8">
        <v>2001</v>
      </c>
      <c r="U249" s="8">
        <f t="shared" si="25"/>
        <v>21</v>
      </c>
      <c r="V249" s="7">
        <v>2001</v>
      </c>
      <c r="W249" t="s">
        <v>7848</v>
      </c>
      <c r="X249" s="2">
        <v>0.624</v>
      </c>
      <c r="Y249" s="6">
        <f t="shared" si="30"/>
        <v>1.6657323616561224E-2</v>
      </c>
      <c r="AA249" t="s">
        <v>7847</v>
      </c>
      <c r="AB249">
        <v>18077</v>
      </c>
      <c r="AD249" t="s">
        <v>1</v>
      </c>
      <c r="AE249">
        <v>72</v>
      </c>
      <c r="AF249">
        <v>7</v>
      </c>
      <c r="AH249" t="s">
        <v>7846</v>
      </c>
      <c r="AI249" t="s">
        <v>7845</v>
      </c>
      <c r="AJ249" t="s">
        <v>7844</v>
      </c>
      <c r="AK249" t="s">
        <v>7843</v>
      </c>
      <c r="AL249">
        <v>222</v>
      </c>
      <c r="AM249" s="5">
        <f t="shared" si="26"/>
        <v>10.571428571428571</v>
      </c>
      <c r="AN249" s="4">
        <f t="shared" si="31"/>
        <v>1.6011251149456375E-2</v>
      </c>
      <c r="AO249" s="3"/>
      <c r="AP249">
        <v>0</v>
      </c>
      <c r="AR249" t="s">
        <v>0</v>
      </c>
      <c r="AT249" s="2">
        <v>2.8820000000000001</v>
      </c>
      <c r="AU249" s="1">
        <f t="shared" si="27"/>
        <v>1.6463501876429767</v>
      </c>
      <c r="AV249" s="1">
        <f t="shared" si="28"/>
        <v>1.6334287383008801</v>
      </c>
      <c r="AW249" s="1">
        <f t="shared" si="29"/>
        <v>1.6205072889587828</v>
      </c>
    </row>
    <row r="250" spans="1:49" x14ac:dyDescent="0.2">
      <c r="A250">
        <v>248</v>
      </c>
      <c r="B250" t="s">
        <v>7842</v>
      </c>
      <c r="C250" t="s">
        <v>7841</v>
      </c>
      <c r="F250" t="s">
        <v>7840</v>
      </c>
      <c r="G250" t="s">
        <v>6</v>
      </c>
      <c r="H250" t="s">
        <v>5</v>
      </c>
      <c r="I250" t="s">
        <v>7839</v>
      </c>
      <c r="J250">
        <v>60017311</v>
      </c>
      <c r="K250" t="s">
        <v>7838</v>
      </c>
      <c r="L250" t="s">
        <v>7837</v>
      </c>
      <c r="M250" t="s">
        <v>7836</v>
      </c>
      <c r="N250">
        <v>2</v>
      </c>
      <c r="O250" t="s">
        <v>7835</v>
      </c>
      <c r="P250" t="s">
        <v>7834</v>
      </c>
      <c r="Q250" t="s">
        <v>7833</v>
      </c>
      <c r="R250" s="7">
        <v>37210</v>
      </c>
      <c r="S250" s="8">
        <f t="shared" si="24"/>
        <v>2001</v>
      </c>
      <c r="T250" s="8">
        <v>2001</v>
      </c>
      <c r="U250" s="8">
        <f t="shared" si="25"/>
        <v>21</v>
      </c>
      <c r="V250" s="7">
        <v>2001</v>
      </c>
      <c r="W250" t="s">
        <v>7832</v>
      </c>
      <c r="X250" s="2">
        <v>0.67200000000000004</v>
      </c>
      <c r="Y250" s="6">
        <f t="shared" si="30"/>
        <v>1.793865620245055E-2</v>
      </c>
      <c r="AA250">
        <v>221112</v>
      </c>
      <c r="AB250">
        <v>22560</v>
      </c>
      <c r="AD250" t="s">
        <v>1</v>
      </c>
      <c r="AE250">
        <v>59</v>
      </c>
      <c r="AF250">
        <v>3</v>
      </c>
      <c r="AH250" t="s">
        <v>7831</v>
      </c>
      <c r="AI250" t="s">
        <v>7830</v>
      </c>
      <c r="AJ250" t="s">
        <v>7829</v>
      </c>
      <c r="AK250" t="s">
        <v>7828</v>
      </c>
      <c r="AL250">
        <v>29</v>
      </c>
      <c r="AM250" s="5">
        <f t="shared" si="26"/>
        <v>1.3809523809523809</v>
      </c>
      <c r="AN250" s="4">
        <f t="shared" si="31"/>
        <v>2.0915598348388957E-3</v>
      </c>
      <c r="AO250" s="3"/>
      <c r="AP250">
        <v>0</v>
      </c>
      <c r="AR250" t="s">
        <v>0</v>
      </c>
      <c r="AT250" s="2">
        <v>2.0510000000000002</v>
      </c>
      <c r="AU250" s="1">
        <f t="shared" si="27"/>
        <v>1.3184527292167052</v>
      </c>
      <c r="AV250" s="1">
        <f t="shared" si="28"/>
        <v>1.0015108018644723</v>
      </c>
      <c r="AW250" s="1">
        <f t="shared" si="29"/>
        <v>0.68456887451223913</v>
      </c>
    </row>
    <row r="251" spans="1:49" x14ac:dyDescent="0.2">
      <c r="A251">
        <v>249</v>
      </c>
      <c r="B251" t="s">
        <v>7827</v>
      </c>
      <c r="C251" t="s">
        <v>7826</v>
      </c>
      <c r="F251" t="s">
        <v>7825</v>
      </c>
      <c r="G251" t="s">
        <v>6</v>
      </c>
      <c r="H251" t="s">
        <v>5</v>
      </c>
      <c r="I251" t="s">
        <v>7824</v>
      </c>
      <c r="J251" t="s">
        <v>7823</v>
      </c>
      <c r="K251" t="s">
        <v>7822</v>
      </c>
      <c r="L251" t="s">
        <v>7821</v>
      </c>
      <c r="M251" t="s">
        <v>175</v>
      </c>
      <c r="N251">
        <v>2</v>
      </c>
      <c r="O251" t="s">
        <v>7820</v>
      </c>
      <c r="P251" t="s">
        <v>7819</v>
      </c>
      <c r="Q251" t="s">
        <v>7818</v>
      </c>
      <c r="R251" s="7">
        <v>37207</v>
      </c>
      <c r="S251" s="8">
        <f t="shared" si="24"/>
        <v>2001</v>
      </c>
      <c r="T251" s="8">
        <v>2001</v>
      </c>
      <c r="U251" s="8">
        <f t="shared" si="25"/>
        <v>21</v>
      </c>
      <c r="V251" s="7">
        <v>2001</v>
      </c>
      <c r="W251" t="s">
        <v>7817</v>
      </c>
      <c r="X251" s="2">
        <v>0.35499999999999998</v>
      </c>
      <c r="Y251" s="6">
        <f t="shared" si="30"/>
        <v>9.4765222498064648E-3</v>
      </c>
      <c r="AA251">
        <v>1679295</v>
      </c>
      <c r="AB251">
        <v>27181</v>
      </c>
      <c r="AD251" t="s">
        <v>1</v>
      </c>
      <c r="AE251" t="s">
        <v>7816</v>
      </c>
      <c r="AF251" s="10">
        <v>44256</v>
      </c>
      <c r="AH251" t="s">
        <v>7815</v>
      </c>
      <c r="AI251" t="s">
        <v>7814</v>
      </c>
      <c r="AK251" t="s">
        <v>7813</v>
      </c>
      <c r="AL251">
        <v>0</v>
      </c>
      <c r="AM251" s="5">
        <f t="shared" si="26"/>
        <v>0</v>
      </c>
      <c r="AN251" s="4">
        <f t="shared" si="31"/>
        <v>0</v>
      </c>
      <c r="AO251" s="3"/>
      <c r="AP251">
        <v>0</v>
      </c>
      <c r="AR251" t="s">
        <v>0</v>
      </c>
      <c r="AT251" s="2" t="s">
        <v>7</v>
      </c>
      <c r="AU251" s="1">
        <f t="shared" si="27"/>
        <v>0.6633565574864525</v>
      </c>
      <c r="AV251" s="1">
        <f t="shared" si="28"/>
        <v>0.47382611249032325</v>
      </c>
      <c r="AW251" s="1">
        <f t="shared" si="29"/>
        <v>0.28429566749419394</v>
      </c>
    </row>
    <row r="252" spans="1:49" x14ac:dyDescent="0.2">
      <c r="A252">
        <v>250</v>
      </c>
      <c r="B252" t="s">
        <v>7812</v>
      </c>
      <c r="C252" t="s">
        <v>7811</v>
      </c>
      <c r="F252" t="s">
        <v>7810</v>
      </c>
      <c r="G252" t="s">
        <v>6</v>
      </c>
      <c r="H252" t="s">
        <v>5</v>
      </c>
      <c r="I252" t="s">
        <v>7809</v>
      </c>
      <c r="J252" t="s">
        <v>7808</v>
      </c>
      <c r="K252" t="s">
        <v>7807</v>
      </c>
      <c r="L252" t="s">
        <v>7806</v>
      </c>
      <c r="M252" t="s">
        <v>1033</v>
      </c>
      <c r="N252">
        <v>7</v>
      </c>
      <c r="O252" t="s">
        <v>7805</v>
      </c>
      <c r="P252" t="s">
        <v>7804</v>
      </c>
      <c r="Q252" t="s">
        <v>7803</v>
      </c>
      <c r="R252" s="7">
        <v>37206</v>
      </c>
      <c r="S252" s="8">
        <f t="shared" si="24"/>
        <v>2001</v>
      </c>
      <c r="T252" s="8">
        <v>2001</v>
      </c>
      <c r="U252" s="8">
        <f t="shared" si="25"/>
        <v>21</v>
      </c>
      <c r="V252" s="7">
        <v>37206</v>
      </c>
      <c r="W252" t="s">
        <v>712</v>
      </c>
      <c r="X252" s="2">
        <v>2.0579999999999998</v>
      </c>
      <c r="Y252" s="6">
        <f t="shared" si="30"/>
        <v>5.4937134620004803E-2</v>
      </c>
      <c r="AA252">
        <v>358711</v>
      </c>
      <c r="AB252">
        <v>28218</v>
      </c>
      <c r="AD252" t="s">
        <v>1</v>
      </c>
      <c r="AE252">
        <v>327</v>
      </c>
      <c r="AF252">
        <v>4</v>
      </c>
      <c r="AH252" t="s">
        <v>7802</v>
      </c>
      <c r="AI252" t="s">
        <v>7801</v>
      </c>
      <c r="AJ252" t="s">
        <v>7800</v>
      </c>
      <c r="AK252" t="s">
        <v>7799</v>
      </c>
      <c r="AL252">
        <v>12</v>
      </c>
      <c r="AM252" s="5">
        <f t="shared" si="26"/>
        <v>0.5714285714285714</v>
      </c>
      <c r="AN252" s="4">
        <f t="shared" si="31"/>
        <v>8.6547303510574997E-4</v>
      </c>
      <c r="AO252" s="3"/>
      <c r="AP252">
        <v>1</v>
      </c>
      <c r="AR252" t="s">
        <v>0</v>
      </c>
      <c r="AT252" s="2" t="s">
        <v>7</v>
      </c>
      <c r="AU252" s="1">
        <f t="shared" si="27"/>
        <v>3.8715636144535082</v>
      </c>
      <c r="AV252" s="1">
        <f t="shared" si="28"/>
        <v>2.7901303827555277</v>
      </c>
      <c r="AW252" s="1">
        <f t="shared" si="29"/>
        <v>1.7086971510575466</v>
      </c>
    </row>
    <row r="253" spans="1:49" x14ac:dyDescent="0.2">
      <c r="A253">
        <v>251</v>
      </c>
      <c r="B253" t="s">
        <v>7798</v>
      </c>
      <c r="C253" t="s">
        <v>7797</v>
      </c>
      <c r="F253" t="s">
        <v>7796</v>
      </c>
      <c r="G253" t="s">
        <v>6</v>
      </c>
      <c r="H253" t="s">
        <v>5</v>
      </c>
      <c r="I253" t="s">
        <v>7795</v>
      </c>
      <c r="J253" t="s">
        <v>7794</v>
      </c>
      <c r="K253" t="s">
        <v>7793</v>
      </c>
      <c r="L253" t="s">
        <v>7792</v>
      </c>
      <c r="M253" t="s">
        <v>7791</v>
      </c>
      <c r="N253">
        <v>5</v>
      </c>
      <c r="O253" t="s">
        <v>7790</v>
      </c>
      <c r="P253" t="s">
        <v>7789</v>
      </c>
      <c r="Q253" t="s">
        <v>7788</v>
      </c>
      <c r="R253" s="7">
        <v>37205</v>
      </c>
      <c r="S253" s="8">
        <f t="shared" si="24"/>
        <v>2001</v>
      </c>
      <c r="T253" s="8">
        <v>2001</v>
      </c>
      <c r="U253" s="8">
        <f t="shared" si="25"/>
        <v>21</v>
      </c>
      <c r="V253" s="7">
        <v>2001</v>
      </c>
      <c r="W253" t="s">
        <v>7787</v>
      </c>
      <c r="X253" s="2">
        <v>0.51700000000000002</v>
      </c>
      <c r="Y253" s="6">
        <f t="shared" si="30"/>
        <v>1.3801019727182938E-2</v>
      </c>
      <c r="AA253" t="s">
        <v>7786</v>
      </c>
      <c r="AB253">
        <v>14981</v>
      </c>
      <c r="AD253" t="s">
        <v>1</v>
      </c>
      <c r="AE253">
        <v>121</v>
      </c>
      <c r="AF253">
        <v>2</v>
      </c>
      <c r="AH253" t="s">
        <v>7785</v>
      </c>
      <c r="AI253" t="s">
        <v>7784</v>
      </c>
      <c r="AK253" t="s">
        <v>7783</v>
      </c>
      <c r="AL253">
        <v>96</v>
      </c>
      <c r="AM253" s="5">
        <f t="shared" si="26"/>
        <v>4.5714285714285712</v>
      </c>
      <c r="AN253" s="4">
        <f t="shared" si="31"/>
        <v>6.9237842808459998E-3</v>
      </c>
      <c r="AO253" s="3"/>
      <c r="AP253">
        <v>0</v>
      </c>
      <c r="AR253" t="s">
        <v>0</v>
      </c>
      <c r="AT253" s="2">
        <v>1.3260000000000001</v>
      </c>
      <c r="AU253" s="1">
        <f t="shared" si="27"/>
        <v>1.1737849093281856</v>
      </c>
      <c r="AV253" s="1">
        <f t="shared" si="28"/>
        <v>1.0362402004014468</v>
      </c>
      <c r="AW253" s="1">
        <f t="shared" si="29"/>
        <v>0.89869549147470817</v>
      </c>
    </row>
    <row r="254" spans="1:49" x14ac:dyDescent="0.2">
      <c r="A254">
        <v>252</v>
      </c>
      <c r="B254" t="s">
        <v>7782</v>
      </c>
      <c r="C254" t="s">
        <v>7781</v>
      </c>
      <c r="F254" t="s">
        <v>7780</v>
      </c>
      <c r="G254" t="s">
        <v>6</v>
      </c>
      <c r="H254" t="s">
        <v>5</v>
      </c>
      <c r="I254" t="s">
        <v>7779</v>
      </c>
      <c r="J254" t="s">
        <v>7778</v>
      </c>
      <c r="K254" t="s">
        <v>7777</v>
      </c>
      <c r="L254" t="s">
        <v>7776</v>
      </c>
      <c r="M254" t="s">
        <v>44</v>
      </c>
      <c r="N254">
        <v>3</v>
      </c>
      <c r="O254" t="s">
        <v>7775</v>
      </c>
      <c r="P254" t="s">
        <v>7774</v>
      </c>
      <c r="Q254" t="s">
        <v>7773</v>
      </c>
      <c r="R254" s="7">
        <v>37205</v>
      </c>
      <c r="S254" s="8">
        <f t="shared" si="24"/>
        <v>2001</v>
      </c>
      <c r="T254" s="8">
        <v>2001</v>
      </c>
      <c r="U254" s="8">
        <f t="shared" si="25"/>
        <v>21</v>
      </c>
      <c r="V254" s="7">
        <v>37205</v>
      </c>
      <c r="W254" t="s">
        <v>645</v>
      </c>
      <c r="X254" s="2">
        <v>2.3759999999999999</v>
      </c>
      <c r="Y254" s="6">
        <f t="shared" si="30"/>
        <v>6.3425963001521576E-2</v>
      </c>
      <c r="AA254" t="s">
        <v>644</v>
      </c>
      <c r="AB254">
        <v>26765</v>
      </c>
      <c r="AC254">
        <v>15384357</v>
      </c>
      <c r="AD254" t="s">
        <v>1</v>
      </c>
      <c r="AE254">
        <v>561</v>
      </c>
      <c r="AF254" t="s">
        <v>700</v>
      </c>
      <c r="AH254" t="s">
        <v>7772</v>
      </c>
      <c r="AI254" t="s">
        <v>7771</v>
      </c>
      <c r="AJ254" t="s">
        <v>7770</v>
      </c>
      <c r="AK254" t="s">
        <v>7769</v>
      </c>
      <c r="AL254">
        <v>146</v>
      </c>
      <c r="AM254" s="5">
        <f t="shared" si="26"/>
        <v>6.9523809523809526</v>
      </c>
      <c r="AN254" s="4">
        <f t="shared" si="31"/>
        <v>1.0529921927119958E-2</v>
      </c>
      <c r="AO254" s="3"/>
      <c r="AP254">
        <v>0</v>
      </c>
      <c r="AR254" t="s">
        <v>0</v>
      </c>
      <c r="AT254" s="2">
        <v>5.8739999999999997</v>
      </c>
      <c r="AU254" s="1">
        <f t="shared" si="27"/>
        <v>4.7557150679201081</v>
      </c>
      <c r="AV254" s="1">
        <f t="shared" si="28"/>
        <v>3.697794246432077</v>
      </c>
      <c r="AW254" s="1">
        <f t="shared" si="29"/>
        <v>2.6398734249440445</v>
      </c>
    </row>
    <row r="255" spans="1:49" x14ac:dyDescent="0.2">
      <c r="A255">
        <v>253</v>
      </c>
      <c r="B255" t="s">
        <v>7768</v>
      </c>
      <c r="C255" t="s">
        <v>7767</v>
      </c>
      <c r="F255" t="s">
        <v>7766</v>
      </c>
      <c r="G255" t="s">
        <v>6</v>
      </c>
      <c r="H255" t="s">
        <v>5</v>
      </c>
      <c r="I255" t="s">
        <v>774</v>
      </c>
      <c r="J255" t="s">
        <v>7765</v>
      </c>
      <c r="K255" t="s">
        <v>7764</v>
      </c>
      <c r="L255" t="s">
        <v>7763</v>
      </c>
      <c r="M255" t="s">
        <v>45</v>
      </c>
      <c r="N255">
        <v>2</v>
      </c>
      <c r="O255" t="s">
        <v>7762</v>
      </c>
      <c r="P255" t="s">
        <v>7761</v>
      </c>
      <c r="Q255" t="s">
        <v>7760</v>
      </c>
      <c r="R255" s="7">
        <v>37204</v>
      </c>
      <c r="S255" s="8">
        <f t="shared" si="24"/>
        <v>2001</v>
      </c>
      <c r="T255" s="8">
        <v>2001</v>
      </c>
      <c r="U255" s="8">
        <f t="shared" si="25"/>
        <v>21</v>
      </c>
      <c r="V255" s="7">
        <v>37204</v>
      </c>
      <c r="W255" t="s">
        <v>7759</v>
      </c>
      <c r="X255" s="2" t="s">
        <v>7</v>
      </c>
      <c r="Y255" s="6" t="e">
        <f t="shared" si="30"/>
        <v>#VALUE!</v>
      </c>
      <c r="AA255">
        <v>14727781</v>
      </c>
      <c r="AB255">
        <v>96876</v>
      </c>
      <c r="AC255">
        <v>13645463</v>
      </c>
      <c r="AD255" t="s">
        <v>1</v>
      </c>
      <c r="AE255">
        <v>1</v>
      </c>
      <c r="AF255">
        <v>23</v>
      </c>
      <c r="AH255" t="s">
        <v>7758</v>
      </c>
      <c r="AI255" t="s">
        <v>7757</v>
      </c>
      <c r="AK255" t="s">
        <v>7756</v>
      </c>
      <c r="AL255">
        <v>22</v>
      </c>
      <c r="AM255" s="5">
        <f t="shared" si="26"/>
        <v>1.0476190476190477</v>
      </c>
      <c r="AN255" s="4">
        <f t="shared" si="31"/>
        <v>1.5867005643605417E-3</v>
      </c>
      <c r="AO255" s="3"/>
      <c r="AP255">
        <v>0</v>
      </c>
      <c r="AR255" t="s">
        <v>0</v>
      </c>
      <c r="AT255" s="2" t="s">
        <v>7</v>
      </c>
      <c r="AU255" s="1" t="e">
        <f t="shared" si="27"/>
        <v>#VALUE!</v>
      </c>
      <c r="AV255" s="1" t="e">
        <f t="shared" si="28"/>
        <v>#VALUE!</v>
      </c>
      <c r="AW255" s="1" t="e">
        <f t="shared" si="29"/>
        <v>#VALUE!</v>
      </c>
    </row>
    <row r="256" spans="1:49" x14ac:dyDescent="0.2">
      <c r="A256">
        <v>254</v>
      </c>
      <c r="B256" t="s">
        <v>7755</v>
      </c>
      <c r="C256" t="s">
        <v>7754</v>
      </c>
      <c r="F256" t="s">
        <v>7753</v>
      </c>
      <c r="G256" t="s">
        <v>6</v>
      </c>
      <c r="H256" t="s">
        <v>5</v>
      </c>
      <c r="I256" t="s">
        <v>6538</v>
      </c>
      <c r="J256">
        <v>60029284</v>
      </c>
      <c r="K256" t="s">
        <v>6537</v>
      </c>
      <c r="L256" t="s">
        <v>824</v>
      </c>
      <c r="M256" t="s">
        <v>80</v>
      </c>
      <c r="N256">
        <v>2</v>
      </c>
      <c r="O256" t="s">
        <v>7325</v>
      </c>
      <c r="P256" t="s">
        <v>7324</v>
      </c>
      <c r="Q256" t="s">
        <v>7752</v>
      </c>
      <c r="R256" s="7">
        <v>37203</v>
      </c>
      <c r="S256" s="8">
        <f t="shared" si="24"/>
        <v>2001</v>
      </c>
      <c r="T256" s="8">
        <v>2001</v>
      </c>
      <c r="U256" s="8">
        <f t="shared" si="25"/>
        <v>21</v>
      </c>
      <c r="V256" s="7">
        <v>37203</v>
      </c>
      <c r="W256" t="s">
        <v>698</v>
      </c>
      <c r="X256" s="2">
        <v>0.375</v>
      </c>
      <c r="Y256" s="6">
        <f t="shared" si="30"/>
        <v>1.0010410827260351E-2</v>
      </c>
      <c r="AA256">
        <v>135194</v>
      </c>
      <c r="AB256">
        <v>24918</v>
      </c>
      <c r="AD256" t="s">
        <v>1</v>
      </c>
      <c r="AE256">
        <v>37</v>
      </c>
      <c r="AF256">
        <v>23</v>
      </c>
      <c r="AH256" t="s">
        <v>7751</v>
      </c>
      <c r="AI256" t="s">
        <v>7750</v>
      </c>
      <c r="AK256" t="s">
        <v>7749</v>
      </c>
      <c r="AL256">
        <v>10</v>
      </c>
      <c r="AM256" s="5">
        <f t="shared" si="26"/>
        <v>0.47619047619047616</v>
      </c>
      <c r="AN256" s="4">
        <f t="shared" si="31"/>
        <v>7.2122752925479164E-4</v>
      </c>
      <c r="AO256" s="3"/>
      <c r="AP256">
        <v>0</v>
      </c>
      <c r="AR256" t="s">
        <v>0</v>
      </c>
      <c r="AT256" s="2">
        <v>1.3140000000000001</v>
      </c>
      <c r="AU256" s="1">
        <f t="shared" si="27"/>
        <v>0.72236558378586835</v>
      </c>
      <c r="AV256" s="1">
        <f t="shared" si="28"/>
        <v>0.53658191782575715</v>
      </c>
      <c r="AW256" s="1">
        <f t="shared" si="29"/>
        <v>0.35079825186564589</v>
      </c>
    </row>
    <row r="257" spans="1:49" x14ac:dyDescent="0.2">
      <c r="A257">
        <v>255</v>
      </c>
      <c r="B257" t="s">
        <v>7748</v>
      </c>
      <c r="C257" t="s">
        <v>7747</v>
      </c>
      <c r="E257">
        <v>11719930</v>
      </c>
      <c r="F257" t="s">
        <v>7746</v>
      </c>
      <c r="G257" t="s">
        <v>6</v>
      </c>
      <c r="H257" t="s">
        <v>5</v>
      </c>
      <c r="I257" t="s">
        <v>7745</v>
      </c>
      <c r="J257" t="s">
        <v>7744</v>
      </c>
      <c r="K257" t="s">
        <v>7743</v>
      </c>
      <c r="L257" t="s">
        <v>7742</v>
      </c>
      <c r="M257" t="s">
        <v>883</v>
      </c>
      <c r="N257">
        <v>4</v>
      </c>
      <c r="O257" t="s">
        <v>7741</v>
      </c>
      <c r="P257" t="s">
        <v>7740</v>
      </c>
      <c r="Q257" t="s">
        <v>7739</v>
      </c>
      <c r="R257" s="7">
        <v>37203</v>
      </c>
      <c r="S257" s="8">
        <f t="shared" si="24"/>
        <v>2001</v>
      </c>
      <c r="T257" s="8">
        <v>2001</v>
      </c>
      <c r="U257" s="8">
        <f t="shared" si="25"/>
        <v>21</v>
      </c>
      <c r="V257" s="7">
        <v>37203</v>
      </c>
      <c r="W257" t="s">
        <v>706</v>
      </c>
      <c r="X257" s="2">
        <v>15.993</v>
      </c>
      <c r="Y257" s="6">
        <f t="shared" si="30"/>
        <v>0.42692400096099947</v>
      </c>
      <c r="AA257">
        <v>280836</v>
      </c>
      <c r="AB257">
        <v>21206</v>
      </c>
      <c r="AD257" t="s">
        <v>1</v>
      </c>
      <c r="AE257">
        <v>414</v>
      </c>
      <c r="AF257">
        <v>6860</v>
      </c>
      <c r="AH257" t="s">
        <v>422</v>
      </c>
      <c r="AI257" t="s">
        <v>7738</v>
      </c>
      <c r="AK257" t="s">
        <v>7737</v>
      </c>
      <c r="AL257">
        <v>313</v>
      </c>
      <c r="AM257" s="5">
        <f t="shared" si="26"/>
        <v>14.904761904761905</v>
      </c>
      <c r="AN257" s="4">
        <f t="shared" si="31"/>
        <v>2.2574421665674978E-2</v>
      </c>
      <c r="AO257" s="3"/>
      <c r="AP257">
        <v>0</v>
      </c>
      <c r="AR257" t="s">
        <v>0</v>
      </c>
      <c r="AT257" s="2">
        <v>49.962000000000003</v>
      </c>
      <c r="AU257" s="1">
        <f t="shared" si="27"/>
        <v>30.561912717240208</v>
      </c>
      <c r="AV257" s="1">
        <f t="shared" si="28"/>
        <v>22.474921131333723</v>
      </c>
      <c r="AW257" s="1">
        <f t="shared" si="29"/>
        <v>14.38792954542723</v>
      </c>
    </row>
    <row r="258" spans="1:49" x14ac:dyDescent="0.2">
      <c r="A258">
        <v>256</v>
      </c>
      <c r="B258" t="s">
        <v>7736</v>
      </c>
      <c r="C258" t="s">
        <v>7735</v>
      </c>
      <c r="F258" t="s">
        <v>7734</v>
      </c>
      <c r="G258" t="s">
        <v>6</v>
      </c>
      <c r="H258" t="s">
        <v>5</v>
      </c>
      <c r="I258" t="s">
        <v>7733</v>
      </c>
      <c r="J258">
        <v>60012060</v>
      </c>
      <c r="K258" t="s">
        <v>7732</v>
      </c>
      <c r="L258" t="s">
        <v>367</v>
      </c>
      <c r="M258" t="s">
        <v>62</v>
      </c>
      <c r="N258">
        <v>3</v>
      </c>
      <c r="O258" t="s">
        <v>7731</v>
      </c>
      <c r="P258" t="s">
        <v>7730</v>
      </c>
      <c r="Q258" t="s">
        <v>7729</v>
      </c>
      <c r="R258" s="7">
        <v>37202</v>
      </c>
      <c r="S258" s="8">
        <f t="shared" ref="S258:S321" si="32">YEAR(R258)</f>
        <v>2001</v>
      </c>
      <c r="T258" s="8">
        <v>2001</v>
      </c>
      <c r="U258" s="8">
        <f t="shared" ref="U258:U321" si="33">2022-T258</f>
        <v>21</v>
      </c>
      <c r="V258" s="7">
        <v>37202</v>
      </c>
      <c r="W258" t="s">
        <v>7728</v>
      </c>
      <c r="X258" s="2">
        <v>2.3420000000000001</v>
      </c>
      <c r="Y258" s="6">
        <f t="shared" si="30"/>
        <v>6.2518352419849987E-2</v>
      </c>
      <c r="AA258">
        <v>9628452</v>
      </c>
      <c r="AB258">
        <v>130030</v>
      </c>
      <c r="AC258">
        <v>14712970</v>
      </c>
      <c r="AD258" t="s">
        <v>1</v>
      </c>
      <c r="AE258">
        <v>268</v>
      </c>
      <c r="AF258">
        <v>1482</v>
      </c>
      <c r="AH258" t="s">
        <v>7727</v>
      </c>
      <c r="AI258" t="s">
        <v>7726</v>
      </c>
      <c r="AJ258" t="s">
        <v>7725</v>
      </c>
      <c r="AK258" t="s">
        <v>7724</v>
      </c>
      <c r="AL258">
        <v>39</v>
      </c>
      <c r="AM258" s="5">
        <f t="shared" ref="AM258:AM321" si="34">AL258/U258</f>
        <v>1.8571428571428572</v>
      </c>
      <c r="AN258" s="4">
        <f t="shared" si="31"/>
        <v>2.8127873640936877E-3</v>
      </c>
      <c r="AO258" s="3"/>
      <c r="AP258">
        <v>0</v>
      </c>
      <c r="AR258" t="s">
        <v>0</v>
      </c>
      <c r="AT258" s="2" t="s">
        <v>7</v>
      </c>
      <c r="AU258" s="1">
        <f t="shared" ref="AU258:AU321" si="35">(Y258*0.7+AN258*0.3)*100</f>
        <v>4.4606682903123103</v>
      </c>
      <c r="AV258" s="1">
        <f t="shared" ref="AV258:AV321" si="36">(Y258*0.5+AN258*0.5)*100</f>
        <v>3.2665569891971833</v>
      </c>
      <c r="AW258" s="1">
        <f t="shared" ref="AW258:AW321" si="37">(Y258*0.3+AN258*0.7)*100</f>
        <v>2.0724456880820576</v>
      </c>
    </row>
    <row r="259" spans="1:49" x14ac:dyDescent="0.2">
      <c r="A259">
        <v>257</v>
      </c>
      <c r="B259" t="s">
        <v>7723</v>
      </c>
      <c r="C259" t="s">
        <v>7722</v>
      </c>
      <c r="F259" t="s">
        <v>7721</v>
      </c>
      <c r="G259" t="s">
        <v>6</v>
      </c>
      <c r="H259" t="s">
        <v>5</v>
      </c>
      <c r="I259" t="s">
        <v>336</v>
      </c>
      <c r="J259">
        <v>105318051</v>
      </c>
      <c r="K259" t="s">
        <v>7662</v>
      </c>
      <c r="L259" t="s">
        <v>7661</v>
      </c>
      <c r="M259" t="s">
        <v>194</v>
      </c>
      <c r="N259">
        <v>5</v>
      </c>
      <c r="O259" t="s">
        <v>7720</v>
      </c>
      <c r="P259" t="s">
        <v>7719</v>
      </c>
      <c r="Q259" t="s">
        <v>7658</v>
      </c>
      <c r="R259" s="7">
        <v>37200</v>
      </c>
      <c r="S259" s="8">
        <f t="shared" si="32"/>
        <v>2001</v>
      </c>
      <c r="T259" s="8">
        <v>2001</v>
      </c>
      <c r="U259" s="8">
        <f t="shared" si="33"/>
        <v>21</v>
      </c>
      <c r="V259" s="7">
        <v>37200</v>
      </c>
      <c r="W259" t="s">
        <v>290</v>
      </c>
      <c r="X259" s="2">
        <v>0.30399999999999999</v>
      </c>
      <c r="Y259" s="6">
        <f t="shared" ref="Y259:Y322" si="38">(X259-$Z$3)/($Z$2-$Z$3)</f>
        <v>8.115106377299057E-3</v>
      </c>
      <c r="AA259">
        <v>8952477</v>
      </c>
      <c r="AB259">
        <v>12250</v>
      </c>
      <c r="AD259" t="s">
        <v>1</v>
      </c>
      <c r="AE259">
        <v>31</v>
      </c>
      <c r="AF259">
        <v>3</v>
      </c>
      <c r="AH259" t="s">
        <v>7718</v>
      </c>
      <c r="AI259" t="s">
        <v>7717</v>
      </c>
      <c r="AJ259" t="s">
        <v>7716</v>
      </c>
      <c r="AK259" t="s">
        <v>7715</v>
      </c>
      <c r="AL259">
        <v>77</v>
      </c>
      <c r="AM259" s="5">
        <f t="shared" si="34"/>
        <v>3.6666666666666665</v>
      </c>
      <c r="AN259" s="4">
        <f t="shared" ref="AN259:AN322" si="39">(AM259-$AO$3)/($AO$2-$AO$3)</f>
        <v>5.5534519752618956E-3</v>
      </c>
      <c r="AO259" s="3"/>
      <c r="AP259">
        <v>0</v>
      </c>
      <c r="AR259" t="s">
        <v>0</v>
      </c>
      <c r="AT259" s="2" t="s">
        <v>7</v>
      </c>
      <c r="AU259" s="1">
        <f t="shared" si="35"/>
        <v>0.73466100566879078</v>
      </c>
      <c r="AV259" s="1">
        <f t="shared" si="36"/>
        <v>0.68342791762804767</v>
      </c>
      <c r="AW259" s="1">
        <f t="shared" si="37"/>
        <v>0.63219482958730444</v>
      </c>
    </row>
    <row r="260" spans="1:49" x14ac:dyDescent="0.2">
      <c r="A260">
        <v>258</v>
      </c>
      <c r="B260" t="s">
        <v>7714</v>
      </c>
      <c r="C260" t="s">
        <v>7713</v>
      </c>
      <c r="F260" t="s">
        <v>7712</v>
      </c>
      <c r="G260" t="s">
        <v>6</v>
      </c>
      <c r="H260" t="s">
        <v>5</v>
      </c>
      <c r="I260" t="s">
        <v>7711</v>
      </c>
      <c r="J260">
        <v>60011357</v>
      </c>
      <c r="K260" t="s">
        <v>342</v>
      </c>
      <c r="L260" t="s">
        <v>329</v>
      </c>
      <c r="M260" t="s">
        <v>105</v>
      </c>
      <c r="N260">
        <v>3</v>
      </c>
      <c r="O260" t="s">
        <v>7710</v>
      </c>
      <c r="P260" t="s">
        <v>7709</v>
      </c>
      <c r="Q260" t="s">
        <v>3704</v>
      </c>
      <c r="R260" s="7">
        <v>37200</v>
      </c>
      <c r="S260" s="8">
        <f t="shared" si="32"/>
        <v>2001</v>
      </c>
      <c r="T260" s="8">
        <v>2001</v>
      </c>
      <c r="U260" s="8">
        <f t="shared" si="33"/>
        <v>21</v>
      </c>
      <c r="V260" s="7">
        <v>37200</v>
      </c>
      <c r="W260" t="s">
        <v>290</v>
      </c>
      <c r="X260" s="2">
        <v>0.30399999999999999</v>
      </c>
      <c r="Y260" s="6">
        <f t="shared" si="38"/>
        <v>8.115106377299057E-3</v>
      </c>
      <c r="AA260">
        <v>8952477</v>
      </c>
      <c r="AB260">
        <v>12250</v>
      </c>
      <c r="AD260" t="s">
        <v>1</v>
      </c>
      <c r="AE260">
        <v>31</v>
      </c>
      <c r="AF260">
        <v>3</v>
      </c>
      <c r="AH260" t="s">
        <v>7708</v>
      </c>
      <c r="AI260" t="s">
        <v>7707</v>
      </c>
      <c r="AJ260" t="s">
        <v>7706</v>
      </c>
      <c r="AK260" t="s">
        <v>7705</v>
      </c>
      <c r="AL260">
        <v>15</v>
      </c>
      <c r="AM260" s="5">
        <f t="shared" si="34"/>
        <v>0.7142857142857143</v>
      </c>
      <c r="AN260" s="4">
        <f t="shared" si="39"/>
        <v>1.0818412938821875E-3</v>
      </c>
      <c r="AO260" s="3"/>
      <c r="AP260">
        <v>0</v>
      </c>
      <c r="AR260" t="s">
        <v>0</v>
      </c>
      <c r="AT260" s="2" t="s">
        <v>7</v>
      </c>
      <c r="AU260" s="1">
        <f t="shared" si="35"/>
        <v>0.60051268522739953</v>
      </c>
      <c r="AV260" s="1">
        <f t="shared" si="36"/>
        <v>0.45984738355906224</v>
      </c>
      <c r="AW260" s="1">
        <f t="shared" si="37"/>
        <v>0.31918208189072483</v>
      </c>
    </row>
    <row r="261" spans="1:49" x14ac:dyDescent="0.2">
      <c r="A261">
        <v>259</v>
      </c>
      <c r="B261" t="s">
        <v>7704</v>
      </c>
      <c r="C261" t="s">
        <v>7703</v>
      </c>
      <c r="F261" t="s">
        <v>7702</v>
      </c>
      <c r="G261" t="s">
        <v>6</v>
      </c>
      <c r="H261" t="s">
        <v>5</v>
      </c>
      <c r="I261" t="s">
        <v>7701</v>
      </c>
      <c r="J261" t="s">
        <v>1030</v>
      </c>
      <c r="K261" t="s">
        <v>1029</v>
      </c>
      <c r="L261" t="s">
        <v>1028</v>
      </c>
      <c r="M261" t="s">
        <v>1027</v>
      </c>
      <c r="N261">
        <v>2</v>
      </c>
      <c r="O261" t="s">
        <v>7700</v>
      </c>
      <c r="P261" t="s">
        <v>7699</v>
      </c>
      <c r="Q261" t="s">
        <v>7698</v>
      </c>
      <c r="R261" s="7">
        <v>37200</v>
      </c>
      <c r="S261" s="8">
        <f t="shared" si="32"/>
        <v>2001</v>
      </c>
      <c r="T261" s="8">
        <v>2001</v>
      </c>
      <c r="U261" s="8">
        <f t="shared" si="33"/>
        <v>21</v>
      </c>
      <c r="V261" s="7">
        <v>37200</v>
      </c>
      <c r="W261" t="s">
        <v>290</v>
      </c>
      <c r="X261" s="2">
        <v>0.30399999999999999</v>
      </c>
      <c r="Y261" s="6">
        <f t="shared" si="38"/>
        <v>8.115106377299057E-3</v>
      </c>
      <c r="AA261">
        <v>8952477</v>
      </c>
      <c r="AB261">
        <v>12250</v>
      </c>
      <c r="AD261" t="s">
        <v>1</v>
      </c>
      <c r="AE261">
        <v>31</v>
      </c>
      <c r="AF261">
        <v>3</v>
      </c>
      <c r="AH261" t="s">
        <v>7697</v>
      </c>
      <c r="AI261" t="s">
        <v>7696</v>
      </c>
      <c r="AJ261" t="s">
        <v>7695</v>
      </c>
      <c r="AK261" t="s">
        <v>7694</v>
      </c>
      <c r="AL261">
        <v>0</v>
      </c>
      <c r="AM261" s="5">
        <f t="shared" si="34"/>
        <v>0</v>
      </c>
      <c r="AN261" s="4">
        <f t="shared" si="39"/>
        <v>0</v>
      </c>
      <c r="AO261" s="3"/>
      <c r="AP261">
        <v>0</v>
      </c>
      <c r="AR261" t="s">
        <v>0</v>
      </c>
      <c r="AT261" s="2" t="s">
        <v>7</v>
      </c>
      <c r="AU261" s="1">
        <f t="shared" si="35"/>
        <v>0.56805744641093392</v>
      </c>
      <c r="AV261" s="1">
        <f t="shared" si="36"/>
        <v>0.40575531886495286</v>
      </c>
      <c r="AW261" s="1">
        <f t="shared" si="37"/>
        <v>0.24345319131897172</v>
      </c>
    </row>
    <row r="262" spans="1:49" x14ac:dyDescent="0.2">
      <c r="A262">
        <v>260</v>
      </c>
      <c r="B262" t="s">
        <v>7693</v>
      </c>
      <c r="C262" t="s">
        <v>7692</v>
      </c>
      <c r="F262" t="s">
        <v>7691</v>
      </c>
      <c r="G262" t="s">
        <v>6</v>
      </c>
      <c r="H262" t="s">
        <v>5</v>
      </c>
      <c r="I262" t="s">
        <v>7690</v>
      </c>
      <c r="J262">
        <v>60103653</v>
      </c>
      <c r="K262" t="s">
        <v>291</v>
      </c>
      <c r="L262" t="s">
        <v>146</v>
      </c>
      <c r="M262" t="s">
        <v>145</v>
      </c>
      <c r="N262">
        <v>1</v>
      </c>
      <c r="O262" t="s">
        <v>7689</v>
      </c>
      <c r="P262">
        <v>7005479476</v>
      </c>
      <c r="Q262">
        <v>60103653</v>
      </c>
      <c r="R262" s="7">
        <v>37200</v>
      </c>
      <c r="S262" s="8">
        <f t="shared" si="32"/>
        <v>2001</v>
      </c>
      <c r="T262" s="8">
        <v>2001</v>
      </c>
      <c r="U262" s="8">
        <f t="shared" si="33"/>
        <v>21</v>
      </c>
      <c r="V262" s="7">
        <v>37200</v>
      </c>
      <c r="W262" t="s">
        <v>290</v>
      </c>
      <c r="X262" s="2">
        <v>0.30399999999999999</v>
      </c>
      <c r="Y262" s="6">
        <f t="shared" si="38"/>
        <v>8.115106377299057E-3</v>
      </c>
      <c r="AA262">
        <v>8952477</v>
      </c>
      <c r="AB262">
        <v>12250</v>
      </c>
      <c r="AD262" t="s">
        <v>1</v>
      </c>
      <c r="AE262">
        <v>31</v>
      </c>
      <c r="AF262">
        <v>3</v>
      </c>
      <c r="AH262" t="s">
        <v>7688</v>
      </c>
      <c r="AI262" t="s">
        <v>7687</v>
      </c>
      <c r="AJ262" t="s">
        <v>7686</v>
      </c>
      <c r="AK262" t="s">
        <v>7685</v>
      </c>
      <c r="AL262">
        <v>126</v>
      </c>
      <c r="AM262" s="5">
        <f t="shared" si="34"/>
        <v>6</v>
      </c>
      <c r="AN262" s="4">
        <f t="shared" si="39"/>
        <v>9.0874668686103752E-3</v>
      </c>
      <c r="AO262" s="3"/>
      <c r="AP262">
        <v>0</v>
      </c>
      <c r="AR262" t="s">
        <v>0</v>
      </c>
      <c r="AT262" s="2" t="s">
        <v>7</v>
      </c>
      <c r="AU262" s="1">
        <f t="shared" si="35"/>
        <v>0.84068145246924508</v>
      </c>
      <c r="AV262" s="1">
        <f t="shared" si="36"/>
        <v>0.86012866229547158</v>
      </c>
      <c r="AW262" s="1">
        <f t="shared" si="37"/>
        <v>0.87957587212169797</v>
      </c>
    </row>
    <row r="263" spans="1:49" x14ac:dyDescent="0.2">
      <c r="A263">
        <v>261</v>
      </c>
      <c r="B263" t="s">
        <v>7684</v>
      </c>
      <c r="C263" t="s">
        <v>7683</v>
      </c>
      <c r="F263" t="s">
        <v>7682</v>
      </c>
      <c r="G263" t="s">
        <v>6</v>
      </c>
      <c r="H263" t="s">
        <v>5</v>
      </c>
      <c r="I263" t="s">
        <v>7681</v>
      </c>
      <c r="J263">
        <v>60159855</v>
      </c>
      <c r="K263" t="s">
        <v>4060</v>
      </c>
      <c r="L263" t="s">
        <v>2516</v>
      </c>
      <c r="M263" t="s">
        <v>2515</v>
      </c>
      <c r="N263">
        <v>3</v>
      </c>
      <c r="O263" t="s">
        <v>7680</v>
      </c>
      <c r="P263" t="s">
        <v>7679</v>
      </c>
      <c r="Q263" t="s">
        <v>4057</v>
      </c>
      <c r="R263" s="7">
        <v>37200</v>
      </c>
      <c r="S263" s="8">
        <f t="shared" si="32"/>
        <v>2001</v>
      </c>
      <c r="T263" s="8">
        <v>2001</v>
      </c>
      <c r="U263" s="8">
        <f t="shared" si="33"/>
        <v>21</v>
      </c>
      <c r="V263" s="7">
        <v>37200</v>
      </c>
      <c r="W263" t="s">
        <v>290</v>
      </c>
      <c r="X263" s="2">
        <v>0.30399999999999999</v>
      </c>
      <c r="Y263" s="6">
        <f t="shared" si="38"/>
        <v>8.115106377299057E-3</v>
      </c>
      <c r="AA263">
        <v>8952477</v>
      </c>
      <c r="AB263">
        <v>12250</v>
      </c>
      <c r="AD263" t="s">
        <v>1</v>
      </c>
      <c r="AE263">
        <v>31</v>
      </c>
      <c r="AF263">
        <v>3</v>
      </c>
      <c r="AH263" t="s">
        <v>1040</v>
      </c>
      <c r="AI263" t="s">
        <v>7678</v>
      </c>
      <c r="AJ263" t="s">
        <v>7677</v>
      </c>
      <c r="AK263" t="s">
        <v>7676</v>
      </c>
      <c r="AL263">
        <v>13</v>
      </c>
      <c r="AM263" s="5">
        <f t="shared" si="34"/>
        <v>0.61904761904761907</v>
      </c>
      <c r="AN263" s="4">
        <f t="shared" si="39"/>
        <v>9.3759578803122919E-4</v>
      </c>
      <c r="AO263" s="3"/>
      <c r="AP263">
        <v>0</v>
      </c>
      <c r="AR263" t="s">
        <v>0</v>
      </c>
      <c r="AT263" s="2" t="s">
        <v>7</v>
      </c>
      <c r="AU263" s="1">
        <f t="shared" si="35"/>
        <v>0.59618532005187075</v>
      </c>
      <c r="AV263" s="1">
        <f t="shared" si="36"/>
        <v>0.45263510826651432</v>
      </c>
      <c r="AW263" s="1">
        <f t="shared" si="37"/>
        <v>0.30908489648115778</v>
      </c>
    </row>
    <row r="264" spans="1:49" x14ac:dyDescent="0.2">
      <c r="A264">
        <v>262</v>
      </c>
      <c r="B264" t="s">
        <v>7675</v>
      </c>
      <c r="C264" t="s">
        <v>7674</v>
      </c>
      <c r="F264" t="s">
        <v>7673</v>
      </c>
      <c r="G264" t="s">
        <v>6</v>
      </c>
      <c r="H264" t="s">
        <v>5</v>
      </c>
      <c r="I264" t="s">
        <v>956</v>
      </c>
      <c r="J264" t="s">
        <v>955</v>
      </c>
      <c r="K264" t="s">
        <v>954</v>
      </c>
      <c r="L264" t="s">
        <v>953</v>
      </c>
      <c r="M264" t="s">
        <v>10</v>
      </c>
      <c r="N264">
        <v>5</v>
      </c>
      <c r="O264" t="s">
        <v>7672</v>
      </c>
      <c r="P264" t="s">
        <v>7671</v>
      </c>
      <c r="Q264" t="s">
        <v>7670</v>
      </c>
      <c r="R264" s="7">
        <v>37200</v>
      </c>
      <c r="S264" s="8">
        <f t="shared" si="32"/>
        <v>2001</v>
      </c>
      <c r="T264" s="8">
        <v>2001</v>
      </c>
      <c r="U264" s="8">
        <f t="shared" si="33"/>
        <v>21</v>
      </c>
      <c r="V264" s="7">
        <v>37200</v>
      </c>
      <c r="W264" t="s">
        <v>290</v>
      </c>
      <c r="X264" s="2">
        <v>0.30399999999999999</v>
      </c>
      <c r="Y264" s="6">
        <f t="shared" si="38"/>
        <v>8.115106377299057E-3</v>
      </c>
      <c r="AA264">
        <v>8952477</v>
      </c>
      <c r="AB264">
        <v>12250</v>
      </c>
      <c r="AD264" t="s">
        <v>1</v>
      </c>
      <c r="AE264">
        <v>31</v>
      </c>
      <c r="AF264">
        <v>3</v>
      </c>
      <c r="AH264" t="s">
        <v>7669</v>
      </c>
      <c r="AI264" t="s">
        <v>7668</v>
      </c>
      <c r="AJ264" t="s">
        <v>7667</v>
      </c>
      <c r="AK264" t="s">
        <v>7666</v>
      </c>
      <c r="AL264">
        <v>7</v>
      </c>
      <c r="AM264" s="5">
        <f t="shared" si="34"/>
        <v>0.33333333333333331</v>
      </c>
      <c r="AN264" s="4">
        <f t="shared" si="39"/>
        <v>5.048592704783541E-4</v>
      </c>
      <c r="AO264" s="3"/>
      <c r="AP264">
        <v>0</v>
      </c>
      <c r="AR264" t="s">
        <v>0</v>
      </c>
      <c r="AT264" s="2" t="s">
        <v>7</v>
      </c>
      <c r="AU264" s="1">
        <f t="shared" si="35"/>
        <v>0.58320322452528461</v>
      </c>
      <c r="AV264" s="1">
        <f t="shared" si="36"/>
        <v>0.43099828238887061</v>
      </c>
      <c r="AW264" s="1">
        <f t="shared" si="37"/>
        <v>0.2787933402524565</v>
      </c>
    </row>
    <row r="265" spans="1:49" x14ac:dyDescent="0.2">
      <c r="A265">
        <v>263</v>
      </c>
      <c r="B265" t="s">
        <v>7665</v>
      </c>
      <c r="C265" t="s">
        <v>7664</v>
      </c>
      <c r="F265" t="s">
        <v>7663</v>
      </c>
      <c r="G265" t="s">
        <v>6</v>
      </c>
      <c r="H265" t="s">
        <v>5</v>
      </c>
      <c r="I265" t="s">
        <v>336</v>
      </c>
      <c r="J265">
        <v>105318051</v>
      </c>
      <c r="K265" t="s">
        <v>7662</v>
      </c>
      <c r="L265" t="s">
        <v>7661</v>
      </c>
      <c r="M265" t="s">
        <v>194</v>
      </c>
      <c r="N265">
        <v>5</v>
      </c>
      <c r="O265" t="s">
        <v>7660</v>
      </c>
      <c r="P265" t="s">
        <v>7659</v>
      </c>
      <c r="Q265" t="s">
        <v>7658</v>
      </c>
      <c r="R265" s="7">
        <v>37200</v>
      </c>
      <c r="S265" s="8">
        <f t="shared" si="32"/>
        <v>2001</v>
      </c>
      <c r="T265" s="8">
        <v>2001</v>
      </c>
      <c r="U265" s="8">
        <f t="shared" si="33"/>
        <v>21</v>
      </c>
      <c r="V265" s="7">
        <v>37200</v>
      </c>
      <c r="W265" t="s">
        <v>290</v>
      </c>
      <c r="X265" s="2">
        <v>0.30399999999999999</v>
      </c>
      <c r="Y265" s="6">
        <f t="shared" si="38"/>
        <v>8.115106377299057E-3</v>
      </c>
      <c r="AA265">
        <v>8952477</v>
      </c>
      <c r="AB265">
        <v>12250</v>
      </c>
      <c r="AD265" t="s">
        <v>1</v>
      </c>
      <c r="AE265">
        <v>31</v>
      </c>
      <c r="AF265">
        <v>3</v>
      </c>
      <c r="AH265" t="s">
        <v>7657</v>
      </c>
      <c r="AI265" t="s">
        <v>7656</v>
      </c>
      <c r="AJ265" t="s">
        <v>7655</v>
      </c>
      <c r="AK265" t="s">
        <v>7654</v>
      </c>
      <c r="AL265">
        <v>41</v>
      </c>
      <c r="AM265" s="5">
        <f t="shared" si="34"/>
        <v>1.9523809523809523</v>
      </c>
      <c r="AN265" s="4">
        <f t="shared" si="39"/>
        <v>2.9570328699446459E-3</v>
      </c>
      <c r="AO265" s="3"/>
      <c r="AP265">
        <v>0</v>
      </c>
      <c r="AR265" t="s">
        <v>0</v>
      </c>
      <c r="AT265" s="2" t="s">
        <v>7</v>
      </c>
      <c r="AU265" s="1">
        <f t="shared" si="35"/>
        <v>0.6567684325092733</v>
      </c>
      <c r="AV265" s="1">
        <f t="shared" si="36"/>
        <v>0.5536069623621851</v>
      </c>
      <c r="AW265" s="1">
        <f t="shared" si="37"/>
        <v>0.45044549221509689</v>
      </c>
    </row>
    <row r="266" spans="1:49" x14ac:dyDescent="0.2">
      <c r="A266">
        <v>264</v>
      </c>
      <c r="B266" t="s">
        <v>7653</v>
      </c>
      <c r="C266" t="s">
        <v>7652</v>
      </c>
      <c r="F266" t="s">
        <v>7651</v>
      </c>
      <c r="G266" t="s">
        <v>6</v>
      </c>
      <c r="H266" t="s">
        <v>5</v>
      </c>
      <c r="I266" t="s">
        <v>296</v>
      </c>
      <c r="J266" t="s">
        <v>7650</v>
      </c>
      <c r="K266" t="s">
        <v>7649</v>
      </c>
      <c r="L266" t="s">
        <v>7648</v>
      </c>
      <c r="M266" t="s">
        <v>327</v>
      </c>
      <c r="N266">
        <v>3</v>
      </c>
      <c r="O266" t="s">
        <v>7647</v>
      </c>
      <c r="P266" t="s">
        <v>7646</v>
      </c>
      <c r="Q266" t="s">
        <v>7645</v>
      </c>
      <c r="R266" s="7">
        <v>37200</v>
      </c>
      <c r="S266" s="8">
        <f t="shared" si="32"/>
        <v>2001</v>
      </c>
      <c r="T266" s="8">
        <v>2001</v>
      </c>
      <c r="U266" s="8">
        <f t="shared" si="33"/>
        <v>21</v>
      </c>
      <c r="V266" s="7">
        <v>37200</v>
      </c>
      <c r="W266" t="s">
        <v>290</v>
      </c>
      <c r="X266" s="2">
        <v>0.30399999999999999</v>
      </c>
      <c r="Y266" s="6">
        <f t="shared" si="38"/>
        <v>8.115106377299057E-3</v>
      </c>
      <c r="AA266">
        <v>8952477</v>
      </c>
      <c r="AB266">
        <v>12250</v>
      </c>
      <c r="AD266" t="s">
        <v>1</v>
      </c>
      <c r="AE266">
        <v>31</v>
      </c>
      <c r="AF266">
        <v>3</v>
      </c>
      <c r="AH266" t="s">
        <v>7644</v>
      </c>
      <c r="AI266" t="s">
        <v>7643</v>
      </c>
      <c r="AJ266" t="s">
        <v>7642</v>
      </c>
      <c r="AK266" t="s">
        <v>7641</v>
      </c>
      <c r="AL266">
        <v>21</v>
      </c>
      <c r="AM266" s="5">
        <f t="shared" si="34"/>
        <v>1</v>
      </c>
      <c r="AN266" s="4">
        <f t="shared" si="39"/>
        <v>1.5145778114350624E-3</v>
      </c>
      <c r="AO266" s="3"/>
      <c r="AP266">
        <v>0</v>
      </c>
      <c r="AR266" t="s">
        <v>0</v>
      </c>
      <c r="AT266" s="2" t="s">
        <v>7</v>
      </c>
      <c r="AU266" s="1">
        <f t="shared" si="35"/>
        <v>0.61349478075398578</v>
      </c>
      <c r="AV266" s="1">
        <f t="shared" si="36"/>
        <v>0.481484209436706</v>
      </c>
      <c r="AW266" s="1">
        <f t="shared" si="37"/>
        <v>0.34947363811942611</v>
      </c>
    </row>
    <row r="267" spans="1:49" x14ac:dyDescent="0.2">
      <c r="A267">
        <v>265</v>
      </c>
      <c r="B267" t="s">
        <v>7640</v>
      </c>
      <c r="C267" t="s">
        <v>7639</v>
      </c>
      <c r="F267" t="s">
        <v>7638</v>
      </c>
      <c r="G267" t="s">
        <v>6</v>
      </c>
      <c r="H267" t="s">
        <v>5</v>
      </c>
      <c r="I267" t="s">
        <v>6538</v>
      </c>
      <c r="J267">
        <v>60029284</v>
      </c>
      <c r="K267" t="s">
        <v>6537</v>
      </c>
      <c r="L267" t="s">
        <v>824</v>
      </c>
      <c r="M267" t="s">
        <v>80</v>
      </c>
      <c r="N267">
        <v>4</v>
      </c>
      <c r="O267" t="s">
        <v>7637</v>
      </c>
      <c r="P267" t="s">
        <v>7636</v>
      </c>
      <c r="Q267" t="s">
        <v>7635</v>
      </c>
      <c r="R267" s="7">
        <v>37200</v>
      </c>
      <c r="S267" s="8">
        <f t="shared" si="32"/>
        <v>2001</v>
      </c>
      <c r="T267" s="8">
        <v>2001</v>
      </c>
      <c r="U267" s="8">
        <f t="shared" si="33"/>
        <v>21</v>
      </c>
      <c r="V267" s="7">
        <v>37200</v>
      </c>
      <c r="W267" t="s">
        <v>290</v>
      </c>
      <c r="X267" s="2">
        <v>0.30399999999999999</v>
      </c>
      <c r="Y267" s="6">
        <f t="shared" si="38"/>
        <v>8.115106377299057E-3</v>
      </c>
      <c r="AA267">
        <v>8952477</v>
      </c>
      <c r="AB267">
        <v>12250</v>
      </c>
      <c r="AD267" t="s">
        <v>1</v>
      </c>
      <c r="AE267">
        <v>31</v>
      </c>
      <c r="AF267">
        <v>3</v>
      </c>
      <c r="AH267" t="s">
        <v>7634</v>
      </c>
      <c r="AI267" t="s">
        <v>7633</v>
      </c>
      <c r="AJ267" t="s">
        <v>7632</v>
      </c>
      <c r="AK267" t="s">
        <v>7631</v>
      </c>
      <c r="AL267">
        <v>12</v>
      </c>
      <c r="AM267" s="5">
        <f t="shared" si="34"/>
        <v>0.5714285714285714</v>
      </c>
      <c r="AN267" s="4">
        <f t="shared" si="39"/>
        <v>8.6547303510574997E-4</v>
      </c>
      <c r="AO267" s="3"/>
      <c r="AP267">
        <v>0</v>
      </c>
      <c r="AR267" t="s">
        <v>0</v>
      </c>
      <c r="AT267" s="2" t="s">
        <v>7</v>
      </c>
      <c r="AU267" s="1">
        <f t="shared" si="35"/>
        <v>0.59402163746410641</v>
      </c>
      <c r="AV267" s="1">
        <f t="shared" si="36"/>
        <v>0.44902897062024039</v>
      </c>
      <c r="AW267" s="1">
        <f t="shared" si="37"/>
        <v>0.30403630377637419</v>
      </c>
    </row>
    <row r="268" spans="1:49" x14ac:dyDescent="0.2">
      <c r="A268">
        <v>266</v>
      </c>
      <c r="B268" t="s">
        <v>7630</v>
      </c>
      <c r="C268" t="s">
        <v>7629</v>
      </c>
      <c r="F268" t="s">
        <v>7628</v>
      </c>
      <c r="G268" t="s">
        <v>6</v>
      </c>
      <c r="H268" t="s">
        <v>5</v>
      </c>
      <c r="I268" t="s">
        <v>1475</v>
      </c>
      <c r="J268">
        <v>60027550</v>
      </c>
      <c r="K268" t="s">
        <v>144</v>
      </c>
      <c r="L268" t="s">
        <v>65</v>
      </c>
      <c r="M268" t="s">
        <v>3</v>
      </c>
      <c r="N268">
        <v>2</v>
      </c>
      <c r="O268" t="s">
        <v>7627</v>
      </c>
      <c r="P268" t="s">
        <v>3235</v>
      </c>
      <c r="Q268" t="s">
        <v>143</v>
      </c>
      <c r="R268" s="7">
        <v>37200</v>
      </c>
      <c r="S268" s="8">
        <f t="shared" si="32"/>
        <v>2001</v>
      </c>
      <c r="T268" s="8">
        <v>2001</v>
      </c>
      <c r="U268" s="8">
        <f t="shared" si="33"/>
        <v>21</v>
      </c>
      <c r="V268" s="7">
        <v>37200</v>
      </c>
      <c r="W268" t="s">
        <v>290</v>
      </c>
      <c r="X268" s="2">
        <v>0.30399999999999999</v>
      </c>
      <c r="Y268" s="6">
        <f t="shared" si="38"/>
        <v>8.115106377299057E-3</v>
      </c>
      <c r="AA268">
        <v>8952477</v>
      </c>
      <c r="AB268">
        <v>12250</v>
      </c>
      <c r="AD268" t="s">
        <v>1</v>
      </c>
      <c r="AE268">
        <v>31</v>
      </c>
      <c r="AF268">
        <v>3</v>
      </c>
      <c r="AH268" t="s">
        <v>7626</v>
      </c>
      <c r="AI268" t="s">
        <v>7625</v>
      </c>
      <c r="AJ268" t="s">
        <v>7624</v>
      </c>
      <c r="AK268" t="s">
        <v>7623</v>
      </c>
      <c r="AL268">
        <v>112</v>
      </c>
      <c r="AM268" s="5">
        <f t="shared" si="34"/>
        <v>5.333333333333333</v>
      </c>
      <c r="AN268" s="4">
        <f t="shared" si="39"/>
        <v>8.0777483276536655E-3</v>
      </c>
      <c r="AO268" s="3"/>
      <c r="AP268">
        <v>0</v>
      </c>
      <c r="AR268" t="s">
        <v>0</v>
      </c>
      <c r="AT268" s="2" t="s">
        <v>7</v>
      </c>
      <c r="AU268" s="1">
        <f t="shared" si="35"/>
        <v>0.81038989624054381</v>
      </c>
      <c r="AV268" s="1">
        <f t="shared" si="36"/>
        <v>0.80964273524763608</v>
      </c>
      <c r="AW268" s="1">
        <f t="shared" si="37"/>
        <v>0.80889557425472824</v>
      </c>
    </row>
    <row r="269" spans="1:49" x14ac:dyDescent="0.2">
      <c r="A269">
        <v>267</v>
      </c>
      <c r="B269" t="s">
        <v>7622</v>
      </c>
      <c r="C269" t="s">
        <v>7621</v>
      </c>
      <c r="F269" t="s">
        <v>7620</v>
      </c>
      <c r="G269" t="s">
        <v>6</v>
      </c>
      <c r="H269" t="s">
        <v>5</v>
      </c>
      <c r="I269" t="s">
        <v>289</v>
      </c>
      <c r="J269" t="s">
        <v>7619</v>
      </c>
      <c r="K269" t="s">
        <v>7618</v>
      </c>
      <c r="L269" t="s">
        <v>7617</v>
      </c>
      <c r="M269" t="s">
        <v>579</v>
      </c>
      <c r="N269">
        <v>5</v>
      </c>
      <c r="O269" t="s">
        <v>7616</v>
      </c>
      <c r="P269" t="s">
        <v>7615</v>
      </c>
      <c r="Q269" t="s">
        <v>7614</v>
      </c>
      <c r="R269" s="7">
        <v>37200</v>
      </c>
      <c r="S269" s="8">
        <f t="shared" si="32"/>
        <v>2001</v>
      </c>
      <c r="T269" s="8">
        <v>2001</v>
      </c>
      <c r="U269" s="8">
        <f t="shared" si="33"/>
        <v>21</v>
      </c>
      <c r="V269" s="7">
        <v>37200</v>
      </c>
      <c r="W269" t="s">
        <v>290</v>
      </c>
      <c r="X269" s="2">
        <v>0.30399999999999999</v>
      </c>
      <c r="Y269" s="6">
        <f t="shared" si="38"/>
        <v>8.115106377299057E-3</v>
      </c>
      <c r="AA269">
        <v>8952477</v>
      </c>
      <c r="AB269">
        <v>12250</v>
      </c>
      <c r="AD269" t="s">
        <v>1</v>
      </c>
      <c r="AE269">
        <v>31</v>
      </c>
      <c r="AF269">
        <v>3</v>
      </c>
      <c r="AH269" t="s">
        <v>7613</v>
      </c>
      <c r="AI269" t="s">
        <v>7612</v>
      </c>
      <c r="AJ269" t="s">
        <v>7611</v>
      </c>
      <c r="AK269" t="s">
        <v>7610</v>
      </c>
      <c r="AL269">
        <v>12</v>
      </c>
      <c r="AM269" s="5">
        <f t="shared" si="34"/>
        <v>0.5714285714285714</v>
      </c>
      <c r="AN269" s="4">
        <f t="shared" si="39"/>
        <v>8.6547303510574997E-4</v>
      </c>
      <c r="AO269" s="3"/>
      <c r="AP269">
        <v>0</v>
      </c>
      <c r="AR269" t="s">
        <v>0</v>
      </c>
      <c r="AT269" s="2" t="s">
        <v>7</v>
      </c>
      <c r="AU269" s="1">
        <f t="shared" si="35"/>
        <v>0.59402163746410641</v>
      </c>
      <c r="AV269" s="1">
        <f t="shared" si="36"/>
        <v>0.44902897062024039</v>
      </c>
      <c r="AW269" s="1">
        <f t="shared" si="37"/>
        <v>0.30403630377637419</v>
      </c>
    </row>
    <row r="270" spans="1:49" x14ac:dyDescent="0.2">
      <c r="A270">
        <v>268</v>
      </c>
      <c r="B270" t="s">
        <v>7609</v>
      </c>
      <c r="C270" t="s">
        <v>7608</v>
      </c>
      <c r="F270" t="s">
        <v>7607</v>
      </c>
      <c r="G270" t="s">
        <v>6</v>
      </c>
      <c r="H270" t="s">
        <v>5</v>
      </c>
      <c r="I270" t="s">
        <v>78</v>
      </c>
      <c r="J270" t="s">
        <v>7606</v>
      </c>
      <c r="K270" t="s">
        <v>7605</v>
      </c>
      <c r="L270" t="s">
        <v>7604</v>
      </c>
      <c r="M270" t="s">
        <v>187</v>
      </c>
      <c r="N270">
        <v>3</v>
      </c>
      <c r="O270" t="s">
        <v>538</v>
      </c>
      <c r="P270" t="s">
        <v>537</v>
      </c>
      <c r="Q270" t="s">
        <v>7603</v>
      </c>
      <c r="R270" s="7">
        <v>37196</v>
      </c>
      <c r="S270" s="8">
        <f t="shared" si="32"/>
        <v>2001</v>
      </c>
      <c r="T270" s="8">
        <v>2001</v>
      </c>
      <c r="U270" s="8">
        <f t="shared" si="33"/>
        <v>21</v>
      </c>
      <c r="V270" s="7">
        <v>37196</v>
      </c>
      <c r="W270" t="s">
        <v>647</v>
      </c>
      <c r="X270" s="2">
        <v>0.251</v>
      </c>
      <c r="Y270" s="6">
        <f t="shared" si="38"/>
        <v>6.7003016470462617E-3</v>
      </c>
      <c r="AA270">
        <v>207217</v>
      </c>
      <c r="AB270">
        <v>26145</v>
      </c>
      <c r="AD270" t="s">
        <v>1</v>
      </c>
      <c r="AE270">
        <v>88</v>
      </c>
      <c r="AF270">
        <v>11</v>
      </c>
      <c r="AH270" t="s">
        <v>7602</v>
      </c>
      <c r="AI270" t="s">
        <v>7601</v>
      </c>
      <c r="AK270" t="s">
        <v>7600</v>
      </c>
      <c r="AL270">
        <v>0</v>
      </c>
      <c r="AM270" s="5">
        <f t="shared" si="34"/>
        <v>0</v>
      </c>
      <c r="AN270" s="4">
        <f t="shared" si="39"/>
        <v>0</v>
      </c>
      <c r="AO270" s="3"/>
      <c r="AP270">
        <v>0</v>
      </c>
      <c r="AR270" t="s">
        <v>0</v>
      </c>
      <c r="AS270" t="s">
        <v>7599</v>
      </c>
      <c r="AT270" s="2">
        <v>1.3360000000000001</v>
      </c>
      <c r="AU270" s="1">
        <f t="shared" si="35"/>
        <v>0.46902111529323826</v>
      </c>
      <c r="AV270" s="1">
        <f t="shared" si="36"/>
        <v>0.33501508235231309</v>
      </c>
      <c r="AW270" s="1">
        <f t="shared" si="37"/>
        <v>0.20100904941138784</v>
      </c>
    </row>
    <row r="271" spans="1:49" x14ac:dyDescent="0.2">
      <c r="A271">
        <v>269</v>
      </c>
      <c r="B271" t="s">
        <v>7598</v>
      </c>
      <c r="C271" t="s">
        <v>7597</v>
      </c>
      <c r="F271" t="s">
        <v>7596</v>
      </c>
      <c r="G271" t="s">
        <v>6</v>
      </c>
      <c r="H271" t="s">
        <v>5</v>
      </c>
      <c r="I271" t="s">
        <v>945</v>
      </c>
      <c r="J271">
        <v>60019106</v>
      </c>
      <c r="K271" t="s">
        <v>485</v>
      </c>
      <c r="L271" t="s">
        <v>484</v>
      </c>
      <c r="M271" t="s">
        <v>80</v>
      </c>
      <c r="N271">
        <v>2</v>
      </c>
      <c r="O271" t="s">
        <v>483</v>
      </c>
      <c r="P271" t="s">
        <v>482</v>
      </c>
      <c r="Q271" t="s">
        <v>481</v>
      </c>
      <c r="R271" s="7">
        <v>37196</v>
      </c>
      <c r="S271" s="8">
        <f t="shared" si="32"/>
        <v>2001</v>
      </c>
      <c r="T271" s="8">
        <v>2001</v>
      </c>
      <c r="U271" s="8">
        <f t="shared" si="33"/>
        <v>21</v>
      </c>
      <c r="V271" s="7">
        <v>37196</v>
      </c>
      <c r="W271" t="s">
        <v>647</v>
      </c>
      <c r="X271" s="2">
        <v>0.251</v>
      </c>
      <c r="Y271" s="6">
        <f t="shared" si="38"/>
        <v>6.7003016470462617E-3</v>
      </c>
      <c r="AA271">
        <v>207217</v>
      </c>
      <c r="AB271">
        <v>26145</v>
      </c>
      <c r="AD271" t="s">
        <v>1</v>
      </c>
      <c r="AE271">
        <v>88</v>
      </c>
      <c r="AF271">
        <v>11</v>
      </c>
      <c r="AH271" t="s">
        <v>7595</v>
      </c>
      <c r="AI271" t="s">
        <v>7594</v>
      </c>
      <c r="AK271" t="s">
        <v>7593</v>
      </c>
      <c r="AL271">
        <v>55</v>
      </c>
      <c r="AM271" s="5">
        <f t="shared" si="34"/>
        <v>2.6190476190476191</v>
      </c>
      <c r="AN271" s="4">
        <f t="shared" si="39"/>
        <v>3.9667514109013539E-3</v>
      </c>
      <c r="AO271" s="3"/>
      <c r="AP271">
        <v>0</v>
      </c>
      <c r="AR271" t="s">
        <v>0</v>
      </c>
      <c r="AT271" s="2">
        <v>1.3360000000000001</v>
      </c>
      <c r="AU271" s="1">
        <f t="shared" si="35"/>
        <v>0.58802365762027886</v>
      </c>
      <c r="AV271" s="1">
        <f t="shared" si="36"/>
        <v>0.53335265289738076</v>
      </c>
      <c r="AW271" s="1">
        <f t="shared" si="37"/>
        <v>0.47868164817448255</v>
      </c>
    </row>
    <row r="272" spans="1:49" x14ac:dyDescent="0.2">
      <c r="A272">
        <v>270</v>
      </c>
      <c r="B272" t="s">
        <v>7592</v>
      </c>
      <c r="C272" t="s">
        <v>7591</v>
      </c>
      <c r="F272" t="s">
        <v>7590</v>
      </c>
      <c r="G272" t="s">
        <v>6</v>
      </c>
      <c r="H272" t="s">
        <v>5</v>
      </c>
      <c r="I272" t="s">
        <v>7589</v>
      </c>
      <c r="J272">
        <v>60005040</v>
      </c>
      <c r="K272" t="s">
        <v>664</v>
      </c>
      <c r="L272" t="s">
        <v>663</v>
      </c>
      <c r="M272" t="s">
        <v>66</v>
      </c>
      <c r="N272">
        <v>53</v>
      </c>
      <c r="O272" t="s">
        <v>7588</v>
      </c>
      <c r="P272" t="s">
        <v>7587</v>
      </c>
      <c r="Q272" t="s">
        <v>7586</v>
      </c>
      <c r="R272" s="7">
        <v>37196</v>
      </c>
      <c r="S272" s="8">
        <f t="shared" si="32"/>
        <v>2001</v>
      </c>
      <c r="T272" s="8">
        <v>2001</v>
      </c>
      <c r="U272" s="8">
        <f t="shared" si="33"/>
        <v>21</v>
      </c>
      <c r="V272" s="7">
        <v>37196</v>
      </c>
      <c r="W272" t="s">
        <v>892</v>
      </c>
      <c r="X272" s="2">
        <v>0.75</v>
      </c>
      <c r="Y272" s="6">
        <f t="shared" si="38"/>
        <v>2.0020821654520703E-2</v>
      </c>
      <c r="AA272" t="s">
        <v>891</v>
      </c>
      <c r="AB272">
        <v>29221</v>
      </c>
      <c r="AD272" t="s">
        <v>1</v>
      </c>
      <c r="AE272">
        <v>8</v>
      </c>
      <c r="AF272">
        <v>11</v>
      </c>
      <c r="AH272" t="s">
        <v>7585</v>
      </c>
      <c r="AI272" t="s">
        <v>7584</v>
      </c>
      <c r="AK272" t="s">
        <v>7583</v>
      </c>
      <c r="AL272">
        <v>24</v>
      </c>
      <c r="AM272" s="5">
        <f t="shared" si="34"/>
        <v>1.1428571428571428</v>
      </c>
      <c r="AN272" s="4">
        <f t="shared" si="39"/>
        <v>1.7309460702114999E-3</v>
      </c>
      <c r="AO272" s="3"/>
      <c r="AP272">
        <v>0</v>
      </c>
      <c r="AR272" t="s">
        <v>0</v>
      </c>
      <c r="AT272" s="2">
        <v>2.0230000000000001</v>
      </c>
      <c r="AU272" s="1">
        <f t="shared" si="35"/>
        <v>1.4533858979227943</v>
      </c>
      <c r="AV272" s="1">
        <f t="shared" si="36"/>
        <v>1.0875883862366102</v>
      </c>
      <c r="AW272" s="1">
        <f t="shared" si="37"/>
        <v>0.72179087455042601</v>
      </c>
    </row>
    <row r="273" spans="1:49" x14ac:dyDescent="0.2">
      <c r="A273">
        <v>271</v>
      </c>
      <c r="B273" t="s">
        <v>7582</v>
      </c>
      <c r="F273" t="s">
        <v>7581</v>
      </c>
      <c r="G273" t="s">
        <v>6</v>
      </c>
      <c r="H273" t="s">
        <v>5</v>
      </c>
      <c r="I273" t="s">
        <v>7580</v>
      </c>
      <c r="J273" t="s">
        <v>7575</v>
      </c>
      <c r="K273" t="s">
        <v>7579</v>
      </c>
      <c r="L273" t="s">
        <v>7578</v>
      </c>
      <c r="M273" t="s">
        <v>275</v>
      </c>
      <c r="N273">
        <v>2</v>
      </c>
      <c r="O273" t="s">
        <v>7577</v>
      </c>
      <c r="P273" t="s">
        <v>7576</v>
      </c>
      <c r="Q273" t="s">
        <v>7575</v>
      </c>
      <c r="R273" s="7">
        <v>37196</v>
      </c>
      <c r="S273" s="8">
        <f t="shared" si="32"/>
        <v>2001</v>
      </c>
      <c r="T273" s="8">
        <v>2001</v>
      </c>
      <c r="U273" s="8">
        <f t="shared" si="33"/>
        <v>21</v>
      </c>
      <c r="V273" s="7">
        <v>37196</v>
      </c>
      <c r="W273" t="s">
        <v>7574</v>
      </c>
      <c r="X273" s="2" t="s">
        <v>7</v>
      </c>
      <c r="Y273" s="6" t="e">
        <f t="shared" si="38"/>
        <v>#VALUE!</v>
      </c>
      <c r="AA273">
        <v>17884</v>
      </c>
      <c r="AB273">
        <v>110306</v>
      </c>
      <c r="AD273" t="s">
        <v>1</v>
      </c>
      <c r="AE273">
        <v>87</v>
      </c>
      <c r="AF273">
        <v>6</v>
      </c>
      <c r="AH273" t="s">
        <v>7573</v>
      </c>
      <c r="AI273" t="s">
        <v>7572</v>
      </c>
      <c r="AK273" t="s">
        <v>7571</v>
      </c>
      <c r="AL273">
        <v>1</v>
      </c>
      <c r="AM273" s="5">
        <f t="shared" si="34"/>
        <v>4.7619047619047616E-2</v>
      </c>
      <c r="AN273" s="4">
        <f t="shared" si="39"/>
        <v>7.2122752925479164E-5</v>
      </c>
      <c r="AO273" s="3"/>
      <c r="AP273">
        <v>0</v>
      </c>
      <c r="AR273" t="s">
        <v>0</v>
      </c>
      <c r="AT273" s="2" t="s">
        <v>7</v>
      </c>
      <c r="AU273" s="1" t="e">
        <f t="shared" si="35"/>
        <v>#VALUE!</v>
      </c>
      <c r="AV273" s="1" t="e">
        <f t="shared" si="36"/>
        <v>#VALUE!</v>
      </c>
      <c r="AW273" s="1" t="e">
        <f t="shared" si="37"/>
        <v>#VALUE!</v>
      </c>
    </row>
    <row r="274" spans="1:49" x14ac:dyDescent="0.2">
      <c r="A274">
        <v>272</v>
      </c>
      <c r="B274" t="s">
        <v>7570</v>
      </c>
      <c r="F274" t="s">
        <v>7569</v>
      </c>
      <c r="G274" t="s">
        <v>6</v>
      </c>
      <c r="H274" t="s">
        <v>5</v>
      </c>
      <c r="I274" t="s">
        <v>7568</v>
      </c>
      <c r="N274">
        <v>2</v>
      </c>
      <c r="O274" t="s">
        <v>7567</v>
      </c>
      <c r="P274" t="s">
        <v>7566</v>
      </c>
      <c r="Q274" t="s">
        <v>582</v>
      </c>
      <c r="R274" s="7">
        <v>37196</v>
      </c>
      <c r="S274" s="8">
        <f t="shared" si="32"/>
        <v>2001</v>
      </c>
      <c r="T274" s="8">
        <v>2001</v>
      </c>
      <c r="U274" s="8">
        <f t="shared" si="33"/>
        <v>21</v>
      </c>
      <c r="V274" s="7">
        <v>37196</v>
      </c>
      <c r="W274" t="s">
        <v>670</v>
      </c>
      <c r="X274" s="2">
        <v>0.29499999999999998</v>
      </c>
      <c r="Y274" s="6">
        <f t="shared" si="38"/>
        <v>7.8748565174448087E-3</v>
      </c>
      <c r="AA274">
        <v>10642269</v>
      </c>
      <c r="AB274">
        <v>19554</v>
      </c>
      <c r="AD274" t="s">
        <v>1</v>
      </c>
      <c r="AE274">
        <v>46</v>
      </c>
      <c r="AF274">
        <v>11</v>
      </c>
      <c r="AH274" t="s">
        <v>7565</v>
      </c>
      <c r="AI274" t="s">
        <v>7564</v>
      </c>
      <c r="AK274" t="s">
        <v>7563</v>
      </c>
      <c r="AL274">
        <v>4</v>
      </c>
      <c r="AM274" s="5">
        <f t="shared" si="34"/>
        <v>0.19047619047619047</v>
      </c>
      <c r="AN274" s="4">
        <f t="shared" si="39"/>
        <v>2.8849101170191666E-4</v>
      </c>
      <c r="AO274" s="3"/>
      <c r="AP274">
        <v>0</v>
      </c>
      <c r="AR274" t="s">
        <v>0</v>
      </c>
      <c r="AT274" s="2" t="s">
        <v>7</v>
      </c>
      <c r="AU274" s="1">
        <f t="shared" si="35"/>
        <v>0.5598946865721941</v>
      </c>
      <c r="AV274" s="1">
        <f t="shared" si="36"/>
        <v>0.40816737645733631</v>
      </c>
      <c r="AW274" s="1">
        <f t="shared" si="37"/>
        <v>0.2564400663424784</v>
      </c>
    </row>
    <row r="275" spans="1:49" x14ac:dyDescent="0.2">
      <c r="A275">
        <v>273</v>
      </c>
      <c r="B275" t="s">
        <v>7562</v>
      </c>
      <c r="C275" t="s">
        <v>7561</v>
      </c>
      <c r="F275" t="s">
        <v>7560</v>
      </c>
      <c r="G275" t="s">
        <v>6</v>
      </c>
      <c r="H275" t="s">
        <v>5</v>
      </c>
      <c r="I275" t="s">
        <v>7559</v>
      </c>
      <c r="J275">
        <v>60027550</v>
      </c>
      <c r="K275" t="s">
        <v>144</v>
      </c>
      <c r="L275" t="s">
        <v>65</v>
      </c>
      <c r="M275" t="s">
        <v>3</v>
      </c>
      <c r="N275">
        <v>2</v>
      </c>
      <c r="O275" t="s">
        <v>7558</v>
      </c>
      <c r="P275" t="s">
        <v>7557</v>
      </c>
      <c r="Q275" t="s">
        <v>143</v>
      </c>
      <c r="R275" s="7">
        <v>37196</v>
      </c>
      <c r="S275" s="8">
        <f t="shared" si="32"/>
        <v>2001</v>
      </c>
      <c r="T275" s="8">
        <v>2001</v>
      </c>
      <c r="U275" s="8">
        <f t="shared" si="33"/>
        <v>21</v>
      </c>
      <c r="V275" s="7">
        <v>37196</v>
      </c>
      <c r="W275" t="s">
        <v>892</v>
      </c>
      <c r="X275" s="2">
        <v>0.75</v>
      </c>
      <c r="Y275" s="6">
        <f t="shared" si="38"/>
        <v>2.0020821654520703E-2</v>
      </c>
      <c r="AA275" t="s">
        <v>891</v>
      </c>
      <c r="AB275">
        <v>29221</v>
      </c>
      <c r="AD275" t="s">
        <v>1</v>
      </c>
      <c r="AE275">
        <v>8</v>
      </c>
      <c r="AF275">
        <v>11</v>
      </c>
      <c r="AH275" t="s">
        <v>7556</v>
      </c>
      <c r="AI275" t="s">
        <v>7555</v>
      </c>
      <c r="AK275" t="s">
        <v>7554</v>
      </c>
      <c r="AL275">
        <v>9</v>
      </c>
      <c r="AM275" s="5">
        <f t="shared" si="34"/>
        <v>0.42857142857142855</v>
      </c>
      <c r="AN275" s="4">
        <f t="shared" si="39"/>
        <v>6.4910477632931242E-4</v>
      </c>
      <c r="AO275" s="3"/>
      <c r="AP275">
        <v>0</v>
      </c>
      <c r="AR275" t="s">
        <v>0</v>
      </c>
      <c r="AT275" s="2">
        <v>2.0230000000000001</v>
      </c>
      <c r="AU275" s="1">
        <f t="shared" si="35"/>
        <v>1.4209306591063284</v>
      </c>
      <c r="AV275" s="1">
        <f t="shared" si="36"/>
        <v>1.0334963215425006</v>
      </c>
      <c r="AW275" s="1">
        <f t="shared" si="37"/>
        <v>0.64606198397867287</v>
      </c>
    </row>
    <row r="276" spans="1:49" x14ac:dyDescent="0.2">
      <c r="A276">
        <v>274</v>
      </c>
      <c r="B276" t="s">
        <v>7553</v>
      </c>
      <c r="F276" t="s">
        <v>7552</v>
      </c>
      <c r="G276" t="s">
        <v>6</v>
      </c>
      <c r="H276" t="s">
        <v>5</v>
      </c>
      <c r="I276" t="s">
        <v>1737</v>
      </c>
      <c r="N276">
        <v>1</v>
      </c>
      <c r="O276" t="s">
        <v>1736</v>
      </c>
      <c r="P276">
        <v>7101988783</v>
      </c>
      <c r="R276" s="7">
        <v>37196</v>
      </c>
      <c r="S276" s="8">
        <f t="shared" si="32"/>
        <v>2001</v>
      </c>
      <c r="T276" s="8">
        <v>2001</v>
      </c>
      <c r="U276" s="8">
        <f t="shared" si="33"/>
        <v>21</v>
      </c>
      <c r="V276" s="7">
        <v>37196</v>
      </c>
      <c r="W276" t="s">
        <v>1735</v>
      </c>
      <c r="X276" s="2" t="s">
        <v>7</v>
      </c>
      <c r="Y276" s="6" t="e">
        <f t="shared" si="38"/>
        <v>#VALUE!</v>
      </c>
      <c r="AA276" t="s">
        <v>1734</v>
      </c>
      <c r="AB276">
        <v>90046</v>
      </c>
      <c r="AD276" t="s">
        <v>1</v>
      </c>
      <c r="AE276">
        <v>21</v>
      </c>
      <c r="AF276">
        <v>11</v>
      </c>
      <c r="AH276" t="s">
        <v>7551</v>
      </c>
      <c r="AI276" t="s">
        <v>7550</v>
      </c>
      <c r="AK276" t="s">
        <v>7549</v>
      </c>
      <c r="AL276">
        <v>0</v>
      </c>
      <c r="AM276" s="5">
        <f t="shared" si="34"/>
        <v>0</v>
      </c>
      <c r="AN276" s="4">
        <f t="shared" si="39"/>
        <v>0</v>
      </c>
      <c r="AO276" s="3"/>
      <c r="AP276">
        <v>0</v>
      </c>
      <c r="AR276" t="s">
        <v>0</v>
      </c>
      <c r="AT276" s="2" t="s">
        <v>7</v>
      </c>
      <c r="AU276" s="1" t="e">
        <f t="shared" si="35"/>
        <v>#VALUE!</v>
      </c>
      <c r="AV276" s="1" t="e">
        <f t="shared" si="36"/>
        <v>#VALUE!</v>
      </c>
      <c r="AW276" s="1" t="e">
        <f t="shared" si="37"/>
        <v>#VALUE!</v>
      </c>
    </row>
    <row r="277" spans="1:49" x14ac:dyDescent="0.2">
      <c r="A277">
        <v>275</v>
      </c>
      <c r="B277" t="s">
        <v>7548</v>
      </c>
      <c r="C277" t="s">
        <v>7547</v>
      </c>
      <c r="F277" t="s">
        <v>7546</v>
      </c>
      <c r="G277" t="s">
        <v>6</v>
      </c>
      <c r="H277" t="s">
        <v>5</v>
      </c>
      <c r="I277" t="s">
        <v>7545</v>
      </c>
      <c r="J277">
        <v>60006164</v>
      </c>
      <c r="K277" t="s">
        <v>1784</v>
      </c>
      <c r="L277" t="s">
        <v>7544</v>
      </c>
      <c r="M277" t="s">
        <v>3</v>
      </c>
      <c r="N277">
        <v>2</v>
      </c>
      <c r="O277" t="s">
        <v>7543</v>
      </c>
      <c r="P277" t="s">
        <v>7542</v>
      </c>
      <c r="Q277" t="s">
        <v>7541</v>
      </c>
      <c r="R277" s="7">
        <v>37196</v>
      </c>
      <c r="S277" s="8">
        <f t="shared" si="32"/>
        <v>2001</v>
      </c>
      <c r="T277" s="8">
        <v>2001</v>
      </c>
      <c r="U277" s="8">
        <f t="shared" si="33"/>
        <v>21</v>
      </c>
      <c r="V277" s="7">
        <v>37196</v>
      </c>
      <c r="W277" t="s">
        <v>251</v>
      </c>
      <c r="X277" s="2">
        <v>0.371</v>
      </c>
      <c r="Y277" s="6">
        <f t="shared" si="38"/>
        <v>9.9036331117695747E-3</v>
      </c>
      <c r="AA277">
        <v>486604</v>
      </c>
      <c r="AB277">
        <v>28580</v>
      </c>
      <c r="AD277" t="s">
        <v>1</v>
      </c>
      <c r="AE277">
        <v>36</v>
      </c>
      <c r="AF277">
        <v>6</v>
      </c>
      <c r="AH277" t="s">
        <v>7540</v>
      </c>
      <c r="AI277" t="s">
        <v>7539</v>
      </c>
      <c r="AK277" t="s">
        <v>7538</v>
      </c>
      <c r="AL277">
        <v>26</v>
      </c>
      <c r="AM277" s="5">
        <f t="shared" si="34"/>
        <v>1.2380952380952381</v>
      </c>
      <c r="AN277" s="4">
        <f t="shared" si="39"/>
        <v>1.8751915760624584E-3</v>
      </c>
      <c r="AO277" s="3"/>
      <c r="AP277">
        <v>1</v>
      </c>
      <c r="AR277" t="s">
        <v>0</v>
      </c>
      <c r="AT277" s="2">
        <v>1.431</v>
      </c>
      <c r="AU277" s="1">
        <f t="shared" si="35"/>
        <v>0.74951006510574392</v>
      </c>
      <c r="AV277" s="1">
        <f t="shared" si="36"/>
        <v>0.58894123439160162</v>
      </c>
      <c r="AW277" s="1">
        <f t="shared" si="37"/>
        <v>0.42837240367745932</v>
      </c>
    </row>
    <row r="278" spans="1:49" x14ac:dyDescent="0.2">
      <c r="A278">
        <v>276</v>
      </c>
      <c r="B278" t="s">
        <v>7537</v>
      </c>
      <c r="C278" t="s">
        <v>7536</v>
      </c>
      <c r="F278" t="s">
        <v>7535</v>
      </c>
      <c r="G278" t="s">
        <v>6</v>
      </c>
      <c r="H278" t="s">
        <v>5</v>
      </c>
      <c r="I278" t="s">
        <v>2595</v>
      </c>
      <c r="J278">
        <v>60005510</v>
      </c>
      <c r="K278" t="s">
        <v>315</v>
      </c>
      <c r="L278" t="s">
        <v>131</v>
      </c>
      <c r="M278" t="s">
        <v>130</v>
      </c>
      <c r="N278">
        <v>3</v>
      </c>
      <c r="O278" t="s">
        <v>7534</v>
      </c>
      <c r="P278" t="s">
        <v>7533</v>
      </c>
      <c r="Q278" t="s">
        <v>418</v>
      </c>
      <c r="R278" s="7">
        <v>37196</v>
      </c>
      <c r="S278" s="8">
        <f t="shared" si="32"/>
        <v>2001</v>
      </c>
      <c r="T278" s="8">
        <v>2001</v>
      </c>
      <c r="U278" s="8">
        <f t="shared" si="33"/>
        <v>21</v>
      </c>
      <c r="V278" s="7">
        <v>37196</v>
      </c>
      <c r="W278" t="s">
        <v>251</v>
      </c>
      <c r="X278" s="2">
        <v>0.371</v>
      </c>
      <c r="Y278" s="6">
        <f t="shared" si="38"/>
        <v>9.9036331117695747E-3</v>
      </c>
      <c r="AA278">
        <v>486604</v>
      </c>
      <c r="AB278">
        <v>28580</v>
      </c>
      <c r="AD278" t="s">
        <v>1</v>
      </c>
      <c r="AE278">
        <v>36</v>
      </c>
      <c r="AF278">
        <v>6</v>
      </c>
      <c r="AH278" t="s">
        <v>7532</v>
      </c>
      <c r="AI278" t="s">
        <v>7531</v>
      </c>
      <c r="AK278" t="s">
        <v>7530</v>
      </c>
      <c r="AL278">
        <v>2</v>
      </c>
      <c r="AM278" s="5">
        <f t="shared" si="34"/>
        <v>9.5238095238095233E-2</v>
      </c>
      <c r="AN278" s="4">
        <f t="shared" si="39"/>
        <v>1.4424550585095833E-4</v>
      </c>
      <c r="AO278" s="3"/>
      <c r="AP278">
        <v>1</v>
      </c>
      <c r="AR278" t="s">
        <v>0</v>
      </c>
      <c r="AT278" s="2">
        <v>1.431</v>
      </c>
      <c r="AU278" s="1">
        <f t="shared" si="35"/>
        <v>0.69758168299939893</v>
      </c>
      <c r="AV278" s="1">
        <f t="shared" si="36"/>
        <v>0.50239393088102657</v>
      </c>
      <c r="AW278" s="1">
        <f t="shared" si="37"/>
        <v>0.30720617876265432</v>
      </c>
    </row>
    <row r="279" spans="1:49" x14ac:dyDescent="0.2">
      <c r="A279">
        <v>277</v>
      </c>
      <c r="B279" t="s">
        <v>7529</v>
      </c>
      <c r="C279" t="s">
        <v>7528</v>
      </c>
      <c r="F279" t="s">
        <v>7527</v>
      </c>
      <c r="G279" t="s">
        <v>6</v>
      </c>
      <c r="H279" t="s">
        <v>5</v>
      </c>
      <c r="I279" t="s">
        <v>173</v>
      </c>
      <c r="J279">
        <v>100348870</v>
      </c>
      <c r="K279" t="s">
        <v>7526</v>
      </c>
      <c r="L279" t="s">
        <v>7525</v>
      </c>
      <c r="M279" t="s">
        <v>3</v>
      </c>
      <c r="N279">
        <v>3</v>
      </c>
      <c r="O279" t="s">
        <v>7524</v>
      </c>
      <c r="P279" t="s">
        <v>7523</v>
      </c>
      <c r="Q279" t="s">
        <v>7522</v>
      </c>
      <c r="R279" s="7">
        <v>37196</v>
      </c>
      <c r="S279" s="8">
        <f t="shared" si="32"/>
        <v>2001</v>
      </c>
      <c r="T279" s="8">
        <v>2001</v>
      </c>
      <c r="U279" s="8">
        <f t="shared" si="33"/>
        <v>21</v>
      </c>
      <c r="V279" s="7">
        <v>37196</v>
      </c>
      <c r="W279" t="s">
        <v>251</v>
      </c>
      <c r="X279" s="2">
        <v>0.371</v>
      </c>
      <c r="Y279" s="6">
        <f t="shared" si="38"/>
        <v>9.9036331117695747E-3</v>
      </c>
      <c r="AA279">
        <v>486604</v>
      </c>
      <c r="AB279">
        <v>28580</v>
      </c>
      <c r="AD279" t="s">
        <v>1</v>
      </c>
      <c r="AE279">
        <v>36</v>
      </c>
      <c r="AF279">
        <v>6</v>
      </c>
      <c r="AH279" t="s">
        <v>7521</v>
      </c>
      <c r="AI279" t="s">
        <v>7520</v>
      </c>
      <c r="AK279" t="s">
        <v>7519</v>
      </c>
      <c r="AL279">
        <v>3</v>
      </c>
      <c r="AM279" s="5">
        <f t="shared" si="34"/>
        <v>0.14285714285714285</v>
      </c>
      <c r="AN279" s="4">
        <f t="shared" si="39"/>
        <v>2.1636825877643749E-4</v>
      </c>
      <c r="AO279" s="3"/>
      <c r="AP279">
        <v>1</v>
      </c>
      <c r="AR279" t="s">
        <v>0</v>
      </c>
      <c r="AT279" s="2">
        <v>1.431</v>
      </c>
      <c r="AU279" s="1">
        <f t="shared" si="35"/>
        <v>0.69974536558716327</v>
      </c>
      <c r="AV279" s="1">
        <f t="shared" si="36"/>
        <v>0.50600006852730062</v>
      </c>
      <c r="AW279" s="1">
        <f t="shared" si="37"/>
        <v>0.31225477146743785</v>
      </c>
    </row>
    <row r="280" spans="1:49" x14ac:dyDescent="0.2">
      <c r="A280">
        <v>278</v>
      </c>
      <c r="B280" t="s">
        <v>7518</v>
      </c>
      <c r="C280" t="s">
        <v>7517</v>
      </c>
      <c r="F280" t="s">
        <v>7516</v>
      </c>
      <c r="G280" t="s">
        <v>6</v>
      </c>
      <c r="H280" t="s">
        <v>5</v>
      </c>
      <c r="I280" t="s">
        <v>380</v>
      </c>
      <c r="J280">
        <v>60013395</v>
      </c>
      <c r="K280" t="s">
        <v>437</v>
      </c>
      <c r="L280" t="s">
        <v>436</v>
      </c>
      <c r="M280" t="s">
        <v>105</v>
      </c>
      <c r="N280">
        <v>3</v>
      </c>
      <c r="O280" t="s">
        <v>982</v>
      </c>
      <c r="P280" t="s">
        <v>981</v>
      </c>
      <c r="Q280" t="s">
        <v>7515</v>
      </c>
      <c r="R280" s="7">
        <v>37196</v>
      </c>
      <c r="S280" s="8">
        <f t="shared" si="32"/>
        <v>2001</v>
      </c>
      <c r="T280" s="8">
        <v>2001</v>
      </c>
      <c r="U280" s="8">
        <f t="shared" si="33"/>
        <v>21</v>
      </c>
      <c r="V280" s="7">
        <v>37196</v>
      </c>
      <c r="W280" t="s">
        <v>251</v>
      </c>
      <c r="X280" s="2">
        <v>0.371</v>
      </c>
      <c r="Y280" s="6">
        <f t="shared" si="38"/>
        <v>9.9036331117695747E-3</v>
      </c>
      <c r="AA280">
        <v>486604</v>
      </c>
      <c r="AB280">
        <v>28580</v>
      </c>
      <c r="AD280" t="s">
        <v>1</v>
      </c>
      <c r="AE280">
        <v>36</v>
      </c>
      <c r="AF280">
        <v>6</v>
      </c>
      <c r="AH280" t="s">
        <v>7514</v>
      </c>
      <c r="AI280" t="s">
        <v>7513</v>
      </c>
      <c r="AK280" t="s">
        <v>7512</v>
      </c>
      <c r="AL280">
        <v>13</v>
      </c>
      <c r="AM280" s="5">
        <f t="shared" si="34"/>
        <v>0.61904761904761907</v>
      </c>
      <c r="AN280" s="4">
        <f t="shared" si="39"/>
        <v>9.3759578803122919E-4</v>
      </c>
      <c r="AO280" s="3"/>
      <c r="AP280">
        <v>0</v>
      </c>
      <c r="AR280" t="s">
        <v>0</v>
      </c>
      <c r="AT280" s="2">
        <v>1.431</v>
      </c>
      <c r="AU280" s="1">
        <f t="shared" si="35"/>
        <v>0.72138219146480709</v>
      </c>
      <c r="AV280" s="1">
        <f t="shared" si="36"/>
        <v>0.54206144499004028</v>
      </c>
      <c r="AW280" s="1">
        <f t="shared" si="37"/>
        <v>0.3627406985152733</v>
      </c>
    </row>
    <row r="281" spans="1:49" x14ac:dyDescent="0.2">
      <c r="A281">
        <v>279</v>
      </c>
      <c r="B281" t="s">
        <v>7511</v>
      </c>
      <c r="C281" t="s">
        <v>7510</v>
      </c>
      <c r="F281" t="s">
        <v>7509</v>
      </c>
      <c r="G281" t="s">
        <v>6</v>
      </c>
      <c r="H281" t="s">
        <v>5</v>
      </c>
      <c r="I281" t="s">
        <v>7508</v>
      </c>
      <c r="J281">
        <v>60011001</v>
      </c>
      <c r="K281" t="s">
        <v>679</v>
      </c>
      <c r="L281" t="s">
        <v>514</v>
      </c>
      <c r="M281" t="s">
        <v>26</v>
      </c>
      <c r="N281">
        <v>2</v>
      </c>
      <c r="O281" t="s">
        <v>7507</v>
      </c>
      <c r="P281" t="s">
        <v>7506</v>
      </c>
      <c r="Q281" t="s">
        <v>7505</v>
      </c>
      <c r="R281" s="7">
        <v>37196</v>
      </c>
      <c r="S281" s="8">
        <f t="shared" si="32"/>
        <v>2001</v>
      </c>
      <c r="T281" s="8">
        <v>2001</v>
      </c>
      <c r="U281" s="8">
        <f t="shared" si="33"/>
        <v>21</v>
      </c>
      <c r="V281" s="7">
        <v>37196</v>
      </c>
      <c r="W281" t="s">
        <v>251</v>
      </c>
      <c r="X281" s="2">
        <v>0.371</v>
      </c>
      <c r="Y281" s="6">
        <f t="shared" si="38"/>
        <v>9.9036331117695747E-3</v>
      </c>
      <c r="AA281">
        <v>486604</v>
      </c>
      <c r="AB281">
        <v>28580</v>
      </c>
      <c r="AD281" t="s">
        <v>1</v>
      </c>
      <c r="AE281">
        <v>36</v>
      </c>
      <c r="AF281">
        <v>6</v>
      </c>
      <c r="AH281" t="s">
        <v>7504</v>
      </c>
      <c r="AI281" t="s">
        <v>7503</v>
      </c>
      <c r="AK281" t="s">
        <v>7502</v>
      </c>
      <c r="AL281">
        <v>2</v>
      </c>
      <c r="AM281" s="5">
        <f t="shared" si="34"/>
        <v>9.5238095238095233E-2</v>
      </c>
      <c r="AN281" s="4">
        <f t="shared" si="39"/>
        <v>1.4424550585095833E-4</v>
      </c>
      <c r="AO281" s="3"/>
      <c r="AP281">
        <v>0</v>
      </c>
      <c r="AR281" t="s">
        <v>0</v>
      </c>
      <c r="AT281" s="2">
        <v>1.431</v>
      </c>
      <c r="AU281" s="1">
        <f t="shared" si="35"/>
        <v>0.69758168299939893</v>
      </c>
      <c r="AV281" s="1">
        <f t="shared" si="36"/>
        <v>0.50239393088102657</v>
      </c>
      <c r="AW281" s="1">
        <f t="shared" si="37"/>
        <v>0.30720617876265432</v>
      </c>
    </row>
    <row r="282" spans="1:49" x14ac:dyDescent="0.2">
      <c r="A282">
        <v>280</v>
      </c>
      <c r="B282" t="s">
        <v>7501</v>
      </c>
      <c r="C282" t="s">
        <v>7500</v>
      </c>
      <c r="F282" t="s">
        <v>7499</v>
      </c>
      <c r="G282" t="s">
        <v>6</v>
      </c>
      <c r="H282" t="s">
        <v>5</v>
      </c>
      <c r="I282" t="s">
        <v>7498</v>
      </c>
      <c r="J282">
        <v>60029714</v>
      </c>
      <c r="K282" t="s">
        <v>7497</v>
      </c>
      <c r="L282" t="s">
        <v>7496</v>
      </c>
      <c r="M282" t="s">
        <v>138</v>
      </c>
      <c r="N282">
        <v>4</v>
      </c>
      <c r="O282" t="s">
        <v>7495</v>
      </c>
      <c r="P282" t="s">
        <v>7494</v>
      </c>
      <c r="Q282" t="s">
        <v>7493</v>
      </c>
      <c r="R282" s="7">
        <v>37196</v>
      </c>
      <c r="S282" s="8">
        <f t="shared" si="32"/>
        <v>2001</v>
      </c>
      <c r="T282" s="8">
        <v>2001</v>
      </c>
      <c r="U282" s="8">
        <f t="shared" si="33"/>
        <v>21</v>
      </c>
      <c r="V282" s="7">
        <v>37196</v>
      </c>
      <c r="W282" t="s">
        <v>251</v>
      </c>
      <c r="X282" s="2">
        <v>0.371</v>
      </c>
      <c r="Y282" s="6">
        <f t="shared" si="38"/>
        <v>9.9036331117695747E-3</v>
      </c>
      <c r="AA282">
        <v>486604</v>
      </c>
      <c r="AB282">
        <v>28580</v>
      </c>
      <c r="AD282" t="s">
        <v>1</v>
      </c>
      <c r="AE282">
        <v>36</v>
      </c>
      <c r="AF282">
        <v>6</v>
      </c>
      <c r="AH282" t="s">
        <v>7492</v>
      </c>
      <c r="AI282" t="s">
        <v>7491</v>
      </c>
      <c r="AK282" t="s">
        <v>7490</v>
      </c>
      <c r="AL282">
        <v>6</v>
      </c>
      <c r="AM282" s="5">
        <f t="shared" si="34"/>
        <v>0.2857142857142857</v>
      </c>
      <c r="AN282" s="4">
        <f t="shared" si="39"/>
        <v>4.3273651755287499E-4</v>
      </c>
      <c r="AO282" s="3"/>
      <c r="AP282">
        <v>0</v>
      </c>
      <c r="AR282" t="s">
        <v>0</v>
      </c>
      <c r="AT282" s="2">
        <v>1.431</v>
      </c>
      <c r="AU282" s="1">
        <f t="shared" si="35"/>
        <v>0.70623641335045639</v>
      </c>
      <c r="AV282" s="1">
        <f t="shared" si="36"/>
        <v>0.51681848146612253</v>
      </c>
      <c r="AW282" s="1">
        <f t="shared" si="37"/>
        <v>0.32740054958178849</v>
      </c>
    </row>
    <row r="283" spans="1:49" x14ac:dyDescent="0.2">
      <c r="A283">
        <v>281</v>
      </c>
      <c r="B283" t="s">
        <v>7489</v>
      </c>
      <c r="C283" t="s">
        <v>7488</v>
      </c>
      <c r="F283" t="s">
        <v>7487</v>
      </c>
      <c r="G283" t="s">
        <v>6</v>
      </c>
      <c r="H283" t="s">
        <v>5</v>
      </c>
      <c r="I283" t="s">
        <v>731</v>
      </c>
      <c r="J283">
        <v>60017161</v>
      </c>
      <c r="K283" t="s">
        <v>132</v>
      </c>
      <c r="L283" t="s">
        <v>131</v>
      </c>
      <c r="M283" t="s">
        <v>130</v>
      </c>
      <c r="N283">
        <v>1</v>
      </c>
      <c r="O283" t="s">
        <v>7486</v>
      </c>
      <c r="P283">
        <v>7409485017</v>
      </c>
      <c r="Q283">
        <v>60017161</v>
      </c>
      <c r="R283" s="7">
        <v>37196</v>
      </c>
      <c r="S283" s="8">
        <f t="shared" si="32"/>
        <v>2001</v>
      </c>
      <c r="T283" s="8">
        <v>2001</v>
      </c>
      <c r="U283" s="8">
        <f t="shared" si="33"/>
        <v>21</v>
      </c>
      <c r="V283" s="7">
        <v>37196</v>
      </c>
      <c r="W283" t="s">
        <v>251</v>
      </c>
      <c r="X283" s="2">
        <v>0.371</v>
      </c>
      <c r="Y283" s="6">
        <f t="shared" si="38"/>
        <v>9.9036331117695747E-3</v>
      </c>
      <c r="AA283">
        <v>486604</v>
      </c>
      <c r="AB283">
        <v>28580</v>
      </c>
      <c r="AD283" t="s">
        <v>1</v>
      </c>
      <c r="AE283">
        <v>36</v>
      </c>
      <c r="AF283">
        <v>6</v>
      </c>
      <c r="AH283" t="s">
        <v>7485</v>
      </c>
      <c r="AI283" t="s">
        <v>7484</v>
      </c>
      <c r="AK283" t="s">
        <v>7483</v>
      </c>
      <c r="AL283">
        <v>3</v>
      </c>
      <c r="AM283" s="5">
        <f t="shared" si="34"/>
        <v>0.14285714285714285</v>
      </c>
      <c r="AN283" s="4">
        <f t="shared" si="39"/>
        <v>2.1636825877643749E-4</v>
      </c>
      <c r="AO283" s="3"/>
      <c r="AP283">
        <v>0</v>
      </c>
      <c r="AR283" t="s">
        <v>0</v>
      </c>
      <c r="AT283" s="2">
        <v>1.431</v>
      </c>
      <c r="AU283" s="1">
        <f t="shared" si="35"/>
        <v>0.69974536558716327</v>
      </c>
      <c r="AV283" s="1">
        <f t="shared" si="36"/>
        <v>0.50600006852730062</v>
      </c>
      <c r="AW283" s="1">
        <f t="shared" si="37"/>
        <v>0.31225477146743785</v>
      </c>
    </row>
    <row r="284" spans="1:49" x14ac:dyDescent="0.2">
      <c r="A284">
        <v>282</v>
      </c>
      <c r="B284" t="s">
        <v>7482</v>
      </c>
      <c r="C284" t="s">
        <v>7481</v>
      </c>
      <c r="F284" t="s">
        <v>7480</v>
      </c>
      <c r="G284" t="s">
        <v>6</v>
      </c>
      <c r="H284" t="s">
        <v>5</v>
      </c>
      <c r="I284" t="s">
        <v>401</v>
      </c>
      <c r="J284">
        <v>60019702</v>
      </c>
      <c r="K284" t="s">
        <v>593</v>
      </c>
      <c r="L284" t="s">
        <v>592</v>
      </c>
      <c r="M284" t="s">
        <v>37</v>
      </c>
      <c r="N284">
        <v>4</v>
      </c>
      <c r="O284" t="s">
        <v>726</v>
      </c>
      <c r="P284" t="s">
        <v>725</v>
      </c>
      <c r="Q284" t="s">
        <v>7479</v>
      </c>
      <c r="R284" s="7">
        <v>37196</v>
      </c>
      <c r="S284" s="8">
        <f t="shared" si="32"/>
        <v>2001</v>
      </c>
      <c r="T284" s="8">
        <v>2001</v>
      </c>
      <c r="U284" s="8">
        <f t="shared" si="33"/>
        <v>21</v>
      </c>
      <c r="V284" s="7">
        <v>37196</v>
      </c>
      <c r="W284" t="s">
        <v>251</v>
      </c>
      <c r="X284" s="2">
        <v>0.371</v>
      </c>
      <c r="Y284" s="6">
        <f t="shared" si="38"/>
        <v>9.9036331117695747E-3</v>
      </c>
      <c r="AA284">
        <v>486604</v>
      </c>
      <c r="AB284">
        <v>28580</v>
      </c>
      <c r="AD284" t="s">
        <v>1</v>
      </c>
      <c r="AE284">
        <v>36</v>
      </c>
      <c r="AF284">
        <v>6</v>
      </c>
      <c r="AH284" t="s">
        <v>7478</v>
      </c>
      <c r="AI284" t="s">
        <v>7477</v>
      </c>
      <c r="AK284" t="s">
        <v>7476</v>
      </c>
      <c r="AL284">
        <v>17</v>
      </c>
      <c r="AM284" s="5">
        <f t="shared" si="34"/>
        <v>0.80952380952380953</v>
      </c>
      <c r="AN284" s="4">
        <f t="shared" si="39"/>
        <v>1.2260867997331457E-3</v>
      </c>
      <c r="AO284" s="3"/>
      <c r="AP284">
        <v>0</v>
      </c>
      <c r="AR284" t="s">
        <v>0</v>
      </c>
      <c r="AT284" s="2">
        <v>1.431</v>
      </c>
      <c r="AU284" s="1">
        <f t="shared" si="35"/>
        <v>0.73003692181586455</v>
      </c>
      <c r="AV284" s="1">
        <f t="shared" si="36"/>
        <v>0.55648599557513601</v>
      </c>
      <c r="AW284" s="1">
        <f t="shared" si="37"/>
        <v>0.38293506933440746</v>
      </c>
    </row>
    <row r="285" spans="1:49" x14ac:dyDescent="0.2">
      <c r="A285">
        <v>283</v>
      </c>
      <c r="B285" t="s">
        <v>7475</v>
      </c>
      <c r="C285" t="s">
        <v>7474</v>
      </c>
      <c r="F285" t="s">
        <v>7473</v>
      </c>
      <c r="G285" t="s">
        <v>6</v>
      </c>
      <c r="H285" t="s">
        <v>5</v>
      </c>
      <c r="I285" t="s">
        <v>7472</v>
      </c>
      <c r="J285">
        <v>60010884</v>
      </c>
      <c r="K285" t="s">
        <v>523</v>
      </c>
      <c r="L285" t="s">
        <v>328</v>
      </c>
      <c r="M285" t="s">
        <v>126</v>
      </c>
      <c r="N285">
        <v>6</v>
      </c>
      <c r="O285" t="s">
        <v>7471</v>
      </c>
      <c r="P285" t="s">
        <v>7470</v>
      </c>
      <c r="Q285" t="s">
        <v>7469</v>
      </c>
      <c r="R285" s="7">
        <v>37196</v>
      </c>
      <c r="S285" s="8">
        <f t="shared" si="32"/>
        <v>2001</v>
      </c>
      <c r="T285" s="8">
        <v>2001</v>
      </c>
      <c r="U285" s="8">
        <f t="shared" si="33"/>
        <v>21</v>
      </c>
      <c r="V285" s="7">
        <v>37196</v>
      </c>
      <c r="W285" t="s">
        <v>251</v>
      </c>
      <c r="X285" s="2">
        <v>0.371</v>
      </c>
      <c r="Y285" s="6">
        <f t="shared" si="38"/>
        <v>9.9036331117695747E-3</v>
      </c>
      <c r="AA285">
        <v>486604</v>
      </c>
      <c r="AB285">
        <v>28580</v>
      </c>
      <c r="AD285" t="s">
        <v>1</v>
      </c>
      <c r="AE285">
        <v>36</v>
      </c>
      <c r="AF285">
        <v>6</v>
      </c>
      <c r="AH285" t="s">
        <v>7468</v>
      </c>
      <c r="AI285" t="s">
        <v>7467</v>
      </c>
      <c r="AK285" t="s">
        <v>7466</v>
      </c>
      <c r="AL285">
        <v>25</v>
      </c>
      <c r="AM285" s="5">
        <f t="shared" si="34"/>
        <v>1.1904761904761905</v>
      </c>
      <c r="AN285" s="4">
        <f t="shared" si="39"/>
        <v>1.8030688231369791E-3</v>
      </c>
      <c r="AO285" s="3"/>
      <c r="AP285">
        <v>0</v>
      </c>
      <c r="AR285" t="s">
        <v>0</v>
      </c>
      <c r="AT285" s="2">
        <v>1.431</v>
      </c>
      <c r="AU285" s="1">
        <f t="shared" si="35"/>
        <v>0.74734638251797958</v>
      </c>
      <c r="AV285" s="1">
        <f t="shared" si="36"/>
        <v>0.58533509674532769</v>
      </c>
      <c r="AW285" s="1">
        <f t="shared" si="37"/>
        <v>0.42332381097267574</v>
      </c>
    </row>
    <row r="286" spans="1:49" x14ac:dyDescent="0.2">
      <c r="A286">
        <v>284</v>
      </c>
      <c r="B286" t="s">
        <v>7465</v>
      </c>
      <c r="C286" t="s">
        <v>7464</v>
      </c>
      <c r="F286" t="s">
        <v>7463</v>
      </c>
      <c r="G286" t="s">
        <v>6</v>
      </c>
      <c r="H286" t="s">
        <v>5</v>
      </c>
      <c r="I286" t="s">
        <v>7462</v>
      </c>
      <c r="J286">
        <v>60116768</v>
      </c>
      <c r="K286" t="s">
        <v>330</v>
      </c>
      <c r="L286" t="s">
        <v>329</v>
      </c>
      <c r="M286" t="s">
        <v>105</v>
      </c>
      <c r="N286">
        <v>1</v>
      </c>
      <c r="O286" t="s">
        <v>7461</v>
      </c>
      <c r="P286">
        <v>7401723727</v>
      </c>
      <c r="Q286">
        <v>60116768</v>
      </c>
      <c r="R286" s="7">
        <v>37196</v>
      </c>
      <c r="S286" s="8">
        <f t="shared" si="32"/>
        <v>2001</v>
      </c>
      <c r="T286" s="8">
        <v>2001</v>
      </c>
      <c r="U286" s="8">
        <f t="shared" si="33"/>
        <v>21</v>
      </c>
      <c r="V286" s="7">
        <v>37196</v>
      </c>
      <c r="W286" t="s">
        <v>508</v>
      </c>
      <c r="X286" s="2">
        <v>0.35699999999999998</v>
      </c>
      <c r="Y286" s="6">
        <f t="shared" si="38"/>
        <v>9.5299111075518531E-3</v>
      </c>
      <c r="AA286">
        <v>913286</v>
      </c>
      <c r="AB286">
        <v>12316</v>
      </c>
      <c r="AD286" t="s">
        <v>1</v>
      </c>
      <c r="AE286">
        <v>40</v>
      </c>
      <c r="AF286">
        <v>11</v>
      </c>
      <c r="AH286" t="s">
        <v>7460</v>
      </c>
      <c r="AI286" t="s">
        <v>7459</v>
      </c>
      <c r="AJ286" t="s">
        <v>7458</v>
      </c>
      <c r="AK286" t="s">
        <v>7457</v>
      </c>
      <c r="AL286">
        <v>0</v>
      </c>
      <c r="AM286" s="5">
        <f t="shared" si="34"/>
        <v>0</v>
      </c>
      <c r="AN286" s="4">
        <f t="shared" si="39"/>
        <v>0</v>
      </c>
      <c r="AO286" s="3"/>
      <c r="AP286">
        <v>0</v>
      </c>
      <c r="AR286" t="s">
        <v>0</v>
      </c>
      <c r="AT286" s="2">
        <v>1.0840000000000001</v>
      </c>
      <c r="AU286" s="1">
        <f t="shared" si="35"/>
        <v>0.66709377752862975</v>
      </c>
      <c r="AV286" s="1">
        <f t="shared" si="36"/>
        <v>0.47649555537759264</v>
      </c>
      <c r="AW286" s="1">
        <f t="shared" si="37"/>
        <v>0.28589733322655558</v>
      </c>
    </row>
    <row r="287" spans="1:49" x14ac:dyDescent="0.2">
      <c r="A287">
        <v>285</v>
      </c>
      <c r="B287" t="s">
        <v>7456</v>
      </c>
      <c r="C287" t="s">
        <v>7455</v>
      </c>
      <c r="D287" t="s">
        <v>7454</v>
      </c>
      <c r="E287">
        <v>11779558</v>
      </c>
      <c r="F287" t="s">
        <v>7453</v>
      </c>
      <c r="G287" t="s">
        <v>6</v>
      </c>
      <c r="H287" t="s">
        <v>5</v>
      </c>
      <c r="I287" t="s">
        <v>7452</v>
      </c>
      <c r="J287">
        <v>60121355</v>
      </c>
      <c r="K287" t="s">
        <v>7451</v>
      </c>
      <c r="L287" t="s">
        <v>190</v>
      </c>
      <c r="M287" t="s">
        <v>3</v>
      </c>
      <c r="N287">
        <v>3</v>
      </c>
      <c r="O287" t="s">
        <v>7450</v>
      </c>
      <c r="P287" t="s">
        <v>7449</v>
      </c>
      <c r="Q287" t="s">
        <v>7448</v>
      </c>
      <c r="R287" s="7">
        <v>37196</v>
      </c>
      <c r="S287" s="8">
        <f t="shared" si="32"/>
        <v>2001</v>
      </c>
      <c r="T287" s="8">
        <v>2001</v>
      </c>
      <c r="U287" s="8">
        <f t="shared" si="33"/>
        <v>21</v>
      </c>
      <c r="V287" s="7">
        <v>37196</v>
      </c>
      <c r="W287" t="s">
        <v>897</v>
      </c>
      <c r="X287" s="2">
        <v>1.59</v>
      </c>
      <c r="Y287" s="6">
        <f t="shared" si="38"/>
        <v>4.2444141907583888E-2</v>
      </c>
      <c r="AA287">
        <v>52728</v>
      </c>
      <c r="AB287">
        <v>16791</v>
      </c>
      <c r="AD287" t="s">
        <v>1</v>
      </c>
      <c r="AE287">
        <v>1506</v>
      </c>
      <c r="AF287">
        <v>3</v>
      </c>
      <c r="AH287" t="s">
        <v>7447</v>
      </c>
      <c r="AI287" t="s">
        <v>7446</v>
      </c>
      <c r="AJ287" t="s">
        <v>7445</v>
      </c>
      <c r="AK287" t="s">
        <v>7444</v>
      </c>
      <c r="AL287">
        <v>61</v>
      </c>
      <c r="AM287" s="5">
        <f t="shared" si="34"/>
        <v>2.9047619047619047</v>
      </c>
      <c r="AN287" s="4">
        <f t="shared" si="39"/>
        <v>4.399487928454229E-3</v>
      </c>
      <c r="AO287" s="3"/>
      <c r="AP287">
        <v>1</v>
      </c>
      <c r="AQ287" t="s">
        <v>21</v>
      </c>
      <c r="AR287" t="s">
        <v>0</v>
      </c>
      <c r="AS287" t="s">
        <v>20</v>
      </c>
      <c r="AT287" s="2" t="s">
        <v>7</v>
      </c>
      <c r="AU287" s="1">
        <f t="shared" si="35"/>
        <v>3.1030745713844987</v>
      </c>
      <c r="AV287" s="1">
        <f t="shared" si="36"/>
        <v>2.3421814918019059</v>
      </c>
      <c r="AW287" s="1">
        <f t="shared" si="37"/>
        <v>1.5812884122193127</v>
      </c>
    </row>
    <row r="288" spans="1:49" x14ac:dyDescent="0.2">
      <c r="A288">
        <v>286</v>
      </c>
      <c r="B288" t="s">
        <v>7443</v>
      </c>
      <c r="C288" t="s">
        <v>7442</v>
      </c>
      <c r="F288" t="s">
        <v>7441</v>
      </c>
      <c r="G288" t="s">
        <v>6</v>
      </c>
      <c r="H288" t="s">
        <v>5</v>
      </c>
      <c r="I288" t="s">
        <v>476</v>
      </c>
      <c r="J288" t="s">
        <v>7440</v>
      </c>
      <c r="K288" t="s">
        <v>7439</v>
      </c>
      <c r="L288" t="s">
        <v>7438</v>
      </c>
      <c r="M288" t="s">
        <v>7437</v>
      </c>
      <c r="N288">
        <v>4</v>
      </c>
      <c r="O288" t="s">
        <v>7436</v>
      </c>
      <c r="P288" t="s">
        <v>7435</v>
      </c>
      <c r="Q288" t="s">
        <v>7434</v>
      </c>
      <c r="R288" s="7">
        <v>37196</v>
      </c>
      <c r="S288" s="8">
        <f t="shared" si="32"/>
        <v>2001</v>
      </c>
      <c r="T288" s="8">
        <v>2001</v>
      </c>
      <c r="U288" s="8">
        <f t="shared" si="33"/>
        <v>21</v>
      </c>
      <c r="V288" s="7">
        <v>37196</v>
      </c>
      <c r="W288" t="s">
        <v>271</v>
      </c>
      <c r="X288" s="2" t="s">
        <v>7</v>
      </c>
      <c r="Y288" s="6" t="e">
        <f t="shared" si="38"/>
        <v>#VALUE!</v>
      </c>
      <c r="AA288">
        <v>10711023</v>
      </c>
      <c r="AB288">
        <v>28597</v>
      </c>
      <c r="AD288" t="s">
        <v>1</v>
      </c>
      <c r="AE288">
        <v>19</v>
      </c>
      <c r="AF288">
        <v>6</v>
      </c>
      <c r="AH288" t="s">
        <v>7433</v>
      </c>
      <c r="AI288" t="s">
        <v>7432</v>
      </c>
      <c r="AK288" t="s">
        <v>7431</v>
      </c>
      <c r="AL288">
        <v>55</v>
      </c>
      <c r="AM288" s="5">
        <f t="shared" si="34"/>
        <v>2.6190476190476191</v>
      </c>
      <c r="AN288" s="4">
        <f t="shared" si="39"/>
        <v>3.9667514109013539E-3</v>
      </c>
      <c r="AO288" s="3"/>
      <c r="AP288">
        <v>0</v>
      </c>
      <c r="AR288" t="s">
        <v>0</v>
      </c>
      <c r="AT288" s="2" t="s">
        <v>7</v>
      </c>
      <c r="AU288" s="1" t="e">
        <f t="shared" si="35"/>
        <v>#VALUE!</v>
      </c>
      <c r="AV288" s="1" t="e">
        <f t="shared" si="36"/>
        <v>#VALUE!</v>
      </c>
      <c r="AW288" s="1" t="e">
        <f t="shared" si="37"/>
        <v>#VALUE!</v>
      </c>
    </row>
    <row r="289" spans="1:49" x14ac:dyDescent="0.2">
      <c r="A289">
        <v>287</v>
      </c>
      <c r="B289" t="s">
        <v>7430</v>
      </c>
      <c r="C289" t="s">
        <v>7429</v>
      </c>
      <c r="D289" t="s">
        <v>7428</v>
      </c>
      <c r="F289" t="s">
        <v>7427</v>
      </c>
      <c r="G289" t="s">
        <v>6</v>
      </c>
      <c r="H289" t="s">
        <v>5</v>
      </c>
      <c r="I289" t="s">
        <v>946</v>
      </c>
      <c r="J289" t="s">
        <v>7426</v>
      </c>
      <c r="K289" t="s">
        <v>7425</v>
      </c>
      <c r="L289" t="s">
        <v>7424</v>
      </c>
      <c r="M289" t="s">
        <v>187</v>
      </c>
      <c r="N289">
        <v>3</v>
      </c>
      <c r="O289" t="s">
        <v>7423</v>
      </c>
      <c r="P289" t="s">
        <v>7422</v>
      </c>
      <c r="Q289" t="s">
        <v>7421</v>
      </c>
      <c r="R289" s="7">
        <v>37196</v>
      </c>
      <c r="S289" s="8">
        <f t="shared" si="32"/>
        <v>2001</v>
      </c>
      <c r="T289" s="8">
        <v>2001</v>
      </c>
      <c r="U289" s="8">
        <f t="shared" si="33"/>
        <v>21</v>
      </c>
      <c r="V289" s="7">
        <v>37196</v>
      </c>
      <c r="W289" t="s">
        <v>552</v>
      </c>
      <c r="X289" s="2">
        <v>0.65500000000000003</v>
      </c>
      <c r="Y289" s="6">
        <f t="shared" si="38"/>
        <v>1.7484850911614749E-2</v>
      </c>
      <c r="AA289">
        <v>189375</v>
      </c>
      <c r="AB289">
        <v>26051</v>
      </c>
      <c r="AD289" t="s">
        <v>1</v>
      </c>
      <c r="AE289">
        <v>43</v>
      </c>
      <c r="AF289">
        <v>4</v>
      </c>
      <c r="AH289" t="s">
        <v>7420</v>
      </c>
      <c r="AI289" t="s">
        <v>7419</v>
      </c>
      <c r="AJ289" t="s">
        <v>7418</v>
      </c>
      <c r="AK289" t="s">
        <v>7417</v>
      </c>
      <c r="AL289">
        <v>1</v>
      </c>
      <c r="AM289" s="5">
        <f t="shared" si="34"/>
        <v>4.7619047619047616E-2</v>
      </c>
      <c r="AN289" s="4">
        <f t="shared" si="39"/>
        <v>7.2122752925479164E-5</v>
      </c>
      <c r="AO289" s="3"/>
      <c r="AP289">
        <v>0</v>
      </c>
      <c r="AR289" t="s">
        <v>0</v>
      </c>
      <c r="AT289" s="2" t="s">
        <v>7</v>
      </c>
      <c r="AU289" s="1">
        <f t="shared" si="35"/>
        <v>1.2261032464007968</v>
      </c>
      <c r="AV289" s="1">
        <f t="shared" si="36"/>
        <v>0.87784868322701137</v>
      </c>
      <c r="AW289" s="1">
        <f t="shared" si="37"/>
        <v>0.52959412005322604</v>
      </c>
    </row>
    <row r="290" spans="1:49" x14ac:dyDescent="0.2">
      <c r="A290">
        <v>288</v>
      </c>
      <c r="B290" t="s">
        <v>7416</v>
      </c>
      <c r="C290" t="s">
        <v>7415</v>
      </c>
      <c r="F290" t="s">
        <v>7414</v>
      </c>
      <c r="G290" t="s">
        <v>6</v>
      </c>
      <c r="H290" t="s">
        <v>5</v>
      </c>
      <c r="I290" t="s">
        <v>318</v>
      </c>
      <c r="J290">
        <v>60002787</v>
      </c>
      <c r="K290" t="s">
        <v>317</v>
      </c>
      <c r="L290" t="s">
        <v>316</v>
      </c>
      <c r="M290" t="s">
        <v>26</v>
      </c>
      <c r="N290">
        <v>4</v>
      </c>
      <c r="O290" t="s">
        <v>7413</v>
      </c>
      <c r="P290" t="s">
        <v>7412</v>
      </c>
      <c r="Q290" t="s">
        <v>519</v>
      </c>
      <c r="R290" s="7">
        <v>37196</v>
      </c>
      <c r="S290" s="8">
        <f t="shared" si="32"/>
        <v>2001</v>
      </c>
      <c r="T290" s="8">
        <v>2001</v>
      </c>
      <c r="U290" s="8">
        <f t="shared" si="33"/>
        <v>21</v>
      </c>
      <c r="V290" s="7">
        <v>37196</v>
      </c>
      <c r="W290" t="s">
        <v>314</v>
      </c>
      <c r="X290" s="2">
        <v>0.13900000000000001</v>
      </c>
      <c r="Y290" s="6">
        <f t="shared" si="38"/>
        <v>3.7105256133045036E-3</v>
      </c>
      <c r="AA290" t="s">
        <v>313</v>
      </c>
      <c r="AB290">
        <v>24891</v>
      </c>
      <c r="AD290" t="s">
        <v>1</v>
      </c>
      <c r="AE290">
        <v>84</v>
      </c>
      <c r="AF290">
        <v>11</v>
      </c>
      <c r="AH290" t="s">
        <v>135</v>
      </c>
      <c r="AI290" t="s">
        <v>7411</v>
      </c>
      <c r="AJ290" t="s">
        <v>7410</v>
      </c>
      <c r="AK290" t="s">
        <v>7409</v>
      </c>
      <c r="AL290">
        <v>3</v>
      </c>
      <c r="AM290" s="5">
        <f t="shared" si="34"/>
        <v>0.14285714285714285</v>
      </c>
      <c r="AN290" s="4">
        <f t="shared" si="39"/>
        <v>2.1636825877643749E-4</v>
      </c>
      <c r="AO290" s="3"/>
      <c r="AP290">
        <v>0</v>
      </c>
      <c r="AR290" t="s">
        <v>0</v>
      </c>
      <c r="AT290" s="2" t="s">
        <v>7</v>
      </c>
      <c r="AU290" s="1">
        <f t="shared" si="35"/>
        <v>0.26622784069460831</v>
      </c>
      <c r="AV290" s="1">
        <f t="shared" si="36"/>
        <v>0.19634469360404705</v>
      </c>
      <c r="AW290" s="1">
        <f t="shared" si="37"/>
        <v>0.12646154651348573</v>
      </c>
    </row>
    <row r="291" spans="1:49" x14ac:dyDescent="0.2">
      <c r="A291">
        <v>289</v>
      </c>
      <c r="B291" t="s">
        <v>7408</v>
      </c>
      <c r="C291" t="s">
        <v>7407</v>
      </c>
      <c r="D291" t="s">
        <v>7406</v>
      </c>
      <c r="F291" t="s">
        <v>7405</v>
      </c>
      <c r="G291" t="s">
        <v>6</v>
      </c>
      <c r="H291" t="s">
        <v>5</v>
      </c>
      <c r="I291" t="s">
        <v>7404</v>
      </c>
      <c r="J291">
        <v>60028673</v>
      </c>
      <c r="K291" t="s">
        <v>110</v>
      </c>
      <c r="L291" t="s">
        <v>47</v>
      </c>
      <c r="M291" t="s">
        <v>46</v>
      </c>
      <c r="N291">
        <v>1</v>
      </c>
      <c r="O291" t="s">
        <v>7403</v>
      </c>
      <c r="P291">
        <v>7101678684</v>
      </c>
      <c r="Q291">
        <v>60028673</v>
      </c>
      <c r="R291" s="7">
        <v>37196</v>
      </c>
      <c r="S291" s="8">
        <f t="shared" si="32"/>
        <v>2001</v>
      </c>
      <c r="T291" s="8">
        <v>2001</v>
      </c>
      <c r="U291" s="8">
        <f t="shared" si="33"/>
        <v>21</v>
      </c>
      <c r="V291" s="7">
        <v>37196</v>
      </c>
      <c r="W291" t="s">
        <v>552</v>
      </c>
      <c r="X291" s="2">
        <v>0.65500000000000003</v>
      </c>
      <c r="Y291" s="6">
        <f t="shared" si="38"/>
        <v>1.7484850911614749E-2</v>
      </c>
      <c r="AA291">
        <v>189375</v>
      </c>
      <c r="AB291">
        <v>26051</v>
      </c>
      <c r="AD291" t="s">
        <v>1</v>
      </c>
      <c r="AE291">
        <v>43</v>
      </c>
      <c r="AF291">
        <v>4</v>
      </c>
      <c r="AH291" t="s">
        <v>7402</v>
      </c>
      <c r="AI291" t="s">
        <v>7401</v>
      </c>
      <c r="AJ291" t="s">
        <v>7400</v>
      </c>
      <c r="AK291" t="s">
        <v>7399</v>
      </c>
      <c r="AL291">
        <v>35</v>
      </c>
      <c r="AM291" s="5">
        <f t="shared" si="34"/>
        <v>1.6666666666666667</v>
      </c>
      <c r="AN291" s="4">
        <f t="shared" si="39"/>
        <v>2.5242963523917708E-3</v>
      </c>
      <c r="AO291" s="3"/>
      <c r="AP291">
        <v>0</v>
      </c>
      <c r="AR291" t="s">
        <v>0</v>
      </c>
      <c r="AT291" s="2" t="s">
        <v>7</v>
      </c>
      <c r="AU291" s="1">
        <f t="shared" si="35"/>
        <v>1.2996684543847854</v>
      </c>
      <c r="AV291" s="1">
        <f t="shared" si="36"/>
        <v>1.000457363200326</v>
      </c>
      <c r="AW291" s="1">
        <f t="shared" si="37"/>
        <v>0.70124627201586642</v>
      </c>
    </row>
    <row r="292" spans="1:49" x14ac:dyDescent="0.2">
      <c r="A292">
        <v>290</v>
      </c>
      <c r="B292" t="s">
        <v>7398</v>
      </c>
      <c r="F292" t="s">
        <v>7397</v>
      </c>
      <c r="G292" t="s">
        <v>6</v>
      </c>
      <c r="H292" t="s">
        <v>5</v>
      </c>
      <c r="I292" t="s">
        <v>7396</v>
      </c>
      <c r="J292">
        <v>60013789</v>
      </c>
      <c r="K292" t="s">
        <v>7395</v>
      </c>
      <c r="L292" t="s">
        <v>63</v>
      </c>
      <c r="M292" t="s">
        <v>62</v>
      </c>
      <c r="N292">
        <v>3</v>
      </c>
      <c r="O292" t="s">
        <v>7394</v>
      </c>
      <c r="P292" t="s">
        <v>7393</v>
      </c>
      <c r="Q292" t="s">
        <v>7392</v>
      </c>
      <c r="R292" s="7">
        <v>37196</v>
      </c>
      <c r="S292" s="8">
        <f t="shared" si="32"/>
        <v>2001</v>
      </c>
      <c r="T292" s="8">
        <v>2001</v>
      </c>
      <c r="U292" s="8">
        <f t="shared" si="33"/>
        <v>21</v>
      </c>
      <c r="V292" s="7">
        <v>37196</v>
      </c>
      <c r="W292" t="s">
        <v>7391</v>
      </c>
      <c r="X292" s="2">
        <v>0.71899999999999997</v>
      </c>
      <c r="Y292" s="6">
        <f t="shared" si="38"/>
        <v>1.9193294359467178E-2</v>
      </c>
      <c r="AA292">
        <v>10009361</v>
      </c>
      <c r="AB292">
        <v>13831</v>
      </c>
      <c r="AD292" t="s">
        <v>1</v>
      </c>
      <c r="AE292">
        <v>14</v>
      </c>
      <c r="AF292">
        <v>4</v>
      </c>
      <c r="AH292" t="s">
        <v>7390</v>
      </c>
      <c r="AI292" t="s">
        <v>7389</v>
      </c>
      <c r="AJ292" t="s">
        <v>7388</v>
      </c>
      <c r="AK292" t="s">
        <v>7387</v>
      </c>
      <c r="AL292">
        <v>3</v>
      </c>
      <c r="AM292" s="5">
        <f t="shared" si="34"/>
        <v>0.14285714285714285</v>
      </c>
      <c r="AN292" s="4">
        <f t="shared" si="39"/>
        <v>2.1636825877643749E-4</v>
      </c>
      <c r="AO292" s="3"/>
      <c r="AP292">
        <v>0</v>
      </c>
      <c r="AR292" t="s">
        <v>0</v>
      </c>
      <c r="AT292" s="2">
        <v>2.7690000000000001</v>
      </c>
      <c r="AU292" s="1">
        <f t="shared" si="35"/>
        <v>1.3500216529259954</v>
      </c>
      <c r="AV292" s="1">
        <f t="shared" si="36"/>
        <v>0.97048313091218064</v>
      </c>
      <c r="AW292" s="1">
        <f t="shared" si="37"/>
        <v>0.59094460889836598</v>
      </c>
    </row>
    <row r="293" spans="1:49" x14ac:dyDescent="0.2">
      <c r="A293">
        <v>291</v>
      </c>
      <c r="B293" t="s">
        <v>7386</v>
      </c>
      <c r="C293" t="s">
        <v>7385</v>
      </c>
      <c r="D293" t="s">
        <v>7384</v>
      </c>
      <c r="F293" t="s">
        <v>7383</v>
      </c>
      <c r="G293" t="s">
        <v>6</v>
      </c>
      <c r="H293" t="s">
        <v>5</v>
      </c>
      <c r="I293" t="s">
        <v>973</v>
      </c>
      <c r="J293">
        <v>60013959</v>
      </c>
      <c r="K293" t="s">
        <v>972</v>
      </c>
      <c r="L293" t="s">
        <v>158</v>
      </c>
      <c r="M293" t="s">
        <v>3</v>
      </c>
      <c r="N293">
        <v>2</v>
      </c>
      <c r="O293" t="s">
        <v>7382</v>
      </c>
      <c r="P293" t="s">
        <v>7381</v>
      </c>
      <c r="Q293" t="s">
        <v>7380</v>
      </c>
      <c r="R293" s="7">
        <v>37196</v>
      </c>
      <c r="S293" s="8">
        <f t="shared" si="32"/>
        <v>2001</v>
      </c>
      <c r="T293" s="8">
        <v>2001</v>
      </c>
      <c r="U293" s="8">
        <f t="shared" si="33"/>
        <v>21</v>
      </c>
      <c r="V293" s="7">
        <v>37196</v>
      </c>
      <c r="W293" t="s">
        <v>834</v>
      </c>
      <c r="X293" s="2">
        <v>0.81499999999999995</v>
      </c>
      <c r="Y293" s="6">
        <f t="shared" si="38"/>
        <v>2.1755959531245827E-2</v>
      </c>
      <c r="AA293">
        <v>10709908</v>
      </c>
      <c r="AB293">
        <v>17316</v>
      </c>
      <c r="AD293" t="s">
        <v>1</v>
      </c>
      <c r="AE293">
        <v>8</v>
      </c>
      <c r="AF293">
        <v>11</v>
      </c>
      <c r="AH293" t="s">
        <v>216</v>
      </c>
      <c r="AI293" t="s">
        <v>7379</v>
      </c>
      <c r="AJ293" t="s">
        <v>7378</v>
      </c>
      <c r="AK293" t="s">
        <v>7377</v>
      </c>
      <c r="AL293">
        <v>78</v>
      </c>
      <c r="AM293" s="5">
        <f t="shared" si="34"/>
        <v>3.7142857142857144</v>
      </c>
      <c r="AN293" s="4">
        <f t="shared" si="39"/>
        <v>5.6255747281873754E-3</v>
      </c>
      <c r="AO293" s="3"/>
      <c r="AP293">
        <v>0</v>
      </c>
      <c r="AQ293" t="s">
        <v>21</v>
      </c>
      <c r="AR293" t="s">
        <v>2951</v>
      </c>
      <c r="AS293" t="s">
        <v>20</v>
      </c>
      <c r="AT293" s="2">
        <v>3.109</v>
      </c>
      <c r="AU293" s="1">
        <f t="shared" si="35"/>
        <v>1.6916844090328291</v>
      </c>
      <c r="AV293" s="1">
        <f t="shared" si="36"/>
        <v>1.3690767129716601</v>
      </c>
      <c r="AW293" s="1">
        <f t="shared" si="37"/>
        <v>1.0464690169104909</v>
      </c>
    </row>
    <row r="294" spans="1:49" x14ac:dyDescent="0.2">
      <c r="A294">
        <v>292</v>
      </c>
      <c r="B294" t="s">
        <v>7376</v>
      </c>
      <c r="C294" t="s">
        <v>7375</v>
      </c>
      <c r="E294">
        <v>11673842</v>
      </c>
      <c r="F294" t="s">
        <v>7374</v>
      </c>
      <c r="G294" t="s">
        <v>6</v>
      </c>
      <c r="H294" t="s">
        <v>5</v>
      </c>
      <c r="I294" t="s">
        <v>7373</v>
      </c>
      <c r="J294">
        <v>60027245</v>
      </c>
      <c r="K294" t="s">
        <v>7372</v>
      </c>
      <c r="L294" t="s">
        <v>7371</v>
      </c>
      <c r="M294" t="s">
        <v>87</v>
      </c>
      <c r="N294">
        <v>4</v>
      </c>
      <c r="O294" t="s">
        <v>7370</v>
      </c>
      <c r="P294" t="s">
        <v>7369</v>
      </c>
      <c r="Q294" t="s">
        <v>7368</v>
      </c>
      <c r="R294" s="7">
        <v>37196</v>
      </c>
      <c r="S294" s="8">
        <f t="shared" si="32"/>
        <v>2001</v>
      </c>
      <c r="T294" s="8">
        <v>2001</v>
      </c>
      <c r="U294" s="8">
        <f t="shared" si="33"/>
        <v>21</v>
      </c>
      <c r="V294" s="7">
        <v>37196</v>
      </c>
      <c r="W294" t="s">
        <v>3152</v>
      </c>
      <c r="X294" s="2">
        <v>0.57599999999999996</v>
      </c>
      <c r="Y294" s="6">
        <f t="shared" si="38"/>
        <v>1.5375991030671898E-2</v>
      </c>
      <c r="AA294">
        <v>7394462</v>
      </c>
      <c r="AB294">
        <v>19155</v>
      </c>
      <c r="AD294" t="s">
        <v>1</v>
      </c>
      <c r="AE294">
        <v>48</v>
      </c>
      <c r="AF294">
        <v>3</v>
      </c>
      <c r="AH294" t="s">
        <v>615</v>
      </c>
      <c r="AI294" t="s">
        <v>7367</v>
      </c>
      <c r="AJ294" t="s">
        <v>7366</v>
      </c>
      <c r="AK294" t="s">
        <v>7365</v>
      </c>
      <c r="AL294">
        <v>115</v>
      </c>
      <c r="AM294" s="5">
        <f t="shared" si="34"/>
        <v>5.4761904761904763</v>
      </c>
      <c r="AN294" s="4">
        <f t="shared" si="39"/>
        <v>8.2941165864301048E-3</v>
      </c>
      <c r="AO294" s="3"/>
      <c r="AP294">
        <v>0</v>
      </c>
      <c r="AR294" t="s">
        <v>0</v>
      </c>
      <c r="AT294" s="2" t="s">
        <v>7</v>
      </c>
      <c r="AU294" s="1">
        <f t="shared" si="35"/>
        <v>1.3251428697399359</v>
      </c>
      <c r="AV294" s="1">
        <f t="shared" si="36"/>
        <v>1.1835053808551002</v>
      </c>
      <c r="AW294" s="1">
        <f t="shared" si="37"/>
        <v>1.0418678919702642</v>
      </c>
    </row>
    <row r="295" spans="1:49" x14ac:dyDescent="0.2">
      <c r="A295">
        <v>293</v>
      </c>
      <c r="B295" t="s">
        <v>7364</v>
      </c>
      <c r="C295" t="s">
        <v>7363</v>
      </c>
      <c r="D295" t="s">
        <v>7362</v>
      </c>
      <c r="F295" t="s">
        <v>7361</v>
      </c>
      <c r="G295" t="s">
        <v>6</v>
      </c>
      <c r="H295" t="s">
        <v>5</v>
      </c>
      <c r="I295" t="s">
        <v>7360</v>
      </c>
      <c r="J295" t="s">
        <v>7359</v>
      </c>
      <c r="K295" t="s">
        <v>7358</v>
      </c>
      <c r="L295" t="s">
        <v>7357</v>
      </c>
      <c r="M295" t="s">
        <v>438</v>
      </c>
      <c r="N295">
        <v>3</v>
      </c>
      <c r="O295" t="s">
        <v>7356</v>
      </c>
      <c r="P295" t="s">
        <v>7355</v>
      </c>
      <c r="Q295" t="s">
        <v>7354</v>
      </c>
      <c r="R295" s="7">
        <v>37196</v>
      </c>
      <c r="S295" s="8">
        <f t="shared" si="32"/>
        <v>2001</v>
      </c>
      <c r="T295" s="8">
        <v>2001</v>
      </c>
      <c r="U295" s="8">
        <f t="shared" si="33"/>
        <v>21</v>
      </c>
      <c r="V295" s="7">
        <v>37196</v>
      </c>
      <c r="W295" t="s">
        <v>389</v>
      </c>
      <c r="X295" s="2">
        <v>0.94</v>
      </c>
      <c r="Y295" s="6">
        <f t="shared" si="38"/>
        <v>2.5092763140332611E-2</v>
      </c>
      <c r="AA295">
        <v>15311309</v>
      </c>
      <c r="AB295">
        <v>17295</v>
      </c>
      <c r="AD295" t="s">
        <v>1</v>
      </c>
      <c r="AE295">
        <v>11</v>
      </c>
      <c r="AF295">
        <v>11</v>
      </c>
      <c r="AH295" t="s">
        <v>7353</v>
      </c>
      <c r="AI295" t="s">
        <v>7352</v>
      </c>
      <c r="AJ295" t="s">
        <v>7351</v>
      </c>
      <c r="AK295" t="s">
        <v>7350</v>
      </c>
      <c r="AL295">
        <v>19</v>
      </c>
      <c r="AM295" s="5">
        <f t="shared" si="34"/>
        <v>0.90476190476190477</v>
      </c>
      <c r="AN295" s="4">
        <f t="shared" si="39"/>
        <v>1.3703323055841042E-3</v>
      </c>
      <c r="AO295" s="3"/>
      <c r="AP295">
        <v>0</v>
      </c>
      <c r="AR295" t="s">
        <v>0</v>
      </c>
      <c r="AT295" s="2" t="s">
        <v>7</v>
      </c>
      <c r="AU295" s="1">
        <f t="shared" si="35"/>
        <v>1.7976033889908059</v>
      </c>
      <c r="AV295" s="1">
        <f t="shared" si="36"/>
        <v>1.3231547722958359</v>
      </c>
      <c r="AW295" s="1">
        <f t="shared" si="37"/>
        <v>0.8487061556008656</v>
      </c>
    </row>
    <row r="296" spans="1:49" x14ac:dyDescent="0.2">
      <c r="A296">
        <v>294</v>
      </c>
      <c r="B296" t="s">
        <v>7349</v>
      </c>
      <c r="C296" t="s">
        <v>7348</v>
      </c>
      <c r="D296" t="s">
        <v>7347</v>
      </c>
      <c r="F296" t="s">
        <v>7346</v>
      </c>
      <c r="G296" t="s">
        <v>6</v>
      </c>
      <c r="H296" t="s">
        <v>5</v>
      </c>
      <c r="I296" t="s">
        <v>7345</v>
      </c>
      <c r="J296" t="s">
        <v>7344</v>
      </c>
      <c r="K296" t="s">
        <v>7343</v>
      </c>
      <c r="L296" t="s">
        <v>7342</v>
      </c>
      <c r="M296" t="s">
        <v>7341</v>
      </c>
      <c r="N296">
        <v>3</v>
      </c>
      <c r="O296" t="s">
        <v>7340</v>
      </c>
      <c r="P296" t="s">
        <v>7339</v>
      </c>
      <c r="Q296" t="s">
        <v>7338</v>
      </c>
      <c r="R296" s="7">
        <v>37196</v>
      </c>
      <c r="S296" s="8">
        <f t="shared" si="32"/>
        <v>2001</v>
      </c>
      <c r="T296" s="8">
        <v>2001</v>
      </c>
      <c r="U296" s="8">
        <f t="shared" si="33"/>
        <v>21</v>
      </c>
      <c r="V296" s="7">
        <v>37196</v>
      </c>
      <c r="W296" t="s">
        <v>204</v>
      </c>
      <c r="X296" s="2">
        <v>1.365</v>
      </c>
      <c r="Y296" s="6">
        <f t="shared" si="38"/>
        <v>3.6437895411227675E-2</v>
      </c>
      <c r="AA296">
        <v>189545</v>
      </c>
      <c r="AB296">
        <v>17393</v>
      </c>
      <c r="AD296" t="s">
        <v>1</v>
      </c>
      <c r="AE296">
        <v>50</v>
      </c>
      <c r="AF296">
        <v>6</v>
      </c>
      <c r="AH296" t="s">
        <v>7337</v>
      </c>
      <c r="AI296" t="s">
        <v>7336</v>
      </c>
      <c r="AJ296" t="s">
        <v>7335</v>
      </c>
      <c r="AK296" t="s">
        <v>7334</v>
      </c>
      <c r="AL296">
        <v>44</v>
      </c>
      <c r="AM296" s="5">
        <f t="shared" si="34"/>
        <v>2.0952380952380953</v>
      </c>
      <c r="AN296" s="4">
        <f t="shared" si="39"/>
        <v>3.1734011287210834E-3</v>
      </c>
      <c r="AO296" s="3"/>
      <c r="AP296">
        <v>0</v>
      </c>
      <c r="AR296" t="s">
        <v>0</v>
      </c>
      <c r="AT296" s="2" t="s">
        <v>7</v>
      </c>
      <c r="AU296" s="1">
        <f t="shared" si="35"/>
        <v>2.6458547126475693</v>
      </c>
      <c r="AV296" s="1">
        <f t="shared" si="36"/>
        <v>1.9805648269974379</v>
      </c>
      <c r="AW296" s="1">
        <f t="shared" si="37"/>
        <v>1.3152749413473059</v>
      </c>
    </row>
    <row r="297" spans="1:49" x14ac:dyDescent="0.2">
      <c r="A297">
        <v>295</v>
      </c>
      <c r="B297" t="s">
        <v>7333</v>
      </c>
      <c r="C297" t="s">
        <v>7332</v>
      </c>
      <c r="D297" t="s">
        <v>7331</v>
      </c>
      <c r="F297" t="s">
        <v>7330</v>
      </c>
      <c r="G297" t="s">
        <v>6</v>
      </c>
      <c r="H297" t="s">
        <v>5</v>
      </c>
      <c r="I297" t="s">
        <v>7329</v>
      </c>
      <c r="J297" t="s">
        <v>7328</v>
      </c>
      <c r="K297" t="s">
        <v>7327</v>
      </c>
      <c r="L297" t="s">
        <v>7326</v>
      </c>
      <c r="M297" t="s">
        <v>174</v>
      </c>
      <c r="N297">
        <v>2</v>
      </c>
      <c r="O297" t="s">
        <v>7325</v>
      </c>
      <c r="P297" t="s">
        <v>7324</v>
      </c>
      <c r="Q297" t="s">
        <v>7323</v>
      </c>
      <c r="R297" s="7">
        <v>37196</v>
      </c>
      <c r="S297" s="8">
        <f t="shared" si="32"/>
        <v>2001</v>
      </c>
      <c r="T297" s="8">
        <v>2001</v>
      </c>
      <c r="U297" s="8">
        <f t="shared" si="33"/>
        <v>21</v>
      </c>
      <c r="V297" s="7">
        <v>37196</v>
      </c>
      <c r="W297" t="s">
        <v>389</v>
      </c>
      <c r="X297" s="2">
        <v>0.94</v>
      </c>
      <c r="Y297" s="6">
        <f t="shared" si="38"/>
        <v>2.5092763140332611E-2</v>
      </c>
      <c r="AA297">
        <v>15311309</v>
      </c>
      <c r="AB297">
        <v>17295</v>
      </c>
      <c r="AD297" t="s">
        <v>1</v>
      </c>
      <c r="AE297">
        <v>11</v>
      </c>
      <c r="AF297">
        <v>11</v>
      </c>
      <c r="AH297" t="s">
        <v>7322</v>
      </c>
      <c r="AI297" t="s">
        <v>7321</v>
      </c>
      <c r="AJ297" t="s">
        <v>7320</v>
      </c>
      <c r="AK297" t="s">
        <v>7319</v>
      </c>
      <c r="AL297">
        <v>17</v>
      </c>
      <c r="AM297" s="5">
        <f t="shared" si="34"/>
        <v>0.80952380952380953</v>
      </c>
      <c r="AN297" s="4">
        <f t="shared" si="39"/>
        <v>1.2260867997331457E-3</v>
      </c>
      <c r="AO297" s="3"/>
      <c r="AP297">
        <v>0</v>
      </c>
      <c r="AQ297" t="s">
        <v>468</v>
      </c>
      <c r="AR297" t="s">
        <v>0</v>
      </c>
      <c r="AS297" t="s">
        <v>467</v>
      </c>
      <c r="AT297" s="2" t="s">
        <v>7</v>
      </c>
      <c r="AU297" s="1">
        <f t="shared" si="35"/>
        <v>1.7932760238152772</v>
      </c>
      <c r="AV297" s="1">
        <f t="shared" si="36"/>
        <v>1.3159424970032878</v>
      </c>
      <c r="AW297" s="1">
        <f t="shared" si="37"/>
        <v>0.83860897019129854</v>
      </c>
    </row>
    <row r="298" spans="1:49" x14ac:dyDescent="0.2">
      <c r="A298">
        <v>296</v>
      </c>
      <c r="B298" t="s">
        <v>7318</v>
      </c>
      <c r="C298" t="s">
        <v>7317</v>
      </c>
      <c r="D298" t="s">
        <v>7316</v>
      </c>
      <c r="F298" t="s">
        <v>7315</v>
      </c>
      <c r="G298" t="s">
        <v>6</v>
      </c>
      <c r="H298" t="s">
        <v>5</v>
      </c>
      <c r="I298" t="s">
        <v>7314</v>
      </c>
      <c r="J298" t="s">
        <v>7313</v>
      </c>
      <c r="K298" t="s">
        <v>7312</v>
      </c>
      <c r="L298" t="s">
        <v>7311</v>
      </c>
      <c r="M298" t="s">
        <v>877</v>
      </c>
      <c r="N298">
        <v>3</v>
      </c>
      <c r="O298" t="s">
        <v>7310</v>
      </c>
      <c r="P298" t="s">
        <v>7309</v>
      </c>
      <c r="Q298" t="s">
        <v>7308</v>
      </c>
      <c r="R298" s="7">
        <v>37196</v>
      </c>
      <c r="S298" s="8">
        <f t="shared" si="32"/>
        <v>2001</v>
      </c>
      <c r="T298" s="8">
        <v>2001</v>
      </c>
      <c r="U298" s="8">
        <f t="shared" si="33"/>
        <v>21</v>
      </c>
      <c r="V298" s="7">
        <v>37196</v>
      </c>
      <c r="W298" t="s">
        <v>284</v>
      </c>
      <c r="X298" s="2">
        <v>1.468</v>
      </c>
      <c r="Y298" s="6">
        <f t="shared" si="38"/>
        <v>3.9187421585115186E-2</v>
      </c>
      <c r="AA298">
        <v>906778</v>
      </c>
      <c r="AB298">
        <v>18931</v>
      </c>
      <c r="AD298" t="s">
        <v>1</v>
      </c>
      <c r="AE298">
        <v>49</v>
      </c>
      <c r="AF298">
        <v>11</v>
      </c>
      <c r="AH298" t="s">
        <v>7307</v>
      </c>
      <c r="AI298" t="s">
        <v>7306</v>
      </c>
      <c r="AJ298" t="s">
        <v>7305</v>
      </c>
      <c r="AK298" t="s">
        <v>7304</v>
      </c>
      <c r="AL298">
        <v>32</v>
      </c>
      <c r="AM298" s="5">
        <f t="shared" si="34"/>
        <v>1.5238095238095237</v>
      </c>
      <c r="AN298" s="4">
        <f t="shared" si="39"/>
        <v>2.3079280936153333E-3</v>
      </c>
      <c r="AO298" s="3"/>
      <c r="AP298">
        <v>0</v>
      </c>
      <c r="AR298" t="s">
        <v>0</v>
      </c>
      <c r="AT298" s="2">
        <v>5.0830000000000002</v>
      </c>
      <c r="AU298" s="1">
        <f t="shared" si="35"/>
        <v>2.8123573537665227</v>
      </c>
      <c r="AV298" s="1">
        <f t="shared" si="36"/>
        <v>2.074767483936526</v>
      </c>
      <c r="AW298" s="1">
        <f t="shared" si="37"/>
        <v>1.337177614106529</v>
      </c>
    </row>
    <row r="299" spans="1:49" x14ac:dyDescent="0.2">
      <c r="A299">
        <v>297</v>
      </c>
      <c r="B299" t="s">
        <v>7303</v>
      </c>
      <c r="C299" t="s">
        <v>7302</v>
      </c>
      <c r="D299" t="s">
        <v>7301</v>
      </c>
      <c r="F299" t="s">
        <v>7300</v>
      </c>
      <c r="G299" t="s">
        <v>6</v>
      </c>
      <c r="H299" t="s">
        <v>5</v>
      </c>
      <c r="I299" t="s">
        <v>986</v>
      </c>
      <c r="J299" t="s">
        <v>7299</v>
      </c>
      <c r="K299" t="s">
        <v>7298</v>
      </c>
      <c r="L299" t="s">
        <v>7297</v>
      </c>
      <c r="M299" t="s">
        <v>429</v>
      </c>
      <c r="N299">
        <v>2</v>
      </c>
      <c r="O299" t="s">
        <v>7296</v>
      </c>
      <c r="P299" t="s">
        <v>7295</v>
      </c>
      <c r="Q299" t="s">
        <v>7294</v>
      </c>
      <c r="R299" s="7">
        <v>37196</v>
      </c>
      <c r="S299" s="8">
        <f t="shared" si="32"/>
        <v>2001</v>
      </c>
      <c r="T299" s="8">
        <v>2001</v>
      </c>
      <c r="U299" s="8">
        <f t="shared" si="33"/>
        <v>21</v>
      </c>
      <c r="V299" s="7">
        <v>37196</v>
      </c>
      <c r="W299" t="s">
        <v>204</v>
      </c>
      <c r="X299" s="2">
        <v>1.365</v>
      </c>
      <c r="Y299" s="6">
        <f t="shared" si="38"/>
        <v>3.6437895411227675E-2</v>
      </c>
      <c r="AA299">
        <v>189545</v>
      </c>
      <c r="AB299">
        <v>17393</v>
      </c>
      <c r="AD299" t="s">
        <v>1</v>
      </c>
      <c r="AE299">
        <v>50</v>
      </c>
      <c r="AF299">
        <v>6</v>
      </c>
      <c r="AH299" t="s">
        <v>7293</v>
      </c>
      <c r="AI299" t="s">
        <v>7292</v>
      </c>
      <c r="AJ299" t="s">
        <v>7291</v>
      </c>
      <c r="AK299" t="s">
        <v>7290</v>
      </c>
      <c r="AL299">
        <v>0</v>
      </c>
      <c r="AM299" s="5">
        <f t="shared" si="34"/>
        <v>0</v>
      </c>
      <c r="AN299" s="4">
        <f t="shared" si="39"/>
        <v>0</v>
      </c>
      <c r="AO299" s="3"/>
      <c r="AP299">
        <v>0</v>
      </c>
      <c r="AQ299" t="s">
        <v>7289</v>
      </c>
      <c r="AR299" t="s">
        <v>0</v>
      </c>
      <c r="AS299" t="s">
        <v>7288</v>
      </c>
      <c r="AT299" s="2" t="s">
        <v>7</v>
      </c>
      <c r="AU299" s="1">
        <f t="shared" si="35"/>
        <v>2.5506526787859372</v>
      </c>
      <c r="AV299" s="1">
        <f t="shared" si="36"/>
        <v>1.8218947705613837</v>
      </c>
      <c r="AW299" s="1">
        <f t="shared" si="37"/>
        <v>1.0931368623368303</v>
      </c>
    </row>
    <row r="300" spans="1:49" x14ac:dyDescent="0.2">
      <c r="A300">
        <v>298</v>
      </c>
      <c r="B300" t="s">
        <v>7287</v>
      </c>
      <c r="C300" t="s">
        <v>7286</v>
      </c>
      <c r="F300" t="s">
        <v>7285</v>
      </c>
      <c r="G300" t="s">
        <v>6</v>
      </c>
      <c r="H300" t="s">
        <v>5</v>
      </c>
      <c r="I300" t="s">
        <v>7284</v>
      </c>
      <c r="J300">
        <v>60027950</v>
      </c>
      <c r="K300" t="s">
        <v>7283</v>
      </c>
      <c r="L300" t="s">
        <v>323</v>
      </c>
      <c r="M300" t="s">
        <v>3</v>
      </c>
      <c r="N300">
        <v>1</v>
      </c>
      <c r="O300" t="s">
        <v>7282</v>
      </c>
      <c r="P300">
        <v>7006189167</v>
      </c>
      <c r="Q300">
        <v>60027950</v>
      </c>
      <c r="R300" s="7">
        <v>37196</v>
      </c>
      <c r="S300" s="8">
        <f t="shared" si="32"/>
        <v>2001</v>
      </c>
      <c r="T300" s="8">
        <v>2001</v>
      </c>
      <c r="U300" s="8">
        <f t="shared" si="33"/>
        <v>21</v>
      </c>
      <c r="V300" s="7">
        <v>37196</v>
      </c>
      <c r="W300" t="s">
        <v>280</v>
      </c>
      <c r="X300" s="2">
        <v>2.823</v>
      </c>
      <c r="Y300" s="6">
        <f t="shared" si="38"/>
        <v>7.5358372707615917E-2</v>
      </c>
      <c r="AA300">
        <v>1636804</v>
      </c>
      <c r="AB300">
        <v>17249</v>
      </c>
      <c r="AD300" t="s">
        <v>1</v>
      </c>
      <c r="AE300">
        <v>39</v>
      </c>
      <c r="AF300">
        <v>11</v>
      </c>
      <c r="AH300" t="s">
        <v>7281</v>
      </c>
      <c r="AI300" t="s">
        <v>7280</v>
      </c>
      <c r="AK300" t="s">
        <v>7279</v>
      </c>
      <c r="AL300">
        <v>136</v>
      </c>
      <c r="AM300" s="5">
        <f t="shared" si="34"/>
        <v>6.4761904761904763</v>
      </c>
      <c r="AN300" s="4">
        <f t="shared" si="39"/>
        <v>9.8086943978651659E-3</v>
      </c>
      <c r="AO300" s="3"/>
      <c r="AP300">
        <v>0</v>
      </c>
      <c r="AR300" t="s">
        <v>0</v>
      </c>
      <c r="AT300" s="2">
        <v>9.6189999999999998</v>
      </c>
      <c r="AU300" s="1">
        <f t="shared" si="35"/>
        <v>5.5693469214690694</v>
      </c>
      <c r="AV300" s="1">
        <f t="shared" si="36"/>
        <v>4.2583533552740542</v>
      </c>
      <c r="AW300" s="1">
        <f t="shared" si="37"/>
        <v>2.9473597890790391</v>
      </c>
    </row>
    <row r="301" spans="1:49" x14ac:dyDescent="0.2">
      <c r="A301">
        <v>299</v>
      </c>
      <c r="B301" t="s">
        <v>7278</v>
      </c>
      <c r="C301" t="s">
        <v>7277</v>
      </c>
      <c r="F301" t="s">
        <v>7276</v>
      </c>
      <c r="G301" t="s">
        <v>6</v>
      </c>
      <c r="H301" t="s">
        <v>5</v>
      </c>
      <c r="I301" t="s">
        <v>7275</v>
      </c>
      <c r="J301">
        <v>60016418</v>
      </c>
      <c r="K301" t="s">
        <v>505</v>
      </c>
      <c r="L301" t="s">
        <v>504</v>
      </c>
      <c r="M301" t="s">
        <v>37</v>
      </c>
      <c r="N301">
        <v>5</v>
      </c>
      <c r="O301" t="s">
        <v>7274</v>
      </c>
      <c r="P301" t="s">
        <v>7273</v>
      </c>
      <c r="Q301" t="s">
        <v>503</v>
      </c>
      <c r="R301" s="7">
        <v>37196</v>
      </c>
      <c r="S301" s="8">
        <f t="shared" si="32"/>
        <v>2001</v>
      </c>
      <c r="T301" s="8">
        <v>2001</v>
      </c>
      <c r="U301" s="8">
        <f t="shared" si="33"/>
        <v>21</v>
      </c>
      <c r="V301" s="7">
        <v>37196</v>
      </c>
      <c r="W301" t="s">
        <v>833</v>
      </c>
      <c r="X301" s="2">
        <v>0.33800000000000002</v>
      </c>
      <c r="Y301" s="6">
        <f t="shared" si="38"/>
        <v>9.0227169589706634E-3</v>
      </c>
      <c r="AA301">
        <v>7372884</v>
      </c>
      <c r="AB301">
        <v>70506</v>
      </c>
      <c r="AD301" t="s">
        <v>1</v>
      </c>
      <c r="AE301">
        <v>19</v>
      </c>
      <c r="AF301">
        <v>6</v>
      </c>
      <c r="AH301" t="s">
        <v>7272</v>
      </c>
      <c r="AI301" t="s">
        <v>7271</v>
      </c>
      <c r="AJ301" t="s">
        <v>7270</v>
      </c>
      <c r="AK301" t="s">
        <v>7269</v>
      </c>
      <c r="AL301">
        <v>67</v>
      </c>
      <c r="AM301" s="5">
        <f t="shared" si="34"/>
        <v>3.1904761904761907</v>
      </c>
      <c r="AN301" s="4">
        <f t="shared" si="39"/>
        <v>4.8322244460071041E-3</v>
      </c>
      <c r="AO301" s="3"/>
      <c r="AP301">
        <v>0</v>
      </c>
      <c r="AR301" t="s">
        <v>0</v>
      </c>
      <c r="AT301" s="2" t="s">
        <v>7</v>
      </c>
      <c r="AU301" s="1">
        <f t="shared" si="35"/>
        <v>0.7765569205081595</v>
      </c>
      <c r="AV301" s="1">
        <f t="shared" si="36"/>
        <v>0.69274707024888837</v>
      </c>
      <c r="AW301" s="1">
        <f t="shared" si="37"/>
        <v>0.60893721998961714</v>
      </c>
    </row>
    <row r="302" spans="1:49" x14ac:dyDescent="0.2">
      <c r="A302">
        <v>300</v>
      </c>
      <c r="B302" t="s">
        <v>7268</v>
      </c>
      <c r="C302" t="s">
        <v>7267</v>
      </c>
      <c r="D302" t="s">
        <v>7266</v>
      </c>
      <c r="F302" t="s">
        <v>7265</v>
      </c>
      <c r="G302" t="s">
        <v>6</v>
      </c>
      <c r="H302" t="s">
        <v>5</v>
      </c>
      <c r="I302" t="s">
        <v>7264</v>
      </c>
      <c r="J302">
        <v>60005510</v>
      </c>
      <c r="K302" t="s">
        <v>315</v>
      </c>
      <c r="L302" t="s">
        <v>131</v>
      </c>
      <c r="M302" t="s">
        <v>130</v>
      </c>
      <c r="N302">
        <v>2</v>
      </c>
      <c r="O302" t="s">
        <v>7263</v>
      </c>
      <c r="P302" t="s">
        <v>7262</v>
      </c>
      <c r="Q302" t="s">
        <v>830</v>
      </c>
      <c r="R302" s="7">
        <v>37196</v>
      </c>
      <c r="S302" s="8">
        <f t="shared" si="32"/>
        <v>2001</v>
      </c>
      <c r="T302" s="8">
        <v>2001</v>
      </c>
      <c r="U302" s="8">
        <f t="shared" si="33"/>
        <v>21</v>
      </c>
      <c r="V302" s="7">
        <v>37196</v>
      </c>
      <c r="W302" t="s">
        <v>226</v>
      </c>
      <c r="X302" s="2">
        <v>1.6519999999999999</v>
      </c>
      <c r="Y302" s="6">
        <f t="shared" si="38"/>
        <v>4.409919649769093E-2</v>
      </c>
      <c r="AA302" t="s">
        <v>225</v>
      </c>
      <c r="AB302">
        <v>17337</v>
      </c>
      <c r="AD302" t="s">
        <v>1</v>
      </c>
      <c r="AE302">
        <v>49</v>
      </c>
      <c r="AF302">
        <v>11</v>
      </c>
      <c r="AH302" t="s">
        <v>7261</v>
      </c>
      <c r="AI302" t="s">
        <v>7260</v>
      </c>
      <c r="AJ302" t="s">
        <v>7259</v>
      </c>
      <c r="AK302" t="s">
        <v>7258</v>
      </c>
      <c r="AL302">
        <v>3</v>
      </c>
      <c r="AM302" s="5">
        <f t="shared" si="34"/>
        <v>0.14285714285714285</v>
      </c>
      <c r="AN302" s="4">
        <f t="shared" si="39"/>
        <v>2.1636825877643749E-4</v>
      </c>
      <c r="AO302" s="3"/>
      <c r="AP302">
        <v>0</v>
      </c>
      <c r="AR302" t="s">
        <v>0</v>
      </c>
      <c r="AT302" s="2" t="s">
        <v>7</v>
      </c>
      <c r="AU302" s="1">
        <f t="shared" si="35"/>
        <v>3.0934348026016583</v>
      </c>
      <c r="AV302" s="1">
        <f t="shared" si="36"/>
        <v>2.2157782378233684</v>
      </c>
      <c r="AW302" s="1">
        <f t="shared" si="37"/>
        <v>1.3381216730450785</v>
      </c>
    </row>
    <row r="303" spans="1:49" x14ac:dyDescent="0.2">
      <c r="A303">
        <v>301</v>
      </c>
      <c r="B303" t="s">
        <v>7257</v>
      </c>
      <c r="C303" t="s">
        <v>7256</v>
      </c>
      <c r="F303" t="s">
        <v>7255</v>
      </c>
      <c r="G303" t="s">
        <v>6</v>
      </c>
      <c r="H303" t="s">
        <v>5</v>
      </c>
      <c r="I303" t="s">
        <v>979</v>
      </c>
      <c r="J303" t="s">
        <v>7254</v>
      </c>
      <c r="K303" t="s">
        <v>7253</v>
      </c>
      <c r="L303" t="s">
        <v>7252</v>
      </c>
      <c r="M303" t="s">
        <v>7251</v>
      </c>
      <c r="N303">
        <v>3</v>
      </c>
      <c r="O303" t="s">
        <v>7250</v>
      </c>
      <c r="P303" t="s">
        <v>7249</v>
      </c>
      <c r="Q303" t="s">
        <v>7248</v>
      </c>
      <c r="R303" s="7">
        <v>37196</v>
      </c>
      <c r="S303" s="8">
        <f t="shared" si="32"/>
        <v>2001</v>
      </c>
      <c r="T303" s="8">
        <v>2001</v>
      </c>
      <c r="U303" s="8">
        <f t="shared" si="33"/>
        <v>21</v>
      </c>
      <c r="V303" s="7">
        <v>37196</v>
      </c>
      <c r="W303" t="s">
        <v>888</v>
      </c>
      <c r="X303" s="2">
        <v>0.39600000000000002</v>
      </c>
      <c r="Y303" s="6">
        <f t="shared" si="38"/>
        <v>1.0570993833586931E-2</v>
      </c>
      <c r="AA303">
        <v>8858985</v>
      </c>
      <c r="AB303">
        <v>25993</v>
      </c>
      <c r="AD303" t="s">
        <v>1</v>
      </c>
      <c r="AE303">
        <v>16</v>
      </c>
      <c r="AF303">
        <v>11</v>
      </c>
      <c r="AH303" t="s">
        <v>7247</v>
      </c>
      <c r="AI303" t="s">
        <v>7246</v>
      </c>
      <c r="AK303" t="s">
        <v>7245</v>
      </c>
      <c r="AL303">
        <v>0</v>
      </c>
      <c r="AM303" s="5">
        <f t="shared" si="34"/>
        <v>0</v>
      </c>
      <c r="AN303" s="4">
        <f t="shared" si="39"/>
        <v>0</v>
      </c>
      <c r="AO303" s="3"/>
      <c r="AP303">
        <v>0</v>
      </c>
      <c r="AR303" t="s">
        <v>0</v>
      </c>
      <c r="AT303" s="2" t="s">
        <v>7</v>
      </c>
      <c r="AU303" s="1">
        <f t="shared" si="35"/>
        <v>0.73996956835108518</v>
      </c>
      <c r="AV303" s="1">
        <f t="shared" si="36"/>
        <v>0.52854969167934651</v>
      </c>
      <c r="AW303" s="1">
        <f t="shared" si="37"/>
        <v>0.3171298150076079</v>
      </c>
    </row>
    <row r="304" spans="1:49" x14ac:dyDescent="0.2">
      <c r="A304">
        <v>302</v>
      </c>
      <c r="B304" t="s">
        <v>7244</v>
      </c>
      <c r="C304" t="s">
        <v>7243</v>
      </c>
      <c r="D304" t="s">
        <v>7242</v>
      </c>
      <c r="F304" t="s">
        <v>7241</v>
      </c>
      <c r="G304" t="s">
        <v>6</v>
      </c>
      <c r="H304" t="s">
        <v>5</v>
      </c>
      <c r="I304" t="s">
        <v>7240</v>
      </c>
      <c r="J304">
        <v>60014808</v>
      </c>
      <c r="K304" t="s">
        <v>7239</v>
      </c>
      <c r="L304" t="s">
        <v>431</v>
      </c>
      <c r="M304" t="s">
        <v>111</v>
      </c>
      <c r="N304">
        <v>2</v>
      </c>
      <c r="O304" t="s">
        <v>7238</v>
      </c>
      <c r="P304" t="s">
        <v>7237</v>
      </c>
      <c r="Q304" t="s">
        <v>7236</v>
      </c>
      <c r="R304" s="7">
        <v>37196</v>
      </c>
      <c r="S304" s="8">
        <f t="shared" si="32"/>
        <v>2001</v>
      </c>
      <c r="T304" s="8">
        <v>2001</v>
      </c>
      <c r="U304" s="8">
        <f t="shared" si="33"/>
        <v>21</v>
      </c>
      <c r="V304" s="7">
        <v>37196</v>
      </c>
      <c r="W304" t="s">
        <v>226</v>
      </c>
      <c r="X304" s="2">
        <v>1.6519999999999999</v>
      </c>
      <c r="Y304" s="6">
        <f t="shared" si="38"/>
        <v>4.409919649769093E-2</v>
      </c>
      <c r="AA304" t="s">
        <v>225</v>
      </c>
      <c r="AB304">
        <v>17337</v>
      </c>
      <c r="AD304" t="s">
        <v>1</v>
      </c>
      <c r="AE304">
        <v>49</v>
      </c>
      <c r="AF304">
        <v>11</v>
      </c>
      <c r="AH304" t="s">
        <v>7235</v>
      </c>
      <c r="AI304" t="s">
        <v>7234</v>
      </c>
      <c r="AJ304" t="s">
        <v>7233</v>
      </c>
      <c r="AK304" t="s">
        <v>7232</v>
      </c>
      <c r="AL304">
        <v>15</v>
      </c>
      <c r="AM304" s="5">
        <f t="shared" si="34"/>
        <v>0.7142857142857143</v>
      </c>
      <c r="AN304" s="4">
        <f t="shared" si="39"/>
        <v>1.0818412938821875E-3</v>
      </c>
      <c r="AO304" s="3"/>
      <c r="AP304">
        <v>0</v>
      </c>
      <c r="AR304" t="s">
        <v>0</v>
      </c>
      <c r="AT304" s="2" t="s">
        <v>7</v>
      </c>
      <c r="AU304" s="1">
        <f t="shared" si="35"/>
        <v>3.1193989936548308</v>
      </c>
      <c r="AV304" s="1">
        <f t="shared" si="36"/>
        <v>2.259051889578656</v>
      </c>
      <c r="AW304" s="1">
        <f t="shared" si="37"/>
        <v>1.3987047855024808</v>
      </c>
    </row>
    <row r="305" spans="1:49" x14ac:dyDescent="0.2">
      <c r="A305">
        <v>303</v>
      </c>
      <c r="B305" t="s">
        <v>7231</v>
      </c>
      <c r="C305" t="s">
        <v>7230</v>
      </c>
      <c r="D305" t="s">
        <v>7229</v>
      </c>
      <c r="F305" t="s">
        <v>7228</v>
      </c>
      <c r="G305" t="s">
        <v>6</v>
      </c>
      <c r="H305" t="s">
        <v>5</v>
      </c>
      <c r="I305" t="s">
        <v>7227</v>
      </c>
      <c r="J305">
        <v>60021859</v>
      </c>
      <c r="K305" t="s">
        <v>728</v>
      </c>
      <c r="L305" t="s">
        <v>727</v>
      </c>
      <c r="M305" t="s">
        <v>66</v>
      </c>
      <c r="N305">
        <v>4</v>
      </c>
      <c r="O305" t="s">
        <v>7226</v>
      </c>
      <c r="P305" t="s">
        <v>7225</v>
      </c>
      <c r="Q305" t="s">
        <v>7224</v>
      </c>
      <c r="R305" s="7">
        <v>37196</v>
      </c>
      <c r="S305" s="8">
        <f t="shared" si="32"/>
        <v>2001</v>
      </c>
      <c r="T305" s="8">
        <v>2001</v>
      </c>
      <c r="U305" s="8">
        <f t="shared" si="33"/>
        <v>21</v>
      </c>
      <c r="V305" s="7">
        <v>37196</v>
      </c>
      <c r="W305" t="s">
        <v>226</v>
      </c>
      <c r="X305" s="2">
        <v>1.6519999999999999</v>
      </c>
      <c r="Y305" s="6">
        <f t="shared" si="38"/>
        <v>4.409919649769093E-2</v>
      </c>
      <c r="AA305" t="s">
        <v>225</v>
      </c>
      <c r="AB305">
        <v>17337</v>
      </c>
      <c r="AD305" t="s">
        <v>1</v>
      </c>
      <c r="AE305">
        <v>49</v>
      </c>
      <c r="AF305">
        <v>11</v>
      </c>
      <c r="AH305" t="s">
        <v>7223</v>
      </c>
      <c r="AI305" t="s">
        <v>7222</v>
      </c>
      <c r="AJ305" t="s">
        <v>7221</v>
      </c>
      <c r="AK305" t="s">
        <v>7220</v>
      </c>
      <c r="AL305">
        <v>23</v>
      </c>
      <c r="AM305" s="5">
        <f t="shared" si="34"/>
        <v>1.0952380952380953</v>
      </c>
      <c r="AN305" s="4">
        <f t="shared" si="39"/>
        <v>1.658823317286021E-3</v>
      </c>
      <c r="AO305" s="3"/>
      <c r="AP305">
        <v>0</v>
      </c>
      <c r="AR305" t="s">
        <v>0</v>
      </c>
      <c r="AT305" s="2" t="s">
        <v>7</v>
      </c>
      <c r="AU305" s="1">
        <f t="shared" si="35"/>
        <v>3.1367084543569455</v>
      </c>
      <c r="AV305" s="1">
        <f t="shared" si="36"/>
        <v>2.2879009907488475</v>
      </c>
      <c r="AW305" s="1">
        <f t="shared" si="37"/>
        <v>1.4390935271407492</v>
      </c>
    </row>
    <row r="306" spans="1:49" x14ac:dyDescent="0.2">
      <c r="A306">
        <v>304</v>
      </c>
      <c r="B306" t="s">
        <v>7219</v>
      </c>
      <c r="C306" t="s">
        <v>7218</v>
      </c>
      <c r="F306" t="s">
        <v>7217</v>
      </c>
      <c r="G306" t="s">
        <v>6</v>
      </c>
      <c r="H306" t="s">
        <v>5</v>
      </c>
      <c r="I306" t="s">
        <v>7216</v>
      </c>
      <c r="J306">
        <v>60103653</v>
      </c>
      <c r="K306" t="s">
        <v>291</v>
      </c>
      <c r="L306" t="s">
        <v>146</v>
      </c>
      <c r="M306" t="s">
        <v>145</v>
      </c>
      <c r="N306">
        <v>3</v>
      </c>
      <c r="O306" t="s">
        <v>7215</v>
      </c>
      <c r="P306" t="s">
        <v>7214</v>
      </c>
      <c r="Q306" t="s">
        <v>832</v>
      </c>
      <c r="R306" s="7">
        <v>37196</v>
      </c>
      <c r="S306" s="8">
        <f t="shared" si="32"/>
        <v>2001</v>
      </c>
      <c r="T306" s="8">
        <v>2001</v>
      </c>
      <c r="U306" s="8">
        <f t="shared" si="33"/>
        <v>21</v>
      </c>
      <c r="V306" s="7">
        <v>37196</v>
      </c>
      <c r="W306" t="s">
        <v>888</v>
      </c>
      <c r="X306" s="2">
        <v>0.39600000000000002</v>
      </c>
      <c r="Y306" s="6">
        <f t="shared" si="38"/>
        <v>1.0570993833586931E-2</v>
      </c>
      <c r="AA306">
        <v>8858985</v>
      </c>
      <c r="AB306">
        <v>25993</v>
      </c>
      <c r="AD306" t="s">
        <v>1</v>
      </c>
      <c r="AE306">
        <v>16</v>
      </c>
      <c r="AF306">
        <v>11</v>
      </c>
      <c r="AH306" t="s">
        <v>7213</v>
      </c>
      <c r="AI306" t="s">
        <v>7212</v>
      </c>
      <c r="AK306" t="s">
        <v>7211</v>
      </c>
      <c r="AL306">
        <v>5</v>
      </c>
      <c r="AM306" s="5">
        <f t="shared" si="34"/>
        <v>0.23809523809523808</v>
      </c>
      <c r="AN306" s="4">
        <f t="shared" si="39"/>
        <v>3.6061376462739582E-4</v>
      </c>
      <c r="AO306" s="3"/>
      <c r="AP306">
        <v>0</v>
      </c>
      <c r="AR306" t="s">
        <v>0</v>
      </c>
      <c r="AT306" s="2" t="s">
        <v>7</v>
      </c>
      <c r="AU306" s="1">
        <f t="shared" si="35"/>
        <v>0.75078798128990709</v>
      </c>
      <c r="AV306" s="1">
        <f t="shared" si="36"/>
        <v>0.54658037991071629</v>
      </c>
      <c r="AW306" s="1">
        <f t="shared" si="37"/>
        <v>0.34237277853152559</v>
      </c>
    </row>
    <row r="307" spans="1:49" x14ac:dyDescent="0.2">
      <c r="A307">
        <v>305</v>
      </c>
      <c r="B307" t="s">
        <v>7210</v>
      </c>
      <c r="C307" t="s">
        <v>7209</v>
      </c>
      <c r="D307" t="s">
        <v>7208</v>
      </c>
      <c r="F307" t="s">
        <v>7207</v>
      </c>
      <c r="G307" t="s">
        <v>6</v>
      </c>
      <c r="H307" t="s">
        <v>5</v>
      </c>
      <c r="I307" t="s">
        <v>7206</v>
      </c>
      <c r="J307">
        <v>60024872</v>
      </c>
      <c r="K307" t="s">
        <v>798</v>
      </c>
      <c r="L307" t="s">
        <v>324</v>
      </c>
      <c r="M307" t="s">
        <v>76</v>
      </c>
      <c r="N307">
        <v>2</v>
      </c>
      <c r="O307" t="s">
        <v>7205</v>
      </c>
      <c r="P307" t="s">
        <v>7204</v>
      </c>
      <c r="Q307" t="s">
        <v>7203</v>
      </c>
      <c r="R307" s="7">
        <v>37196</v>
      </c>
      <c r="S307" s="8">
        <f t="shared" si="32"/>
        <v>2001</v>
      </c>
      <c r="T307" s="8">
        <v>2001</v>
      </c>
      <c r="U307" s="8">
        <f t="shared" si="33"/>
        <v>21</v>
      </c>
      <c r="V307" s="7">
        <v>37196</v>
      </c>
      <c r="W307" t="s">
        <v>103</v>
      </c>
      <c r="X307" s="2">
        <v>1.3720000000000001</v>
      </c>
      <c r="Y307" s="6">
        <f t="shared" si="38"/>
        <v>3.662475641333654E-2</v>
      </c>
      <c r="AA307">
        <v>189480</v>
      </c>
      <c r="AB307">
        <v>17366</v>
      </c>
      <c r="AD307" t="s">
        <v>1</v>
      </c>
      <c r="AE307">
        <v>49</v>
      </c>
      <c r="AF307">
        <v>11</v>
      </c>
      <c r="AH307" t="s">
        <v>7202</v>
      </c>
      <c r="AI307" t="s">
        <v>7201</v>
      </c>
      <c r="AJ307" t="s">
        <v>7200</v>
      </c>
      <c r="AK307" t="s">
        <v>7199</v>
      </c>
      <c r="AL307">
        <v>5</v>
      </c>
      <c r="AM307" s="5">
        <f t="shared" si="34"/>
        <v>0.23809523809523808</v>
      </c>
      <c r="AN307" s="4">
        <f t="shared" si="39"/>
        <v>3.6061376462739582E-4</v>
      </c>
      <c r="AO307" s="3"/>
      <c r="AP307">
        <v>0</v>
      </c>
      <c r="AQ307" t="s">
        <v>7198</v>
      </c>
      <c r="AR307" t="s">
        <v>0</v>
      </c>
      <c r="AS307" t="s">
        <v>4295</v>
      </c>
      <c r="AT307" s="2" t="s">
        <v>7</v>
      </c>
      <c r="AU307" s="1">
        <f t="shared" si="35"/>
        <v>2.5745513618723797</v>
      </c>
      <c r="AV307" s="1">
        <f t="shared" si="36"/>
        <v>1.8492685088981968</v>
      </c>
      <c r="AW307" s="1">
        <f t="shared" si="37"/>
        <v>1.123985655924014</v>
      </c>
    </row>
    <row r="308" spans="1:49" x14ac:dyDescent="0.2">
      <c r="A308">
        <v>306</v>
      </c>
      <c r="B308" t="s">
        <v>7197</v>
      </c>
      <c r="C308" t="s">
        <v>7196</v>
      </c>
      <c r="D308" t="s">
        <v>7195</v>
      </c>
      <c r="F308" t="s">
        <v>7194</v>
      </c>
      <c r="G308" t="s">
        <v>6</v>
      </c>
      <c r="H308" t="s">
        <v>5</v>
      </c>
      <c r="I308" t="s">
        <v>7193</v>
      </c>
      <c r="J308" t="s">
        <v>7192</v>
      </c>
      <c r="K308" t="s">
        <v>7191</v>
      </c>
      <c r="L308" t="s">
        <v>7190</v>
      </c>
      <c r="M308" t="s">
        <v>14</v>
      </c>
      <c r="N308">
        <v>3</v>
      </c>
      <c r="O308" t="s">
        <v>7189</v>
      </c>
      <c r="P308" t="s">
        <v>7188</v>
      </c>
      <c r="Q308" t="s">
        <v>7187</v>
      </c>
      <c r="R308" s="7">
        <v>37196</v>
      </c>
      <c r="S308" s="8">
        <f t="shared" si="32"/>
        <v>2001</v>
      </c>
      <c r="T308" s="8">
        <v>2001</v>
      </c>
      <c r="U308" s="8">
        <f t="shared" si="33"/>
        <v>21</v>
      </c>
      <c r="V308" s="7">
        <v>37196</v>
      </c>
      <c r="W308" t="s">
        <v>252</v>
      </c>
      <c r="X308" s="2">
        <v>2.9860000000000002</v>
      </c>
      <c r="Y308" s="6">
        <f t="shared" si="38"/>
        <v>7.9709564613865094E-2</v>
      </c>
      <c r="AA308">
        <v>7338716</v>
      </c>
      <c r="AB308">
        <v>18902</v>
      </c>
      <c r="AD308" t="s">
        <v>1</v>
      </c>
      <c r="AE308">
        <v>19</v>
      </c>
      <c r="AF308">
        <v>11</v>
      </c>
      <c r="AH308" t="s">
        <v>7186</v>
      </c>
      <c r="AI308" t="s">
        <v>7185</v>
      </c>
      <c r="AJ308" t="s">
        <v>7184</v>
      </c>
      <c r="AK308" t="s">
        <v>7183</v>
      </c>
      <c r="AL308">
        <v>47</v>
      </c>
      <c r="AM308" s="5">
        <f t="shared" si="34"/>
        <v>2.2380952380952381</v>
      </c>
      <c r="AN308" s="4">
        <f t="shared" si="39"/>
        <v>3.389769387497521E-3</v>
      </c>
      <c r="AO308" s="3"/>
      <c r="AP308">
        <v>0</v>
      </c>
      <c r="AR308" t="s">
        <v>0</v>
      </c>
      <c r="AT308" s="2" t="s">
        <v>7</v>
      </c>
      <c r="AU308" s="1">
        <f t="shared" si="35"/>
        <v>5.6813626045954813</v>
      </c>
      <c r="AV308" s="1">
        <f t="shared" si="36"/>
        <v>4.1549667000681305</v>
      </c>
      <c r="AW308" s="1">
        <f t="shared" si="37"/>
        <v>2.6285707955407793</v>
      </c>
    </row>
    <row r="309" spans="1:49" x14ac:dyDescent="0.2">
      <c r="A309">
        <v>307</v>
      </c>
      <c r="B309" t="s">
        <v>7182</v>
      </c>
      <c r="C309" t="s">
        <v>7181</v>
      </c>
      <c r="D309" t="s">
        <v>7180</v>
      </c>
      <c r="F309" t="s">
        <v>7179</v>
      </c>
      <c r="G309" t="s">
        <v>6</v>
      </c>
      <c r="H309" t="s">
        <v>5</v>
      </c>
      <c r="I309" t="s">
        <v>7178</v>
      </c>
      <c r="J309">
        <v>60004935</v>
      </c>
      <c r="K309" t="s">
        <v>7177</v>
      </c>
      <c r="L309" t="s">
        <v>7176</v>
      </c>
      <c r="M309" t="s">
        <v>46</v>
      </c>
      <c r="N309">
        <v>2</v>
      </c>
      <c r="O309" t="s">
        <v>7175</v>
      </c>
      <c r="P309" t="s">
        <v>7174</v>
      </c>
      <c r="Q309" t="s">
        <v>7173</v>
      </c>
      <c r="R309" s="7">
        <v>37196</v>
      </c>
      <c r="S309" s="8">
        <f t="shared" si="32"/>
        <v>2001</v>
      </c>
      <c r="T309" s="8">
        <v>2001</v>
      </c>
      <c r="U309" s="8">
        <f t="shared" si="33"/>
        <v>21</v>
      </c>
      <c r="V309" s="7">
        <v>37196</v>
      </c>
      <c r="W309" t="s">
        <v>103</v>
      </c>
      <c r="X309" s="2">
        <v>1.3720000000000001</v>
      </c>
      <c r="Y309" s="6">
        <f t="shared" si="38"/>
        <v>3.662475641333654E-2</v>
      </c>
      <c r="AA309">
        <v>189480</v>
      </c>
      <c r="AB309">
        <v>17366</v>
      </c>
      <c r="AD309" t="s">
        <v>1</v>
      </c>
      <c r="AE309">
        <v>49</v>
      </c>
      <c r="AF309">
        <v>11</v>
      </c>
      <c r="AH309" t="s">
        <v>7172</v>
      </c>
      <c r="AI309" t="s">
        <v>7171</v>
      </c>
      <c r="AJ309" t="s">
        <v>7170</v>
      </c>
      <c r="AK309" t="s">
        <v>7169</v>
      </c>
      <c r="AL309">
        <v>3</v>
      </c>
      <c r="AM309" s="5">
        <f t="shared" si="34"/>
        <v>0.14285714285714285</v>
      </c>
      <c r="AN309" s="4">
        <f t="shared" si="39"/>
        <v>2.1636825877643749E-4</v>
      </c>
      <c r="AO309" s="3"/>
      <c r="AP309">
        <v>0</v>
      </c>
      <c r="AR309" t="s">
        <v>0</v>
      </c>
      <c r="AT309" s="2" t="s">
        <v>7</v>
      </c>
      <c r="AU309" s="1">
        <f t="shared" si="35"/>
        <v>2.5702239966968508</v>
      </c>
      <c r="AV309" s="1">
        <f t="shared" si="36"/>
        <v>1.842056233605649</v>
      </c>
      <c r="AW309" s="1">
        <f t="shared" si="37"/>
        <v>1.1138884705144469</v>
      </c>
    </row>
    <row r="310" spans="1:49" x14ac:dyDescent="0.2">
      <c r="A310">
        <v>308</v>
      </c>
      <c r="B310" t="s">
        <v>7168</v>
      </c>
      <c r="C310" t="s">
        <v>7167</v>
      </c>
      <c r="D310" t="s">
        <v>7166</v>
      </c>
      <c r="F310" t="s">
        <v>7165</v>
      </c>
      <c r="G310" t="s">
        <v>6</v>
      </c>
      <c r="H310" t="s">
        <v>5</v>
      </c>
      <c r="I310" t="s">
        <v>7164</v>
      </c>
      <c r="J310">
        <v>60019870</v>
      </c>
      <c r="K310" t="s">
        <v>7163</v>
      </c>
      <c r="L310" t="s">
        <v>7162</v>
      </c>
      <c r="M310" t="s">
        <v>223</v>
      </c>
      <c r="N310">
        <v>2</v>
      </c>
      <c r="O310" t="s">
        <v>7161</v>
      </c>
      <c r="P310" t="s">
        <v>7160</v>
      </c>
      <c r="Q310" t="s">
        <v>7159</v>
      </c>
      <c r="R310" s="7">
        <v>37196</v>
      </c>
      <c r="S310" s="8">
        <f t="shared" si="32"/>
        <v>2001</v>
      </c>
      <c r="T310" s="8">
        <v>2001</v>
      </c>
      <c r="U310" s="8">
        <f t="shared" si="33"/>
        <v>21</v>
      </c>
      <c r="V310" s="7">
        <v>37196</v>
      </c>
      <c r="W310" t="s">
        <v>103</v>
      </c>
      <c r="X310" s="2">
        <v>1.3720000000000001</v>
      </c>
      <c r="Y310" s="6">
        <f t="shared" si="38"/>
        <v>3.662475641333654E-2</v>
      </c>
      <c r="AA310">
        <v>189480</v>
      </c>
      <c r="AB310">
        <v>17366</v>
      </c>
      <c r="AD310" t="s">
        <v>1</v>
      </c>
      <c r="AE310">
        <v>49</v>
      </c>
      <c r="AF310">
        <v>11</v>
      </c>
      <c r="AH310" t="s">
        <v>7158</v>
      </c>
      <c r="AI310" t="s">
        <v>7157</v>
      </c>
      <c r="AJ310" t="s">
        <v>7156</v>
      </c>
      <c r="AK310" t="s">
        <v>7155</v>
      </c>
      <c r="AL310">
        <v>1</v>
      </c>
      <c r="AM310" s="5">
        <f t="shared" si="34"/>
        <v>4.7619047619047616E-2</v>
      </c>
      <c r="AN310" s="4">
        <f t="shared" si="39"/>
        <v>7.2122752925479164E-5</v>
      </c>
      <c r="AO310" s="3"/>
      <c r="AP310">
        <v>0</v>
      </c>
      <c r="AR310" t="s">
        <v>0</v>
      </c>
      <c r="AT310" s="2" t="s">
        <v>7</v>
      </c>
      <c r="AU310" s="1">
        <f t="shared" si="35"/>
        <v>2.5658966315213219</v>
      </c>
      <c r="AV310" s="1">
        <f t="shared" si="36"/>
        <v>1.8348439583131011</v>
      </c>
      <c r="AW310" s="1">
        <f t="shared" si="37"/>
        <v>1.1037912851048799</v>
      </c>
    </row>
    <row r="311" spans="1:49" x14ac:dyDescent="0.2">
      <c r="A311">
        <v>309</v>
      </c>
      <c r="B311" t="s">
        <v>7154</v>
      </c>
      <c r="C311" t="s">
        <v>7153</v>
      </c>
      <c r="D311" t="s">
        <v>7152</v>
      </c>
      <c r="F311" t="s">
        <v>7151</v>
      </c>
      <c r="G311" t="s">
        <v>6</v>
      </c>
      <c r="H311" t="s">
        <v>5</v>
      </c>
      <c r="I311" t="s">
        <v>7150</v>
      </c>
      <c r="J311">
        <v>60004956</v>
      </c>
      <c r="K311" t="s">
        <v>13</v>
      </c>
      <c r="L311" t="s">
        <v>12</v>
      </c>
      <c r="M311" t="s">
        <v>11</v>
      </c>
      <c r="N311">
        <v>2</v>
      </c>
      <c r="O311" t="s">
        <v>7149</v>
      </c>
      <c r="P311" t="s">
        <v>7148</v>
      </c>
      <c r="Q311" t="s">
        <v>7147</v>
      </c>
      <c r="R311" s="7">
        <v>37196</v>
      </c>
      <c r="S311" s="8">
        <f t="shared" si="32"/>
        <v>2001</v>
      </c>
      <c r="T311" s="8">
        <v>2001</v>
      </c>
      <c r="U311" s="8">
        <f t="shared" si="33"/>
        <v>21</v>
      </c>
      <c r="V311" s="7">
        <v>37196</v>
      </c>
      <c r="W311" t="s">
        <v>103</v>
      </c>
      <c r="X311" s="2">
        <v>1.3720000000000001</v>
      </c>
      <c r="Y311" s="6">
        <f t="shared" si="38"/>
        <v>3.662475641333654E-2</v>
      </c>
      <c r="AA311">
        <v>189480</v>
      </c>
      <c r="AB311">
        <v>17366</v>
      </c>
      <c r="AD311" t="s">
        <v>1</v>
      </c>
      <c r="AE311">
        <v>49</v>
      </c>
      <c r="AF311">
        <v>11</v>
      </c>
      <c r="AH311" t="s">
        <v>7146</v>
      </c>
      <c r="AI311" t="s">
        <v>7145</v>
      </c>
      <c r="AJ311" t="s">
        <v>7144</v>
      </c>
      <c r="AK311" t="s">
        <v>7143</v>
      </c>
      <c r="AL311">
        <v>30</v>
      </c>
      <c r="AM311" s="5">
        <f t="shared" si="34"/>
        <v>1.4285714285714286</v>
      </c>
      <c r="AN311" s="4">
        <f t="shared" si="39"/>
        <v>2.163682587764375E-3</v>
      </c>
      <c r="AO311" s="3"/>
      <c r="AP311">
        <v>0</v>
      </c>
      <c r="AQ311" t="s">
        <v>7142</v>
      </c>
      <c r="AR311" t="s">
        <v>7141</v>
      </c>
      <c r="AS311" t="s">
        <v>7140</v>
      </c>
      <c r="AT311" s="2" t="s">
        <v>7</v>
      </c>
      <c r="AU311" s="1">
        <f t="shared" si="35"/>
        <v>2.6286434265664886</v>
      </c>
      <c r="AV311" s="1">
        <f t="shared" si="36"/>
        <v>1.9394219500550456</v>
      </c>
      <c r="AW311" s="1">
        <f t="shared" si="37"/>
        <v>1.2502004735436025</v>
      </c>
    </row>
    <row r="312" spans="1:49" x14ac:dyDescent="0.2">
      <c r="A312">
        <v>310</v>
      </c>
      <c r="B312" t="s">
        <v>7139</v>
      </c>
      <c r="C312" t="s">
        <v>7138</v>
      </c>
      <c r="D312" t="s">
        <v>7137</v>
      </c>
      <c r="F312" t="s">
        <v>7136</v>
      </c>
      <c r="G312" t="s">
        <v>6</v>
      </c>
      <c r="H312" t="s">
        <v>5</v>
      </c>
      <c r="I312" t="s">
        <v>4088</v>
      </c>
      <c r="J312">
        <v>60025555</v>
      </c>
      <c r="K312" t="s">
        <v>93</v>
      </c>
      <c r="L312" t="s">
        <v>92</v>
      </c>
      <c r="M312" t="s">
        <v>26</v>
      </c>
      <c r="N312">
        <v>3</v>
      </c>
      <c r="O312" t="s">
        <v>7135</v>
      </c>
      <c r="P312" t="s">
        <v>7134</v>
      </c>
      <c r="Q312" t="s">
        <v>516</v>
      </c>
      <c r="R312" s="7">
        <v>37196</v>
      </c>
      <c r="S312" s="8">
        <f t="shared" si="32"/>
        <v>2001</v>
      </c>
      <c r="T312" s="8">
        <v>2001</v>
      </c>
      <c r="U312" s="8">
        <f t="shared" si="33"/>
        <v>21</v>
      </c>
      <c r="V312" s="7">
        <v>37196</v>
      </c>
      <c r="W312" t="s">
        <v>103</v>
      </c>
      <c r="X312" s="2">
        <v>1.3720000000000001</v>
      </c>
      <c r="Y312" s="6">
        <f t="shared" si="38"/>
        <v>3.662475641333654E-2</v>
      </c>
      <c r="AA312">
        <v>189480</v>
      </c>
      <c r="AB312">
        <v>17366</v>
      </c>
      <c r="AD312" t="s">
        <v>1</v>
      </c>
      <c r="AE312">
        <v>49</v>
      </c>
      <c r="AF312">
        <v>11</v>
      </c>
      <c r="AH312" t="s">
        <v>7133</v>
      </c>
      <c r="AI312" t="s">
        <v>7132</v>
      </c>
      <c r="AJ312" t="s">
        <v>7131</v>
      </c>
      <c r="AK312" t="s">
        <v>7130</v>
      </c>
      <c r="AL312">
        <v>72</v>
      </c>
      <c r="AM312" s="5">
        <f t="shared" si="34"/>
        <v>3.4285714285714284</v>
      </c>
      <c r="AN312" s="4">
        <f t="shared" si="39"/>
        <v>5.1928382106344994E-3</v>
      </c>
      <c r="AO312" s="3"/>
      <c r="AP312">
        <v>0</v>
      </c>
      <c r="AR312" t="s">
        <v>0</v>
      </c>
      <c r="AT312" s="2" t="s">
        <v>7</v>
      </c>
      <c r="AU312" s="1">
        <f t="shared" si="35"/>
        <v>2.7195180952525924</v>
      </c>
      <c r="AV312" s="1">
        <f t="shared" si="36"/>
        <v>2.0908797311985521</v>
      </c>
      <c r="AW312" s="1">
        <f t="shared" si="37"/>
        <v>1.4622413671445111</v>
      </c>
    </row>
    <row r="313" spans="1:49" x14ac:dyDescent="0.2">
      <c r="A313">
        <v>311</v>
      </c>
      <c r="B313" t="s">
        <v>7129</v>
      </c>
      <c r="C313" t="s">
        <v>7128</v>
      </c>
      <c r="D313" t="s">
        <v>7127</v>
      </c>
      <c r="F313" t="s">
        <v>7126</v>
      </c>
      <c r="G313" t="s">
        <v>6</v>
      </c>
      <c r="H313" t="s">
        <v>5</v>
      </c>
      <c r="I313" t="s">
        <v>7125</v>
      </c>
      <c r="J313" t="s">
        <v>7124</v>
      </c>
      <c r="K313" t="s">
        <v>7123</v>
      </c>
      <c r="L313" t="s">
        <v>7122</v>
      </c>
      <c r="M313" t="s">
        <v>128</v>
      </c>
      <c r="N313">
        <v>3</v>
      </c>
      <c r="O313" t="s">
        <v>7121</v>
      </c>
      <c r="P313" t="s">
        <v>7120</v>
      </c>
      <c r="Q313" t="s">
        <v>7119</v>
      </c>
      <c r="R313" s="7">
        <v>37196</v>
      </c>
      <c r="S313" s="8">
        <f t="shared" si="32"/>
        <v>2001</v>
      </c>
      <c r="T313" s="8">
        <v>2001</v>
      </c>
      <c r="U313" s="8">
        <f t="shared" si="33"/>
        <v>21</v>
      </c>
      <c r="V313" s="7">
        <v>37196</v>
      </c>
      <c r="W313" t="s">
        <v>252</v>
      </c>
      <c r="X313" s="2">
        <v>2.9860000000000002</v>
      </c>
      <c r="Y313" s="6">
        <f t="shared" si="38"/>
        <v>7.9709564613865094E-2</v>
      </c>
      <c r="AA313">
        <v>7338716</v>
      </c>
      <c r="AB313">
        <v>18902</v>
      </c>
      <c r="AD313" t="s">
        <v>1</v>
      </c>
      <c r="AE313">
        <v>19</v>
      </c>
      <c r="AF313">
        <v>11</v>
      </c>
      <c r="AH313" t="s">
        <v>7118</v>
      </c>
      <c r="AI313" t="s">
        <v>7117</v>
      </c>
      <c r="AJ313" t="s">
        <v>7116</v>
      </c>
      <c r="AK313" t="s">
        <v>7115</v>
      </c>
      <c r="AL313">
        <v>23</v>
      </c>
      <c r="AM313" s="5">
        <f t="shared" si="34"/>
        <v>1.0952380952380953</v>
      </c>
      <c r="AN313" s="4">
        <f t="shared" si="39"/>
        <v>1.658823317286021E-3</v>
      </c>
      <c r="AO313" s="3"/>
      <c r="AP313">
        <v>0</v>
      </c>
      <c r="AQ313" t="s">
        <v>890</v>
      </c>
      <c r="AR313" t="s">
        <v>7114</v>
      </c>
      <c r="AS313" t="s">
        <v>889</v>
      </c>
      <c r="AT313" s="2" t="s">
        <v>7</v>
      </c>
      <c r="AU313" s="1">
        <f t="shared" si="35"/>
        <v>5.6294342224891363</v>
      </c>
      <c r="AV313" s="1">
        <f t="shared" si="36"/>
        <v>4.0684193965575561</v>
      </c>
      <c r="AW313" s="1">
        <f t="shared" si="37"/>
        <v>2.5074045706259742</v>
      </c>
    </row>
    <row r="314" spans="1:49" x14ac:dyDescent="0.2">
      <c r="A314">
        <v>312</v>
      </c>
      <c r="B314" t="s">
        <v>7113</v>
      </c>
      <c r="C314" t="s">
        <v>7112</v>
      </c>
      <c r="D314" t="s">
        <v>7111</v>
      </c>
      <c r="E314">
        <v>11705734</v>
      </c>
      <c r="F314" t="s">
        <v>7110</v>
      </c>
      <c r="G314" t="s">
        <v>6</v>
      </c>
      <c r="H314" t="s">
        <v>5</v>
      </c>
      <c r="I314" t="s">
        <v>7109</v>
      </c>
      <c r="J314">
        <v>60013756</v>
      </c>
      <c r="K314" t="s">
        <v>7108</v>
      </c>
      <c r="L314" t="s">
        <v>7107</v>
      </c>
      <c r="M314" t="s">
        <v>2550</v>
      </c>
      <c r="N314">
        <v>2</v>
      </c>
      <c r="O314" t="s">
        <v>7106</v>
      </c>
      <c r="P314" t="s">
        <v>7105</v>
      </c>
      <c r="Q314" t="s">
        <v>7104</v>
      </c>
      <c r="R314" s="7">
        <v>37196</v>
      </c>
      <c r="S314" s="8">
        <f t="shared" si="32"/>
        <v>2001</v>
      </c>
      <c r="T314" s="8">
        <v>2001</v>
      </c>
      <c r="U314" s="8">
        <f t="shared" si="33"/>
        <v>21</v>
      </c>
      <c r="V314" s="7">
        <v>37196</v>
      </c>
      <c r="W314" t="s">
        <v>7103</v>
      </c>
      <c r="X314" s="2">
        <v>0.9</v>
      </c>
      <c r="Y314" s="6">
        <f t="shared" si="38"/>
        <v>2.4024985985424845E-2</v>
      </c>
      <c r="AA314">
        <v>10111344</v>
      </c>
      <c r="AB314">
        <v>17622</v>
      </c>
      <c r="AD314" t="s">
        <v>1</v>
      </c>
      <c r="AE314">
        <v>64</v>
      </c>
      <c r="AF314">
        <v>1</v>
      </c>
      <c r="AH314" t="s">
        <v>206</v>
      </c>
      <c r="AI314" t="s">
        <v>7102</v>
      </c>
      <c r="AJ314" t="s">
        <v>7101</v>
      </c>
      <c r="AK314" t="s">
        <v>7100</v>
      </c>
      <c r="AL314">
        <v>3</v>
      </c>
      <c r="AM314" s="5">
        <f t="shared" si="34"/>
        <v>0.14285714285714285</v>
      </c>
      <c r="AN314" s="4">
        <f t="shared" si="39"/>
        <v>2.1636825877643749E-4</v>
      </c>
      <c r="AO314" s="3"/>
      <c r="AP314">
        <v>0</v>
      </c>
      <c r="AR314" t="s">
        <v>0</v>
      </c>
      <c r="AT314" s="2" t="s">
        <v>7</v>
      </c>
      <c r="AU314" s="1">
        <f t="shared" si="35"/>
        <v>1.6882400667430322</v>
      </c>
      <c r="AV314" s="1">
        <f t="shared" si="36"/>
        <v>1.212067712210064</v>
      </c>
      <c r="AW314" s="1">
        <f t="shared" si="37"/>
        <v>0.73589535767709602</v>
      </c>
    </row>
    <row r="315" spans="1:49" x14ac:dyDescent="0.2">
      <c r="A315">
        <v>313</v>
      </c>
      <c r="B315" t="s">
        <v>7099</v>
      </c>
      <c r="C315" t="s">
        <v>7098</v>
      </c>
      <c r="D315" t="s">
        <v>7097</v>
      </c>
      <c r="F315" t="s">
        <v>7096</v>
      </c>
      <c r="G315" t="s">
        <v>6</v>
      </c>
      <c r="H315" t="s">
        <v>5</v>
      </c>
      <c r="I315" t="s">
        <v>253</v>
      </c>
      <c r="J315" t="s">
        <v>7095</v>
      </c>
      <c r="K315" t="s">
        <v>7094</v>
      </c>
      <c r="L315" t="s">
        <v>7093</v>
      </c>
      <c r="M315" t="s">
        <v>128</v>
      </c>
      <c r="N315">
        <v>3</v>
      </c>
      <c r="O315" t="s">
        <v>7092</v>
      </c>
      <c r="P315" t="s">
        <v>7091</v>
      </c>
      <c r="Q315" t="s">
        <v>7090</v>
      </c>
      <c r="R315" s="7">
        <v>37196</v>
      </c>
      <c r="S315" s="8">
        <f t="shared" si="32"/>
        <v>2001</v>
      </c>
      <c r="T315" s="8">
        <v>2001</v>
      </c>
      <c r="U315" s="8">
        <f t="shared" si="33"/>
        <v>21</v>
      </c>
      <c r="V315" s="7">
        <v>37196</v>
      </c>
      <c r="W315" t="s">
        <v>264</v>
      </c>
      <c r="X315" s="2">
        <v>1.218</v>
      </c>
      <c r="Y315" s="6">
        <f t="shared" si="38"/>
        <v>3.2513814366941618E-2</v>
      </c>
      <c r="AA315">
        <v>189448</v>
      </c>
      <c r="AB315">
        <v>15107</v>
      </c>
      <c r="AD315" t="s">
        <v>1</v>
      </c>
      <c r="AE315">
        <v>47</v>
      </c>
      <c r="AF315">
        <v>7</v>
      </c>
      <c r="AH315" t="s">
        <v>7089</v>
      </c>
      <c r="AI315" t="s">
        <v>7088</v>
      </c>
      <c r="AJ315" t="s">
        <v>7087</v>
      </c>
      <c r="AK315" t="s">
        <v>7086</v>
      </c>
      <c r="AL315">
        <v>61</v>
      </c>
      <c r="AM315" s="5">
        <f t="shared" si="34"/>
        <v>2.9047619047619047</v>
      </c>
      <c r="AN315" s="4">
        <f t="shared" si="39"/>
        <v>4.399487928454229E-3</v>
      </c>
      <c r="AO315" s="3"/>
      <c r="AP315">
        <v>0</v>
      </c>
      <c r="AR315" t="s">
        <v>0</v>
      </c>
      <c r="AT315" s="2" t="s">
        <v>7</v>
      </c>
      <c r="AU315" s="1">
        <f t="shared" si="35"/>
        <v>2.4079516435395401</v>
      </c>
      <c r="AV315" s="1">
        <f t="shared" si="36"/>
        <v>1.8456651147697924</v>
      </c>
      <c r="AW315" s="1">
        <f t="shared" si="37"/>
        <v>1.2833785860000446</v>
      </c>
    </row>
    <row r="316" spans="1:49" x14ac:dyDescent="0.2">
      <c r="A316">
        <v>314</v>
      </c>
      <c r="B316" t="s">
        <v>7085</v>
      </c>
      <c r="C316" t="s">
        <v>7084</v>
      </c>
      <c r="D316" t="s">
        <v>7083</v>
      </c>
      <c r="F316" t="s">
        <v>7082</v>
      </c>
      <c r="G316" t="s">
        <v>6</v>
      </c>
      <c r="H316" t="s">
        <v>5</v>
      </c>
      <c r="I316" t="s">
        <v>2316</v>
      </c>
      <c r="J316" t="s">
        <v>7081</v>
      </c>
      <c r="K316" t="s">
        <v>7080</v>
      </c>
      <c r="L316" t="s">
        <v>7079</v>
      </c>
      <c r="M316" t="s">
        <v>7078</v>
      </c>
      <c r="N316">
        <v>3</v>
      </c>
      <c r="O316" t="s">
        <v>7077</v>
      </c>
      <c r="P316" t="s">
        <v>7076</v>
      </c>
      <c r="Q316" t="s">
        <v>7075</v>
      </c>
      <c r="R316" s="7">
        <v>37196</v>
      </c>
      <c r="S316" s="8">
        <f t="shared" si="32"/>
        <v>2001</v>
      </c>
      <c r="T316" s="8">
        <v>2001</v>
      </c>
      <c r="U316" s="8">
        <f t="shared" si="33"/>
        <v>21</v>
      </c>
      <c r="V316" s="7">
        <v>37196</v>
      </c>
      <c r="W316" t="s">
        <v>294</v>
      </c>
      <c r="X316" s="2">
        <v>1.6379999999999999</v>
      </c>
      <c r="Y316" s="6">
        <f t="shared" si="38"/>
        <v>4.3725474493473214E-2</v>
      </c>
      <c r="AA316" t="s">
        <v>293</v>
      </c>
      <c r="AB316">
        <v>17391</v>
      </c>
      <c r="AD316" t="s">
        <v>1</v>
      </c>
      <c r="AE316">
        <v>49</v>
      </c>
      <c r="AF316">
        <v>11</v>
      </c>
      <c r="AH316" t="s">
        <v>7074</v>
      </c>
      <c r="AI316" t="s">
        <v>7073</v>
      </c>
      <c r="AJ316" t="s">
        <v>7072</v>
      </c>
      <c r="AK316" t="s">
        <v>7071</v>
      </c>
      <c r="AL316">
        <v>65</v>
      </c>
      <c r="AM316" s="5">
        <f t="shared" si="34"/>
        <v>3.0952380952380953</v>
      </c>
      <c r="AN316" s="4">
        <f t="shared" si="39"/>
        <v>4.6879789401561463E-3</v>
      </c>
      <c r="AO316" s="3"/>
      <c r="AP316">
        <v>0</v>
      </c>
      <c r="AQ316" t="s">
        <v>7070</v>
      </c>
      <c r="AR316" t="s">
        <v>0</v>
      </c>
      <c r="AS316" t="s">
        <v>7069</v>
      </c>
      <c r="AT316" s="2">
        <v>4.931</v>
      </c>
      <c r="AU316" s="1">
        <f t="shared" si="35"/>
        <v>3.2014225827478091</v>
      </c>
      <c r="AV316" s="1">
        <f t="shared" si="36"/>
        <v>2.4206726716814684</v>
      </c>
      <c r="AW316" s="1">
        <f t="shared" si="37"/>
        <v>1.6399227606151268</v>
      </c>
    </row>
    <row r="317" spans="1:49" x14ac:dyDescent="0.2">
      <c r="A317">
        <v>315</v>
      </c>
      <c r="B317" t="s">
        <v>7068</v>
      </c>
      <c r="C317" t="s">
        <v>7067</v>
      </c>
      <c r="F317" t="s">
        <v>7066</v>
      </c>
      <c r="G317" t="s">
        <v>6</v>
      </c>
      <c r="H317" t="s">
        <v>5</v>
      </c>
      <c r="I317" t="s">
        <v>7065</v>
      </c>
      <c r="J317">
        <v>60014652</v>
      </c>
      <c r="K317" t="s">
        <v>193</v>
      </c>
      <c r="L317" t="s">
        <v>136</v>
      </c>
      <c r="M317" t="s">
        <v>26</v>
      </c>
      <c r="N317">
        <v>3</v>
      </c>
      <c r="O317" t="s">
        <v>7064</v>
      </c>
      <c r="P317" t="s">
        <v>7063</v>
      </c>
      <c r="Q317" t="s">
        <v>205</v>
      </c>
      <c r="R317" s="7">
        <v>37196</v>
      </c>
      <c r="S317" s="8">
        <f t="shared" si="32"/>
        <v>2001</v>
      </c>
      <c r="T317" s="8">
        <v>2001</v>
      </c>
      <c r="U317" s="8">
        <f t="shared" si="33"/>
        <v>21</v>
      </c>
      <c r="V317" s="7">
        <v>37196</v>
      </c>
      <c r="W317" t="s">
        <v>314</v>
      </c>
      <c r="X317" s="2">
        <v>0.13900000000000001</v>
      </c>
      <c r="Y317" s="6">
        <f t="shared" si="38"/>
        <v>3.7105256133045036E-3</v>
      </c>
      <c r="AA317" t="s">
        <v>313</v>
      </c>
      <c r="AB317">
        <v>24891</v>
      </c>
      <c r="AD317" t="s">
        <v>1</v>
      </c>
      <c r="AE317">
        <v>84</v>
      </c>
      <c r="AF317">
        <v>10</v>
      </c>
      <c r="AH317" s="9">
        <v>42614</v>
      </c>
      <c r="AI317" t="s">
        <v>7062</v>
      </c>
      <c r="AJ317" t="s">
        <v>7061</v>
      </c>
      <c r="AK317" t="s">
        <v>7060</v>
      </c>
      <c r="AL317">
        <v>0</v>
      </c>
      <c r="AM317" s="5">
        <f t="shared" si="34"/>
        <v>0</v>
      </c>
      <c r="AN317" s="4">
        <f t="shared" si="39"/>
        <v>0</v>
      </c>
      <c r="AO317" s="3"/>
      <c r="AP317">
        <v>0</v>
      </c>
      <c r="AR317" t="s">
        <v>0</v>
      </c>
      <c r="AT317" s="2" t="s">
        <v>7</v>
      </c>
      <c r="AU317" s="1">
        <f t="shared" si="35"/>
        <v>0.25973679293131524</v>
      </c>
      <c r="AV317" s="1">
        <f t="shared" si="36"/>
        <v>0.1855262806652252</v>
      </c>
      <c r="AW317" s="1">
        <f t="shared" si="37"/>
        <v>0.1113157683991351</v>
      </c>
    </row>
    <row r="318" spans="1:49" x14ac:dyDescent="0.2">
      <c r="A318">
        <v>316</v>
      </c>
      <c r="B318" t="s">
        <v>7059</v>
      </c>
      <c r="C318" t="s">
        <v>7058</v>
      </c>
      <c r="D318" t="s">
        <v>7057</v>
      </c>
      <c r="F318" t="s">
        <v>7056</v>
      </c>
      <c r="G318" t="s">
        <v>6</v>
      </c>
      <c r="H318" t="s">
        <v>5</v>
      </c>
      <c r="I318" t="s">
        <v>7055</v>
      </c>
      <c r="J318" t="s">
        <v>7054</v>
      </c>
      <c r="K318" t="s">
        <v>7053</v>
      </c>
      <c r="L318" t="s">
        <v>7052</v>
      </c>
      <c r="M318" t="s">
        <v>7051</v>
      </c>
      <c r="N318">
        <v>3</v>
      </c>
      <c r="O318" t="s">
        <v>7050</v>
      </c>
      <c r="P318" t="s">
        <v>7049</v>
      </c>
      <c r="Q318" t="s">
        <v>7048</v>
      </c>
      <c r="R318" s="7">
        <v>37196</v>
      </c>
      <c r="S318" s="8">
        <f t="shared" si="32"/>
        <v>2001</v>
      </c>
      <c r="T318" s="8">
        <v>2001</v>
      </c>
      <c r="U318" s="8">
        <f t="shared" si="33"/>
        <v>21</v>
      </c>
      <c r="V318" s="7">
        <v>37196</v>
      </c>
      <c r="W318" t="s">
        <v>294</v>
      </c>
      <c r="X318" s="2">
        <v>1.6379999999999999</v>
      </c>
      <c r="Y318" s="6">
        <f t="shared" si="38"/>
        <v>4.3725474493473214E-2</v>
      </c>
      <c r="AA318" t="s">
        <v>293</v>
      </c>
      <c r="AB318">
        <v>17391</v>
      </c>
      <c r="AD318" t="s">
        <v>1</v>
      </c>
      <c r="AE318">
        <v>49</v>
      </c>
      <c r="AF318">
        <v>11</v>
      </c>
      <c r="AH318" t="s">
        <v>7047</v>
      </c>
      <c r="AI318" t="s">
        <v>7046</v>
      </c>
      <c r="AJ318" t="s">
        <v>7045</v>
      </c>
      <c r="AK318" t="s">
        <v>7044</v>
      </c>
      <c r="AL318">
        <v>58</v>
      </c>
      <c r="AM318" s="5">
        <f t="shared" si="34"/>
        <v>2.7619047619047619</v>
      </c>
      <c r="AN318" s="4">
        <f t="shared" si="39"/>
        <v>4.1831196696777914E-3</v>
      </c>
      <c r="AO318" s="3"/>
      <c r="AP318">
        <v>0</v>
      </c>
      <c r="AQ318" t="s">
        <v>256</v>
      </c>
      <c r="AR318" t="s">
        <v>7043</v>
      </c>
      <c r="AS318" t="s">
        <v>217</v>
      </c>
      <c r="AT318" s="2">
        <v>4.931</v>
      </c>
      <c r="AU318" s="1">
        <f t="shared" si="35"/>
        <v>3.1862768046334589</v>
      </c>
      <c r="AV318" s="1">
        <f t="shared" si="36"/>
        <v>2.3954297081575504</v>
      </c>
      <c r="AW318" s="1">
        <f t="shared" si="37"/>
        <v>1.6045826116816417</v>
      </c>
    </row>
    <row r="319" spans="1:49" x14ac:dyDescent="0.2">
      <c r="A319">
        <v>317</v>
      </c>
      <c r="B319" t="s">
        <v>7042</v>
      </c>
      <c r="C319" t="s">
        <v>7041</v>
      </c>
      <c r="F319" t="s">
        <v>7040</v>
      </c>
      <c r="G319" t="s">
        <v>6</v>
      </c>
      <c r="H319" t="s">
        <v>5</v>
      </c>
      <c r="I319" t="s">
        <v>7039</v>
      </c>
      <c r="J319" t="s">
        <v>7038</v>
      </c>
      <c r="K319" t="s">
        <v>7037</v>
      </c>
      <c r="L319" t="s">
        <v>7036</v>
      </c>
      <c r="M319" t="s">
        <v>334</v>
      </c>
      <c r="N319">
        <v>2</v>
      </c>
      <c r="O319" t="s">
        <v>7035</v>
      </c>
      <c r="P319" t="s">
        <v>7034</v>
      </c>
      <c r="Q319" t="s">
        <v>7033</v>
      </c>
      <c r="R319" s="7">
        <v>37196</v>
      </c>
      <c r="S319" s="8">
        <f t="shared" si="32"/>
        <v>2001</v>
      </c>
      <c r="T319" s="8">
        <v>2001</v>
      </c>
      <c r="U319" s="8">
        <f t="shared" si="33"/>
        <v>21</v>
      </c>
      <c r="V319" s="7">
        <v>37196</v>
      </c>
      <c r="W319" t="s">
        <v>7032</v>
      </c>
      <c r="X319" s="2">
        <v>0.44500000000000001</v>
      </c>
      <c r="Y319" s="6">
        <f t="shared" si="38"/>
        <v>1.1879020848348951E-2</v>
      </c>
      <c r="AA319" t="s">
        <v>7031</v>
      </c>
      <c r="AB319">
        <v>27306</v>
      </c>
      <c r="AD319" t="s">
        <v>1</v>
      </c>
      <c r="AE319">
        <v>6</v>
      </c>
      <c r="AF319">
        <v>6</v>
      </c>
      <c r="AH319" t="s">
        <v>7030</v>
      </c>
      <c r="AI319" t="s">
        <v>7029</v>
      </c>
      <c r="AJ319" t="s">
        <v>7028</v>
      </c>
      <c r="AK319" t="s">
        <v>7027</v>
      </c>
      <c r="AL319">
        <v>0</v>
      </c>
      <c r="AM319" s="5">
        <f t="shared" si="34"/>
        <v>0</v>
      </c>
      <c r="AN319" s="4">
        <f t="shared" si="39"/>
        <v>0</v>
      </c>
      <c r="AO319" s="3"/>
      <c r="AP319">
        <v>0</v>
      </c>
      <c r="AR319" t="s">
        <v>0</v>
      </c>
      <c r="AT319" s="2" t="s">
        <v>7</v>
      </c>
      <c r="AU319" s="1">
        <f t="shared" si="35"/>
        <v>0.83153145938442641</v>
      </c>
      <c r="AV319" s="1">
        <f t="shared" si="36"/>
        <v>0.59395104241744756</v>
      </c>
      <c r="AW319" s="1">
        <f t="shared" si="37"/>
        <v>0.35637062545046849</v>
      </c>
    </row>
    <row r="320" spans="1:49" x14ac:dyDescent="0.2">
      <c r="A320">
        <v>318</v>
      </c>
      <c r="B320" t="s">
        <v>7026</v>
      </c>
      <c r="C320" t="s">
        <v>7025</v>
      </c>
      <c r="D320" t="s">
        <v>7024</v>
      </c>
      <c r="F320" t="s">
        <v>7023</v>
      </c>
      <c r="G320" t="s">
        <v>6</v>
      </c>
      <c r="H320" t="s">
        <v>5</v>
      </c>
      <c r="I320" t="s">
        <v>934</v>
      </c>
      <c r="J320">
        <v>60033226</v>
      </c>
      <c r="K320" t="s">
        <v>933</v>
      </c>
      <c r="L320" t="s">
        <v>932</v>
      </c>
      <c r="M320" t="s">
        <v>76</v>
      </c>
      <c r="N320">
        <v>1</v>
      </c>
      <c r="O320" t="s">
        <v>931</v>
      </c>
      <c r="P320">
        <v>7401719367</v>
      </c>
      <c r="Q320">
        <v>60033226</v>
      </c>
      <c r="R320" s="7">
        <v>37196</v>
      </c>
      <c r="S320" s="8">
        <f t="shared" si="32"/>
        <v>2001</v>
      </c>
      <c r="T320" s="8">
        <v>2001</v>
      </c>
      <c r="U320" s="8">
        <f t="shared" si="33"/>
        <v>21</v>
      </c>
      <c r="V320" s="7">
        <v>37196</v>
      </c>
      <c r="W320" t="s">
        <v>532</v>
      </c>
      <c r="X320" s="2">
        <v>0.372</v>
      </c>
      <c r="Y320" s="6">
        <f t="shared" si="38"/>
        <v>9.930327540642268E-3</v>
      </c>
      <c r="AA320">
        <v>9214534</v>
      </c>
      <c r="AB320">
        <v>29119</v>
      </c>
      <c r="AD320" t="s">
        <v>1</v>
      </c>
      <c r="AE320" t="s">
        <v>7022</v>
      </c>
      <c r="AH320" t="s">
        <v>7021</v>
      </c>
      <c r="AI320" t="s">
        <v>7020</v>
      </c>
      <c r="AJ320" t="s">
        <v>7019</v>
      </c>
      <c r="AK320" t="s">
        <v>7018</v>
      </c>
      <c r="AL320">
        <v>0</v>
      </c>
      <c r="AM320" s="5">
        <f t="shared" si="34"/>
        <v>0</v>
      </c>
      <c r="AN320" s="4">
        <f t="shared" si="39"/>
        <v>0</v>
      </c>
      <c r="AO320" s="3"/>
      <c r="AP320">
        <v>0</v>
      </c>
      <c r="AR320" t="s">
        <v>0</v>
      </c>
      <c r="AS320" t="s">
        <v>933</v>
      </c>
      <c r="AT320" s="2" t="s">
        <v>7</v>
      </c>
      <c r="AU320" s="1">
        <f t="shared" si="35"/>
        <v>0.69512292784495866</v>
      </c>
      <c r="AV320" s="1">
        <f t="shared" si="36"/>
        <v>0.49651637703211338</v>
      </c>
      <c r="AW320" s="1">
        <f t="shared" si="37"/>
        <v>0.29790982621926804</v>
      </c>
    </row>
    <row r="321" spans="1:49" x14ac:dyDescent="0.2">
      <c r="A321">
        <v>319</v>
      </c>
      <c r="B321" t="s">
        <v>7017</v>
      </c>
      <c r="C321" t="s">
        <v>7016</v>
      </c>
      <c r="D321" t="s">
        <v>7015</v>
      </c>
      <c r="E321">
        <v>11583930</v>
      </c>
      <c r="F321" t="s">
        <v>7014</v>
      </c>
      <c r="G321" t="s">
        <v>6</v>
      </c>
      <c r="H321" t="s">
        <v>5</v>
      </c>
      <c r="I321" t="s">
        <v>7013</v>
      </c>
      <c r="J321">
        <v>60018373</v>
      </c>
      <c r="K321" t="s">
        <v>7012</v>
      </c>
      <c r="L321" t="s">
        <v>1993</v>
      </c>
      <c r="M321" t="s">
        <v>46</v>
      </c>
      <c r="N321">
        <v>4</v>
      </c>
      <c r="O321" t="s">
        <v>7011</v>
      </c>
      <c r="P321" t="s">
        <v>7010</v>
      </c>
      <c r="Q321" t="s">
        <v>7009</v>
      </c>
      <c r="R321" s="7">
        <v>37196</v>
      </c>
      <c r="S321" s="8">
        <f t="shared" si="32"/>
        <v>2001</v>
      </c>
      <c r="T321" s="8">
        <v>2001</v>
      </c>
      <c r="U321" s="8">
        <f t="shared" si="33"/>
        <v>21</v>
      </c>
      <c r="V321" s="7">
        <v>37196</v>
      </c>
      <c r="W321" t="s">
        <v>1036</v>
      </c>
      <c r="X321" s="2">
        <v>1.718</v>
      </c>
      <c r="Y321" s="6">
        <f t="shared" si="38"/>
        <v>4.5861028803288753E-2</v>
      </c>
      <c r="AA321">
        <v>9651748</v>
      </c>
      <c r="AB321">
        <v>20384</v>
      </c>
      <c r="AD321" t="s">
        <v>1</v>
      </c>
      <c r="AE321">
        <v>31</v>
      </c>
      <c r="AF321">
        <v>12</v>
      </c>
      <c r="AH321" t="s">
        <v>7008</v>
      </c>
      <c r="AI321" t="s">
        <v>7007</v>
      </c>
      <c r="AJ321" t="s">
        <v>7006</v>
      </c>
      <c r="AK321" t="s">
        <v>7005</v>
      </c>
      <c r="AL321">
        <v>71</v>
      </c>
      <c r="AM321" s="5">
        <f t="shared" si="34"/>
        <v>3.3809523809523809</v>
      </c>
      <c r="AN321" s="4">
        <f t="shared" si="39"/>
        <v>5.1207154577090205E-3</v>
      </c>
      <c r="AO321" s="3"/>
      <c r="AP321">
        <v>0</v>
      </c>
      <c r="AQ321" t="s">
        <v>152</v>
      </c>
      <c r="AR321" t="s">
        <v>7004</v>
      </c>
      <c r="AS321" t="s">
        <v>151</v>
      </c>
      <c r="AT321" s="2" t="s">
        <v>7</v>
      </c>
      <c r="AU321" s="1">
        <f t="shared" si="35"/>
        <v>3.363893479961483</v>
      </c>
      <c r="AV321" s="1">
        <f t="shared" si="36"/>
        <v>2.5490872130498889</v>
      </c>
      <c r="AW321" s="1">
        <f t="shared" si="37"/>
        <v>1.734280946138294</v>
      </c>
    </row>
    <row r="322" spans="1:49" x14ac:dyDescent="0.2">
      <c r="A322">
        <v>320</v>
      </c>
      <c r="B322" t="s">
        <v>7003</v>
      </c>
      <c r="C322" t="s">
        <v>7002</v>
      </c>
      <c r="F322" t="s">
        <v>7001</v>
      </c>
      <c r="G322" t="s">
        <v>6</v>
      </c>
      <c r="H322" t="s">
        <v>5</v>
      </c>
      <c r="I322" t="s">
        <v>7000</v>
      </c>
      <c r="J322">
        <v>60008592</v>
      </c>
      <c r="K322" t="s">
        <v>286</v>
      </c>
      <c r="L322" t="s">
        <v>285</v>
      </c>
      <c r="M322" t="s">
        <v>285</v>
      </c>
      <c r="N322">
        <v>3</v>
      </c>
      <c r="O322" t="s">
        <v>6999</v>
      </c>
      <c r="P322" t="s">
        <v>6998</v>
      </c>
      <c r="Q322" t="s">
        <v>6997</v>
      </c>
      <c r="R322" s="7">
        <v>37196</v>
      </c>
      <c r="S322" s="8">
        <f t="shared" ref="S322:S385" si="40">YEAR(R322)</f>
        <v>2001</v>
      </c>
      <c r="T322" s="8">
        <v>2001</v>
      </c>
      <c r="U322" s="8">
        <f t="shared" ref="U322:U385" si="41">2022-T322</f>
        <v>21</v>
      </c>
      <c r="V322" s="7">
        <v>37196</v>
      </c>
      <c r="W322" t="s">
        <v>98</v>
      </c>
      <c r="X322" s="2">
        <v>0.30199999999999999</v>
      </c>
      <c r="Y322" s="6">
        <f t="shared" si="38"/>
        <v>8.0617175195536687E-3</v>
      </c>
      <c r="AA322">
        <v>9296212</v>
      </c>
      <c r="AB322">
        <v>20725</v>
      </c>
      <c r="AD322" t="s">
        <v>1</v>
      </c>
      <c r="AE322">
        <v>19</v>
      </c>
      <c r="AF322">
        <v>2</v>
      </c>
      <c r="AH322" t="s">
        <v>6996</v>
      </c>
      <c r="AI322" t="s">
        <v>6995</v>
      </c>
      <c r="AJ322" t="s">
        <v>6994</v>
      </c>
      <c r="AK322" t="s">
        <v>6993</v>
      </c>
      <c r="AL322">
        <v>3</v>
      </c>
      <c r="AM322" s="5">
        <f t="shared" ref="AM322:AM385" si="42">AL322/U322</f>
        <v>0.14285714285714285</v>
      </c>
      <c r="AN322" s="4">
        <f t="shared" si="39"/>
        <v>2.1636825877643749E-4</v>
      </c>
      <c r="AO322" s="3"/>
      <c r="AP322">
        <v>0</v>
      </c>
      <c r="AR322" t="s">
        <v>0</v>
      </c>
      <c r="AT322" s="2">
        <v>1.671</v>
      </c>
      <c r="AU322" s="1">
        <f t="shared" ref="AU322:AU385" si="43">(Y322*0.7+AN322*0.3)*100</f>
        <v>0.5708112741320498</v>
      </c>
      <c r="AV322" s="1">
        <f t="shared" ref="AV322:AV385" si="44">(Y322*0.5+AN322*0.5)*100</f>
        <v>0.41390428891650533</v>
      </c>
      <c r="AW322" s="1">
        <f t="shared" ref="AW322:AW385" si="45">(Y322*0.3+AN322*0.7)*100</f>
        <v>0.25699730370096069</v>
      </c>
    </row>
    <row r="323" spans="1:49" x14ac:dyDescent="0.2">
      <c r="A323">
        <v>321</v>
      </c>
      <c r="B323" t="s">
        <v>6992</v>
      </c>
      <c r="C323" t="s">
        <v>6991</v>
      </c>
      <c r="F323" t="s">
        <v>6990</v>
      </c>
      <c r="G323" t="s">
        <v>6</v>
      </c>
      <c r="H323" t="s">
        <v>5</v>
      </c>
      <c r="I323" t="s">
        <v>6989</v>
      </c>
      <c r="J323">
        <v>60012951</v>
      </c>
      <c r="K323" t="s">
        <v>6988</v>
      </c>
      <c r="L323" t="s">
        <v>6987</v>
      </c>
      <c r="M323" t="s">
        <v>197</v>
      </c>
      <c r="N323">
        <v>2</v>
      </c>
      <c r="O323" t="s">
        <v>6986</v>
      </c>
      <c r="P323" t="s">
        <v>6985</v>
      </c>
      <c r="Q323" t="s">
        <v>6984</v>
      </c>
      <c r="R323" s="7">
        <v>37196</v>
      </c>
      <c r="S323" s="8">
        <f t="shared" si="40"/>
        <v>2001</v>
      </c>
      <c r="T323" s="8">
        <v>2001</v>
      </c>
      <c r="U323" s="8">
        <f t="shared" si="41"/>
        <v>21</v>
      </c>
      <c r="V323" s="7">
        <v>37196</v>
      </c>
      <c r="W323" t="s">
        <v>4937</v>
      </c>
      <c r="X323" s="2">
        <v>0.32500000000000001</v>
      </c>
      <c r="Y323" s="6">
        <f t="shared" ref="Y323:Y386" si="46">(X323-$Z$3)/($Z$2-$Z$3)</f>
        <v>8.6756893836256385E-3</v>
      </c>
      <c r="AA323">
        <v>10637710</v>
      </c>
      <c r="AB323">
        <v>12922</v>
      </c>
      <c r="AD323" t="s">
        <v>1</v>
      </c>
      <c r="AE323">
        <v>47</v>
      </c>
      <c r="AF323">
        <v>6</v>
      </c>
      <c r="AH323" t="s">
        <v>6983</v>
      </c>
      <c r="AI323" t="s">
        <v>6982</v>
      </c>
      <c r="AK323" t="s">
        <v>6981</v>
      </c>
      <c r="AL323">
        <v>0</v>
      </c>
      <c r="AM323" s="5">
        <f t="shared" si="42"/>
        <v>0</v>
      </c>
      <c r="AN323" s="4">
        <f t="shared" ref="AN323:AN386" si="47">(AM323-$AO$3)/($AO$2-$AO$3)</f>
        <v>0</v>
      </c>
      <c r="AO323" s="3"/>
      <c r="AP323">
        <v>0</v>
      </c>
      <c r="AR323" t="s">
        <v>0</v>
      </c>
      <c r="AT323" s="2">
        <v>0.85599999999999998</v>
      </c>
      <c r="AU323" s="1">
        <f t="shared" si="43"/>
        <v>0.60729825685379468</v>
      </c>
      <c r="AV323" s="1">
        <f t="shared" si="44"/>
        <v>0.43378446918128194</v>
      </c>
      <c r="AW323" s="1">
        <f t="shared" si="45"/>
        <v>0.26027068150876914</v>
      </c>
    </row>
    <row r="324" spans="1:49" x14ac:dyDescent="0.2">
      <c r="A324">
        <v>322</v>
      </c>
      <c r="B324" t="s">
        <v>6980</v>
      </c>
      <c r="C324" t="s">
        <v>6979</v>
      </c>
      <c r="F324" t="s">
        <v>6978</v>
      </c>
      <c r="G324" t="s">
        <v>6</v>
      </c>
      <c r="H324" t="s">
        <v>5</v>
      </c>
      <c r="I324" t="s">
        <v>6977</v>
      </c>
      <c r="J324">
        <v>60015574</v>
      </c>
      <c r="K324" t="s">
        <v>6976</v>
      </c>
      <c r="L324" t="s">
        <v>6975</v>
      </c>
      <c r="M324" t="s">
        <v>3</v>
      </c>
      <c r="N324">
        <v>5</v>
      </c>
      <c r="O324" t="s">
        <v>6974</v>
      </c>
      <c r="P324" t="s">
        <v>6973</v>
      </c>
      <c r="Q324" t="s">
        <v>6972</v>
      </c>
      <c r="R324" s="7">
        <v>37196</v>
      </c>
      <c r="S324" s="8">
        <f t="shared" si="40"/>
        <v>2001</v>
      </c>
      <c r="T324" s="8">
        <v>2001</v>
      </c>
      <c r="U324" s="8">
        <f t="shared" si="41"/>
        <v>21</v>
      </c>
      <c r="V324" s="7">
        <v>2001</v>
      </c>
      <c r="W324" t="s">
        <v>6971</v>
      </c>
      <c r="X324" s="2">
        <v>0.40100000000000002</v>
      </c>
      <c r="Y324" s="6">
        <f t="shared" si="46"/>
        <v>1.0704465977950403E-2</v>
      </c>
      <c r="AA324" t="s">
        <v>6970</v>
      </c>
      <c r="AB324">
        <v>40409</v>
      </c>
      <c r="AD324" t="s">
        <v>1</v>
      </c>
      <c r="AE324">
        <v>166</v>
      </c>
      <c r="AF324">
        <v>9</v>
      </c>
      <c r="AH324" t="s">
        <v>6969</v>
      </c>
      <c r="AI324" t="s">
        <v>6968</v>
      </c>
      <c r="AJ324" t="s">
        <v>6967</v>
      </c>
      <c r="AK324" t="s">
        <v>6966</v>
      </c>
      <c r="AL324">
        <v>15</v>
      </c>
      <c r="AM324" s="5">
        <f t="shared" si="42"/>
        <v>0.7142857142857143</v>
      </c>
      <c r="AN324" s="4">
        <f t="shared" si="47"/>
        <v>1.0818412938821875E-3</v>
      </c>
      <c r="AO324" s="3"/>
      <c r="AP324">
        <v>0</v>
      </c>
      <c r="AR324" t="s">
        <v>0</v>
      </c>
      <c r="AT324" s="2" t="s">
        <v>7</v>
      </c>
      <c r="AU324" s="1">
        <f t="shared" si="43"/>
        <v>0.7817678572729938</v>
      </c>
      <c r="AV324" s="1">
        <f t="shared" si="44"/>
        <v>0.5893153635916295</v>
      </c>
      <c r="AW324" s="1">
        <f t="shared" si="45"/>
        <v>0.39686286991026515</v>
      </c>
    </row>
    <row r="325" spans="1:49" x14ac:dyDescent="0.2">
      <c r="A325">
        <v>323</v>
      </c>
      <c r="B325" t="s">
        <v>6965</v>
      </c>
      <c r="C325" t="s">
        <v>6964</v>
      </c>
      <c r="F325" t="s">
        <v>6963</v>
      </c>
      <c r="G325" t="s">
        <v>6</v>
      </c>
      <c r="H325" t="s">
        <v>5</v>
      </c>
      <c r="I325" t="s">
        <v>6962</v>
      </c>
      <c r="J325" t="s">
        <v>6961</v>
      </c>
      <c r="K325" t="s">
        <v>6960</v>
      </c>
      <c r="L325" t="s">
        <v>6959</v>
      </c>
      <c r="M325" t="s">
        <v>6958</v>
      </c>
      <c r="N325">
        <v>3</v>
      </c>
      <c r="O325" t="s">
        <v>6957</v>
      </c>
      <c r="P325" t="s">
        <v>6956</v>
      </c>
      <c r="Q325" t="s">
        <v>6955</v>
      </c>
      <c r="R325" s="7">
        <v>37196</v>
      </c>
      <c r="S325" s="8">
        <f t="shared" si="40"/>
        <v>2001</v>
      </c>
      <c r="T325" s="8">
        <v>2001</v>
      </c>
      <c r="U325" s="8">
        <f t="shared" si="41"/>
        <v>21</v>
      </c>
      <c r="V325" s="7">
        <v>37196</v>
      </c>
      <c r="W325" t="s">
        <v>5700</v>
      </c>
      <c r="X325" s="2">
        <v>1.524</v>
      </c>
      <c r="Y325" s="6">
        <f t="shared" si="46"/>
        <v>4.0682309601986065E-2</v>
      </c>
      <c r="AA325">
        <v>1469592</v>
      </c>
      <c r="AB325">
        <v>12863</v>
      </c>
      <c r="AD325" t="s">
        <v>1</v>
      </c>
      <c r="AE325">
        <v>26</v>
      </c>
      <c r="AF325">
        <v>21</v>
      </c>
      <c r="AH325" t="s">
        <v>6954</v>
      </c>
      <c r="AI325" t="s">
        <v>6953</v>
      </c>
      <c r="AK325" t="s">
        <v>6952</v>
      </c>
      <c r="AL325">
        <v>3</v>
      </c>
      <c r="AM325" s="5">
        <f t="shared" si="42"/>
        <v>0.14285714285714285</v>
      </c>
      <c r="AN325" s="4">
        <f t="shared" si="47"/>
        <v>2.1636825877643749E-4</v>
      </c>
      <c r="AO325" s="3"/>
      <c r="AP325">
        <v>0</v>
      </c>
      <c r="AR325" t="s">
        <v>0</v>
      </c>
      <c r="AT325" s="2">
        <v>3.7759999999999998</v>
      </c>
      <c r="AU325" s="1">
        <f t="shared" si="43"/>
        <v>2.8542527199023175</v>
      </c>
      <c r="AV325" s="1">
        <f t="shared" si="44"/>
        <v>2.0449338930381251</v>
      </c>
      <c r="AW325" s="1">
        <f t="shared" si="45"/>
        <v>1.2356150661739327</v>
      </c>
    </row>
    <row r="326" spans="1:49" x14ac:dyDescent="0.2">
      <c r="A326">
        <v>324</v>
      </c>
      <c r="B326" t="s">
        <v>6951</v>
      </c>
      <c r="C326" t="s">
        <v>6950</v>
      </c>
      <c r="D326" t="s">
        <v>6949</v>
      </c>
      <c r="F326" t="s">
        <v>6948</v>
      </c>
      <c r="G326" t="s">
        <v>6</v>
      </c>
      <c r="H326" t="s">
        <v>5</v>
      </c>
      <c r="I326" t="s">
        <v>6947</v>
      </c>
      <c r="J326" t="s">
        <v>6946</v>
      </c>
      <c r="K326" t="s">
        <v>6945</v>
      </c>
      <c r="L326" t="s">
        <v>6944</v>
      </c>
      <c r="M326" t="s">
        <v>434</v>
      </c>
      <c r="N326">
        <v>3</v>
      </c>
      <c r="O326" t="s">
        <v>6943</v>
      </c>
      <c r="P326" t="s">
        <v>6942</v>
      </c>
      <c r="Q326" t="s">
        <v>6941</v>
      </c>
      <c r="R326" s="7">
        <v>37195</v>
      </c>
      <c r="S326" s="8">
        <f t="shared" si="40"/>
        <v>2001</v>
      </c>
      <c r="T326" s="8">
        <v>2001</v>
      </c>
      <c r="U326" s="8">
        <f t="shared" si="41"/>
        <v>21</v>
      </c>
      <c r="V326" s="7">
        <v>37195</v>
      </c>
      <c r="W326" t="s">
        <v>6940</v>
      </c>
      <c r="X326" s="2">
        <v>1.181</v>
      </c>
      <c r="Y326" s="6">
        <f t="shared" si="46"/>
        <v>3.1526120498651937E-2</v>
      </c>
      <c r="AA326">
        <v>399140</v>
      </c>
      <c r="AB326">
        <v>24555</v>
      </c>
      <c r="AD326" t="s">
        <v>1</v>
      </c>
      <c r="AE326">
        <v>55</v>
      </c>
      <c r="AF326">
        <v>4</v>
      </c>
      <c r="AH326" t="s">
        <v>881</v>
      </c>
      <c r="AI326" t="s">
        <v>6939</v>
      </c>
      <c r="AJ326" t="s">
        <v>6938</v>
      </c>
      <c r="AK326" t="s">
        <v>6937</v>
      </c>
      <c r="AL326">
        <v>10</v>
      </c>
      <c r="AM326" s="5">
        <f t="shared" si="42"/>
        <v>0.47619047619047616</v>
      </c>
      <c r="AN326" s="4">
        <f t="shared" si="47"/>
        <v>7.2122752925479164E-4</v>
      </c>
      <c r="AO326" s="3"/>
      <c r="AP326">
        <v>0</v>
      </c>
      <c r="AQ326" t="s">
        <v>702</v>
      </c>
      <c r="AR326" t="s">
        <v>0</v>
      </c>
      <c r="AS326" t="s">
        <v>701</v>
      </c>
      <c r="AT326" s="2">
        <v>6.0570000000000004</v>
      </c>
      <c r="AU326" s="1">
        <f t="shared" si="43"/>
        <v>2.2284652607832789</v>
      </c>
      <c r="AV326" s="1">
        <f t="shared" si="44"/>
        <v>1.6123674013953364</v>
      </c>
      <c r="AW326" s="1">
        <f t="shared" si="45"/>
        <v>0.99626954200739359</v>
      </c>
    </row>
    <row r="327" spans="1:49" x14ac:dyDescent="0.2">
      <c r="A327">
        <v>325</v>
      </c>
      <c r="B327" t="s">
        <v>6936</v>
      </c>
      <c r="C327" t="s">
        <v>6935</v>
      </c>
      <c r="E327">
        <v>11669628</v>
      </c>
      <c r="F327" t="s">
        <v>6934</v>
      </c>
      <c r="G327" t="s">
        <v>6</v>
      </c>
      <c r="H327" t="s">
        <v>5</v>
      </c>
      <c r="I327" t="s">
        <v>6933</v>
      </c>
      <c r="J327" t="s">
        <v>6932</v>
      </c>
      <c r="K327" t="s">
        <v>6931</v>
      </c>
      <c r="L327" t="s">
        <v>6930</v>
      </c>
      <c r="M327" t="s">
        <v>185</v>
      </c>
      <c r="N327">
        <v>5</v>
      </c>
      <c r="O327" t="s">
        <v>6929</v>
      </c>
      <c r="P327" t="s">
        <v>6928</v>
      </c>
      <c r="Q327" t="s">
        <v>6927</v>
      </c>
      <c r="R327" s="7">
        <v>37195</v>
      </c>
      <c r="S327" s="8">
        <f t="shared" si="40"/>
        <v>2001</v>
      </c>
      <c r="T327" s="8">
        <v>2001</v>
      </c>
      <c r="U327" s="8">
        <f t="shared" si="41"/>
        <v>21</v>
      </c>
      <c r="V327" s="7">
        <v>37195</v>
      </c>
      <c r="W327" t="s">
        <v>711</v>
      </c>
      <c r="X327" s="2">
        <v>1.43</v>
      </c>
      <c r="Y327" s="6">
        <f t="shared" si="46"/>
        <v>3.8173033287952803E-2</v>
      </c>
      <c r="AA327">
        <v>62960</v>
      </c>
      <c r="AB327">
        <v>16867</v>
      </c>
      <c r="AD327" t="s">
        <v>1</v>
      </c>
      <c r="AE327">
        <v>40</v>
      </c>
      <c r="AF327">
        <v>43</v>
      </c>
      <c r="AH327" t="s">
        <v>6926</v>
      </c>
      <c r="AI327" t="s">
        <v>6925</v>
      </c>
      <c r="AK327" t="s">
        <v>6924</v>
      </c>
      <c r="AL327">
        <v>33</v>
      </c>
      <c r="AM327" s="5">
        <f t="shared" si="42"/>
        <v>1.5714285714285714</v>
      </c>
      <c r="AN327" s="4">
        <f t="shared" si="47"/>
        <v>2.3800508465408126E-3</v>
      </c>
      <c r="AO327" s="3"/>
      <c r="AP327">
        <v>0</v>
      </c>
      <c r="AR327" t="s">
        <v>0</v>
      </c>
      <c r="AT327" s="2">
        <v>3.1619999999999999</v>
      </c>
      <c r="AU327" s="1">
        <f t="shared" si="43"/>
        <v>2.7435138555529202</v>
      </c>
      <c r="AV327" s="1">
        <f t="shared" si="44"/>
        <v>2.0276542067246806</v>
      </c>
      <c r="AW327" s="1">
        <f t="shared" si="45"/>
        <v>1.3117945578964409</v>
      </c>
    </row>
    <row r="328" spans="1:49" x14ac:dyDescent="0.2">
      <c r="A328">
        <v>326</v>
      </c>
      <c r="B328" t="s">
        <v>6923</v>
      </c>
      <c r="C328" t="s">
        <v>6922</v>
      </c>
      <c r="F328" t="s">
        <v>6921</v>
      </c>
      <c r="G328" t="s">
        <v>6</v>
      </c>
      <c r="H328" t="s">
        <v>5</v>
      </c>
      <c r="I328" t="s">
        <v>6920</v>
      </c>
      <c r="J328" t="s">
        <v>6919</v>
      </c>
      <c r="K328" t="s">
        <v>6918</v>
      </c>
      <c r="L328" t="s">
        <v>6917</v>
      </c>
      <c r="M328" t="s">
        <v>379</v>
      </c>
      <c r="N328">
        <v>11</v>
      </c>
      <c r="O328" t="s">
        <v>6916</v>
      </c>
      <c r="P328" t="s">
        <v>6915</v>
      </c>
      <c r="Q328" t="s">
        <v>6914</v>
      </c>
      <c r="R328" s="7">
        <v>37189</v>
      </c>
      <c r="S328" s="8">
        <f t="shared" si="40"/>
        <v>2001</v>
      </c>
      <c r="T328" s="8">
        <v>2001</v>
      </c>
      <c r="U328" s="8">
        <f t="shared" si="41"/>
        <v>21</v>
      </c>
      <c r="V328" s="7">
        <v>37189</v>
      </c>
      <c r="W328" t="s">
        <v>698</v>
      </c>
      <c r="X328" s="2">
        <v>0.375</v>
      </c>
      <c r="Y328" s="6">
        <f t="shared" si="46"/>
        <v>1.0010410827260351E-2</v>
      </c>
      <c r="AA328">
        <v>135194</v>
      </c>
      <c r="AB328">
        <v>24918</v>
      </c>
      <c r="AD328" t="s">
        <v>1</v>
      </c>
      <c r="AE328">
        <v>37</v>
      </c>
      <c r="AF328">
        <v>22</v>
      </c>
      <c r="AH328" t="s">
        <v>6913</v>
      </c>
      <c r="AI328" t="s">
        <v>6912</v>
      </c>
      <c r="AK328" t="s">
        <v>6911</v>
      </c>
      <c r="AL328">
        <v>29</v>
      </c>
      <c r="AM328" s="5">
        <f t="shared" si="42"/>
        <v>1.3809523809523809</v>
      </c>
      <c r="AN328" s="4">
        <f t="shared" si="47"/>
        <v>2.0915598348388957E-3</v>
      </c>
      <c r="AO328" s="3"/>
      <c r="AP328">
        <v>0</v>
      </c>
      <c r="AR328" t="s">
        <v>0</v>
      </c>
      <c r="AT328" s="2">
        <v>1.3140000000000001</v>
      </c>
      <c r="AU328" s="1">
        <f t="shared" si="43"/>
        <v>0.76347555295339142</v>
      </c>
      <c r="AV328" s="1">
        <f t="shared" si="44"/>
        <v>0.60509853310496231</v>
      </c>
      <c r="AW328" s="1">
        <f t="shared" si="45"/>
        <v>0.4467215132565332</v>
      </c>
    </row>
    <row r="329" spans="1:49" x14ac:dyDescent="0.2">
      <c r="A329">
        <v>327</v>
      </c>
      <c r="B329" t="s">
        <v>6910</v>
      </c>
      <c r="C329" t="s">
        <v>6909</v>
      </c>
      <c r="F329" t="s">
        <v>6908</v>
      </c>
      <c r="G329" t="s">
        <v>6</v>
      </c>
      <c r="H329" t="s">
        <v>5</v>
      </c>
      <c r="I329" t="s">
        <v>6907</v>
      </c>
      <c r="J329">
        <v>60008293</v>
      </c>
      <c r="K329" t="s">
        <v>6906</v>
      </c>
      <c r="L329" t="s">
        <v>6905</v>
      </c>
      <c r="M329" t="s">
        <v>46</v>
      </c>
      <c r="N329">
        <v>5</v>
      </c>
      <c r="O329" t="s">
        <v>6904</v>
      </c>
      <c r="P329" t="s">
        <v>6903</v>
      </c>
      <c r="Q329" t="s">
        <v>6902</v>
      </c>
      <c r="R329" s="7">
        <v>37189</v>
      </c>
      <c r="S329" s="8">
        <f t="shared" si="40"/>
        <v>2001</v>
      </c>
      <c r="T329" s="8">
        <v>2001</v>
      </c>
      <c r="U329" s="8">
        <f t="shared" si="41"/>
        <v>21</v>
      </c>
      <c r="V329" s="7">
        <v>37189</v>
      </c>
      <c r="W329" t="s">
        <v>698</v>
      </c>
      <c r="X329" s="2">
        <v>0.375</v>
      </c>
      <c r="Y329" s="6">
        <f t="shared" si="46"/>
        <v>1.0010410827260351E-2</v>
      </c>
      <c r="AA329">
        <v>135194</v>
      </c>
      <c r="AB329">
        <v>24918</v>
      </c>
      <c r="AD329" t="s">
        <v>1</v>
      </c>
      <c r="AE329">
        <v>37</v>
      </c>
      <c r="AF329">
        <v>22</v>
      </c>
      <c r="AH329" t="s">
        <v>6901</v>
      </c>
      <c r="AI329" t="s">
        <v>6900</v>
      </c>
      <c r="AK329" t="s">
        <v>6899</v>
      </c>
      <c r="AL329">
        <v>360</v>
      </c>
      <c r="AM329" s="5">
        <f t="shared" si="42"/>
        <v>17.142857142857142</v>
      </c>
      <c r="AN329" s="4">
        <f t="shared" si="47"/>
        <v>2.5964191053172499E-2</v>
      </c>
      <c r="AO329" s="3"/>
      <c r="AP329">
        <v>0</v>
      </c>
      <c r="AR329" t="s">
        <v>0</v>
      </c>
      <c r="AT329" s="2">
        <v>1.3140000000000001</v>
      </c>
      <c r="AU329" s="1">
        <f t="shared" si="43"/>
        <v>1.4796544895033994</v>
      </c>
      <c r="AV329" s="1">
        <f t="shared" si="44"/>
        <v>1.7987300940216424</v>
      </c>
      <c r="AW329" s="1">
        <f t="shared" si="45"/>
        <v>2.1178056985398852</v>
      </c>
    </row>
    <row r="330" spans="1:49" x14ac:dyDescent="0.2">
      <c r="A330">
        <v>328</v>
      </c>
      <c r="B330" t="s">
        <v>6898</v>
      </c>
      <c r="C330" t="s">
        <v>6897</v>
      </c>
      <c r="F330" t="s">
        <v>6896</v>
      </c>
      <c r="G330" t="s">
        <v>6</v>
      </c>
      <c r="H330" t="s">
        <v>5</v>
      </c>
      <c r="I330" t="s">
        <v>6895</v>
      </c>
      <c r="J330" t="s">
        <v>6894</v>
      </c>
      <c r="K330" t="s">
        <v>6893</v>
      </c>
      <c r="L330" t="s">
        <v>6892</v>
      </c>
      <c r="M330" t="s">
        <v>412</v>
      </c>
      <c r="N330">
        <v>5</v>
      </c>
      <c r="O330" t="s">
        <v>6891</v>
      </c>
      <c r="P330" t="s">
        <v>6890</v>
      </c>
      <c r="Q330" t="s">
        <v>6889</v>
      </c>
      <c r="R330" s="7">
        <v>37189</v>
      </c>
      <c r="S330" s="8">
        <f t="shared" si="40"/>
        <v>2001</v>
      </c>
      <c r="T330" s="8">
        <v>2001</v>
      </c>
      <c r="U330" s="8">
        <f t="shared" si="41"/>
        <v>21</v>
      </c>
      <c r="V330" s="7">
        <v>37189</v>
      </c>
      <c r="W330" t="s">
        <v>698</v>
      </c>
      <c r="X330" s="2">
        <v>0.375</v>
      </c>
      <c r="Y330" s="6">
        <f t="shared" si="46"/>
        <v>1.0010410827260351E-2</v>
      </c>
      <c r="AA330">
        <v>135194</v>
      </c>
      <c r="AB330">
        <v>24918</v>
      </c>
      <c r="AD330" t="s">
        <v>1</v>
      </c>
      <c r="AE330">
        <v>37</v>
      </c>
      <c r="AF330">
        <v>22</v>
      </c>
      <c r="AH330" t="s">
        <v>6888</v>
      </c>
      <c r="AI330" t="s">
        <v>6887</v>
      </c>
      <c r="AK330" t="s">
        <v>6886</v>
      </c>
      <c r="AL330">
        <v>45</v>
      </c>
      <c r="AM330" s="5">
        <f t="shared" si="42"/>
        <v>2.1428571428571428</v>
      </c>
      <c r="AN330" s="4">
        <f t="shared" si="47"/>
        <v>3.2455238816465623E-3</v>
      </c>
      <c r="AO330" s="3"/>
      <c r="AP330">
        <v>0</v>
      </c>
      <c r="AR330" t="s">
        <v>0</v>
      </c>
      <c r="AT330" s="2">
        <v>1.3140000000000001</v>
      </c>
      <c r="AU330" s="1">
        <f t="shared" si="43"/>
        <v>0.79809447435762149</v>
      </c>
      <c r="AV330" s="1">
        <f t="shared" si="44"/>
        <v>0.66279673544534567</v>
      </c>
      <c r="AW330" s="1">
        <f t="shared" si="45"/>
        <v>0.52749899653306986</v>
      </c>
    </row>
    <row r="331" spans="1:49" x14ac:dyDescent="0.2">
      <c r="A331">
        <v>329</v>
      </c>
      <c r="B331" t="s">
        <v>6885</v>
      </c>
      <c r="C331" t="s">
        <v>6884</v>
      </c>
      <c r="E331">
        <v>11603984</v>
      </c>
      <c r="F331" t="s">
        <v>6883</v>
      </c>
      <c r="G331" t="s">
        <v>6</v>
      </c>
      <c r="H331" t="s">
        <v>5</v>
      </c>
      <c r="I331" t="s">
        <v>6882</v>
      </c>
      <c r="J331" t="s">
        <v>6881</v>
      </c>
      <c r="K331" t="s">
        <v>6880</v>
      </c>
      <c r="L331" t="s">
        <v>6879</v>
      </c>
      <c r="M331" t="s">
        <v>44</v>
      </c>
      <c r="N331">
        <v>5</v>
      </c>
      <c r="O331" t="s">
        <v>6878</v>
      </c>
      <c r="P331" t="s">
        <v>6877</v>
      </c>
      <c r="Q331" t="s">
        <v>6876</v>
      </c>
      <c r="R331" s="7">
        <v>37188</v>
      </c>
      <c r="S331" s="8">
        <f t="shared" si="40"/>
        <v>2001</v>
      </c>
      <c r="T331" s="8">
        <v>2001</v>
      </c>
      <c r="U331" s="8">
        <f t="shared" si="41"/>
        <v>21</v>
      </c>
      <c r="V331" s="7">
        <v>37188</v>
      </c>
      <c r="W331" t="s">
        <v>699</v>
      </c>
      <c r="X331" s="2">
        <v>7.1150000000000002</v>
      </c>
      <c r="Y331" s="6">
        <f t="shared" si="46"/>
        <v>0.18993086142921972</v>
      </c>
      <c r="AA331">
        <v>27863</v>
      </c>
      <c r="AB331">
        <v>22680</v>
      </c>
      <c r="AD331" t="s">
        <v>1</v>
      </c>
      <c r="AE331">
        <v>123</v>
      </c>
      <c r="AF331">
        <v>42</v>
      </c>
      <c r="AH331" t="s">
        <v>6875</v>
      </c>
      <c r="AI331" t="s">
        <v>6874</v>
      </c>
      <c r="AK331" t="s">
        <v>6873</v>
      </c>
      <c r="AL331">
        <v>128</v>
      </c>
      <c r="AM331" s="5">
        <f t="shared" si="42"/>
        <v>6.0952380952380949</v>
      </c>
      <c r="AN331" s="4">
        <f t="shared" si="47"/>
        <v>9.231712374461333E-3</v>
      </c>
      <c r="AO331" s="3"/>
      <c r="AP331">
        <v>0</v>
      </c>
      <c r="AR331" t="s">
        <v>0</v>
      </c>
      <c r="AT331" s="2" t="s">
        <v>7</v>
      </c>
      <c r="AU331" s="1">
        <f t="shared" si="43"/>
        <v>13.572111671279222</v>
      </c>
      <c r="AV331" s="1">
        <f t="shared" si="44"/>
        <v>9.9581286901840524</v>
      </c>
      <c r="AW331" s="1">
        <f t="shared" si="45"/>
        <v>6.3441457090888846</v>
      </c>
    </row>
    <row r="332" spans="1:49" x14ac:dyDescent="0.2">
      <c r="A332">
        <v>330</v>
      </c>
      <c r="B332" t="s">
        <v>6872</v>
      </c>
      <c r="C332" t="s">
        <v>6871</v>
      </c>
      <c r="E332">
        <v>11601979</v>
      </c>
      <c r="F332" t="s">
        <v>6870</v>
      </c>
      <c r="G332" t="s">
        <v>6</v>
      </c>
      <c r="H332" t="s">
        <v>5</v>
      </c>
      <c r="I332" t="s">
        <v>6869</v>
      </c>
      <c r="J332" t="s">
        <v>6868</v>
      </c>
      <c r="K332" t="s">
        <v>6867</v>
      </c>
      <c r="L332" t="s">
        <v>6866</v>
      </c>
      <c r="M332" t="s">
        <v>6865</v>
      </c>
      <c r="N332">
        <v>5</v>
      </c>
      <c r="O332" t="s">
        <v>6864</v>
      </c>
      <c r="P332" t="s">
        <v>6863</v>
      </c>
      <c r="Q332" t="s">
        <v>6862</v>
      </c>
      <c r="R332" s="7">
        <v>37187</v>
      </c>
      <c r="S332" s="8">
        <f t="shared" si="40"/>
        <v>2001</v>
      </c>
      <c r="T332" s="8">
        <v>2001</v>
      </c>
      <c r="U332" s="8">
        <f t="shared" si="41"/>
        <v>21</v>
      </c>
      <c r="V332" s="7">
        <v>37187</v>
      </c>
      <c r="W332" t="s">
        <v>711</v>
      </c>
      <c r="X332" s="2">
        <v>1.43</v>
      </c>
      <c r="Y332" s="6">
        <f t="shared" si="46"/>
        <v>3.8173033287952803E-2</v>
      </c>
      <c r="AA332">
        <v>62960</v>
      </c>
      <c r="AB332">
        <v>16867</v>
      </c>
      <c r="AD332" t="s">
        <v>1</v>
      </c>
      <c r="AE332">
        <v>40</v>
      </c>
      <c r="AF332">
        <v>42</v>
      </c>
      <c r="AH332" t="s">
        <v>6861</v>
      </c>
      <c r="AI332" t="s">
        <v>6860</v>
      </c>
      <c r="AK332" t="s">
        <v>6859</v>
      </c>
      <c r="AL332">
        <v>184</v>
      </c>
      <c r="AM332" s="5">
        <f t="shared" si="42"/>
        <v>8.7619047619047628</v>
      </c>
      <c r="AN332" s="4">
        <f t="shared" si="47"/>
        <v>1.3270586538288168E-2</v>
      </c>
      <c r="AO332" s="3"/>
      <c r="AP332">
        <v>0</v>
      </c>
      <c r="AR332" t="s">
        <v>0</v>
      </c>
      <c r="AT332" s="2">
        <v>3.1619999999999999</v>
      </c>
      <c r="AU332" s="1">
        <f t="shared" si="43"/>
        <v>3.0702299263053412</v>
      </c>
      <c r="AV332" s="1">
        <f t="shared" si="44"/>
        <v>2.5721809913120488</v>
      </c>
      <c r="AW332" s="1">
        <f t="shared" si="45"/>
        <v>2.074132056318756</v>
      </c>
    </row>
    <row r="333" spans="1:49" x14ac:dyDescent="0.2">
      <c r="A333">
        <v>331</v>
      </c>
      <c r="B333" t="s">
        <v>6858</v>
      </c>
      <c r="C333" t="s">
        <v>6857</v>
      </c>
      <c r="E333">
        <v>11589704</v>
      </c>
      <c r="F333" t="s">
        <v>6856</v>
      </c>
      <c r="G333" t="s">
        <v>6</v>
      </c>
      <c r="H333" t="s">
        <v>5</v>
      </c>
      <c r="I333" t="s">
        <v>6855</v>
      </c>
      <c r="J333" t="s">
        <v>6854</v>
      </c>
      <c r="K333" t="s">
        <v>6853</v>
      </c>
      <c r="L333" t="s">
        <v>6852</v>
      </c>
      <c r="M333" t="s">
        <v>175</v>
      </c>
      <c r="N333">
        <v>8</v>
      </c>
      <c r="O333" t="s">
        <v>6851</v>
      </c>
      <c r="P333" t="s">
        <v>6850</v>
      </c>
      <c r="Q333" t="s">
        <v>6849</v>
      </c>
      <c r="R333" s="7">
        <v>37186</v>
      </c>
      <c r="S333" s="8">
        <f t="shared" si="40"/>
        <v>2001</v>
      </c>
      <c r="T333" s="8">
        <v>2001</v>
      </c>
      <c r="U333" s="8">
        <f t="shared" si="41"/>
        <v>21</v>
      </c>
      <c r="V333" s="7">
        <v>2001</v>
      </c>
      <c r="W333" t="s">
        <v>90</v>
      </c>
      <c r="X333" s="2">
        <v>1.9810000000000001</v>
      </c>
      <c r="Y333" s="6">
        <f t="shared" si="46"/>
        <v>5.2881663596807349E-2</v>
      </c>
      <c r="AA333">
        <v>142956</v>
      </c>
      <c r="AB333">
        <v>39034</v>
      </c>
      <c r="AD333" t="s">
        <v>1</v>
      </c>
      <c r="AE333">
        <v>268</v>
      </c>
      <c r="AF333">
        <v>19</v>
      </c>
      <c r="AH333" t="s">
        <v>6848</v>
      </c>
      <c r="AI333" t="s">
        <v>6847</v>
      </c>
      <c r="AJ333" t="s">
        <v>6846</v>
      </c>
      <c r="AK333" t="s">
        <v>6845</v>
      </c>
      <c r="AL333">
        <v>4</v>
      </c>
      <c r="AM333" s="5">
        <f t="shared" si="42"/>
        <v>0.19047619047619047</v>
      </c>
      <c r="AN333" s="4">
        <f t="shared" si="47"/>
        <v>2.8849101170191666E-4</v>
      </c>
      <c r="AO333" s="3"/>
      <c r="AP333">
        <v>0</v>
      </c>
      <c r="AR333" t="s">
        <v>0</v>
      </c>
      <c r="AT333" s="2" t="s">
        <v>7</v>
      </c>
      <c r="AU333" s="1">
        <f t="shared" si="43"/>
        <v>3.710371182127572</v>
      </c>
      <c r="AV333" s="1">
        <f t="shared" si="44"/>
        <v>2.6585077304254634</v>
      </c>
      <c r="AW333" s="1">
        <f t="shared" si="45"/>
        <v>1.6066442787233546</v>
      </c>
    </row>
    <row r="334" spans="1:49" x14ac:dyDescent="0.2">
      <c r="A334">
        <v>332</v>
      </c>
      <c r="B334" t="s">
        <v>6844</v>
      </c>
      <c r="C334" t="s">
        <v>6843</v>
      </c>
      <c r="F334" t="s">
        <v>6842</v>
      </c>
      <c r="G334" t="s">
        <v>6</v>
      </c>
      <c r="H334" t="s">
        <v>5</v>
      </c>
      <c r="I334" t="s">
        <v>6841</v>
      </c>
      <c r="J334">
        <v>60022522</v>
      </c>
      <c r="K334" t="s">
        <v>6840</v>
      </c>
      <c r="L334" t="s">
        <v>6839</v>
      </c>
      <c r="M334" t="s">
        <v>3</v>
      </c>
      <c r="N334">
        <v>1</v>
      </c>
      <c r="O334" t="s">
        <v>6838</v>
      </c>
      <c r="P334">
        <v>7004362452</v>
      </c>
      <c r="Q334">
        <v>60022522</v>
      </c>
      <c r="R334" s="7">
        <v>37185</v>
      </c>
      <c r="S334" s="8">
        <f t="shared" si="40"/>
        <v>2001</v>
      </c>
      <c r="T334" s="8">
        <v>2001</v>
      </c>
      <c r="U334" s="8">
        <f t="shared" si="41"/>
        <v>21</v>
      </c>
      <c r="V334" s="7">
        <v>37185</v>
      </c>
      <c r="W334" t="s">
        <v>6837</v>
      </c>
      <c r="X334" s="2">
        <v>1.528</v>
      </c>
      <c r="Y334" s="6">
        <f t="shared" si="46"/>
        <v>4.0789087317476845E-2</v>
      </c>
      <c r="AA334">
        <v>2649381</v>
      </c>
      <c r="AB334">
        <v>27433</v>
      </c>
      <c r="AD334" t="s">
        <v>1</v>
      </c>
      <c r="AE334">
        <v>18</v>
      </c>
      <c r="AF334">
        <v>20</v>
      </c>
      <c r="AH334" t="s">
        <v>6836</v>
      </c>
      <c r="AI334" t="s">
        <v>6835</v>
      </c>
      <c r="AK334" t="s">
        <v>6834</v>
      </c>
      <c r="AL334">
        <v>49</v>
      </c>
      <c r="AM334" s="5">
        <f t="shared" si="42"/>
        <v>2.3333333333333335</v>
      </c>
      <c r="AN334" s="4">
        <f t="shared" si="47"/>
        <v>3.5340148933484792E-3</v>
      </c>
      <c r="AO334" s="3"/>
      <c r="AP334">
        <v>0</v>
      </c>
      <c r="AR334" t="s">
        <v>0</v>
      </c>
      <c r="AT334" s="2">
        <v>3.528</v>
      </c>
      <c r="AU334" s="1">
        <f t="shared" si="43"/>
        <v>2.9612565590238336</v>
      </c>
      <c r="AV334" s="1">
        <f t="shared" si="44"/>
        <v>2.2161551105412665</v>
      </c>
      <c r="AW334" s="1">
        <f t="shared" si="45"/>
        <v>1.4710536620586987</v>
      </c>
    </row>
    <row r="335" spans="1:49" x14ac:dyDescent="0.2">
      <c r="A335">
        <v>333</v>
      </c>
      <c r="B335" t="s">
        <v>6833</v>
      </c>
      <c r="C335" t="s">
        <v>6832</v>
      </c>
      <c r="F335" t="s">
        <v>6831</v>
      </c>
      <c r="G335" t="s">
        <v>6</v>
      </c>
      <c r="H335" t="s">
        <v>5</v>
      </c>
      <c r="I335" t="s">
        <v>6830</v>
      </c>
      <c r="J335">
        <v>60009860</v>
      </c>
      <c r="K335" t="s">
        <v>6829</v>
      </c>
      <c r="L335" t="s">
        <v>770</v>
      </c>
      <c r="M335" t="s">
        <v>62</v>
      </c>
      <c r="N335">
        <v>2</v>
      </c>
      <c r="O335" t="s">
        <v>6828</v>
      </c>
      <c r="P335" t="s">
        <v>6827</v>
      </c>
      <c r="Q335" t="s">
        <v>6826</v>
      </c>
      <c r="R335" s="7">
        <v>37184</v>
      </c>
      <c r="S335" s="8">
        <f t="shared" si="40"/>
        <v>2001</v>
      </c>
      <c r="T335" s="8">
        <v>2001</v>
      </c>
      <c r="U335" s="8">
        <f t="shared" si="41"/>
        <v>21</v>
      </c>
      <c r="V335" s="7">
        <v>37184</v>
      </c>
      <c r="W335" t="s">
        <v>290</v>
      </c>
      <c r="X335" s="2">
        <v>0.30399999999999999</v>
      </c>
      <c r="Y335" s="6">
        <f t="shared" si="46"/>
        <v>8.115106377299057E-3</v>
      </c>
      <c r="AA335">
        <v>8952477</v>
      </c>
      <c r="AB335">
        <v>12250</v>
      </c>
      <c r="AD335" t="s">
        <v>1</v>
      </c>
      <c r="AE335">
        <v>31</v>
      </c>
      <c r="AF335">
        <v>2</v>
      </c>
      <c r="AH335" t="s">
        <v>6825</v>
      </c>
      <c r="AI335" t="s">
        <v>6824</v>
      </c>
      <c r="AJ335" t="s">
        <v>6823</v>
      </c>
      <c r="AK335" t="s">
        <v>6822</v>
      </c>
      <c r="AL335">
        <v>4</v>
      </c>
      <c r="AM335" s="5">
        <f t="shared" si="42"/>
        <v>0.19047619047619047</v>
      </c>
      <c r="AN335" s="4">
        <f t="shared" si="47"/>
        <v>2.8849101170191666E-4</v>
      </c>
      <c r="AO335" s="3"/>
      <c r="AP335">
        <v>0</v>
      </c>
      <c r="AR335" t="s">
        <v>0</v>
      </c>
      <c r="AT335" s="2" t="s">
        <v>7</v>
      </c>
      <c r="AU335" s="1">
        <f t="shared" si="43"/>
        <v>0.57671217676199149</v>
      </c>
      <c r="AV335" s="1">
        <f t="shared" si="44"/>
        <v>0.4201798694500487</v>
      </c>
      <c r="AW335" s="1">
        <f t="shared" si="45"/>
        <v>0.26364756213810586</v>
      </c>
    </row>
    <row r="336" spans="1:49" x14ac:dyDescent="0.2">
      <c r="A336">
        <v>334</v>
      </c>
      <c r="B336" t="s">
        <v>6821</v>
      </c>
      <c r="C336" t="s">
        <v>6820</v>
      </c>
      <c r="F336" t="s">
        <v>6819</v>
      </c>
      <c r="G336" t="s">
        <v>6</v>
      </c>
      <c r="H336" t="s">
        <v>5</v>
      </c>
      <c r="I336" t="s">
        <v>6818</v>
      </c>
      <c r="J336" t="s">
        <v>6817</v>
      </c>
      <c r="K336" t="s">
        <v>6816</v>
      </c>
      <c r="L336" t="s">
        <v>6815</v>
      </c>
      <c r="M336" t="s">
        <v>6814</v>
      </c>
      <c r="N336">
        <v>3</v>
      </c>
      <c r="O336" t="s">
        <v>6813</v>
      </c>
      <c r="P336" t="s">
        <v>6812</v>
      </c>
      <c r="Q336" t="s">
        <v>6811</v>
      </c>
      <c r="R336" s="7">
        <v>37184</v>
      </c>
      <c r="S336" s="8">
        <f t="shared" si="40"/>
        <v>2001</v>
      </c>
      <c r="T336" s="8">
        <v>2001</v>
      </c>
      <c r="U336" s="8">
        <f t="shared" si="41"/>
        <v>21</v>
      </c>
      <c r="V336" s="7">
        <v>37184</v>
      </c>
      <c r="W336" t="s">
        <v>290</v>
      </c>
      <c r="X336" s="2">
        <v>0.30399999999999999</v>
      </c>
      <c r="Y336" s="6">
        <f t="shared" si="46"/>
        <v>8.115106377299057E-3</v>
      </c>
      <c r="AA336">
        <v>8952477</v>
      </c>
      <c r="AB336">
        <v>12250</v>
      </c>
      <c r="AD336" t="s">
        <v>1</v>
      </c>
      <c r="AE336">
        <v>31</v>
      </c>
      <c r="AF336">
        <v>2</v>
      </c>
      <c r="AH336" t="s">
        <v>585</v>
      </c>
      <c r="AI336" t="s">
        <v>6810</v>
      </c>
      <c r="AJ336" t="s">
        <v>6809</v>
      </c>
      <c r="AK336" t="s">
        <v>6808</v>
      </c>
      <c r="AL336">
        <v>58</v>
      </c>
      <c r="AM336" s="5">
        <f t="shared" si="42"/>
        <v>2.7619047619047619</v>
      </c>
      <c r="AN336" s="4">
        <f t="shared" si="47"/>
        <v>4.1831196696777914E-3</v>
      </c>
      <c r="AO336" s="3"/>
      <c r="AP336">
        <v>0</v>
      </c>
      <c r="AR336" t="s">
        <v>0</v>
      </c>
      <c r="AT336" s="2" t="s">
        <v>7</v>
      </c>
      <c r="AU336" s="1">
        <f t="shared" si="43"/>
        <v>0.6935510365012677</v>
      </c>
      <c r="AV336" s="1">
        <f t="shared" si="44"/>
        <v>0.61491130234884239</v>
      </c>
      <c r="AW336" s="1">
        <f t="shared" si="45"/>
        <v>0.53627156819641719</v>
      </c>
    </row>
    <row r="337" spans="1:49" x14ac:dyDescent="0.2">
      <c r="A337">
        <v>335</v>
      </c>
      <c r="B337" t="s">
        <v>6807</v>
      </c>
      <c r="C337" t="s">
        <v>6806</v>
      </c>
      <c r="F337" t="s">
        <v>6805</v>
      </c>
      <c r="G337" t="s">
        <v>6</v>
      </c>
      <c r="H337" t="s">
        <v>5</v>
      </c>
      <c r="I337" t="s">
        <v>6804</v>
      </c>
      <c r="J337">
        <v>60068535</v>
      </c>
      <c r="K337" t="s">
        <v>501</v>
      </c>
      <c r="L337" t="s">
        <v>458</v>
      </c>
      <c r="M337" t="s">
        <v>457</v>
      </c>
      <c r="N337">
        <v>3</v>
      </c>
      <c r="O337" t="s">
        <v>6803</v>
      </c>
      <c r="P337" t="s">
        <v>6802</v>
      </c>
      <c r="Q337" t="s">
        <v>500</v>
      </c>
      <c r="R337" s="7">
        <v>37184</v>
      </c>
      <c r="S337" s="8">
        <f t="shared" si="40"/>
        <v>2001</v>
      </c>
      <c r="T337" s="8">
        <v>2001</v>
      </c>
      <c r="U337" s="8">
        <f t="shared" si="41"/>
        <v>21</v>
      </c>
      <c r="V337" s="7">
        <v>37184</v>
      </c>
      <c r="W337" t="s">
        <v>290</v>
      </c>
      <c r="X337" s="2">
        <v>0.30399999999999999</v>
      </c>
      <c r="Y337" s="6">
        <f t="shared" si="46"/>
        <v>8.115106377299057E-3</v>
      </c>
      <c r="AA337">
        <v>8952477</v>
      </c>
      <c r="AB337">
        <v>12250</v>
      </c>
      <c r="AD337" t="s">
        <v>1</v>
      </c>
      <c r="AE337">
        <v>31</v>
      </c>
      <c r="AF337">
        <v>2</v>
      </c>
      <c r="AH337" t="s">
        <v>6801</v>
      </c>
      <c r="AI337" t="s">
        <v>6800</v>
      </c>
      <c r="AJ337" t="s">
        <v>6799</v>
      </c>
      <c r="AK337" t="s">
        <v>6798</v>
      </c>
      <c r="AL337">
        <v>5</v>
      </c>
      <c r="AM337" s="5">
        <f t="shared" si="42"/>
        <v>0.23809523809523808</v>
      </c>
      <c r="AN337" s="4">
        <f t="shared" si="47"/>
        <v>3.6061376462739582E-4</v>
      </c>
      <c r="AO337" s="3"/>
      <c r="AP337">
        <v>0</v>
      </c>
      <c r="AR337" t="s">
        <v>0</v>
      </c>
      <c r="AT337" s="2" t="s">
        <v>7</v>
      </c>
      <c r="AU337" s="1">
        <f t="shared" si="43"/>
        <v>0.57887585934975583</v>
      </c>
      <c r="AV337" s="1">
        <f t="shared" si="44"/>
        <v>0.42378600709632264</v>
      </c>
      <c r="AW337" s="1">
        <f t="shared" si="45"/>
        <v>0.26869615484288945</v>
      </c>
    </row>
    <row r="338" spans="1:49" x14ac:dyDescent="0.2">
      <c r="A338">
        <v>336</v>
      </c>
      <c r="B338" t="s">
        <v>6797</v>
      </c>
      <c r="C338" t="s">
        <v>6796</v>
      </c>
      <c r="D338" t="s">
        <v>6795</v>
      </c>
      <c r="F338" t="s">
        <v>6794</v>
      </c>
      <c r="G338" t="s">
        <v>6</v>
      </c>
      <c r="H338" t="s">
        <v>5</v>
      </c>
      <c r="I338" t="s">
        <v>6793</v>
      </c>
      <c r="J338">
        <v>60018491</v>
      </c>
      <c r="K338" t="s">
        <v>1006</v>
      </c>
      <c r="L338" t="s">
        <v>1005</v>
      </c>
      <c r="M338" t="s">
        <v>126</v>
      </c>
      <c r="N338">
        <v>2</v>
      </c>
      <c r="O338" t="s">
        <v>6792</v>
      </c>
      <c r="P338" t="s">
        <v>6791</v>
      </c>
      <c r="Q338" t="s">
        <v>1004</v>
      </c>
      <c r="R338" s="7">
        <v>37184</v>
      </c>
      <c r="S338" s="8">
        <f t="shared" si="40"/>
        <v>2001</v>
      </c>
      <c r="T338" s="8">
        <v>2001</v>
      </c>
      <c r="U338" s="8">
        <f t="shared" si="41"/>
        <v>21</v>
      </c>
      <c r="V338" s="7">
        <v>2001</v>
      </c>
      <c r="W338" t="s">
        <v>6790</v>
      </c>
      <c r="X338" s="2">
        <v>1.234</v>
      </c>
      <c r="Y338" s="6">
        <f t="shared" si="46"/>
        <v>3.2940925228904731E-2</v>
      </c>
      <c r="AA338">
        <v>370738</v>
      </c>
      <c r="AB338">
        <v>26319</v>
      </c>
      <c r="AD338" t="s">
        <v>1</v>
      </c>
      <c r="AE338">
        <v>143</v>
      </c>
      <c r="AF338" s="10">
        <v>44289</v>
      </c>
      <c r="AH338" t="s">
        <v>6789</v>
      </c>
      <c r="AI338" t="s">
        <v>6788</v>
      </c>
      <c r="AJ338" t="s">
        <v>6787</v>
      </c>
      <c r="AK338" t="s">
        <v>6786</v>
      </c>
      <c r="AL338">
        <v>39</v>
      </c>
      <c r="AM338" s="5">
        <f t="shared" si="42"/>
        <v>1.8571428571428572</v>
      </c>
      <c r="AN338" s="4">
        <f t="shared" si="47"/>
        <v>2.8127873640936877E-3</v>
      </c>
      <c r="AO338" s="3"/>
      <c r="AP338">
        <v>0</v>
      </c>
      <c r="AQ338" t="s">
        <v>747</v>
      </c>
      <c r="AR338" t="s">
        <v>0</v>
      </c>
      <c r="AS338" t="s">
        <v>746</v>
      </c>
      <c r="AT338" s="2">
        <v>3.3969999999999998</v>
      </c>
      <c r="AU338" s="1">
        <f t="shared" si="43"/>
        <v>2.3902483869461419</v>
      </c>
      <c r="AV338" s="1">
        <f t="shared" si="44"/>
        <v>1.7876856296499211</v>
      </c>
      <c r="AW338" s="1">
        <f t="shared" si="45"/>
        <v>1.1851228723537</v>
      </c>
    </row>
    <row r="339" spans="1:49" x14ac:dyDescent="0.2">
      <c r="A339">
        <v>337</v>
      </c>
      <c r="B339" t="s">
        <v>6785</v>
      </c>
      <c r="C339" t="s">
        <v>6784</v>
      </c>
      <c r="E339">
        <v>11710960</v>
      </c>
      <c r="F339" t="s">
        <v>6783</v>
      </c>
      <c r="G339" t="s">
        <v>6</v>
      </c>
      <c r="H339" t="s">
        <v>5</v>
      </c>
      <c r="I339" t="s">
        <v>6782</v>
      </c>
      <c r="J339" t="s">
        <v>6781</v>
      </c>
      <c r="K339" t="s">
        <v>6780</v>
      </c>
      <c r="L339" t="s">
        <v>6779</v>
      </c>
      <c r="M339" t="s">
        <v>44</v>
      </c>
      <c r="N339">
        <v>3</v>
      </c>
      <c r="O339" t="s">
        <v>6778</v>
      </c>
      <c r="P339" t="s">
        <v>6777</v>
      </c>
      <c r="Q339" t="s">
        <v>6776</v>
      </c>
      <c r="R339" s="7">
        <v>37181</v>
      </c>
      <c r="S339" s="8">
        <f t="shared" si="40"/>
        <v>2001</v>
      </c>
      <c r="T339" s="8">
        <v>2001</v>
      </c>
      <c r="U339" s="8">
        <f t="shared" si="41"/>
        <v>21</v>
      </c>
      <c r="V339" s="7">
        <v>37181</v>
      </c>
      <c r="W339" t="s">
        <v>6775</v>
      </c>
      <c r="X339" s="2">
        <v>1.3779999999999999</v>
      </c>
      <c r="Y339" s="6">
        <f t="shared" si="46"/>
        <v>3.6784922986572703E-2</v>
      </c>
      <c r="AA339">
        <v>14712229</v>
      </c>
      <c r="AB339">
        <v>16794</v>
      </c>
      <c r="AC339">
        <v>14712229</v>
      </c>
      <c r="AD339" t="s">
        <v>1</v>
      </c>
      <c r="AE339">
        <v>1</v>
      </c>
      <c r="AG339">
        <v>2</v>
      </c>
      <c r="AI339" t="s">
        <v>6774</v>
      </c>
      <c r="AK339" t="s">
        <v>6773</v>
      </c>
      <c r="AL339">
        <v>44</v>
      </c>
      <c r="AM339" s="5">
        <f t="shared" si="42"/>
        <v>2.0952380952380953</v>
      </c>
      <c r="AN339" s="4">
        <f t="shared" si="47"/>
        <v>3.1734011287210834E-3</v>
      </c>
      <c r="AO339" s="3"/>
      <c r="AP339">
        <v>1</v>
      </c>
      <c r="AQ339" t="s">
        <v>21</v>
      </c>
      <c r="AR339">
        <v>9553456</v>
      </c>
      <c r="AS339" t="s">
        <v>20</v>
      </c>
      <c r="AT339" s="2">
        <v>4.2149999999999999</v>
      </c>
      <c r="AU339" s="1">
        <f t="shared" si="43"/>
        <v>2.6701466429217215</v>
      </c>
      <c r="AV339" s="1">
        <f t="shared" si="44"/>
        <v>1.9979162057646893</v>
      </c>
      <c r="AW339" s="1">
        <f t="shared" si="45"/>
        <v>1.3256857686076569</v>
      </c>
    </row>
    <row r="340" spans="1:49" x14ac:dyDescent="0.2">
      <c r="A340">
        <v>338</v>
      </c>
      <c r="B340" t="s">
        <v>6772</v>
      </c>
      <c r="C340" t="s">
        <v>6771</v>
      </c>
      <c r="F340" t="s">
        <v>6770</v>
      </c>
      <c r="G340" t="s">
        <v>6</v>
      </c>
      <c r="H340" t="s">
        <v>5</v>
      </c>
      <c r="I340" t="s">
        <v>6769</v>
      </c>
      <c r="J340" t="s">
        <v>6768</v>
      </c>
      <c r="K340" t="s">
        <v>6767</v>
      </c>
      <c r="L340" t="s">
        <v>6766</v>
      </c>
      <c r="M340" t="s">
        <v>215</v>
      </c>
      <c r="N340">
        <v>3</v>
      </c>
      <c r="O340" t="s">
        <v>6765</v>
      </c>
      <c r="P340" t="s">
        <v>6764</v>
      </c>
      <c r="Q340" t="s">
        <v>6763</v>
      </c>
      <c r="R340" s="7">
        <v>37181</v>
      </c>
      <c r="S340" s="8">
        <f t="shared" si="40"/>
        <v>2001</v>
      </c>
      <c r="T340" s="8">
        <v>2001</v>
      </c>
      <c r="U340" s="8">
        <f t="shared" si="41"/>
        <v>21</v>
      </c>
      <c r="V340" s="7">
        <v>2001</v>
      </c>
      <c r="W340" t="s">
        <v>3463</v>
      </c>
      <c r="X340" s="2">
        <v>1.351</v>
      </c>
      <c r="Y340" s="6">
        <f t="shared" si="46"/>
        <v>3.6064173407009958E-2</v>
      </c>
      <c r="AA340">
        <v>319317</v>
      </c>
      <c r="AB340">
        <v>16530</v>
      </c>
      <c r="AD340" t="s">
        <v>1</v>
      </c>
      <c r="AE340">
        <v>113</v>
      </c>
      <c r="AF340">
        <v>2</v>
      </c>
      <c r="AH340" t="s">
        <v>180</v>
      </c>
      <c r="AI340" t="s">
        <v>6762</v>
      </c>
      <c r="AK340" t="s">
        <v>6761</v>
      </c>
      <c r="AL340">
        <v>37</v>
      </c>
      <c r="AM340" s="5">
        <f t="shared" si="42"/>
        <v>1.7619047619047619</v>
      </c>
      <c r="AN340" s="4">
        <f t="shared" si="47"/>
        <v>2.668541858242729E-3</v>
      </c>
      <c r="AO340" s="3"/>
      <c r="AP340">
        <v>0</v>
      </c>
      <c r="AR340" t="s">
        <v>0</v>
      </c>
      <c r="AT340" s="2">
        <v>4.5</v>
      </c>
      <c r="AU340" s="1">
        <f t="shared" si="43"/>
        <v>2.604548394237979</v>
      </c>
      <c r="AV340" s="1">
        <f t="shared" si="44"/>
        <v>1.9366357632626345</v>
      </c>
      <c r="AW340" s="1">
        <f t="shared" si="45"/>
        <v>1.2687231322872896</v>
      </c>
    </row>
    <row r="341" spans="1:49" x14ac:dyDescent="0.2">
      <c r="A341">
        <v>339</v>
      </c>
      <c r="B341" t="s">
        <v>6760</v>
      </c>
      <c r="C341" t="s">
        <v>6759</v>
      </c>
      <c r="F341" t="s">
        <v>6758</v>
      </c>
      <c r="G341" t="s">
        <v>6</v>
      </c>
      <c r="H341" t="s">
        <v>5</v>
      </c>
      <c r="I341" t="s">
        <v>6757</v>
      </c>
      <c r="J341">
        <v>60000473</v>
      </c>
      <c r="K341" t="s">
        <v>6756</v>
      </c>
      <c r="L341" t="s">
        <v>6755</v>
      </c>
      <c r="M341" t="s">
        <v>3</v>
      </c>
      <c r="N341">
        <v>1</v>
      </c>
      <c r="O341" t="s">
        <v>6754</v>
      </c>
      <c r="P341">
        <v>6603820383</v>
      </c>
      <c r="Q341">
        <v>60000473</v>
      </c>
      <c r="R341" s="7">
        <v>37180</v>
      </c>
      <c r="S341" s="8">
        <f t="shared" si="40"/>
        <v>2001</v>
      </c>
      <c r="T341" s="8">
        <v>2001</v>
      </c>
      <c r="U341" s="8">
        <f t="shared" si="41"/>
        <v>21</v>
      </c>
      <c r="V341" s="7">
        <v>2001</v>
      </c>
      <c r="W341" t="s">
        <v>6753</v>
      </c>
      <c r="X341" s="2">
        <v>0.755</v>
      </c>
      <c r="Y341" s="6">
        <f t="shared" si="46"/>
        <v>2.0154293798884174E-2</v>
      </c>
      <c r="AA341">
        <v>3003604</v>
      </c>
      <c r="AB341">
        <v>16515</v>
      </c>
      <c r="AD341" t="s">
        <v>1</v>
      </c>
      <c r="AE341">
        <v>39</v>
      </c>
      <c r="AF341">
        <v>1</v>
      </c>
      <c r="AH341" t="s">
        <v>6752</v>
      </c>
      <c r="AI341" t="s">
        <v>6751</v>
      </c>
      <c r="AJ341" t="s">
        <v>6750</v>
      </c>
      <c r="AK341" t="s">
        <v>6749</v>
      </c>
      <c r="AL341">
        <v>19</v>
      </c>
      <c r="AM341" s="5">
        <f t="shared" si="42"/>
        <v>0.90476190476190477</v>
      </c>
      <c r="AN341" s="4">
        <f t="shared" si="47"/>
        <v>1.3703323055841042E-3</v>
      </c>
      <c r="AO341" s="3"/>
      <c r="AP341">
        <v>0</v>
      </c>
      <c r="AR341" t="s">
        <v>0</v>
      </c>
      <c r="AT341" s="2">
        <v>3.1890000000000001</v>
      </c>
      <c r="AU341" s="1">
        <f t="shared" si="43"/>
        <v>1.4519105350894153</v>
      </c>
      <c r="AV341" s="1">
        <f t="shared" si="44"/>
        <v>1.076231305223414</v>
      </c>
      <c r="AW341" s="1">
        <f t="shared" si="45"/>
        <v>0.70055207535741248</v>
      </c>
    </row>
    <row r="342" spans="1:49" x14ac:dyDescent="0.2">
      <c r="A342">
        <v>340</v>
      </c>
      <c r="B342" t="s">
        <v>6748</v>
      </c>
      <c r="C342" t="s">
        <v>6747</v>
      </c>
      <c r="E342">
        <v>11553743</v>
      </c>
      <c r="F342" t="s">
        <v>6746</v>
      </c>
      <c r="G342" t="s">
        <v>6</v>
      </c>
      <c r="H342" t="s">
        <v>5</v>
      </c>
      <c r="I342" t="s">
        <v>6745</v>
      </c>
      <c r="J342">
        <v>60031040</v>
      </c>
      <c r="K342" t="s">
        <v>1025</v>
      </c>
      <c r="L342" t="s">
        <v>1024</v>
      </c>
      <c r="M342" t="s">
        <v>115</v>
      </c>
      <c r="N342">
        <v>4</v>
      </c>
      <c r="O342" t="s">
        <v>6744</v>
      </c>
      <c r="P342" t="s">
        <v>6743</v>
      </c>
      <c r="Q342" t="s">
        <v>1023</v>
      </c>
      <c r="R342" s="7">
        <v>37180</v>
      </c>
      <c r="S342" s="8">
        <f t="shared" si="40"/>
        <v>2001</v>
      </c>
      <c r="T342" s="8">
        <v>2001</v>
      </c>
      <c r="U342" s="8">
        <f t="shared" si="41"/>
        <v>21</v>
      </c>
      <c r="V342" s="7">
        <v>2001</v>
      </c>
      <c r="W342" t="s">
        <v>81</v>
      </c>
      <c r="X342" s="2">
        <v>3.5539999999999998</v>
      </c>
      <c r="Y342" s="6">
        <f t="shared" si="46"/>
        <v>9.4872000213555435E-2</v>
      </c>
      <c r="AA342">
        <v>320889</v>
      </c>
      <c r="AB342">
        <v>16615</v>
      </c>
      <c r="AD342" t="s">
        <v>1</v>
      </c>
      <c r="AE342">
        <v>127</v>
      </c>
      <c r="AF342">
        <v>1</v>
      </c>
      <c r="AH342" t="s">
        <v>6742</v>
      </c>
      <c r="AI342" t="s">
        <v>6741</v>
      </c>
      <c r="AK342" t="s">
        <v>6740</v>
      </c>
      <c r="AL342">
        <v>79</v>
      </c>
      <c r="AM342" s="5">
        <f t="shared" si="42"/>
        <v>3.7619047619047619</v>
      </c>
      <c r="AN342" s="4">
        <f t="shared" si="47"/>
        <v>5.6976974811128542E-3</v>
      </c>
      <c r="AO342" s="3"/>
      <c r="AP342">
        <v>1</v>
      </c>
      <c r="AR342" t="s">
        <v>0</v>
      </c>
      <c r="AT342" s="2">
        <v>8.34</v>
      </c>
      <c r="AU342" s="1">
        <f t="shared" si="43"/>
        <v>6.8119709393822658</v>
      </c>
      <c r="AV342" s="1">
        <f t="shared" si="44"/>
        <v>5.0284848847334152</v>
      </c>
      <c r="AW342" s="1">
        <f t="shared" si="45"/>
        <v>3.2449988300845627</v>
      </c>
    </row>
    <row r="343" spans="1:49" x14ac:dyDescent="0.2">
      <c r="A343">
        <v>341</v>
      </c>
      <c r="B343" t="s">
        <v>6739</v>
      </c>
      <c r="C343" t="s">
        <v>6738</v>
      </c>
      <c r="E343">
        <v>11587077</v>
      </c>
      <c r="F343" t="s">
        <v>6737</v>
      </c>
      <c r="G343" t="s">
        <v>6</v>
      </c>
      <c r="H343" t="s">
        <v>5</v>
      </c>
      <c r="I343" t="s">
        <v>6736</v>
      </c>
      <c r="J343">
        <v>60008724</v>
      </c>
      <c r="K343" t="s">
        <v>6735</v>
      </c>
      <c r="L343" t="s">
        <v>558</v>
      </c>
      <c r="M343" t="s">
        <v>3</v>
      </c>
      <c r="N343">
        <v>3</v>
      </c>
      <c r="O343" t="s">
        <v>6734</v>
      </c>
      <c r="P343" t="s">
        <v>6733</v>
      </c>
      <c r="Q343" t="s">
        <v>6732</v>
      </c>
      <c r="R343" s="7">
        <v>37180</v>
      </c>
      <c r="S343" s="8">
        <f t="shared" si="40"/>
        <v>2001</v>
      </c>
      <c r="T343" s="8">
        <v>2001</v>
      </c>
      <c r="U343" s="8">
        <f t="shared" si="41"/>
        <v>21</v>
      </c>
      <c r="V343" s="7">
        <v>2001</v>
      </c>
      <c r="W343" t="s">
        <v>64</v>
      </c>
      <c r="X343" s="2">
        <v>0.89600000000000002</v>
      </c>
      <c r="Y343" s="6">
        <f t="shared" si="46"/>
        <v>2.3918208269934065E-2</v>
      </c>
      <c r="AA343">
        <v>2656736</v>
      </c>
      <c r="AB343">
        <v>29901</v>
      </c>
      <c r="AD343" t="s">
        <v>1</v>
      </c>
      <c r="AE343">
        <v>17</v>
      </c>
      <c r="AF343">
        <v>5</v>
      </c>
      <c r="AH343" t="s">
        <v>6731</v>
      </c>
      <c r="AI343" t="s">
        <v>6730</v>
      </c>
      <c r="AJ343" t="s">
        <v>6729</v>
      </c>
      <c r="AK343" t="s">
        <v>6728</v>
      </c>
      <c r="AL343">
        <v>6</v>
      </c>
      <c r="AM343" s="5">
        <f t="shared" si="42"/>
        <v>0.2857142857142857</v>
      </c>
      <c r="AN343" s="4">
        <f t="shared" si="47"/>
        <v>4.3273651755287499E-4</v>
      </c>
      <c r="AO343" s="3"/>
      <c r="AP343">
        <v>0</v>
      </c>
      <c r="AQ343" t="s">
        <v>171</v>
      </c>
      <c r="AR343" t="s">
        <v>6727</v>
      </c>
      <c r="AS343" t="s">
        <v>170</v>
      </c>
      <c r="AT343" s="2">
        <v>3.9140000000000001</v>
      </c>
      <c r="AU343" s="1">
        <f t="shared" si="43"/>
        <v>1.6872566744219706</v>
      </c>
      <c r="AV343" s="1">
        <f t="shared" si="44"/>
        <v>1.2175472393743469</v>
      </c>
      <c r="AW343" s="1">
        <f t="shared" si="45"/>
        <v>0.74783780432672309</v>
      </c>
    </row>
    <row r="344" spans="1:49" x14ac:dyDescent="0.2">
      <c r="A344">
        <v>342</v>
      </c>
      <c r="B344" t="s">
        <v>6726</v>
      </c>
      <c r="C344" t="s">
        <v>6725</v>
      </c>
      <c r="D344" t="s">
        <v>6724</v>
      </c>
      <c r="E344">
        <v>11601847</v>
      </c>
      <c r="F344" t="s">
        <v>6723</v>
      </c>
      <c r="G344" t="s">
        <v>6</v>
      </c>
      <c r="H344" t="s">
        <v>5</v>
      </c>
      <c r="I344" t="s">
        <v>6722</v>
      </c>
      <c r="J344">
        <v>60022403</v>
      </c>
      <c r="K344" t="s">
        <v>942</v>
      </c>
      <c r="L344" t="s">
        <v>941</v>
      </c>
      <c r="M344" t="s">
        <v>419</v>
      </c>
      <c r="N344">
        <v>3</v>
      </c>
      <c r="O344" t="s">
        <v>6721</v>
      </c>
      <c r="P344" t="s">
        <v>6720</v>
      </c>
      <c r="Q344" t="s">
        <v>6719</v>
      </c>
      <c r="R344" s="7">
        <v>37176</v>
      </c>
      <c r="S344" s="8">
        <f t="shared" si="40"/>
        <v>2001</v>
      </c>
      <c r="T344" s="8">
        <v>2001</v>
      </c>
      <c r="U344" s="8">
        <f t="shared" si="41"/>
        <v>21</v>
      </c>
      <c r="V344" s="7">
        <v>37176</v>
      </c>
      <c r="W344" t="s">
        <v>6718</v>
      </c>
      <c r="X344" s="2">
        <v>3.1890000000000001</v>
      </c>
      <c r="Y344" s="6">
        <f t="shared" si="46"/>
        <v>8.5128533675022031E-2</v>
      </c>
      <c r="AA344">
        <v>222836</v>
      </c>
      <c r="AB344">
        <v>17618</v>
      </c>
      <c r="AD344" t="s">
        <v>1</v>
      </c>
      <c r="AE344">
        <v>313</v>
      </c>
      <c r="AF344">
        <v>1</v>
      </c>
      <c r="AH344" t="s">
        <v>6717</v>
      </c>
      <c r="AI344" t="s">
        <v>6716</v>
      </c>
      <c r="AJ344" t="s">
        <v>6715</v>
      </c>
      <c r="AK344" t="s">
        <v>6714</v>
      </c>
      <c r="AL344">
        <v>48</v>
      </c>
      <c r="AM344" s="5">
        <f t="shared" si="42"/>
        <v>2.2857142857142856</v>
      </c>
      <c r="AN344" s="4">
        <f t="shared" si="47"/>
        <v>3.4618921404229999E-3</v>
      </c>
      <c r="AO344" s="3"/>
      <c r="AP344">
        <v>0</v>
      </c>
      <c r="AQ344" t="s">
        <v>6713</v>
      </c>
      <c r="AR344" t="s">
        <v>6712</v>
      </c>
      <c r="AS344" t="s">
        <v>6711</v>
      </c>
      <c r="AT344" s="2">
        <v>5.4690000000000003</v>
      </c>
      <c r="AU344" s="1">
        <f t="shared" si="43"/>
        <v>6.0628541214642313</v>
      </c>
      <c r="AV344" s="1">
        <f t="shared" si="44"/>
        <v>4.4295212907722519</v>
      </c>
      <c r="AW344" s="1">
        <f t="shared" si="45"/>
        <v>2.7961884600802711</v>
      </c>
    </row>
    <row r="345" spans="1:49" x14ac:dyDescent="0.2">
      <c r="A345">
        <v>343</v>
      </c>
      <c r="B345" t="s">
        <v>6710</v>
      </c>
      <c r="C345" t="s">
        <v>6709</v>
      </c>
      <c r="E345">
        <v>11595938</v>
      </c>
      <c r="F345" t="s">
        <v>6708</v>
      </c>
      <c r="G345" t="s">
        <v>6</v>
      </c>
      <c r="H345" t="s">
        <v>5</v>
      </c>
      <c r="I345" t="s">
        <v>3696</v>
      </c>
      <c r="J345" t="s">
        <v>6707</v>
      </c>
      <c r="K345" t="s">
        <v>6706</v>
      </c>
      <c r="L345" t="s">
        <v>4913</v>
      </c>
      <c r="M345" t="s">
        <v>814</v>
      </c>
      <c r="N345">
        <v>4</v>
      </c>
      <c r="O345" t="s">
        <v>6705</v>
      </c>
      <c r="P345" t="s">
        <v>6704</v>
      </c>
      <c r="Q345" t="s">
        <v>6703</v>
      </c>
      <c r="R345" s="7">
        <v>37175</v>
      </c>
      <c r="S345" s="8">
        <f t="shared" si="40"/>
        <v>2001</v>
      </c>
      <c r="T345" s="8">
        <v>2001</v>
      </c>
      <c r="U345" s="8">
        <f t="shared" si="41"/>
        <v>21</v>
      </c>
      <c r="V345" s="7">
        <v>37175</v>
      </c>
      <c r="W345" t="s">
        <v>706</v>
      </c>
      <c r="X345" s="2">
        <v>15.993</v>
      </c>
      <c r="Y345" s="6">
        <f t="shared" si="46"/>
        <v>0.42692400096099947</v>
      </c>
      <c r="AA345">
        <v>280836</v>
      </c>
      <c r="AB345">
        <v>21206</v>
      </c>
      <c r="AD345" t="s">
        <v>1</v>
      </c>
      <c r="AE345">
        <v>413</v>
      </c>
      <c r="AF345">
        <v>6856</v>
      </c>
      <c r="AH345">
        <v>590</v>
      </c>
      <c r="AL345">
        <v>81</v>
      </c>
      <c r="AM345" s="5">
        <f t="shared" si="42"/>
        <v>3.8571428571428572</v>
      </c>
      <c r="AN345" s="4">
        <f t="shared" si="47"/>
        <v>5.8419429869638129E-3</v>
      </c>
      <c r="AO345" s="3"/>
      <c r="AP345">
        <v>1</v>
      </c>
      <c r="AR345" t="s">
        <v>0</v>
      </c>
      <c r="AT345" s="2">
        <v>49.962000000000003</v>
      </c>
      <c r="AU345" s="1">
        <f t="shared" si="43"/>
        <v>30.059938356878874</v>
      </c>
      <c r="AV345" s="1">
        <f t="shared" si="44"/>
        <v>21.638297197398167</v>
      </c>
      <c r="AW345" s="1">
        <f t="shared" si="45"/>
        <v>13.216656037917451</v>
      </c>
    </row>
    <row r="346" spans="1:49" x14ac:dyDescent="0.2">
      <c r="A346">
        <v>344</v>
      </c>
      <c r="B346" t="s">
        <v>6702</v>
      </c>
      <c r="C346" t="s">
        <v>6701</v>
      </c>
      <c r="F346" t="s">
        <v>6700</v>
      </c>
      <c r="G346" t="s">
        <v>6</v>
      </c>
      <c r="H346" t="s">
        <v>5</v>
      </c>
      <c r="I346" t="s">
        <v>6699</v>
      </c>
      <c r="J346">
        <v>60017536</v>
      </c>
      <c r="K346" t="s">
        <v>6698</v>
      </c>
      <c r="L346" t="s">
        <v>1037</v>
      </c>
      <c r="M346" t="s">
        <v>3</v>
      </c>
      <c r="N346">
        <v>2</v>
      </c>
      <c r="O346" t="s">
        <v>6697</v>
      </c>
      <c r="P346" t="s">
        <v>6696</v>
      </c>
      <c r="Q346" t="s">
        <v>6695</v>
      </c>
      <c r="R346" s="7">
        <v>37175</v>
      </c>
      <c r="S346" s="8">
        <f t="shared" si="40"/>
        <v>2001</v>
      </c>
      <c r="T346" s="8">
        <v>2001</v>
      </c>
      <c r="U346" s="8">
        <f t="shared" si="41"/>
        <v>21</v>
      </c>
      <c r="V346" s="7">
        <v>37175</v>
      </c>
      <c r="W346" t="s">
        <v>698</v>
      </c>
      <c r="X346" s="2">
        <v>0.375</v>
      </c>
      <c r="Y346" s="6">
        <f t="shared" si="46"/>
        <v>1.0010410827260351E-2</v>
      </c>
      <c r="AA346">
        <v>135194</v>
      </c>
      <c r="AB346">
        <v>24918</v>
      </c>
      <c r="AD346" t="s">
        <v>1</v>
      </c>
      <c r="AE346">
        <v>37</v>
      </c>
      <c r="AF346">
        <v>21</v>
      </c>
      <c r="AH346" t="s">
        <v>6694</v>
      </c>
      <c r="AI346" t="s">
        <v>6693</v>
      </c>
      <c r="AK346" t="s">
        <v>6692</v>
      </c>
      <c r="AL346">
        <v>19</v>
      </c>
      <c r="AM346" s="5">
        <f t="shared" si="42"/>
        <v>0.90476190476190477</v>
      </c>
      <c r="AN346" s="4">
        <f t="shared" si="47"/>
        <v>1.3703323055841042E-3</v>
      </c>
      <c r="AO346" s="3"/>
      <c r="AP346">
        <v>0</v>
      </c>
      <c r="AR346" t="s">
        <v>0</v>
      </c>
      <c r="AT346" s="2">
        <v>1.3140000000000001</v>
      </c>
      <c r="AU346" s="1">
        <f t="shared" si="43"/>
        <v>0.74183872707574772</v>
      </c>
      <c r="AV346" s="1">
        <f t="shared" si="44"/>
        <v>0.56903715664222276</v>
      </c>
      <c r="AW346" s="1">
        <f t="shared" si="45"/>
        <v>0.39623558620869781</v>
      </c>
    </row>
    <row r="347" spans="1:49" x14ac:dyDescent="0.2">
      <c r="A347">
        <v>345</v>
      </c>
      <c r="B347" t="s">
        <v>6691</v>
      </c>
      <c r="C347" t="s">
        <v>6690</v>
      </c>
      <c r="F347" t="s">
        <v>6689</v>
      </c>
      <c r="G347" t="s">
        <v>6</v>
      </c>
      <c r="H347" t="s">
        <v>5</v>
      </c>
      <c r="I347" t="s">
        <v>6688</v>
      </c>
      <c r="J347">
        <v>60008524</v>
      </c>
      <c r="K347" t="s">
        <v>6687</v>
      </c>
      <c r="L347" t="s">
        <v>6686</v>
      </c>
      <c r="M347" t="s">
        <v>37</v>
      </c>
      <c r="N347">
        <v>3</v>
      </c>
      <c r="O347" t="s">
        <v>6685</v>
      </c>
      <c r="P347" t="s">
        <v>6684</v>
      </c>
      <c r="Q347" t="s">
        <v>6683</v>
      </c>
      <c r="R347" s="7">
        <v>37175</v>
      </c>
      <c r="S347" s="8">
        <f t="shared" si="40"/>
        <v>2001</v>
      </c>
      <c r="T347" s="8">
        <v>2001</v>
      </c>
      <c r="U347" s="8">
        <f t="shared" si="41"/>
        <v>21</v>
      </c>
      <c r="V347" s="7">
        <v>37175</v>
      </c>
      <c r="W347" t="s">
        <v>698</v>
      </c>
      <c r="X347" s="2">
        <v>0.375</v>
      </c>
      <c r="Y347" s="6">
        <f t="shared" si="46"/>
        <v>1.0010410827260351E-2</v>
      </c>
      <c r="AA347">
        <v>135194</v>
      </c>
      <c r="AB347">
        <v>24918</v>
      </c>
      <c r="AD347" t="s">
        <v>1</v>
      </c>
      <c r="AE347">
        <v>37</v>
      </c>
      <c r="AF347">
        <v>21</v>
      </c>
      <c r="AH347" t="s">
        <v>6682</v>
      </c>
      <c r="AI347" t="s">
        <v>6681</v>
      </c>
      <c r="AK347" t="s">
        <v>6680</v>
      </c>
      <c r="AL347">
        <v>1</v>
      </c>
      <c r="AM347" s="5">
        <f t="shared" si="42"/>
        <v>4.7619047619047616E-2</v>
      </c>
      <c r="AN347" s="4">
        <f t="shared" si="47"/>
        <v>7.2122752925479164E-5</v>
      </c>
      <c r="AO347" s="3"/>
      <c r="AP347">
        <v>0</v>
      </c>
      <c r="AR347" t="s">
        <v>0</v>
      </c>
      <c r="AT347" s="2">
        <v>1.3140000000000001</v>
      </c>
      <c r="AU347" s="1">
        <f t="shared" si="43"/>
        <v>0.70289244049598887</v>
      </c>
      <c r="AV347" s="1">
        <f t="shared" si="44"/>
        <v>0.50412667900929153</v>
      </c>
      <c r="AW347" s="1">
        <f t="shared" si="45"/>
        <v>0.30536091752259409</v>
      </c>
    </row>
    <row r="348" spans="1:49" x14ac:dyDescent="0.2">
      <c r="A348">
        <v>346</v>
      </c>
      <c r="B348" t="s">
        <v>6679</v>
      </c>
      <c r="C348" t="s">
        <v>6678</v>
      </c>
      <c r="F348" t="s">
        <v>6677</v>
      </c>
      <c r="G348" t="s">
        <v>6</v>
      </c>
      <c r="H348" t="s">
        <v>5</v>
      </c>
      <c r="I348" t="s">
        <v>731</v>
      </c>
      <c r="J348">
        <v>60017161</v>
      </c>
      <c r="K348" t="s">
        <v>132</v>
      </c>
      <c r="L348" t="s">
        <v>131</v>
      </c>
      <c r="M348" t="s">
        <v>130</v>
      </c>
      <c r="N348">
        <v>2</v>
      </c>
      <c r="O348" t="s">
        <v>730</v>
      </c>
      <c r="P348" t="s">
        <v>729</v>
      </c>
      <c r="Q348" t="s">
        <v>129</v>
      </c>
      <c r="R348" s="7">
        <v>37175</v>
      </c>
      <c r="S348" s="8">
        <f t="shared" si="40"/>
        <v>2001</v>
      </c>
      <c r="T348" s="8">
        <v>2001</v>
      </c>
      <c r="U348" s="8">
        <f t="shared" si="41"/>
        <v>21</v>
      </c>
      <c r="V348" s="7">
        <v>37175</v>
      </c>
      <c r="W348" t="s">
        <v>698</v>
      </c>
      <c r="X348" s="2">
        <v>0.375</v>
      </c>
      <c r="Y348" s="6">
        <f t="shared" si="46"/>
        <v>1.0010410827260351E-2</v>
      </c>
      <c r="AA348">
        <v>135194</v>
      </c>
      <c r="AB348">
        <v>24918</v>
      </c>
      <c r="AD348" t="s">
        <v>1</v>
      </c>
      <c r="AE348">
        <v>37</v>
      </c>
      <c r="AF348">
        <v>21</v>
      </c>
      <c r="AH348" t="s">
        <v>6676</v>
      </c>
      <c r="AI348" t="s">
        <v>6675</v>
      </c>
      <c r="AK348" t="s">
        <v>6674</v>
      </c>
      <c r="AL348">
        <v>10</v>
      </c>
      <c r="AM348" s="5">
        <f t="shared" si="42"/>
        <v>0.47619047619047616</v>
      </c>
      <c r="AN348" s="4">
        <f t="shared" si="47"/>
        <v>7.2122752925479164E-4</v>
      </c>
      <c r="AO348" s="3"/>
      <c r="AP348">
        <v>0</v>
      </c>
      <c r="AR348" t="s">
        <v>0</v>
      </c>
      <c r="AT348" s="2">
        <v>1.3140000000000001</v>
      </c>
      <c r="AU348" s="1">
        <f t="shared" si="43"/>
        <v>0.72236558378586835</v>
      </c>
      <c r="AV348" s="1">
        <f t="shared" si="44"/>
        <v>0.53658191782575715</v>
      </c>
      <c r="AW348" s="1">
        <f t="shared" si="45"/>
        <v>0.35079825186564589</v>
      </c>
    </row>
    <row r="349" spans="1:49" x14ac:dyDescent="0.2">
      <c r="A349">
        <v>347</v>
      </c>
      <c r="B349" t="s">
        <v>6673</v>
      </c>
      <c r="C349" t="s">
        <v>6672</v>
      </c>
      <c r="F349" t="s">
        <v>6671</v>
      </c>
      <c r="G349" t="s">
        <v>6</v>
      </c>
      <c r="H349" t="s">
        <v>5</v>
      </c>
      <c r="I349" t="s">
        <v>6670</v>
      </c>
      <c r="J349">
        <v>125168518</v>
      </c>
      <c r="K349" t="s">
        <v>6669</v>
      </c>
      <c r="L349" t="s">
        <v>6668</v>
      </c>
      <c r="M349" t="s">
        <v>87</v>
      </c>
      <c r="N349">
        <v>1</v>
      </c>
      <c r="O349" t="s">
        <v>6667</v>
      </c>
      <c r="P349">
        <v>6701577105</v>
      </c>
      <c r="Q349">
        <v>125168518</v>
      </c>
      <c r="R349" s="7">
        <v>37175</v>
      </c>
      <c r="S349" s="8">
        <f t="shared" si="40"/>
        <v>2001</v>
      </c>
      <c r="T349" s="8">
        <v>2001</v>
      </c>
      <c r="U349" s="8">
        <f t="shared" si="41"/>
        <v>21</v>
      </c>
      <c r="V349" s="7">
        <v>37175</v>
      </c>
      <c r="W349" t="s">
        <v>698</v>
      </c>
      <c r="X349" s="2">
        <v>0.375</v>
      </c>
      <c r="Y349" s="6">
        <f t="shared" si="46"/>
        <v>1.0010410827260351E-2</v>
      </c>
      <c r="AA349">
        <v>135194</v>
      </c>
      <c r="AB349">
        <v>24918</v>
      </c>
      <c r="AD349" t="s">
        <v>1</v>
      </c>
      <c r="AE349">
        <v>37</v>
      </c>
      <c r="AF349">
        <v>21</v>
      </c>
      <c r="AH349" t="s">
        <v>6666</v>
      </c>
      <c r="AI349" t="s">
        <v>6665</v>
      </c>
      <c r="AK349" t="s">
        <v>6664</v>
      </c>
      <c r="AL349">
        <v>7</v>
      </c>
      <c r="AM349" s="5">
        <f t="shared" si="42"/>
        <v>0.33333333333333331</v>
      </c>
      <c r="AN349" s="4">
        <f t="shared" si="47"/>
        <v>5.048592704783541E-4</v>
      </c>
      <c r="AO349" s="3"/>
      <c r="AP349">
        <v>0</v>
      </c>
      <c r="AR349" t="s">
        <v>0</v>
      </c>
      <c r="AT349" s="2">
        <v>1.3140000000000001</v>
      </c>
      <c r="AU349" s="1">
        <f t="shared" si="43"/>
        <v>0.71587453602257523</v>
      </c>
      <c r="AV349" s="1">
        <f t="shared" si="44"/>
        <v>0.52576350488693535</v>
      </c>
      <c r="AW349" s="1">
        <f t="shared" si="45"/>
        <v>0.33565247375129531</v>
      </c>
    </row>
    <row r="350" spans="1:49" x14ac:dyDescent="0.2">
      <c r="A350">
        <v>348</v>
      </c>
      <c r="B350" t="s">
        <v>6663</v>
      </c>
      <c r="C350" t="s">
        <v>6662</v>
      </c>
      <c r="E350">
        <v>11575723</v>
      </c>
      <c r="F350" t="s">
        <v>6661</v>
      </c>
      <c r="G350" t="s">
        <v>6</v>
      </c>
      <c r="H350" t="s">
        <v>5</v>
      </c>
      <c r="I350" t="s">
        <v>6660</v>
      </c>
      <c r="J350" t="s">
        <v>6659</v>
      </c>
      <c r="K350" t="s">
        <v>6658</v>
      </c>
      <c r="L350" t="s">
        <v>6657</v>
      </c>
      <c r="M350" t="s">
        <v>6656</v>
      </c>
      <c r="N350">
        <v>5</v>
      </c>
      <c r="O350" t="s">
        <v>6655</v>
      </c>
      <c r="P350" t="s">
        <v>6654</v>
      </c>
      <c r="Q350" t="s">
        <v>6653</v>
      </c>
      <c r="R350" s="7">
        <v>37175</v>
      </c>
      <c r="S350" s="8">
        <f t="shared" si="40"/>
        <v>2001</v>
      </c>
      <c r="T350" s="8">
        <v>2001</v>
      </c>
      <c r="U350" s="8">
        <f t="shared" si="41"/>
        <v>21</v>
      </c>
      <c r="V350" s="7">
        <v>2001</v>
      </c>
      <c r="W350" t="s">
        <v>6652</v>
      </c>
      <c r="X350" s="2">
        <v>1.448</v>
      </c>
      <c r="Y350" s="6">
        <f t="shared" si="46"/>
        <v>3.8653533007661299E-2</v>
      </c>
      <c r="AA350">
        <v>1674412</v>
      </c>
      <c r="AB350">
        <v>13042</v>
      </c>
      <c r="AD350" t="s">
        <v>1</v>
      </c>
      <c r="AE350">
        <v>46</v>
      </c>
      <c r="AF350">
        <v>6</v>
      </c>
      <c r="AH350" t="s">
        <v>6651</v>
      </c>
      <c r="AI350" t="s">
        <v>6650</v>
      </c>
      <c r="AJ350" t="s">
        <v>6649</v>
      </c>
      <c r="AK350" t="s">
        <v>6648</v>
      </c>
      <c r="AL350">
        <v>27</v>
      </c>
      <c r="AM350" s="5">
        <f t="shared" si="42"/>
        <v>1.2857142857142858</v>
      </c>
      <c r="AN350" s="4">
        <f t="shared" si="47"/>
        <v>1.9473143289879377E-3</v>
      </c>
      <c r="AO350" s="3"/>
      <c r="AP350">
        <v>0</v>
      </c>
      <c r="AQ350" t="s">
        <v>478</v>
      </c>
      <c r="AR350" t="s">
        <v>6647</v>
      </c>
      <c r="AS350" t="s">
        <v>477</v>
      </c>
      <c r="AT350" s="2">
        <v>4.0759999999999996</v>
      </c>
      <c r="AU350" s="1">
        <f t="shared" si="43"/>
        <v>2.7641667404059289</v>
      </c>
      <c r="AV350" s="1">
        <f t="shared" si="44"/>
        <v>2.0300423668324621</v>
      </c>
      <c r="AW350" s="1">
        <f t="shared" si="45"/>
        <v>1.2959179932589946</v>
      </c>
    </row>
    <row r="351" spans="1:49" x14ac:dyDescent="0.2">
      <c r="A351">
        <v>349</v>
      </c>
      <c r="B351" t="s">
        <v>6646</v>
      </c>
      <c r="C351" t="s">
        <v>6645</v>
      </c>
      <c r="F351" t="s">
        <v>6644</v>
      </c>
      <c r="G351" t="s">
        <v>6</v>
      </c>
      <c r="H351" t="s">
        <v>5</v>
      </c>
      <c r="I351" t="s">
        <v>6643</v>
      </c>
      <c r="J351">
        <v>60012689</v>
      </c>
      <c r="K351" t="s">
        <v>169</v>
      </c>
      <c r="L351" t="s">
        <v>168</v>
      </c>
      <c r="M351" t="s">
        <v>46</v>
      </c>
      <c r="N351">
        <v>2</v>
      </c>
      <c r="O351" t="s">
        <v>6642</v>
      </c>
      <c r="P351" t="s">
        <v>6641</v>
      </c>
      <c r="Q351" t="s">
        <v>167</v>
      </c>
      <c r="R351" s="7">
        <v>37174</v>
      </c>
      <c r="S351" s="8">
        <f t="shared" si="40"/>
        <v>2001</v>
      </c>
      <c r="T351" s="8">
        <v>2001</v>
      </c>
      <c r="U351" s="8">
        <f t="shared" si="41"/>
        <v>21</v>
      </c>
      <c r="V351" s="7">
        <v>2001</v>
      </c>
      <c r="W351" t="s">
        <v>6640</v>
      </c>
      <c r="X351" s="2">
        <v>1.0529999999999999</v>
      </c>
      <c r="Y351" s="6">
        <f t="shared" si="46"/>
        <v>2.8109233602947065E-2</v>
      </c>
      <c r="AA351">
        <v>14639076</v>
      </c>
      <c r="AB351">
        <v>27011</v>
      </c>
      <c r="AD351" t="s">
        <v>1</v>
      </c>
      <c r="AE351">
        <v>3</v>
      </c>
      <c r="AF351">
        <v>18</v>
      </c>
      <c r="AH351" t="s">
        <v>6639</v>
      </c>
      <c r="AI351" t="s">
        <v>6638</v>
      </c>
      <c r="AK351" t="s">
        <v>6637</v>
      </c>
      <c r="AL351">
        <v>5</v>
      </c>
      <c r="AM351" s="5">
        <f t="shared" si="42"/>
        <v>0.23809523809523808</v>
      </c>
      <c r="AN351" s="4">
        <f t="shared" si="47"/>
        <v>3.6061376462739582E-4</v>
      </c>
      <c r="AO351" s="3"/>
      <c r="AP351">
        <v>0</v>
      </c>
      <c r="AR351" t="s">
        <v>0</v>
      </c>
      <c r="AT351" s="2">
        <v>3.6760000000000002</v>
      </c>
      <c r="AU351" s="1">
        <f t="shared" si="43"/>
        <v>1.9784647651451164</v>
      </c>
      <c r="AV351" s="1">
        <f t="shared" si="44"/>
        <v>1.4234923683787231</v>
      </c>
      <c r="AW351" s="1">
        <f t="shared" si="45"/>
        <v>0.86851997161232974</v>
      </c>
    </row>
    <row r="352" spans="1:49" x14ac:dyDescent="0.2">
      <c r="A352">
        <v>350</v>
      </c>
      <c r="B352" t="s">
        <v>6636</v>
      </c>
      <c r="C352" t="s">
        <v>6635</v>
      </c>
      <c r="E352">
        <v>11584121</v>
      </c>
      <c r="F352" t="s">
        <v>6634</v>
      </c>
      <c r="G352" t="s">
        <v>6</v>
      </c>
      <c r="H352" t="s">
        <v>5</v>
      </c>
      <c r="I352" t="s">
        <v>6633</v>
      </c>
      <c r="J352" t="s">
        <v>6632</v>
      </c>
      <c r="K352" t="s">
        <v>6631</v>
      </c>
      <c r="L352" t="s">
        <v>6630</v>
      </c>
      <c r="M352" t="s">
        <v>155</v>
      </c>
      <c r="N352">
        <v>2</v>
      </c>
      <c r="O352" t="s">
        <v>6629</v>
      </c>
      <c r="P352" t="s">
        <v>6628</v>
      </c>
      <c r="Q352" t="s">
        <v>6627</v>
      </c>
      <c r="R352" s="7">
        <v>37174</v>
      </c>
      <c r="S352" s="8">
        <f t="shared" si="40"/>
        <v>2001</v>
      </c>
      <c r="T352" s="8">
        <v>2001</v>
      </c>
      <c r="U352" s="8">
        <f t="shared" si="41"/>
        <v>21</v>
      </c>
      <c r="V352" s="7">
        <v>2001</v>
      </c>
      <c r="W352" t="s">
        <v>6626</v>
      </c>
      <c r="X352" s="2">
        <v>0.50900000000000001</v>
      </c>
      <c r="Y352" s="6">
        <f t="shared" si="46"/>
        <v>1.3587464296201383E-2</v>
      </c>
      <c r="AA352">
        <v>9627480</v>
      </c>
      <c r="AB352">
        <v>50020</v>
      </c>
      <c r="AD352" t="s">
        <v>1</v>
      </c>
      <c r="AE352">
        <v>51</v>
      </c>
      <c r="AF352">
        <v>6</v>
      </c>
      <c r="AH352" t="s">
        <v>381</v>
      </c>
      <c r="AI352" t="s">
        <v>6625</v>
      </c>
      <c r="AJ352" t="s">
        <v>6624</v>
      </c>
      <c r="AK352" t="s">
        <v>6623</v>
      </c>
      <c r="AL352">
        <v>18</v>
      </c>
      <c r="AM352" s="5">
        <f t="shared" si="42"/>
        <v>0.8571428571428571</v>
      </c>
      <c r="AN352" s="4">
        <f t="shared" si="47"/>
        <v>1.2982095526586248E-3</v>
      </c>
      <c r="AO352" s="3"/>
      <c r="AP352">
        <v>1</v>
      </c>
      <c r="AR352" t="s">
        <v>0</v>
      </c>
      <c r="AT352" s="2" t="s">
        <v>7</v>
      </c>
      <c r="AU352" s="1">
        <f t="shared" si="43"/>
        <v>0.99006878731385561</v>
      </c>
      <c r="AV352" s="1">
        <f t="shared" si="44"/>
        <v>0.74428369244300041</v>
      </c>
      <c r="AW352" s="1">
        <f t="shared" si="45"/>
        <v>0.49849859757214515</v>
      </c>
    </row>
    <row r="353" spans="1:49" x14ac:dyDescent="0.2">
      <c r="A353">
        <v>351</v>
      </c>
      <c r="B353" t="s">
        <v>6622</v>
      </c>
      <c r="C353" t="s">
        <v>6621</v>
      </c>
      <c r="F353" t="s">
        <v>6620</v>
      </c>
      <c r="G353" t="s">
        <v>6</v>
      </c>
      <c r="H353" t="s">
        <v>5</v>
      </c>
      <c r="I353" t="s">
        <v>6619</v>
      </c>
      <c r="J353" t="s">
        <v>6618</v>
      </c>
      <c r="K353" t="s">
        <v>6617</v>
      </c>
      <c r="L353" t="s">
        <v>6616</v>
      </c>
      <c r="M353" t="s">
        <v>14</v>
      </c>
      <c r="N353">
        <v>8</v>
      </c>
      <c r="O353" t="s">
        <v>6615</v>
      </c>
      <c r="P353" t="s">
        <v>6614</v>
      </c>
      <c r="Q353" t="s">
        <v>6613</v>
      </c>
      <c r="R353" s="7">
        <v>37174</v>
      </c>
      <c r="S353" s="8">
        <f t="shared" si="40"/>
        <v>2001</v>
      </c>
      <c r="T353" s="8">
        <v>2001</v>
      </c>
      <c r="U353" s="8">
        <f t="shared" si="41"/>
        <v>21</v>
      </c>
      <c r="V353" s="7">
        <v>37174</v>
      </c>
      <c r="W353" t="s">
        <v>6612</v>
      </c>
      <c r="X353" s="2">
        <v>0.66800000000000004</v>
      </c>
      <c r="Y353" s="6">
        <f t="shared" si="46"/>
        <v>1.7831878486959774E-2</v>
      </c>
      <c r="AA353" t="s">
        <v>6611</v>
      </c>
      <c r="AB353">
        <v>29593</v>
      </c>
      <c r="AC353">
        <v>21553165</v>
      </c>
      <c r="AD353" t="s">
        <v>1</v>
      </c>
      <c r="AE353">
        <v>40</v>
      </c>
      <c r="AF353">
        <v>28</v>
      </c>
      <c r="AH353" t="s">
        <v>6610</v>
      </c>
      <c r="AI353" t="s">
        <v>6609</v>
      </c>
      <c r="AK353" t="s">
        <v>6608</v>
      </c>
      <c r="AL353">
        <v>70</v>
      </c>
      <c r="AM353" s="5">
        <f t="shared" si="42"/>
        <v>3.3333333333333335</v>
      </c>
      <c r="AN353" s="4">
        <f t="shared" si="47"/>
        <v>5.0485927047835416E-3</v>
      </c>
      <c r="AO353" s="3"/>
      <c r="AP353">
        <v>0</v>
      </c>
      <c r="AR353" t="s">
        <v>0</v>
      </c>
      <c r="AT353" s="2">
        <v>1.98</v>
      </c>
      <c r="AU353" s="1">
        <f t="shared" si="43"/>
        <v>1.3996892752306902</v>
      </c>
      <c r="AV353" s="1">
        <f t="shared" si="44"/>
        <v>1.1440235595871657</v>
      </c>
      <c r="AW353" s="1">
        <f t="shared" si="45"/>
        <v>0.88835784394364103</v>
      </c>
    </row>
    <row r="354" spans="1:49" x14ac:dyDescent="0.2">
      <c r="A354">
        <v>352</v>
      </c>
      <c r="B354" t="s">
        <v>6607</v>
      </c>
      <c r="C354" t="s">
        <v>6606</v>
      </c>
      <c r="E354">
        <v>11683175</v>
      </c>
      <c r="F354" t="s">
        <v>6605</v>
      </c>
      <c r="G354" t="s">
        <v>6</v>
      </c>
      <c r="H354" t="s">
        <v>5</v>
      </c>
      <c r="I354" t="s">
        <v>1009</v>
      </c>
      <c r="J354">
        <v>60029170</v>
      </c>
      <c r="K354" t="s">
        <v>154</v>
      </c>
      <c r="L354" t="s">
        <v>153</v>
      </c>
      <c r="M354" t="s">
        <v>115</v>
      </c>
      <c r="N354">
        <v>1</v>
      </c>
      <c r="O354" t="s">
        <v>6604</v>
      </c>
      <c r="P354">
        <v>55971855000</v>
      </c>
      <c r="Q354">
        <v>60029170</v>
      </c>
      <c r="R354" s="7">
        <v>37173</v>
      </c>
      <c r="S354" s="8">
        <f t="shared" si="40"/>
        <v>2001</v>
      </c>
      <c r="T354" s="8">
        <v>2001</v>
      </c>
      <c r="U354" s="8">
        <f t="shared" si="41"/>
        <v>21</v>
      </c>
      <c r="V354" s="7">
        <v>2001</v>
      </c>
      <c r="W354" t="s">
        <v>912</v>
      </c>
      <c r="X354" s="2">
        <v>1.64</v>
      </c>
      <c r="Y354" s="6">
        <f t="shared" si="46"/>
        <v>4.3778863351218597E-2</v>
      </c>
      <c r="AA354" t="s">
        <v>911</v>
      </c>
      <c r="AB354">
        <v>18446</v>
      </c>
      <c r="AD354" t="s">
        <v>1</v>
      </c>
      <c r="AE354">
        <v>306</v>
      </c>
      <c r="AF354">
        <v>1</v>
      </c>
      <c r="AH354" t="s">
        <v>6603</v>
      </c>
      <c r="AI354" t="s">
        <v>6602</v>
      </c>
      <c r="AJ354" t="s">
        <v>6601</v>
      </c>
      <c r="AK354" t="s">
        <v>6600</v>
      </c>
      <c r="AL354">
        <v>36</v>
      </c>
      <c r="AM354" s="5">
        <f t="shared" si="42"/>
        <v>1.7142857142857142</v>
      </c>
      <c r="AN354" s="4">
        <f t="shared" si="47"/>
        <v>2.5964191053172497E-3</v>
      </c>
      <c r="AO354" s="3"/>
      <c r="AP354">
        <v>0</v>
      </c>
      <c r="AR354" t="s">
        <v>0</v>
      </c>
      <c r="AT354" s="2">
        <v>5.2489999999999997</v>
      </c>
      <c r="AU354" s="1">
        <f t="shared" si="43"/>
        <v>3.1424130077448189</v>
      </c>
      <c r="AV354" s="1">
        <f t="shared" si="44"/>
        <v>2.3187641228267926</v>
      </c>
      <c r="AW354" s="1">
        <f t="shared" si="45"/>
        <v>1.4951152379087653</v>
      </c>
    </row>
    <row r="355" spans="1:49" x14ac:dyDescent="0.2">
      <c r="A355">
        <v>353</v>
      </c>
      <c r="B355" t="s">
        <v>6599</v>
      </c>
      <c r="C355" t="s">
        <v>6598</v>
      </c>
      <c r="E355">
        <v>11403594</v>
      </c>
      <c r="F355" t="s">
        <v>6597</v>
      </c>
      <c r="G355" t="s">
        <v>6</v>
      </c>
      <c r="H355" t="s">
        <v>5</v>
      </c>
      <c r="I355" t="s">
        <v>6596</v>
      </c>
      <c r="J355" t="s">
        <v>6595</v>
      </c>
      <c r="K355" t="s">
        <v>6594</v>
      </c>
      <c r="L355" t="s">
        <v>6593</v>
      </c>
      <c r="M355" t="s">
        <v>45</v>
      </c>
      <c r="N355">
        <v>6</v>
      </c>
      <c r="O355" t="s">
        <v>6592</v>
      </c>
      <c r="P355" t="s">
        <v>6591</v>
      </c>
      <c r="Q355" t="s">
        <v>6590</v>
      </c>
      <c r="R355" s="7">
        <v>37173</v>
      </c>
      <c r="S355" s="8">
        <f t="shared" si="40"/>
        <v>2001</v>
      </c>
      <c r="T355" s="8">
        <v>2001</v>
      </c>
      <c r="U355" s="8">
        <f t="shared" si="41"/>
        <v>21</v>
      </c>
      <c r="V355" s="7">
        <v>2001</v>
      </c>
      <c r="W355" t="s">
        <v>699</v>
      </c>
      <c r="X355" s="2">
        <v>7.1150000000000002</v>
      </c>
      <c r="Y355" s="6">
        <f t="shared" si="46"/>
        <v>0.18993086142921972</v>
      </c>
      <c r="AA355">
        <v>27863</v>
      </c>
      <c r="AB355">
        <v>22680</v>
      </c>
      <c r="AD355" t="s">
        <v>1</v>
      </c>
      <c r="AE355">
        <v>123</v>
      </c>
      <c r="AF355">
        <v>24</v>
      </c>
      <c r="AH355" t="s">
        <v>6589</v>
      </c>
      <c r="AI355" t="s">
        <v>6588</v>
      </c>
      <c r="AK355" t="s">
        <v>6587</v>
      </c>
      <c r="AL355">
        <v>109</v>
      </c>
      <c r="AM355" s="5">
        <f t="shared" si="42"/>
        <v>5.1904761904761907</v>
      </c>
      <c r="AN355" s="4">
        <f t="shared" si="47"/>
        <v>7.8613800688772297E-3</v>
      </c>
      <c r="AO355" s="3"/>
      <c r="AP355">
        <v>0</v>
      </c>
      <c r="AR355" t="s">
        <v>0</v>
      </c>
      <c r="AT355" s="2" t="s">
        <v>7</v>
      </c>
      <c r="AU355" s="1">
        <f t="shared" si="43"/>
        <v>13.531001702111697</v>
      </c>
      <c r="AV355" s="1">
        <f t="shared" si="44"/>
        <v>9.8896120749048482</v>
      </c>
      <c r="AW355" s="1">
        <f t="shared" si="45"/>
        <v>6.2482224476979979</v>
      </c>
    </row>
    <row r="356" spans="1:49" x14ac:dyDescent="0.2">
      <c r="A356">
        <v>354</v>
      </c>
      <c r="B356" t="s">
        <v>6586</v>
      </c>
      <c r="C356" t="s">
        <v>6585</v>
      </c>
      <c r="D356" t="s">
        <v>6584</v>
      </c>
      <c r="E356">
        <v>11580185</v>
      </c>
      <c r="F356" t="s">
        <v>6583</v>
      </c>
      <c r="G356" t="s">
        <v>6</v>
      </c>
      <c r="H356" t="s">
        <v>5</v>
      </c>
      <c r="I356" t="s">
        <v>6582</v>
      </c>
      <c r="J356" t="s">
        <v>6581</v>
      </c>
      <c r="K356" t="s">
        <v>6580</v>
      </c>
      <c r="L356" t="s">
        <v>6579</v>
      </c>
      <c r="M356" t="s">
        <v>379</v>
      </c>
      <c r="N356">
        <v>4</v>
      </c>
      <c r="O356" t="s">
        <v>6578</v>
      </c>
      <c r="P356" t="s">
        <v>6577</v>
      </c>
      <c r="Q356" t="s">
        <v>6576</v>
      </c>
      <c r="R356" s="7">
        <v>37170</v>
      </c>
      <c r="S356" s="8">
        <f t="shared" si="40"/>
        <v>2001</v>
      </c>
      <c r="T356" s="8">
        <v>2001</v>
      </c>
      <c r="U356" s="8">
        <f t="shared" si="41"/>
        <v>21</v>
      </c>
      <c r="V356" s="7">
        <v>2001</v>
      </c>
      <c r="W356" t="s">
        <v>799</v>
      </c>
      <c r="X356" s="2">
        <v>1.3120000000000001</v>
      </c>
      <c r="Y356" s="6">
        <f t="shared" si="46"/>
        <v>3.502309068097488E-2</v>
      </c>
      <c r="AA356">
        <v>319155</v>
      </c>
      <c r="AB356">
        <v>29203</v>
      </c>
      <c r="AD356" t="s">
        <v>1</v>
      </c>
      <c r="AE356">
        <v>46</v>
      </c>
      <c r="AF356">
        <v>9</v>
      </c>
      <c r="AH356" t="s">
        <v>6575</v>
      </c>
      <c r="AI356" t="s">
        <v>6574</v>
      </c>
      <c r="AK356" t="s">
        <v>6573</v>
      </c>
      <c r="AL356">
        <v>41</v>
      </c>
      <c r="AM356" s="5">
        <f t="shared" si="42"/>
        <v>1.9523809523809523</v>
      </c>
      <c r="AN356" s="4">
        <f t="shared" si="47"/>
        <v>2.9570328699446459E-3</v>
      </c>
      <c r="AO356" s="3"/>
      <c r="AP356">
        <v>0</v>
      </c>
      <c r="AR356" t="s">
        <v>0</v>
      </c>
      <c r="AT356" s="2">
        <v>3.609</v>
      </c>
      <c r="AU356" s="1">
        <f t="shared" si="43"/>
        <v>2.540327333766581</v>
      </c>
      <c r="AV356" s="1">
        <f t="shared" si="44"/>
        <v>1.8990061775459761</v>
      </c>
      <c r="AW356" s="1">
        <f t="shared" si="45"/>
        <v>1.2576850213253716</v>
      </c>
    </row>
    <row r="357" spans="1:49" x14ac:dyDescent="0.2">
      <c r="A357">
        <v>355</v>
      </c>
      <c r="B357" t="s">
        <v>6572</v>
      </c>
      <c r="C357" t="s">
        <v>6571</v>
      </c>
      <c r="F357" t="s">
        <v>6570</v>
      </c>
      <c r="G357" t="s">
        <v>6</v>
      </c>
      <c r="H357" t="s">
        <v>5</v>
      </c>
      <c r="I357" t="s">
        <v>243</v>
      </c>
      <c r="J357" t="s">
        <v>1018</v>
      </c>
      <c r="K357" t="s">
        <v>1017</v>
      </c>
      <c r="L357" t="s">
        <v>1016</v>
      </c>
      <c r="M357" t="s">
        <v>1015</v>
      </c>
      <c r="N357">
        <v>3</v>
      </c>
      <c r="O357" t="s">
        <v>1014</v>
      </c>
      <c r="P357" t="s">
        <v>242</v>
      </c>
      <c r="Q357" t="s">
        <v>1013</v>
      </c>
      <c r="R357" s="7">
        <v>37169</v>
      </c>
      <c r="S357" s="8">
        <f t="shared" si="40"/>
        <v>2001</v>
      </c>
      <c r="T357" s="8">
        <v>2001</v>
      </c>
      <c r="U357" s="8">
        <f t="shared" si="41"/>
        <v>21</v>
      </c>
      <c r="V357" s="7">
        <v>37169</v>
      </c>
      <c r="W357" t="s">
        <v>290</v>
      </c>
      <c r="X357" s="2">
        <v>0.30399999999999999</v>
      </c>
      <c r="Y357" s="6">
        <f t="shared" si="46"/>
        <v>8.115106377299057E-3</v>
      </c>
      <c r="AA357">
        <v>8952477</v>
      </c>
      <c r="AB357">
        <v>12250</v>
      </c>
      <c r="AD357" t="s">
        <v>1</v>
      </c>
      <c r="AE357">
        <v>31</v>
      </c>
      <c r="AF357">
        <v>1</v>
      </c>
      <c r="AH357" t="s">
        <v>270</v>
      </c>
      <c r="AI357" t="s">
        <v>6569</v>
      </c>
      <c r="AJ357" t="s">
        <v>6568</v>
      </c>
      <c r="AK357" t="s">
        <v>6567</v>
      </c>
      <c r="AL357">
        <v>11</v>
      </c>
      <c r="AM357" s="5">
        <f t="shared" si="42"/>
        <v>0.52380952380952384</v>
      </c>
      <c r="AN357" s="4">
        <f t="shared" si="47"/>
        <v>7.9335028218027086E-4</v>
      </c>
      <c r="AO357" s="3"/>
      <c r="AP357">
        <v>0</v>
      </c>
      <c r="AR357" t="s">
        <v>0</v>
      </c>
      <c r="AT357" s="2" t="s">
        <v>7</v>
      </c>
      <c r="AU357" s="1">
        <f t="shared" si="43"/>
        <v>0.59185795487634207</v>
      </c>
      <c r="AV357" s="1">
        <f t="shared" si="44"/>
        <v>0.44542283297396634</v>
      </c>
      <c r="AW357" s="1">
        <f t="shared" si="45"/>
        <v>0.29898771107159067</v>
      </c>
    </row>
    <row r="358" spans="1:49" x14ac:dyDescent="0.2">
      <c r="A358">
        <v>356</v>
      </c>
      <c r="B358" t="s">
        <v>6566</v>
      </c>
      <c r="C358" t="s">
        <v>6565</v>
      </c>
      <c r="F358" t="s">
        <v>6564</v>
      </c>
      <c r="G358" t="s">
        <v>6</v>
      </c>
      <c r="H358" t="s">
        <v>5</v>
      </c>
      <c r="I358" t="s">
        <v>603</v>
      </c>
      <c r="J358" t="s">
        <v>6563</v>
      </c>
      <c r="K358" t="s">
        <v>6562</v>
      </c>
      <c r="L358" t="s">
        <v>6561</v>
      </c>
      <c r="M358" t="s">
        <v>44</v>
      </c>
      <c r="N358">
        <v>2</v>
      </c>
      <c r="O358" t="s">
        <v>6560</v>
      </c>
      <c r="P358" t="s">
        <v>6559</v>
      </c>
      <c r="Q358" t="s">
        <v>6558</v>
      </c>
      <c r="R358" s="7">
        <v>37169</v>
      </c>
      <c r="S358" s="8">
        <f t="shared" si="40"/>
        <v>2001</v>
      </c>
      <c r="T358" s="8">
        <v>2001</v>
      </c>
      <c r="U358" s="8">
        <f t="shared" si="41"/>
        <v>21</v>
      </c>
      <c r="V358" s="7">
        <v>37169</v>
      </c>
      <c r="W358" t="s">
        <v>290</v>
      </c>
      <c r="X358" s="2">
        <v>0.30399999999999999</v>
      </c>
      <c r="Y358" s="6">
        <f t="shared" si="46"/>
        <v>8.115106377299057E-3</v>
      </c>
      <c r="AA358">
        <v>8952477</v>
      </c>
      <c r="AB358">
        <v>12250</v>
      </c>
      <c r="AD358" t="s">
        <v>1</v>
      </c>
      <c r="AE358">
        <v>31</v>
      </c>
      <c r="AF358">
        <v>1</v>
      </c>
      <c r="AH358" s="10">
        <v>44445</v>
      </c>
      <c r="AI358" t="s">
        <v>6557</v>
      </c>
      <c r="AJ358" t="s">
        <v>6556</v>
      </c>
      <c r="AK358" t="s">
        <v>6555</v>
      </c>
      <c r="AL358">
        <v>3</v>
      </c>
      <c r="AM358" s="5">
        <f t="shared" si="42"/>
        <v>0.14285714285714285</v>
      </c>
      <c r="AN358" s="4">
        <f t="shared" si="47"/>
        <v>2.1636825877643749E-4</v>
      </c>
      <c r="AO358" s="3"/>
      <c r="AP358">
        <v>0</v>
      </c>
      <c r="AR358" t="s">
        <v>0</v>
      </c>
      <c r="AT358" s="2" t="s">
        <v>7</v>
      </c>
      <c r="AU358" s="1">
        <f t="shared" si="43"/>
        <v>0.57454849417422704</v>
      </c>
      <c r="AV358" s="1">
        <f t="shared" si="44"/>
        <v>0.41657373180377472</v>
      </c>
      <c r="AW358" s="1">
        <f t="shared" si="45"/>
        <v>0.25859896943332233</v>
      </c>
    </row>
    <row r="359" spans="1:49" x14ac:dyDescent="0.2">
      <c r="A359">
        <v>357</v>
      </c>
      <c r="B359" t="s">
        <v>6554</v>
      </c>
      <c r="C359" t="s">
        <v>6553</v>
      </c>
      <c r="F359" t="s">
        <v>6552</v>
      </c>
      <c r="G359" t="s">
        <v>6</v>
      </c>
      <c r="H359" t="s">
        <v>5</v>
      </c>
      <c r="I359" t="s">
        <v>6551</v>
      </c>
      <c r="J359" t="s">
        <v>6550</v>
      </c>
      <c r="K359" t="s">
        <v>6549</v>
      </c>
      <c r="L359" t="s">
        <v>6548</v>
      </c>
      <c r="M359" t="s">
        <v>427</v>
      </c>
      <c r="N359">
        <v>3</v>
      </c>
      <c r="O359" t="s">
        <v>6547</v>
      </c>
      <c r="P359" t="s">
        <v>6546</v>
      </c>
      <c r="Q359" t="s">
        <v>6545</v>
      </c>
      <c r="R359" s="7">
        <v>37169</v>
      </c>
      <c r="S359" s="8">
        <f t="shared" si="40"/>
        <v>2001</v>
      </c>
      <c r="T359" s="8">
        <v>2001</v>
      </c>
      <c r="U359" s="8">
        <f t="shared" si="41"/>
        <v>21</v>
      </c>
      <c r="V359" s="7">
        <v>37169</v>
      </c>
      <c r="W359" t="s">
        <v>290</v>
      </c>
      <c r="X359" s="2">
        <v>0.30399999999999999</v>
      </c>
      <c r="Y359" s="6">
        <f t="shared" si="46"/>
        <v>8.115106377299057E-3</v>
      </c>
      <c r="AA359">
        <v>8952477</v>
      </c>
      <c r="AB359">
        <v>12250</v>
      </c>
      <c r="AD359" t="s">
        <v>1</v>
      </c>
      <c r="AE359">
        <v>31</v>
      </c>
      <c r="AF359">
        <v>1</v>
      </c>
      <c r="AH359" s="10">
        <v>44319</v>
      </c>
      <c r="AI359" t="s">
        <v>6544</v>
      </c>
      <c r="AJ359" t="s">
        <v>6543</v>
      </c>
      <c r="AK359" t="s">
        <v>6542</v>
      </c>
      <c r="AL359">
        <v>0</v>
      </c>
      <c r="AM359" s="5">
        <f t="shared" si="42"/>
        <v>0</v>
      </c>
      <c r="AN359" s="4">
        <f t="shared" si="47"/>
        <v>0</v>
      </c>
      <c r="AO359" s="3"/>
      <c r="AP359">
        <v>0</v>
      </c>
      <c r="AR359" t="s">
        <v>0</v>
      </c>
      <c r="AT359" s="2" t="s">
        <v>7</v>
      </c>
      <c r="AU359" s="1">
        <f t="shared" si="43"/>
        <v>0.56805744641093392</v>
      </c>
      <c r="AV359" s="1">
        <f t="shared" si="44"/>
        <v>0.40575531886495286</v>
      </c>
      <c r="AW359" s="1">
        <f t="shared" si="45"/>
        <v>0.24345319131897172</v>
      </c>
    </row>
    <row r="360" spans="1:49" x14ac:dyDescent="0.2">
      <c r="A360">
        <v>358</v>
      </c>
      <c r="B360" t="s">
        <v>6541</v>
      </c>
      <c r="C360" t="s">
        <v>6540</v>
      </c>
      <c r="F360" t="s">
        <v>6539</v>
      </c>
      <c r="G360" t="s">
        <v>6</v>
      </c>
      <c r="H360" t="s">
        <v>5</v>
      </c>
      <c r="I360" t="s">
        <v>6538</v>
      </c>
      <c r="J360">
        <v>60029284</v>
      </c>
      <c r="K360" t="s">
        <v>6537</v>
      </c>
      <c r="L360" t="s">
        <v>824</v>
      </c>
      <c r="M360" t="s">
        <v>80</v>
      </c>
      <c r="N360">
        <v>3</v>
      </c>
      <c r="O360" t="s">
        <v>6536</v>
      </c>
      <c r="P360" t="s">
        <v>6535</v>
      </c>
      <c r="Q360" t="s">
        <v>6534</v>
      </c>
      <c r="R360" s="7">
        <v>37169</v>
      </c>
      <c r="S360" s="8">
        <f t="shared" si="40"/>
        <v>2001</v>
      </c>
      <c r="T360" s="8">
        <v>2001</v>
      </c>
      <c r="U360" s="8">
        <f t="shared" si="41"/>
        <v>21</v>
      </c>
      <c r="V360" s="7">
        <v>37169</v>
      </c>
      <c r="W360" t="s">
        <v>290</v>
      </c>
      <c r="X360" s="2">
        <v>0.30399999999999999</v>
      </c>
      <c r="Y360" s="6">
        <f t="shared" si="46"/>
        <v>8.115106377299057E-3</v>
      </c>
      <c r="AA360">
        <v>8952477</v>
      </c>
      <c r="AB360">
        <v>12250</v>
      </c>
      <c r="AD360" t="s">
        <v>1</v>
      </c>
      <c r="AE360">
        <v>31</v>
      </c>
      <c r="AF360">
        <v>1</v>
      </c>
      <c r="AH360" t="s">
        <v>6533</v>
      </c>
      <c r="AI360" t="s">
        <v>6532</v>
      </c>
      <c r="AJ360" t="s">
        <v>6531</v>
      </c>
      <c r="AK360" t="s">
        <v>6530</v>
      </c>
      <c r="AL360">
        <v>2</v>
      </c>
      <c r="AM360" s="5">
        <f t="shared" si="42"/>
        <v>9.5238095238095233E-2</v>
      </c>
      <c r="AN360" s="4">
        <f t="shared" si="47"/>
        <v>1.4424550585095833E-4</v>
      </c>
      <c r="AO360" s="3"/>
      <c r="AP360">
        <v>0</v>
      </c>
      <c r="AR360" t="s">
        <v>0</v>
      </c>
      <c r="AT360" s="2" t="s">
        <v>7</v>
      </c>
      <c r="AU360" s="1">
        <f t="shared" si="43"/>
        <v>0.57238481158646271</v>
      </c>
      <c r="AV360" s="1">
        <f t="shared" si="44"/>
        <v>0.41296759415750073</v>
      </c>
      <c r="AW360" s="1">
        <f t="shared" si="45"/>
        <v>0.25355037672853881</v>
      </c>
    </row>
    <row r="361" spans="1:49" x14ac:dyDescent="0.2">
      <c r="A361">
        <v>359</v>
      </c>
      <c r="B361" t="s">
        <v>6529</v>
      </c>
      <c r="C361" t="s">
        <v>6528</v>
      </c>
      <c r="F361" t="s">
        <v>6527</v>
      </c>
      <c r="G361" t="s">
        <v>6</v>
      </c>
      <c r="H361" t="s">
        <v>5</v>
      </c>
      <c r="I361" t="s">
        <v>6526</v>
      </c>
      <c r="J361">
        <v>60015186</v>
      </c>
      <c r="K361" t="s">
        <v>6525</v>
      </c>
      <c r="L361" t="s">
        <v>6524</v>
      </c>
      <c r="M361" t="s">
        <v>126</v>
      </c>
      <c r="N361">
        <v>3</v>
      </c>
      <c r="O361" t="s">
        <v>6523</v>
      </c>
      <c r="P361" t="s">
        <v>6522</v>
      </c>
      <c r="Q361" t="s">
        <v>6521</v>
      </c>
      <c r="R361" s="7">
        <v>37169</v>
      </c>
      <c r="S361" s="8">
        <f t="shared" si="40"/>
        <v>2001</v>
      </c>
      <c r="T361" s="8">
        <v>2001</v>
      </c>
      <c r="U361" s="8">
        <f t="shared" si="41"/>
        <v>21</v>
      </c>
      <c r="V361" s="7">
        <v>37169</v>
      </c>
      <c r="W361" t="s">
        <v>290</v>
      </c>
      <c r="X361" s="2">
        <v>0.30399999999999999</v>
      </c>
      <c r="Y361" s="6">
        <f t="shared" si="46"/>
        <v>8.115106377299057E-3</v>
      </c>
      <c r="AA361">
        <v>8952477</v>
      </c>
      <c r="AB361">
        <v>12250</v>
      </c>
      <c r="AD361" t="s">
        <v>1</v>
      </c>
      <c r="AE361">
        <v>31</v>
      </c>
      <c r="AF361">
        <v>1</v>
      </c>
      <c r="AH361" t="s">
        <v>742</v>
      </c>
      <c r="AI361" t="s">
        <v>6520</v>
      </c>
      <c r="AJ361" t="s">
        <v>6519</v>
      </c>
      <c r="AK361" t="s">
        <v>6518</v>
      </c>
      <c r="AL361">
        <v>8</v>
      </c>
      <c r="AM361" s="5">
        <f t="shared" si="42"/>
        <v>0.38095238095238093</v>
      </c>
      <c r="AN361" s="4">
        <f t="shared" si="47"/>
        <v>5.7698202340383331E-4</v>
      </c>
      <c r="AO361" s="3"/>
      <c r="AP361">
        <v>0</v>
      </c>
      <c r="AR361" t="s">
        <v>0</v>
      </c>
      <c r="AT361" s="2" t="s">
        <v>7</v>
      </c>
      <c r="AU361" s="1">
        <f t="shared" si="43"/>
        <v>0.58536690711304895</v>
      </c>
      <c r="AV361" s="1">
        <f t="shared" si="44"/>
        <v>0.43460442003514449</v>
      </c>
      <c r="AW361" s="1">
        <f t="shared" si="45"/>
        <v>0.28384193295724008</v>
      </c>
    </row>
    <row r="362" spans="1:49" x14ac:dyDescent="0.2">
      <c r="A362">
        <v>360</v>
      </c>
      <c r="B362" t="s">
        <v>6517</v>
      </c>
      <c r="C362" t="s">
        <v>6516</v>
      </c>
      <c r="F362" t="s">
        <v>6515</v>
      </c>
      <c r="G362" t="s">
        <v>6</v>
      </c>
      <c r="H362" t="s">
        <v>5</v>
      </c>
      <c r="I362" t="s">
        <v>6514</v>
      </c>
      <c r="J362" t="s">
        <v>6513</v>
      </c>
      <c r="K362" t="s">
        <v>6512</v>
      </c>
      <c r="L362" t="s">
        <v>6511</v>
      </c>
      <c r="M362" t="s">
        <v>434</v>
      </c>
      <c r="N362">
        <v>3</v>
      </c>
      <c r="O362" t="s">
        <v>6510</v>
      </c>
      <c r="P362" t="s">
        <v>6509</v>
      </c>
      <c r="Q362" t="s">
        <v>6508</v>
      </c>
      <c r="R362" s="7">
        <v>37169</v>
      </c>
      <c r="S362" s="8">
        <f t="shared" si="40"/>
        <v>2001</v>
      </c>
      <c r="T362" s="8">
        <v>2001</v>
      </c>
      <c r="U362" s="8">
        <f t="shared" si="41"/>
        <v>21</v>
      </c>
      <c r="V362" s="7">
        <v>37169</v>
      </c>
      <c r="W362" t="s">
        <v>290</v>
      </c>
      <c r="X362" s="2">
        <v>0.30399999999999999</v>
      </c>
      <c r="Y362" s="6">
        <f t="shared" si="46"/>
        <v>8.115106377299057E-3</v>
      </c>
      <c r="AA362">
        <v>8952477</v>
      </c>
      <c r="AB362">
        <v>12250</v>
      </c>
      <c r="AD362" t="s">
        <v>1</v>
      </c>
      <c r="AE362">
        <v>31</v>
      </c>
      <c r="AF362">
        <v>1</v>
      </c>
      <c r="AH362" t="s">
        <v>6507</v>
      </c>
      <c r="AI362" t="s">
        <v>6506</v>
      </c>
      <c r="AJ362" t="s">
        <v>6505</v>
      </c>
      <c r="AK362" t="s">
        <v>6504</v>
      </c>
      <c r="AL362">
        <v>0</v>
      </c>
      <c r="AM362" s="5">
        <f t="shared" si="42"/>
        <v>0</v>
      </c>
      <c r="AN362" s="4">
        <f t="shared" si="47"/>
        <v>0</v>
      </c>
      <c r="AO362" s="3"/>
      <c r="AP362">
        <v>0</v>
      </c>
      <c r="AR362" t="s">
        <v>0</v>
      </c>
      <c r="AT362" s="2" t="s">
        <v>7</v>
      </c>
      <c r="AU362" s="1">
        <f t="shared" si="43"/>
        <v>0.56805744641093392</v>
      </c>
      <c r="AV362" s="1">
        <f t="shared" si="44"/>
        <v>0.40575531886495286</v>
      </c>
      <c r="AW362" s="1">
        <f t="shared" si="45"/>
        <v>0.24345319131897172</v>
      </c>
    </row>
    <row r="363" spans="1:49" x14ac:dyDescent="0.2">
      <c r="A363">
        <v>361</v>
      </c>
      <c r="B363" t="s">
        <v>6503</v>
      </c>
      <c r="C363" t="s">
        <v>6502</v>
      </c>
      <c r="F363" t="s">
        <v>6501</v>
      </c>
      <c r="G363" t="s">
        <v>6</v>
      </c>
      <c r="H363" t="s">
        <v>5</v>
      </c>
      <c r="I363" t="s">
        <v>2367</v>
      </c>
      <c r="J363">
        <v>60008928</v>
      </c>
      <c r="K363" t="s">
        <v>6500</v>
      </c>
      <c r="L363" t="s">
        <v>350</v>
      </c>
      <c r="M363" t="s">
        <v>285</v>
      </c>
      <c r="N363">
        <v>2</v>
      </c>
      <c r="O363" t="s">
        <v>6499</v>
      </c>
      <c r="P363" t="s">
        <v>6498</v>
      </c>
      <c r="Q363" t="s">
        <v>6497</v>
      </c>
      <c r="R363" s="7">
        <v>37169</v>
      </c>
      <c r="S363" s="8">
        <f t="shared" si="40"/>
        <v>2001</v>
      </c>
      <c r="T363" s="8">
        <v>2001</v>
      </c>
      <c r="U363" s="8">
        <f t="shared" si="41"/>
        <v>21</v>
      </c>
      <c r="V363" s="7">
        <v>37169</v>
      </c>
      <c r="W363" t="s">
        <v>290</v>
      </c>
      <c r="X363" s="2">
        <v>0.30399999999999999</v>
      </c>
      <c r="Y363" s="6">
        <f t="shared" si="46"/>
        <v>8.115106377299057E-3</v>
      </c>
      <c r="AA363">
        <v>8952477</v>
      </c>
      <c r="AB363">
        <v>12250</v>
      </c>
      <c r="AD363" t="s">
        <v>1</v>
      </c>
      <c r="AE363">
        <v>31</v>
      </c>
      <c r="AF363">
        <v>1</v>
      </c>
      <c r="AH363" t="s">
        <v>6496</v>
      </c>
      <c r="AI363" t="s">
        <v>6495</v>
      </c>
      <c r="AJ363" t="s">
        <v>6494</v>
      </c>
      <c r="AK363" t="s">
        <v>6493</v>
      </c>
      <c r="AL363">
        <v>4</v>
      </c>
      <c r="AM363" s="5">
        <f t="shared" si="42"/>
        <v>0.19047619047619047</v>
      </c>
      <c r="AN363" s="4">
        <f t="shared" si="47"/>
        <v>2.8849101170191666E-4</v>
      </c>
      <c r="AO363" s="3"/>
      <c r="AP363">
        <v>0</v>
      </c>
      <c r="AR363" t="s">
        <v>0</v>
      </c>
      <c r="AT363" s="2" t="s">
        <v>7</v>
      </c>
      <c r="AU363" s="1">
        <f t="shared" si="43"/>
        <v>0.57671217676199149</v>
      </c>
      <c r="AV363" s="1">
        <f t="shared" si="44"/>
        <v>0.4201798694500487</v>
      </c>
      <c r="AW363" s="1">
        <f t="shared" si="45"/>
        <v>0.26364756213810586</v>
      </c>
    </row>
    <row r="364" spans="1:49" x14ac:dyDescent="0.2">
      <c r="A364">
        <v>362</v>
      </c>
      <c r="B364" t="s">
        <v>6492</v>
      </c>
      <c r="C364" t="s">
        <v>6491</v>
      </c>
      <c r="F364" t="s">
        <v>6490</v>
      </c>
      <c r="G364" t="s">
        <v>6</v>
      </c>
      <c r="H364" t="s">
        <v>5</v>
      </c>
      <c r="I364" t="s">
        <v>6489</v>
      </c>
      <c r="J364">
        <v>60011357</v>
      </c>
      <c r="K364" t="s">
        <v>342</v>
      </c>
      <c r="L364" t="s">
        <v>329</v>
      </c>
      <c r="M364" t="s">
        <v>105</v>
      </c>
      <c r="N364">
        <v>2</v>
      </c>
      <c r="O364" t="s">
        <v>5077</v>
      </c>
      <c r="P364" t="s">
        <v>5076</v>
      </c>
      <c r="Q364" t="s">
        <v>341</v>
      </c>
      <c r="R364" s="7">
        <v>37169</v>
      </c>
      <c r="S364" s="8">
        <f t="shared" si="40"/>
        <v>2001</v>
      </c>
      <c r="T364" s="8">
        <v>2001</v>
      </c>
      <c r="U364" s="8">
        <f t="shared" si="41"/>
        <v>21</v>
      </c>
      <c r="V364" s="7">
        <v>37169</v>
      </c>
      <c r="W364" t="s">
        <v>290</v>
      </c>
      <c r="X364" s="2">
        <v>0.30399999999999999</v>
      </c>
      <c r="Y364" s="6">
        <f t="shared" si="46"/>
        <v>8.115106377299057E-3</v>
      </c>
      <c r="AA364">
        <v>8952477</v>
      </c>
      <c r="AB364">
        <v>12250</v>
      </c>
      <c r="AD364" t="s">
        <v>1</v>
      </c>
      <c r="AE364">
        <v>31</v>
      </c>
      <c r="AF364">
        <v>1</v>
      </c>
      <c r="AH364" t="s">
        <v>905</v>
      </c>
      <c r="AI364" t="s">
        <v>6488</v>
      </c>
      <c r="AJ364" t="s">
        <v>6487</v>
      </c>
      <c r="AK364" t="s">
        <v>6486</v>
      </c>
      <c r="AL364">
        <v>3</v>
      </c>
      <c r="AM364" s="5">
        <f t="shared" si="42"/>
        <v>0.14285714285714285</v>
      </c>
      <c r="AN364" s="4">
        <f t="shared" si="47"/>
        <v>2.1636825877643749E-4</v>
      </c>
      <c r="AO364" s="3"/>
      <c r="AP364">
        <v>0</v>
      </c>
      <c r="AR364" t="s">
        <v>0</v>
      </c>
      <c r="AT364" s="2" t="s">
        <v>7</v>
      </c>
      <c r="AU364" s="1">
        <f t="shared" si="43"/>
        <v>0.57454849417422704</v>
      </c>
      <c r="AV364" s="1">
        <f t="shared" si="44"/>
        <v>0.41657373180377472</v>
      </c>
      <c r="AW364" s="1">
        <f t="shared" si="45"/>
        <v>0.25859896943332233</v>
      </c>
    </row>
    <row r="365" spans="1:49" x14ac:dyDescent="0.2">
      <c r="A365">
        <v>363</v>
      </c>
      <c r="B365" t="s">
        <v>6485</v>
      </c>
      <c r="C365" t="s">
        <v>6484</v>
      </c>
      <c r="D365" t="s">
        <v>6483</v>
      </c>
      <c r="E365">
        <v>11589462</v>
      </c>
      <c r="F365" t="s">
        <v>6482</v>
      </c>
      <c r="G365" t="s">
        <v>6</v>
      </c>
      <c r="H365" t="s">
        <v>5</v>
      </c>
      <c r="I365" t="s">
        <v>6481</v>
      </c>
      <c r="J365">
        <v>60008088</v>
      </c>
      <c r="K365" t="s">
        <v>441</v>
      </c>
      <c r="L365" t="s">
        <v>440</v>
      </c>
      <c r="M365" t="s">
        <v>221</v>
      </c>
      <c r="N365">
        <v>5</v>
      </c>
      <c r="O365" t="s">
        <v>6480</v>
      </c>
      <c r="P365" t="s">
        <v>6479</v>
      </c>
      <c r="Q365" t="s">
        <v>6478</v>
      </c>
      <c r="R365" s="7">
        <v>37169</v>
      </c>
      <c r="S365" s="8">
        <f t="shared" si="40"/>
        <v>2001</v>
      </c>
      <c r="T365" s="8">
        <v>2001</v>
      </c>
      <c r="U365" s="8">
        <f t="shared" si="41"/>
        <v>21</v>
      </c>
      <c r="V365" s="7">
        <v>37169</v>
      </c>
      <c r="W365" t="s">
        <v>957</v>
      </c>
      <c r="X365" s="2" t="s">
        <v>7</v>
      </c>
      <c r="Y365" s="6" t="e">
        <f t="shared" si="46"/>
        <v>#VALUE!</v>
      </c>
      <c r="AA365">
        <v>13872273</v>
      </c>
      <c r="AB365">
        <v>100429</v>
      </c>
      <c r="AD365" t="s">
        <v>1</v>
      </c>
      <c r="AE365">
        <v>762</v>
      </c>
      <c r="AF365">
        <v>1</v>
      </c>
      <c r="AH365" t="s">
        <v>665</v>
      </c>
      <c r="AI365" t="s">
        <v>6477</v>
      </c>
      <c r="AJ365" t="s">
        <v>6476</v>
      </c>
      <c r="AK365" t="s">
        <v>6475</v>
      </c>
      <c r="AL365">
        <v>25</v>
      </c>
      <c r="AM365" s="5">
        <f t="shared" si="42"/>
        <v>1.1904761904761905</v>
      </c>
      <c r="AN365" s="4">
        <f t="shared" si="47"/>
        <v>1.8030688231369791E-3</v>
      </c>
      <c r="AO365" s="3"/>
      <c r="AP365">
        <v>0</v>
      </c>
      <c r="AQ365" t="s">
        <v>702</v>
      </c>
      <c r="AR365" t="s">
        <v>0</v>
      </c>
      <c r="AS365" t="s">
        <v>701</v>
      </c>
      <c r="AT365" s="2" t="s">
        <v>7</v>
      </c>
      <c r="AU365" s="1" t="e">
        <f t="shared" si="43"/>
        <v>#VALUE!</v>
      </c>
      <c r="AV365" s="1" t="e">
        <f t="shared" si="44"/>
        <v>#VALUE!</v>
      </c>
      <c r="AW365" s="1" t="e">
        <f t="shared" si="45"/>
        <v>#VALUE!</v>
      </c>
    </row>
    <row r="366" spans="1:49" x14ac:dyDescent="0.2">
      <c r="A366">
        <v>364</v>
      </c>
      <c r="B366" t="s">
        <v>6474</v>
      </c>
      <c r="C366" t="s">
        <v>6473</v>
      </c>
      <c r="F366" t="s">
        <v>6472</v>
      </c>
      <c r="G366" t="s">
        <v>6</v>
      </c>
      <c r="H366" t="s">
        <v>5</v>
      </c>
      <c r="I366" t="s">
        <v>6471</v>
      </c>
      <c r="J366" t="s">
        <v>6469</v>
      </c>
      <c r="K366" t="s">
        <v>6470</v>
      </c>
      <c r="L366" t="s">
        <v>361</v>
      </c>
      <c r="M366" t="s">
        <v>327</v>
      </c>
      <c r="N366">
        <v>2</v>
      </c>
      <c r="O366" t="s">
        <v>453</v>
      </c>
      <c r="P366" t="s">
        <v>452</v>
      </c>
      <c r="Q366" t="s">
        <v>6469</v>
      </c>
      <c r="R366" s="7">
        <v>37169</v>
      </c>
      <c r="S366" s="8">
        <f t="shared" si="40"/>
        <v>2001</v>
      </c>
      <c r="T366" s="8">
        <v>2001</v>
      </c>
      <c r="U366" s="8">
        <f t="shared" si="41"/>
        <v>21</v>
      </c>
      <c r="V366" s="7">
        <v>37169</v>
      </c>
      <c r="W366" t="s">
        <v>290</v>
      </c>
      <c r="X366" s="2">
        <v>0.30399999999999999</v>
      </c>
      <c r="Y366" s="6">
        <f t="shared" si="46"/>
        <v>8.115106377299057E-3</v>
      </c>
      <c r="AA366">
        <v>8952477</v>
      </c>
      <c r="AB366">
        <v>12250</v>
      </c>
      <c r="AD366" t="s">
        <v>1</v>
      </c>
      <c r="AE366">
        <v>31</v>
      </c>
      <c r="AF366">
        <v>1</v>
      </c>
      <c r="AH366" s="10">
        <v>44256</v>
      </c>
      <c r="AI366" t="s">
        <v>6468</v>
      </c>
      <c r="AJ366" t="s">
        <v>6467</v>
      </c>
      <c r="AK366" t="s">
        <v>6466</v>
      </c>
      <c r="AL366">
        <v>3</v>
      </c>
      <c r="AM366" s="5">
        <f t="shared" si="42"/>
        <v>0.14285714285714285</v>
      </c>
      <c r="AN366" s="4">
        <f t="shared" si="47"/>
        <v>2.1636825877643749E-4</v>
      </c>
      <c r="AO366" s="3"/>
      <c r="AP366">
        <v>0</v>
      </c>
      <c r="AR366" t="s">
        <v>0</v>
      </c>
      <c r="AT366" s="2" t="s">
        <v>7</v>
      </c>
      <c r="AU366" s="1">
        <f t="shared" si="43"/>
        <v>0.57454849417422704</v>
      </c>
      <c r="AV366" s="1">
        <f t="shared" si="44"/>
        <v>0.41657373180377472</v>
      </c>
      <c r="AW366" s="1">
        <f t="shared" si="45"/>
        <v>0.25859896943332233</v>
      </c>
    </row>
    <row r="367" spans="1:49" x14ac:dyDescent="0.2">
      <c r="A367">
        <v>365</v>
      </c>
      <c r="B367" t="s">
        <v>6465</v>
      </c>
      <c r="C367" t="s">
        <v>6464</v>
      </c>
      <c r="F367" t="s">
        <v>6463</v>
      </c>
      <c r="G367" t="s">
        <v>6</v>
      </c>
      <c r="H367" t="s">
        <v>5</v>
      </c>
      <c r="I367" t="s">
        <v>6462</v>
      </c>
      <c r="J367">
        <v>60010080</v>
      </c>
      <c r="K367" t="s">
        <v>547</v>
      </c>
      <c r="L367" t="s">
        <v>367</v>
      </c>
      <c r="M367" t="s">
        <v>62</v>
      </c>
      <c r="N367">
        <v>4</v>
      </c>
      <c r="O367" t="s">
        <v>6461</v>
      </c>
      <c r="P367" t="s">
        <v>6460</v>
      </c>
      <c r="Q367" t="s">
        <v>546</v>
      </c>
      <c r="R367" s="7">
        <v>37169</v>
      </c>
      <c r="S367" s="8">
        <f t="shared" si="40"/>
        <v>2001</v>
      </c>
      <c r="T367" s="8">
        <v>2001</v>
      </c>
      <c r="U367" s="8">
        <f t="shared" si="41"/>
        <v>21</v>
      </c>
      <c r="V367" s="7">
        <v>37169</v>
      </c>
      <c r="W367" t="s">
        <v>290</v>
      </c>
      <c r="X367" s="2">
        <v>0.30399999999999999</v>
      </c>
      <c r="Y367" s="6">
        <f t="shared" si="46"/>
        <v>8.115106377299057E-3</v>
      </c>
      <c r="AA367">
        <v>8952477</v>
      </c>
      <c r="AB367">
        <v>12250</v>
      </c>
      <c r="AD367" t="s">
        <v>1</v>
      </c>
      <c r="AE367">
        <v>31</v>
      </c>
      <c r="AF367">
        <v>1</v>
      </c>
      <c r="AH367" t="s">
        <v>6459</v>
      </c>
      <c r="AI367" t="s">
        <v>6458</v>
      </c>
      <c r="AJ367" t="s">
        <v>6457</v>
      </c>
      <c r="AK367" t="s">
        <v>6456</v>
      </c>
      <c r="AL367">
        <v>19</v>
      </c>
      <c r="AM367" s="5">
        <f t="shared" si="42"/>
        <v>0.90476190476190477</v>
      </c>
      <c r="AN367" s="4">
        <f t="shared" si="47"/>
        <v>1.3703323055841042E-3</v>
      </c>
      <c r="AO367" s="3"/>
      <c r="AP367">
        <v>0</v>
      </c>
      <c r="AR367" t="s">
        <v>0</v>
      </c>
      <c r="AT367" s="2" t="s">
        <v>7</v>
      </c>
      <c r="AU367" s="1">
        <f t="shared" si="43"/>
        <v>0.60916741557845711</v>
      </c>
      <c r="AV367" s="1">
        <f t="shared" si="44"/>
        <v>0.47427193414415808</v>
      </c>
      <c r="AW367" s="1">
        <f t="shared" si="45"/>
        <v>0.339376452709859</v>
      </c>
    </row>
    <row r="368" spans="1:49" x14ac:dyDescent="0.2">
      <c r="A368">
        <v>366</v>
      </c>
      <c r="B368" t="s">
        <v>6455</v>
      </c>
      <c r="C368" t="s">
        <v>6454</v>
      </c>
      <c r="F368" t="s">
        <v>6453</v>
      </c>
      <c r="G368" t="s">
        <v>6</v>
      </c>
      <c r="H368" t="s">
        <v>5</v>
      </c>
      <c r="I368" t="s">
        <v>1019</v>
      </c>
      <c r="J368" t="s">
        <v>1018</v>
      </c>
      <c r="K368" t="s">
        <v>1017</v>
      </c>
      <c r="L368" t="s">
        <v>1016</v>
      </c>
      <c r="M368" t="s">
        <v>1015</v>
      </c>
      <c r="N368">
        <v>3</v>
      </c>
      <c r="O368" t="s">
        <v>1014</v>
      </c>
      <c r="P368" t="s">
        <v>242</v>
      </c>
      <c r="Q368" t="s">
        <v>1013</v>
      </c>
      <c r="R368" s="7">
        <v>37169</v>
      </c>
      <c r="S368" s="8">
        <f t="shared" si="40"/>
        <v>2001</v>
      </c>
      <c r="T368" s="8">
        <v>2001</v>
      </c>
      <c r="U368" s="8">
        <f t="shared" si="41"/>
        <v>21</v>
      </c>
      <c r="V368" s="7">
        <v>37169</v>
      </c>
      <c r="W368" t="s">
        <v>290</v>
      </c>
      <c r="X368" s="2">
        <v>0.30399999999999999</v>
      </c>
      <c r="Y368" s="6">
        <f t="shared" si="46"/>
        <v>8.115106377299057E-3</v>
      </c>
      <c r="AA368">
        <v>8952477</v>
      </c>
      <c r="AB368">
        <v>12250</v>
      </c>
      <c r="AD368" t="s">
        <v>1</v>
      </c>
      <c r="AE368">
        <v>31</v>
      </c>
      <c r="AF368">
        <v>1</v>
      </c>
      <c r="AH368" t="s">
        <v>6452</v>
      </c>
      <c r="AI368" t="s">
        <v>6451</v>
      </c>
      <c r="AJ368" t="s">
        <v>6450</v>
      </c>
      <c r="AK368" t="s">
        <v>6449</v>
      </c>
      <c r="AL368">
        <v>2</v>
      </c>
      <c r="AM368" s="5">
        <f t="shared" si="42"/>
        <v>9.5238095238095233E-2</v>
      </c>
      <c r="AN368" s="4">
        <f t="shared" si="47"/>
        <v>1.4424550585095833E-4</v>
      </c>
      <c r="AO368" s="3"/>
      <c r="AP368">
        <v>0</v>
      </c>
      <c r="AR368" t="s">
        <v>0</v>
      </c>
      <c r="AT368" s="2" t="s">
        <v>7</v>
      </c>
      <c r="AU368" s="1">
        <f t="shared" si="43"/>
        <v>0.57238481158646271</v>
      </c>
      <c r="AV368" s="1">
        <f t="shared" si="44"/>
        <v>0.41296759415750073</v>
      </c>
      <c r="AW368" s="1">
        <f t="shared" si="45"/>
        <v>0.25355037672853881</v>
      </c>
    </row>
    <row r="369" spans="1:49" x14ac:dyDescent="0.2">
      <c r="A369">
        <v>367</v>
      </c>
      <c r="B369" t="s">
        <v>6448</v>
      </c>
      <c r="C369" t="s">
        <v>6447</v>
      </c>
      <c r="F369" t="s">
        <v>6446</v>
      </c>
      <c r="G369" t="s">
        <v>6</v>
      </c>
      <c r="H369" t="s">
        <v>5</v>
      </c>
      <c r="I369" t="s">
        <v>977</v>
      </c>
      <c r="J369">
        <v>60001439</v>
      </c>
      <c r="K369" t="s">
        <v>24</v>
      </c>
      <c r="L369" t="s">
        <v>23</v>
      </c>
      <c r="M369" t="s">
        <v>3</v>
      </c>
      <c r="N369">
        <v>3</v>
      </c>
      <c r="O369" t="s">
        <v>6445</v>
      </c>
      <c r="P369" t="s">
        <v>976</v>
      </c>
      <c r="Q369" t="s">
        <v>975</v>
      </c>
      <c r="R369" s="7">
        <v>37169</v>
      </c>
      <c r="S369" s="8">
        <f t="shared" si="40"/>
        <v>2001</v>
      </c>
      <c r="T369" s="8">
        <v>2001</v>
      </c>
      <c r="U369" s="8">
        <f t="shared" si="41"/>
        <v>21</v>
      </c>
      <c r="V369" s="7">
        <v>37169</v>
      </c>
      <c r="W369" t="s">
        <v>290</v>
      </c>
      <c r="X369" s="2">
        <v>0.30399999999999999</v>
      </c>
      <c r="Y369" s="6">
        <f t="shared" si="46"/>
        <v>8.115106377299057E-3</v>
      </c>
      <c r="AA369">
        <v>8952477</v>
      </c>
      <c r="AB369">
        <v>12250</v>
      </c>
      <c r="AD369" t="s">
        <v>1</v>
      </c>
      <c r="AE369">
        <v>31</v>
      </c>
      <c r="AF369">
        <v>1</v>
      </c>
      <c r="AH369" t="s">
        <v>247</v>
      </c>
      <c r="AI369" t="s">
        <v>6444</v>
      </c>
      <c r="AJ369" t="s">
        <v>6443</v>
      </c>
      <c r="AK369" t="s">
        <v>6442</v>
      </c>
      <c r="AL369">
        <v>2</v>
      </c>
      <c r="AM369" s="5">
        <f t="shared" si="42"/>
        <v>9.5238095238095233E-2</v>
      </c>
      <c r="AN369" s="4">
        <f t="shared" si="47"/>
        <v>1.4424550585095833E-4</v>
      </c>
      <c r="AO369" s="3"/>
      <c r="AP369">
        <v>0</v>
      </c>
      <c r="AR369" t="s">
        <v>0</v>
      </c>
      <c r="AT369" s="2" t="s">
        <v>7</v>
      </c>
      <c r="AU369" s="1">
        <f t="shared" si="43"/>
        <v>0.57238481158646271</v>
      </c>
      <c r="AV369" s="1">
        <f t="shared" si="44"/>
        <v>0.41296759415750073</v>
      </c>
      <c r="AW369" s="1">
        <f t="shared" si="45"/>
        <v>0.25355037672853881</v>
      </c>
    </row>
    <row r="370" spans="1:49" x14ac:dyDescent="0.2">
      <c r="A370">
        <v>368</v>
      </c>
      <c r="B370" t="s">
        <v>6441</v>
      </c>
      <c r="C370" t="s">
        <v>6440</v>
      </c>
      <c r="E370">
        <v>11592691</v>
      </c>
      <c r="F370" t="s">
        <v>6439</v>
      </c>
      <c r="G370" t="s">
        <v>6</v>
      </c>
      <c r="H370" t="s">
        <v>5</v>
      </c>
      <c r="I370" t="s">
        <v>6438</v>
      </c>
      <c r="J370">
        <v>60004305</v>
      </c>
      <c r="K370" t="s">
        <v>432</v>
      </c>
      <c r="L370" t="s">
        <v>431</v>
      </c>
      <c r="M370" t="s">
        <v>111</v>
      </c>
      <c r="N370">
        <v>2</v>
      </c>
      <c r="O370" t="s">
        <v>6437</v>
      </c>
      <c r="P370" t="s">
        <v>6436</v>
      </c>
      <c r="Q370" t="s">
        <v>430</v>
      </c>
      <c r="R370" s="7">
        <v>37168</v>
      </c>
      <c r="S370" s="8">
        <f t="shared" si="40"/>
        <v>2001</v>
      </c>
      <c r="T370" s="8">
        <v>2001</v>
      </c>
      <c r="U370" s="8">
        <f t="shared" si="41"/>
        <v>21</v>
      </c>
      <c r="V370" s="7">
        <v>2001</v>
      </c>
      <c r="W370" t="s">
        <v>6435</v>
      </c>
      <c r="X370" s="2">
        <v>0.66400000000000003</v>
      </c>
      <c r="Y370" s="6">
        <f t="shared" si="46"/>
        <v>1.7725100771468997E-2</v>
      </c>
      <c r="AA370">
        <v>1757571</v>
      </c>
      <c r="AB370">
        <v>14877</v>
      </c>
      <c r="AD370" t="s">
        <v>1</v>
      </c>
      <c r="AE370">
        <v>30</v>
      </c>
      <c r="AF370">
        <v>5</v>
      </c>
      <c r="AH370" t="s">
        <v>6434</v>
      </c>
      <c r="AI370" t="s">
        <v>6433</v>
      </c>
      <c r="AJ370" t="s">
        <v>6432</v>
      </c>
      <c r="AK370" t="s">
        <v>6431</v>
      </c>
      <c r="AL370">
        <v>20</v>
      </c>
      <c r="AM370" s="5">
        <f t="shared" si="42"/>
        <v>0.95238095238095233</v>
      </c>
      <c r="AN370" s="4">
        <f t="shared" si="47"/>
        <v>1.4424550585095833E-3</v>
      </c>
      <c r="AO370" s="3"/>
      <c r="AP370">
        <v>0</v>
      </c>
      <c r="AR370" t="s">
        <v>0</v>
      </c>
      <c r="AT370" s="2" t="s">
        <v>7</v>
      </c>
      <c r="AU370" s="1">
        <f t="shared" si="43"/>
        <v>1.2840307057581173</v>
      </c>
      <c r="AV370" s="1">
        <f t="shared" si="44"/>
        <v>0.9583777914989291</v>
      </c>
      <c r="AW370" s="1">
        <f t="shared" si="45"/>
        <v>0.63272487723974069</v>
      </c>
    </row>
    <row r="371" spans="1:49" x14ac:dyDescent="0.2">
      <c r="A371">
        <v>369</v>
      </c>
      <c r="B371" t="s">
        <v>6430</v>
      </c>
      <c r="C371" t="s">
        <v>6429</v>
      </c>
      <c r="F371" t="s">
        <v>6428</v>
      </c>
      <c r="G371" t="s">
        <v>6</v>
      </c>
      <c r="H371" t="s">
        <v>5</v>
      </c>
      <c r="I371" t="s">
        <v>6427</v>
      </c>
      <c r="J371">
        <v>60000356</v>
      </c>
      <c r="K371" t="s">
        <v>6417</v>
      </c>
      <c r="L371" t="s">
        <v>6426</v>
      </c>
      <c r="M371" t="s">
        <v>138</v>
      </c>
      <c r="N371">
        <v>2</v>
      </c>
      <c r="O371" t="s">
        <v>6425</v>
      </c>
      <c r="P371" t="s">
        <v>6424</v>
      </c>
      <c r="Q371" t="s">
        <v>6423</v>
      </c>
      <c r="R371" s="7">
        <v>37165</v>
      </c>
      <c r="S371" s="8">
        <f t="shared" si="40"/>
        <v>2001</v>
      </c>
      <c r="T371" s="8">
        <v>2001</v>
      </c>
      <c r="U371" s="8">
        <f t="shared" si="41"/>
        <v>21</v>
      </c>
      <c r="V371" s="7">
        <v>37165</v>
      </c>
      <c r="W371" t="s">
        <v>682</v>
      </c>
      <c r="X371" s="2">
        <v>1.4950000000000001</v>
      </c>
      <c r="Y371" s="6">
        <f t="shared" si="46"/>
        <v>3.9908171164677937E-2</v>
      </c>
      <c r="AA371">
        <v>10805370</v>
      </c>
      <c r="AB371">
        <v>144827</v>
      </c>
      <c r="AC371">
        <v>15211886</v>
      </c>
      <c r="AD371" t="s">
        <v>1</v>
      </c>
      <c r="AE371">
        <v>5</v>
      </c>
      <c r="AF371">
        <v>2</v>
      </c>
      <c r="AH371" t="s">
        <v>6422</v>
      </c>
      <c r="AI371" t="s">
        <v>6421</v>
      </c>
      <c r="AJ371" t="s">
        <v>6420</v>
      </c>
      <c r="AK371" t="s">
        <v>6419</v>
      </c>
      <c r="AL371">
        <v>2</v>
      </c>
      <c r="AM371" s="5">
        <f t="shared" si="42"/>
        <v>9.5238095238095233E-2</v>
      </c>
      <c r="AN371" s="4">
        <f t="shared" si="47"/>
        <v>1.4424550585095833E-4</v>
      </c>
      <c r="AO371" s="3"/>
      <c r="AP371">
        <v>0</v>
      </c>
      <c r="AQ371" t="s">
        <v>6418</v>
      </c>
      <c r="AR371" t="s">
        <v>0</v>
      </c>
      <c r="AS371" t="s">
        <v>6417</v>
      </c>
      <c r="AT371" s="2">
        <v>4.0659999999999998</v>
      </c>
      <c r="AU371" s="1">
        <f t="shared" si="43"/>
        <v>2.7978993467029842</v>
      </c>
      <c r="AV371" s="1">
        <f t="shared" si="44"/>
        <v>2.002620833526445</v>
      </c>
      <c r="AW371" s="1">
        <f t="shared" si="45"/>
        <v>1.2073423203499052</v>
      </c>
    </row>
    <row r="372" spans="1:49" x14ac:dyDescent="0.2">
      <c r="A372">
        <v>370</v>
      </c>
      <c r="B372" t="s">
        <v>6416</v>
      </c>
      <c r="C372" t="s">
        <v>6415</v>
      </c>
      <c r="D372" t="s">
        <v>6414</v>
      </c>
      <c r="F372" t="s">
        <v>6413</v>
      </c>
      <c r="G372" t="s">
        <v>6</v>
      </c>
      <c r="H372" t="s">
        <v>5</v>
      </c>
      <c r="I372" t="s">
        <v>6412</v>
      </c>
      <c r="J372">
        <v>60012288</v>
      </c>
      <c r="K372" t="s">
        <v>182</v>
      </c>
      <c r="L372" t="s">
        <v>181</v>
      </c>
      <c r="M372" t="s">
        <v>26</v>
      </c>
      <c r="N372">
        <v>3</v>
      </c>
      <c r="O372" t="s">
        <v>6411</v>
      </c>
      <c r="P372" t="s">
        <v>6410</v>
      </c>
      <c r="Q372" t="s">
        <v>6409</v>
      </c>
      <c r="R372" s="7">
        <v>37165</v>
      </c>
      <c r="S372" s="8">
        <f t="shared" si="40"/>
        <v>2001</v>
      </c>
      <c r="T372" s="8">
        <v>2001</v>
      </c>
      <c r="U372" s="8">
        <f t="shared" si="41"/>
        <v>21</v>
      </c>
      <c r="V372" s="7">
        <v>37165</v>
      </c>
      <c r="W372" t="s">
        <v>33</v>
      </c>
      <c r="X372" s="2">
        <v>0.65600000000000003</v>
      </c>
      <c r="Y372" s="6">
        <f t="shared" si="46"/>
        <v>1.751154534048744E-2</v>
      </c>
      <c r="AA372">
        <v>9203796</v>
      </c>
      <c r="AB372">
        <v>20344</v>
      </c>
      <c r="AD372" t="s">
        <v>1</v>
      </c>
      <c r="AE372" t="s">
        <v>6124</v>
      </c>
      <c r="AH372" t="s">
        <v>6408</v>
      </c>
      <c r="AI372" t="s">
        <v>6407</v>
      </c>
      <c r="AJ372" t="s">
        <v>6406</v>
      </c>
      <c r="AK372" t="s">
        <v>6405</v>
      </c>
      <c r="AL372">
        <v>3</v>
      </c>
      <c r="AM372" s="5">
        <f t="shared" si="42"/>
        <v>0.14285714285714285</v>
      </c>
      <c r="AN372" s="4">
        <f t="shared" si="47"/>
        <v>2.1636825877643749E-4</v>
      </c>
      <c r="AO372" s="3"/>
      <c r="AP372">
        <v>0</v>
      </c>
      <c r="AR372" t="s">
        <v>0</v>
      </c>
      <c r="AT372" s="2">
        <v>1.4530000000000001</v>
      </c>
      <c r="AU372" s="1">
        <f t="shared" si="43"/>
        <v>1.232299221597414</v>
      </c>
      <c r="AV372" s="1">
        <f t="shared" si="44"/>
        <v>0.88639567996319379</v>
      </c>
      <c r="AW372" s="1">
        <f t="shared" si="45"/>
        <v>0.5404921383289738</v>
      </c>
    </row>
    <row r="373" spans="1:49" x14ac:dyDescent="0.2">
      <c r="A373">
        <v>371</v>
      </c>
      <c r="B373" t="s">
        <v>6404</v>
      </c>
      <c r="C373" t="s">
        <v>6403</v>
      </c>
      <c r="D373" t="s">
        <v>6402</v>
      </c>
      <c r="F373" t="s">
        <v>6401</v>
      </c>
      <c r="G373" t="s">
        <v>6</v>
      </c>
      <c r="H373" t="s">
        <v>5</v>
      </c>
      <c r="I373" t="s">
        <v>6400</v>
      </c>
      <c r="J373" t="s">
        <v>6399</v>
      </c>
      <c r="K373" t="s">
        <v>6398</v>
      </c>
      <c r="L373" t="s">
        <v>6397</v>
      </c>
      <c r="M373" t="s">
        <v>91</v>
      </c>
      <c r="N373">
        <v>14</v>
      </c>
      <c r="O373" t="s">
        <v>6396</v>
      </c>
      <c r="P373" t="s">
        <v>6395</v>
      </c>
      <c r="Q373" t="s">
        <v>6394</v>
      </c>
      <c r="R373" s="7">
        <v>37165</v>
      </c>
      <c r="S373" s="8">
        <f t="shared" si="40"/>
        <v>2001</v>
      </c>
      <c r="T373" s="8">
        <v>2001</v>
      </c>
      <c r="U373" s="8">
        <f t="shared" si="41"/>
        <v>21</v>
      </c>
      <c r="V373" s="7">
        <v>37165</v>
      </c>
      <c r="W373" t="s">
        <v>33</v>
      </c>
      <c r="X373" s="2">
        <v>0.65600000000000003</v>
      </c>
      <c r="Y373" s="6">
        <f t="shared" si="46"/>
        <v>1.751154534048744E-2</v>
      </c>
      <c r="AA373">
        <v>9203796</v>
      </c>
      <c r="AB373">
        <v>20344</v>
      </c>
      <c r="AD373" t="s">
        <v>1</v>
      </c>
      <c r="AE373" t="s">
        <v>6124</v>
      </c>
      <c r="AH373" t="s">
        <v>563</v>
      </c>
      <c r="AI373" t="s">
        <v>6393</v>
      </c>
      <c r="AJ373" t="s">
        <v>6392</v>
      </c>
      <c r="AK373" t="s">
        <v>6391</v>
      </c>
      <c r="AL373">
        <v>38</v>
      </c>
      <c r="AM373" s="5">
        <f t="shared" si="42"/>
        <v>1.8095238095238095</v>
      </c>
      <c r="AN373" s="4">
        <f t="shared" si="47"/>
        <v>2.7406646111682084E-3</v>
      </c>
      <c r="AO373" s="3"/>
      <c r="AP373">
        <v>0</v>
      </c>
      <c r="AR373" t="s">
        <v>0</v>
      </c>
      <c r="AT373" s="2">
        <v>1.4530000000000001</v>
      </c>
      <c r="AU373" s="1">
        <f t="shared" si="43"/>
        <v>1.308028112169167</v>
      </c>
      <c r="AV373" s="1">
        <f t="shared" si="44"/>
        <v>1.0126104975827825</v>
      </c>
      <c r="AW373" s="1">
        <f t="shared" si="45"/>
        <v>0.71719288299639783</v>
      </c>
    </row>
    <row r="374" spans="1:49" x14ac:dyDescent="0.2">
      <c r="A374">
        <v>372</v>
      </c>
      <c r="B374" t="s">
        <v>6390</v>
      </c>
      <c r="C374" t="s">
        <v>6389</v>
      </c>
      <c r="D374" t="s">
        <v>6388</v>
      </c>
      <c r="F374" t="s">
        <v>6387</v>
      </c>
      <c r="G374" t="s">
        <v>6</v>
      </c>
      <c r="H374" t="s">
        <v>5</v>
      </c>
      <c r="I374" t="s">
        <v>6386</v>
      </c>
      <c r="J374" t="s">
        <v>6385</v>
      </c>
      <c r="K374" t="s">
        <v>6384</v>
      </c>
      <c r="L374" t="s">
        <v>6383</v>
      </c>
      <c r="M374" t="s">
        <v>805</v>
      </c>
      <c r="N374">
        <v>12</v>
      </c>
      <c r="O374" t="s">
        <v>6382</v>
      </c>
      <c r="P374" t="s">
        <v>6381</v>
      </c>
      <c r="Q374" t="s">
        <v>6380</v>
      </c>
      <c r="R374" s="7">
        <v>37165</v>
      </c>
      <c r="S374" s="8">
        <f t="shared" si="40"/>
        <v>2001</v>
      </c>
      <c r="T374" s="8">
        <v>2001</v>
      </c>
      <c r="U374" s="8">
        <f t="shared" si="41"/>
        <v>21</v>
      </c>
      <c r="V374" s="7">
        <v>37165</v>
      </c>
      <c r="W374" t="s">
        <v>33</v>
      </c>
      <c r="X374" s="2">
        <v>0.65600000000000003</v>
      </c>
      <c r="Y374" s="6">
        <f t="shared" si="46"/>
        <v>1.751154534048744E-2</v>
      </c>
      <c r="AA374">
        <v>9203796</v>
      </c>
      <c r="AB374">
        <v>20344</v>
      </c>
      <c r="AD374" t="s">
        <v>1</v>
      </c>
      <c r="AE374" t="s">
        <v>6124</v>
      </c>
      <c r="AH374" t="s">
        <v>6379</v>
      </c>
      <c r="AI374" t="s">
        <v>6378</v>
      </c>
      <c r="AJ374" t="s">
        <v>6377</v>
      </c>
      <c r="AK374" t="s">
        <v>6376</v>
      </c>
      <c r="AL374">
        <v>0</v>
      </c>
      <c r="AM374" s="5">
        <f t="shared" si="42"/>
        <v>0</v>
      </c>
      <c r="AN374" s="4">
        <f t="shared" si="47"/>
        <v>0</v>
      </c>
      <c r="AO374" s="3"/>
      <c r="AP374">
        <v>0</v>
      </c>
      <c r="AQ374" t="s">
        <v>468</v>
      </c>
      <c r="AR374" t="s">
        <v>6375</v>
      </c>
      <c r="AS374" t="s">
        <v>467</v>
      </c>
      <c r="AT374" s="2">
        <v>1.4530000000000001</v>
      </c>
      <c r="AU374" s="1">
        <f t="shared" si="43"/>
        <v>1.2258081738341209</v>
      </c>
      <c r="AV374" s="1">
        <f t="shared" si="44"/>
        <v>0.875577267024372</v>
      </c>
      <c r="AW374" s="1">
        <f t="shared" si="45"/>
        <v>0.52534636021462322</v>
      </c>
    </row>
    <row r="375" spans="1:49" x14ac:dyDescent="0.2">
      <c r="A375">
        <v>373</v>
      </c>
      <c r="B375" t="s">
        <v>6374</v>
      </c>
      <c r="F375" t="s">
        <v>6373</v>
      </c>
      <c r="G375" t="s">
        <v>6</v>
      </c>
      <c r="H375" t="s">
        <v>5</v>
      </c>
      <c r="I375" t="s">
        <v>6372</v>
      </c>
      <c r="N375">
        <v>3</v>
      </c>
      <c r="O375" t="s">
        <v>6371</v>
      </c>
      <c r="P375" t="s">
        <v>6370</v>
      </c>
      <c r="Q375" t="s">
        <v>581</v>
      </c>
      <c r="R375" s="7">
        <v>37165</v>
      </c>
      <c r="S375" s="8">
        <f t="shared" si="40"/>
        <v>2001</v>
      </c>
      <c r="T375" s="8">
        <v>2001</v>
      </c>
      <c r="U375" s="8">
        <f t="shared" si="41"/>
        <v>21</v>
      </c>
      <c r="V375" s="7">
        <v>37165</v>
      </c>
      <c r="W375" t="s">
        <v>670</v>
      </c>
      <c r="X375" s="2">
        <v>0.29499999999999998</v>
      </c>
      <c r="Y375" s="6">
        <f t="shared" si="46"/>
        <v>7.8748565174448087E-3</v>
      </c>
      <c r="AA375">
        <v>10642269</v>
      </c>
      <c r="AB375">
        <v>19554</v>
      </c>
      <c r="AD375" t="s">
        <v>1</v>
      </c>
      <c r="AE375">
        <v>46</v>
      </c>
      <c r="AF375">
        <v>10</v>
      </c>
      <c r="AH375" t="s">
        <v>6369</v>
      </c>
      <c r="AI375" t="s">
        <v>6368</v>
      </c>
      <c r="AK375" t="s">
        <v>6367</v>
      </c>
      <c r="AL375">
        <v>0</v>
      </c>
      <c r="AM375" s="5">
        <f t="shared" si="42"/>
        <v>0</v>
      </c>
      <c r="AN375" s="4">
        <f t="shared" si="47"/>
        <v>0</v>
      </c>
      <c r="AO375" s="3"/>
      <c r="AP375">
        <v>0</v>
      </c>
      <c r="AR375" t="s">
        <v>0</v>
      </c>
      <c r="AT375" s="2" t="s">
        <v>7</v>
      </c>
      <c r="AU375" s="1">
        <f t="shared" si="43"/>
        <v>0.55123995622113653</v>
      </c>
      <c r="AV375" s="1">
        <f t="shared" si="44"/>
        <v>0.39374282587224041</v>
      </c>
      <c r="AW375" s="1">
        <f t="shared" si="45"/>
        <v>0.23624569552334423</v>
      </c>
    </row>
    <row r="376" spans="1:49" x14ac:dyDescent="0.2">
      <c r="A376">
        <v>374</v>
      </c>
      <c r="B376" t="s">
        <v>6366</v>
      </c>
      <c r="C376" t="s">
        <v>6365</v>
      </c>
      <c r="F376" t="s">
        <v>6364</v>
      </c>
      <c r="G376" t="s">
        <v>6</v>
      </c>
      <c r="H376" t="s">
        <v>5</v>
      </c>
      <c r="I376" t="s">
        <v>6363</v>
      </c>
      <c r="J376" t="s">
        <v>2788</v>
      </c>
      <c r="K376" t="s">
        <v>2787</v>
      </c>
      <c r="L376" t="s">
        <v>2786</v>
      </c>
      <c r="M376" t="s">
        <v>44</v>
      </c>
      <c r="N376">
        <v>2</v>
      </c>
      <c r="O376" t="s">
        <v>6362</v>
      </c>
      <c r="P376" t="s">
        <v>6361</v>
      </c>
      <c r="Q376" t="s">
        <v>2783</v>
      </c>
      <c r="R376" s="7">
        <v>37165</v>
      </c>
      <c r="S376" s="8">
        <f t="shared" si="40"/>
        <v>2001</v>
      </c>
      <c r="T376" s="8">
        <v>2001</v>
      </c>
      <c r="U376" s="8">
        <f t="shared" si="41"/>
        <v>21</v>
      </c>
      <c r="V376" s="7">
        <v>37165</v>
      </c>
      <c r="W376" t="s">
        <v>704</v>
      </c>
      <c r="X376" s="2">
        <v>0.69899999999999995</v>
      </c>
      <c r="Y376" s="6">
        <f t="shared" si="46"/>
        <v>1.8659405782013295E-2</v>
      </c>
      <c r="AA376">
        <v>218979</v>
      </c>
      <c r="AB376">
        <v>28132</v>
      </c>
      <c r="AD376" t="s">
        <v>1</v>
      </c>
      <c r="AE376">
        <v>90</v>
      </c>
      <c r="AF376">
        <v>8</v>
      </c>
      <c r="AH376" t="s">
        <v>6360</v>
      </c>
      <c r="AI376" t="s">
        <v>6359</v>
      </c>
      <c r="AK376" t="s">
        <v>6358</v>
      </c>
      <c r="AL376">
        <v>37</v>
      </c>
      <c r="AM376" s="5">
        <f t="shared" si="42"/>
        <v>1.7619047619047619</v>
      </c>
      <c r="AN376" s="4">
        <f t="shared" si="47"/>
        <v>2.668541858242729E-3</v>
      </c>
      <c r="AO376" s="3"/>
      <c r="AP376">
        <v>0</v>
      </c>
      <c r="AR376" t="s">
        <v>0</v>
      </c>
      <c r="AT376" s="2">
        <v>2.5459999999999998</v>
      </c>
      <c r="AU376" s="1">
        <f t="shared" si="43"/>
        <v>1.3862146604882124</v>
      </c>
      <c r="AV376" s="1">
        <f t="shared" si="44"/>
        <v>1.0663973820128012</v>
      </c>
      <c r="AW376" s="1">
        <f t="shared" si="45"/>
        <v>0.74658010353738979</v>
      </c>
    </row>
    <row r="377" spans="1:49" x14ac:dyDescent="0.2">
      <c r="A377">
        <v>375</v>
      </c>
      <c r="B377" t="s">
        <v>6357</v>
      </c>
      <c r="F377" t="s">
        <v>6356</v>
      </c>
      <c r="G377" t="s">
        <v>6</v>
      </c>
      <c r="H377" t="s">
        <v>5</v>
      </c>
      <c r="I377" t="s">
        <v>6355</v>
      </c>
      <c r="J377" t="s">
        <v>6354</v>
      </c>
      <c r="K377" t="s">
        <v>6353</v>
      </c>
      <c r="L377" t="s">
        <v>6352</v>
      </c>
      <c r="M377" t="s">
        <v>6351</v>
      </c>
      <c r="N377">
        <v>5</v>
      </c>
      <c r="O377" t="s">
        <v>6350</v>
      </c>
      <c r="P377" t="s">
        <v>6349</v>
      </c>
      <c r="Q377" t="s">
        <v>6348</v>
      </c>
      <c r="R377" s="7">
        <v>37165</v>
      </c>
      <c r="S377" s="8">
        <f t="shared" si="40"/>
        <v>2001</v>
      </c>
      <c r="T377" s="8">
        <v>2001</v>
      </c>
      <c r="U377" s="8">
        <f t="shared" si="41"/>
        <v>21</v>
      </c>
      <c r="V377" s="7">
        <v>37165</v>
      </c>
      <c r="W377" t="s">
        <v>569</v>
      </c>
      <c r="X377" s="2">
        <v>0.52200000000000002</v>
      </c>
      <c r="Y377" s="6">
        <f t="shared" si="46"/>
        <v>1.393449187154641E-2</v>
      </c>
      <c r="AA377">
        <v>9927689</v>
      </c>
      <c r="AB377">
        <v>27424</v>
      </c>
      <c r="AD377" t="s">
        <v>1</v>
      </c>
      <c r="AE377">
        <v>19</v>
      </c>
      <c r="AF377" t="s">
        <v>6347</v>
      </c>
      <c r="AH377" t="s">
        <v>6346</v>
      </c>
      <c r="AI377" t="s">
        <v>6345</v>
      </c>
      <c r="AJ377" t="s">
        <v>6344</v>
      </c>
      <c r="AK377" t="s">
        <v>6343</v>
      </c>
      <c r="AL377">
        <v>13</v>
      </c>
      <c r="AM377" s="5">
        <f t="shared" si="42"/>
        <v>0.61904761904761907</v>
      </c>
      <c r="AN377" s="4">
        <f t="shared" si="47"/>
        <v>9.3759578803122919E-4</v>
      </c>
      <c r="AO377" s="3"/>
      <c r="AP377">
        <v>0</v>
      </c>
      <c r="AR377" t="s">
        <v>0</v>
      </c>
      <c r="AT377" s="2">
        <v>1.88</v>
      </c>
      <c r="AU377" s="1">
        <f t="shared" si="43"/>
        <v>1.0035423046491856</v>
      </c>
      <c r="AV377" s="1">
        <f t="shared" si="44"/>
        <v>0.74360438297888198</v>
      </c>
      <c r="AW377" s="1">
        <f t="shared" si="45"/>
        <v>0.48366646130857838</v>
      </c>
    </row>
    <row r="378" spans="1:49" x14ac:dyDescent="0.2">
      <c r="A378">
        <v>376</v>
      </c>
      <c r="B378" t="s">
        <v>6342</v>
      </c>
      <c r="F378" t="s">
        <v>6341</v>
      </c>
      <c r="G378" t="s">
        <v>6</v>
      </c>
      <c r="H378" t="s">
        <v>5</v>
      </c>
      <c r="I378" t="s">
        <v>6340</v>
      </c>
      <c r="N378">
        <v>4</v>
      </c>
      <c r="O378" t="s">
        <v>6339</v>
      </c>
      <c r="P378" t="s">
        <v>6338</v>
      </c>
      <c r="Q378" t="s">
        <v>844</v>
      </c>
      <c r="R378" s="7">
        <v>37165</v>
      </c>
      <c r="S378" s="8">
        <f t="shared" si="40"/>
        <v>2001</v>
      </c>
      <c r="T378" s="8">
        <v>2001</v>
      </c>
      <c r="U378" s="8">
        <f t="shared" si="41"/>
        <v>21</v>
      </c>
      <c r="V378" s="7">
        <v>37165</v>
      </c>
      <c r="W378" t="s">
        <v>213</v>
      </c>
      <c r="X378" s="2">
        <v>0.22</v>
      </c>
      <c r="Y378" s="6">
        <f t="shared" si="46"/>
        <v>5.8727743519927395E-3</v>
      </c>
      <c r="AA378">
        <v>2705214</v>
      </c>
      <c r="AB378">
        <v>28119</v>
      </c>
      <c r="AD378" t="s">
        <v>1</v>
      </c>
      <c r="AE378">
        <v>22</v>
      </c>
      <c r="AF378">
        <v>4</v>
      </c>
      <c r="AH378" t="s">
        <v>6337</v>
      </c>
      <c r="AI378" t="s">
        <v>6336</v>
      </c>
      <c r="AK378" t="s">
        <v>6335</v>
      </c>
      <c r="AL378">
        <v>14</v>
      </c>
      <c r="AM378" s="5">
        <f t="shared" si="42"/>
        <v>0.66666666666666663</v>
      </c>
      <c r="AN378" s="4">
        <f t="shared" si="47"/>
        <v>1.0097185409567082E-3</v>
      </c>
      <c r="AO378" s="3"/>
      <c r="AP378">
        <v>0</v>
      </c>
      <c r="AR378" t="s">
        <v>0</v>
      </c>
      <c r="AT378" s="2" t="s">
        <v>7</v>
      </c>
      <c r="AU378" s="1">
        <f t="shared" si="43"/>
        <v>0.44138576086819298</v>
      </c>
      <c r="AV378" s="1">
        <f t="shared" si="44"/>
        <v>0.34412464464747239</v>
      </c>
      <c r="AW378" s="1">
        <f t="shared" si="45"/>
        <v>0.24686352842675177</v>
      </c>
    </row>
    <row r="379" spans="1:49" x14ac:dyDescent="0.2">
      <c r="A379">
        <v>377</v>
      </c>
      <c r="B379" t="s">
        <v>6334</v>
      </c>
      <c r="C379" t="s">
        <v>6333</v>
      </c>
      <c r="F379" t="s">
        <v>6332</v>
      </c>
      <c r="G379" t="s">
        <v>6</v>
      </c>
      <c r="H379" t="s">
        <v>5</v>
      </c>
      <c r="I379" t="s">
        <v>6331</v>
      </c>
      <c r="J379" t="s">
        <v>6330</v>
      </c>
      <c r="K379" t="s">
        <v>6329</v>
      </c>
      <c r="L379" t="s">
        <v>6328</v>
      </c>
      <c r="M379" t="s">
        <v>44</v>
      </c>
      <c r="N379">
        <v>3</v>
      </c>
      <c r="O379" t="s">
        <v>6327</v>
      </c>
      <c r="P379" t="s">
        <v>6326</v>
      </c>
      <c r="Q379" t="s">
        <v>6325</v>
      </c>
      <c r="R379" s="7">
        <v>37165</v>
      </c>
      <c r="S379" s="8">
        <f t="shared" si="40"/>
        <v>2001</v>
      </c>
      <c r="T379" s="8">
        <v>2001</v>
      </c>
      <c r="U379" s="8">
        <f t="shared" si="41"/>
        <v>21</v>
      </c>
      <c r="V379" s="7">
        <v>37165</v>
      </c>
      <c r="W379" t="s">
        <v>210</v>
      </c>
      <c r="X379" s="2">
        <v>1.137</v>
      </c>
      <c r="Y379" s="6">
        <f t="shared" si="46"/>
        <v>3.0351565628253384E-2</v>
      </c>
      <c r="AA379">
        <v>189251</v>
      </c>
      <c r="AB379">
        <v>17336</v>
      </c>
      <c r="AD379" t="s">
        <v>1</v>
      </c>
      <c r="AE379">
        <v>37</v>
      </c>
      <c r="AF379">
        <v>4</v>
      </c>
      <c r="AH379" t="s">
        <v>6324</v>
      </c>
      <c r="AI379" t="s">
        <v>6323</v>
      </c>
      <c r="AK379" t="s">
        <v>6322</v>
      </c>
      <c r="AL379">
        <v>43</v>
      </c>
      <c r="AM379" s="5">
        <f t="shared" si="42"/>
        <v>2.0476190476190474</v>
      </c>
      <c r="AN379" s="4">
        <f t="shared" si="47"/>
        <v>3.1012783757956037E-3</v>
      </c>
      <c r="AO379" s="3"/>
      <c r="AP379">
        <v>0</v>
      </c>
      <c r="AR379" t="s">
        <v>0</v>
      </c>
      <c r="AT379" s="2" t="s">
        <v>7</v>
      </c>
      <c r="AU379" s="1">
        <f t="shared" si="43"/>
        <v>2.2176479452516049</v>
      </c>
      <c r="AV379" s="1">
        <f t="shared" si="44"/>
        <v>1.6726422002024492</v>
      </c>
      <c r="AW379" s="1">
        <f t="shared" si="45"/>
        <v>1.1276364551532938</v>
      </c>
    </row>
    <row r="380" spans="1:49" x14ac:dyDescent="0.2">
      <c r="A380">
        <v>378</v>
      </c>
      <c r="B380" t="s">
        <v>6321</v>
      </c>
      <c r="C380" t="s">
        <v>6320</v>
      </c>
      <c r="F380" t="s">
        <v>6319</v>
      </c>
      <c r="G380" t="s">
        <v>6</v>
      </c>
      <c r="H380" t="s">
        <v>5</v>
      </c>
      <c r="I380" t="s">
        <v>6318</v>
      </c>
      <c r="J380" t="s">
        <v>6317</v>
      </c>
      <c r="K380" t="s">
        <v>6316</v>
      </c>
      <c r="L380" t="s">
        <v>6315</v>
      </c>
      <c r="M380" t="s">
        <v>6314</v>
      </c>
      <c r="N380">
        <v>4</v>
      </c>
      <c r="O380" t="s">
        <v>6313</v>
      </c>
      <c r="P380" t="s">
        <v>6312</v>
      </c>
      <c r="Q380" t="s">
        <v>6311</v>
      </c>
      <c r="R380" s="7">
        <v>37165</v>
      </c>
      <c r="S380" s="8">
        <f t="shared" si="40"/>
        <v>2001</v>
      </c>
      <c r="T380" s="8">
        <v>2001</v>
      </c>
      <c r="U380" s="8">
        <f t="shared" si="41"/>
        <v>21</v>
      </c>
      <c r="V380" s="7">
        <v>37165</v>
      </c>
      <c r="W380" t="s">
        <v>210</v>
      </c>
      <c r="X380" s="2">
        <v>1.137</v>
      </c>
      <c r="Y380" s="6">
        <f t="shared" si="46"/>
        <v>3.0351565628253384E-2</v>
      </c>
      <c r="AA380">
        <v>189251</v>
      </c>
      <c r="AB380">
        <v>17336</v>
      </c>
      <c r="AD380" t="s">
        <v>1</v>
      </c>
      <c r="AE380">
        <v>37</v>
      </c>
      <c r="AF380">
        <v>4</v>
      </c>
      <c r="AH380" t="s">
        <v>6310</v>
      </c>
      <c r="AI380" t="s">
        <v>6309</v>
      </c>
      <c r="AK380" t="s">
        <v>6308</v>
      </c>
      <c r="AL380">
        <v>16</v>
      </c>
      <c r="AM380" s="5">
        <f t="shared" si="42"/>
        <v>0.76190476190476186</v>
      </c>
      <c r="AN380" s="4">
        <f t="shared" si="47"/>
        <v>1.1539640468076666E-3</v>
      </c>
      <c r="AO380" s="3"/>
      <c r="AP380">
        <v>0</v>
      </c>
      <c r="AR380" t="s">
        <v>0</v>
      </c>
      <c r="AT380" s="2" t="s">
        <v>7</v>
      </c>
      <c r="AU380" s="1">
        <f t="shared" si="43"/>
        <v>2.159228515381967</v>
      </c>
      <c r="AV380" s="1">
        <f t="shared" si="44"/>
        <v>1.5752764837530526</v>
      </c>
      <c r="AW380" s="1">
        <f t="shared" si="45"/>
        <v>0.99132445212413811</v>
      </c>
    </row>
    <row r="381" spans="1:49" x14ac:dyDescent="0.2">
      <c r="A381">
        <v>379</v>
      </c>
      <c r="B381" t="s">
        <v>6307</v>
      </c>
      <c r="C381" t="s">
        <v>6306</v>
      </c>
      <c r="D381" t="s">
        <v>6305</v>
      </c>
      <c r="F381" t="s">
        <v>6304</v>
      </c>
      <c r="G381" t="s">
        <v>6</v>
      </c>
      <c r="H381" t="s">
        <v>5</v>
      </c>
      <c r="I381" t="s">
        <v>6303</v>
      </c>
      <c r="J381" t="s">
        <v>6302</v>
      </c>
      <c r="K381" t="s">
        <v>6301</v>
      </c>
      <c r="L381" t="s">
        <v>6300</v>
      </c>
      <c r="M381" t="s">
        <v>44</v>
      </c>
      <c r="N381">
        <v>2</v>
      </c>
      <c r="O381" t="s">
        <v>6299</v>
      </c>
      <c r="P381" t="s">
        <v>6298</v>
      </c>
      <c r="Q381" t="s">
        <v>6297</v>
      </c>
      <c r="R381" s="7">
        <v>37165</v>
      </c>
      <c r="S381" s="8">
        <f t="shared" si="40"/>
        <v>2001</v>
      </c>
      <c r="T381" s="8">
        <v>2001</v>
      </c>
      <c r="U381" s="8">
        <f t="shared" si="41"/>
        <v>21</v>
      </c>
      <c r="V381" s="7">
        <v>37165</v>
      </c>
      <c r="W381" t="s">
        <v>1067</v>
      </c>
      <c r="X381" s="2">
        <v>0.752</v>
      </c>
      <c r="Y381" s="6">
        <f t="shared" si="46"/>
        <v>2.0074210512266089E-2</v>
      </c>
      <c r="AA381">
        <v>3649059</v>
      </c>
      <c r="AB381">
        <v>17277</v>
      </c>
      <c r="AD381" t="s">
        <v>1</v>
      </c>
      <c r="AE381">
        <v>26</v>
      </c>
      <c r="AF381">
        <v>4</v>
      </c>
      <c r="AH381" t="s">
        <v>6296</v>
      </c>
      <c r="AI381" t="s">
        <v>6295</v>
      </c>
      <c r="AJ381" t="s">
        <v>6294</v>
      </c>
      <c r="AK381" t="s">
        <v>6293</v>
      </c>
      <c r="AL381">
        <v>0</v>
      </c>
      <c r="AM381" s="5">
        <f t="shared" si="42"/>
        <v>0</v>
      </c>
      <c r="AN381" s="4">
        <f t="shared" si="47"/>
        <v>0</v>
      </c>
      <c r="AO381" s="3"/>
      <c r="AP381">
        <v>0</v>
      </c>
      <c r="AR381" t="s">
        <v>0</v>
      </c>
      <c r="AT381" s="2">
        <v>3.5539999999999998</v>
      </c>
      <c r="AU381" s="1">
        <f t="shared" si="43"/>
        <v>1.4051947358586261</v>
      </c>
      <c r="AV381" s="1">
        <f t="shared" si="44"/>
        <v>1.0037105256133045</v>
      </c>
      <c r="AW381" s="1">
        <f t="shared" si="45"/>
        <v>0.60222631536798266</v>
      </c>
    </row>
    <row r="382" spans="1:49" x14ac:dyDescent="0.2">
      <c r="A382">
        <v>380</v>
      </c>
      <c r="B382" t="s">
        <v>6292</v>
      </c>
      <c r="F382" t="s">
        <v>6291</v>
      </c>
      <c r="G382" t="s">
        <v>6</v>
      </c>
      <c r="H382" t="s">
        <v>5</v>
      </c>
      <c r="I382" t="s">
        <v>6290</v>
      </c>
      <c r="J382">
        <v>60008673</v>
      </c>
      <c r="K382" t="s">
        <v>850</v>
      </c>
      <c r="L382" t="s">
        <v>641</v>
      </c>
      <c r="M382" t="s">
        <v>197</v>
      </c>
      <c r="N382">
        <v>4</v>
      </c>
      <c r="O382" t="s">
        <v>6289</v>
      </c>
      <c r="P382" t="s">
        <v>6288</v>
      </c>
      <c r="Q382" t="s">
        <v>6287</v>
      </c>
      <c r="R382" s="7">
        <v>37165</v>
      </c>
      <c r="S382" s="8">
        <f t="shared" si="40"/>
        <v>2001</v>
      </c>
      <c r="T382" s="8">
        <v>2001</v>
      </c>
      <c r="U382" s="8">
        <f t="shared" si="41"/>
        <v>21</v>
      </c>
      <c r="V382" s="7">
        <v>37165</v>
      </c>
      <c r="W382" t="s">
        <v>6286</v>
      </c>
      <c r="X382" s="2" t="s">
        <v>7</v>
      </c>
      <c r="Y382" s="6" t="e">
        <f t="shared" si="46"/>
        <v>#VALUE!</v>
      </c>
      <c r="AA382">
        <v>10693513</v>
      </c>
      <c r="AB382">
        <v>28604</v>
      </c>
      <c r="AD382" t="s">
        <v>1</v>
      </c>
      <c r="AE382">
        <v>37</v>
      </c>
      <c r="AF382">
        <v>10</v>
      </c>
      <c r="AH382" t="s">
        <v>6285</v>
      </c>
      <c r="AI382" t="s">
        <v>6284</v>
      </c>
      <c r="AK382" t="s">
        <v>6283</v>
      </c>
      <c r="AL382">
        <v>0</v>
      </c>
      <c r="AM382" s="5">
        <f t="shared" si="42"/>
        <v>0</v>
      </c>
      <c r="AN382" s="4">
        <f t="shared" si="47"/>
        <v>0</v>
      </c>
      <c r="AO382" s="3"/>
      <c r="AP382">
        <v>0</v>
      </c>
      <c r="AR382" t="s">
        <v>0</v>
      </c>
      <c r="AT382" s="2" t="s">
        <v>7</v>
      </c>
      <c r="AU382" s="1" t="e">
        <f t="shared" si="43"/>
        <v>#VALUE!</v>
      </c>
      <c r="AV382" s="1" t="e">
        <f t="shared" si="44"/>
        <v>#VALUE!</v>
      </c>
      <c r="AW382" s="1" t="e">
        <f t="shared" si="45"/>
        <v>#VALUE!</v>
      </c>
    </row>
    <row r="383" spans="1:49" x14ac:dyDescent="0.2">
      <c r="A383">
        <v>381</v>
      </c>
      <c r="B383" t="s">
        <v>6282</v>
      </c>
      <c r="C383" t="s">
        <v>6281</v>
      </c>
      <c r="F383" t="s">
        <v>6280</v>
      </c>
      <c r="G383" t="s">
        <v>6</v>
      </c>
      <c r="H383" t="s">
        <v>5</v>
      </c>
      <c r="I383" t="s">
        <v>6279</v>
      </c>
      <c r="J383">
        <v>60011410</v>
      </c>
      <c r="K383" t="s">
        <v>6278</v>
      </c>
      <c r="L383" t="s">
        <v>6277</v>
      </c>
      <c r="M383" t="s">
        <v>3</v>
      </c>
      <c r="N383">
        <v>1</v>
      </c>
      <c r="O383" t="s">
        <v>6276</v>
      </c>
      <c r="P383">
        <v>7102637061</v>
      </c>
      <c r="Q383">
        <v>60011410</v>
      </c>
      <c r="R383" s="7">
        <v>37165</v>
      </c>
      <c r="S383" s="8">
        <f t="shared" si="40"/>
        <v>2001</v>
      </c>
      <c r="T383" s="8">
        <v>2001</v>
      </c>
      <c r="U383" s="8">
        <f t="shared" si="41"/>
        <v>21</v>
      </c>
      <c r="V383" s="7">
        <v>37165</v>
      </c>
      <c r="W383" t="s">
        <v>499</v>
      </c>
      <c r="X383" s="2">
        <v>0.88100000000000001</v>
      </c>
      <c r="Y383" s="6">
        <f t="shared" si="46"/>
        <v>2.3517791836843653E-2</v>
      </c>
      <c r="AA383">
        <v>10459243</v>
      </c>
      <c r="AB383">
        <v>17248</v>
      </c>
      <c r="AD383" t="s">
        <v>1</v>
      </c>
      <c r="AE383">
        <v>43</v>
      </c>
      <c r="AF383">
        <v>5</v>
      </c>
      <c r="AH383" t="s">
        <v>6275</v>
      </c>
      <c r="AI383" t="s">
        <v>6274</v>
      </c>
      <c r="AJ383" t="s">
        <v>6273</v>
      </c>
      <c r="AK383" t="s">
        <v>6272</v>
      </c>
      <c r="AL383">
        <v>60</v>
      </c>
      <c r="AM383" s="5">
        <f t="shared" si="42"/>
        <v>2.8571428571428572</v>
      </c>
      <c r="AN383" s="4">
        <f t="shared" si="47"/>
        <v>4.3273651755287501E-3</v>
      </c>
      <c r="AO383" s="3"/>
      <c r="AP383">
        <v>0</v>
      </c>
      <c r="AR383" t="s">
        <v>0</v>
      </c>
      <c r="AT383" s="2" t="s">
        <v>7</v>
      </c>
      <c r="AU383" s="1">
        <f t="shared" si="43"/>
        <v>1.7760663838449182</v>
      </c>
      <c r="AV383" s="1">
        <f t="shared" si="44"/>
        <v>1.3922578506186203</v>
      </c>
      <c r="AW383" s="1">
        <f t="shared" si="45"/>
        <v>1.0084493173923219</v>
      </c>
    </row>
    <row r="384" spans="1:49" x14ac:dyDescent="0.2">
      <c r="A384">
        <v>382</v>
      </c>
      <c r="B384" t="s">
        <v>6271</v>
      </c>
      <c r="C384" t="s">
        <v>6270</v>
      </c>
      <c r="D384" t="s">
        <v>6269</v>
      </c>
      <c r="F384" t="s">
        <v>6268</v>
      </c>
      <c r="G384" t="s">
        <v>6</v>
      </c>
      <c r="H384" t="s">
        <v>5</v>
      </c>
      <c r="I384" t="s">
        <v>6267</v>
      </c>
      <c r="J384" t="s">
        <v>6266</v>
      </c>
      <c r="K384" t="s">
        <v>6265</v>
      </c>
      <c r="L384" t="s">
        <v>6264</v>
      </c>
      <c r="M384" t="s">
        <v>128</v>
      </c>
      <c r="N384">
        <v>2</v>
      </c>
      <c r="O384" t="s">
        <v>6263</v>
      </c>
      <c r="P384" t="s">
        <v>6262</v>
      </c>
      <c r="Q384" t="s">
        <v>6261</v>
      </c>
      <c r="R384" s="7">
        <v>37165</v>
      </c>
      <c r="S384" s="8">
        <f t="shared" si="40"/>
        <v>2001</v>
      </c>
      <c r="T384" s="8">
        <v>2001</v>
      </c>
      <c r="U384" s="8">
        <f t="shared" si="41"/>
        <v>21</v>
      </c>
      <c r="V384" s="7">
        <v>37165</v>
      </c>
      <c r="W384" t="s">
        <v>294</v>
      </c>
      <c r="X384" s="2">
        <v>1.6379999999999999</v>
      </c>
      <c r="Y384" s="6">
        <f t="shared" si="46"/>
        <v>4.3725474493473214E-2</v>
      </c>
      <c r="AA384" t="s">
        <v>293</v>
      </c>
      <c r="AB384">
        <v>17391</v>
      </c>
      <c r="AD384" t="s">
        <v>1</v>
      </c>
      <c r="AE384">
        <v>49</v>
      </c>
      <c r="AF384">
        <v>10</v>
      </c>
      <c r="AH384" t="s">
        <v>6260</v>
      </c>
      <c r="AI384" t="s">
        <v>6259</v>
      </c>
      <c r="AJ384" t="s">
        <v>6258</v>
      </c>
      <c r="AK384" t="s">
        <v>6257</v>
      </c>
      <c r="AL384">
        <v>13</v>
      </c>
      <c r="AM384" s="5">
        <f t="shared" si="42"/>
        <v>0.61904761904761907</v>
      </c>
      <c r="AN384" s="4">
        <f t="shared" si="47"/>
        <v>9.3759578803122919E-4</v>
      </c>
      <c r="AO384" s="3"/>
      <c r="AP384">
        <v>0</v>
      </c>
      <c r="AR384" t="s">
        <v>0</v>
      </c>
      <c r="AT384" s="2">
        <v>4.931</v>
      </c>
      <c r="AU384" s="1">
        <f t="shared" si="43"/>
        <v>3.0889110881840618</v>
      </c>
      <c r="AV384" s="1">
        <f t="shared" si="44"/>
        <v>2.2331535140752221</v>
      </c>
      <c r="AW384" s="1">
        <f t="shared" si="45"/>
        <v>1.3773959399663824</v>
      </c>
    </row>
    <row r="385" spans="1:49" x14ac:dyDescent="0.2">
      <c r="A385">
        <v>383</v>
      </c>
      <c r="B385" t="s">
        <v>6256</v>
      </c>
      <c r="F385" t="s">
        <v>6255</v>
      </c>
      <c r="G385" t="s">
        <v>6</v>
      </c>
      <c r="H385" t="s">
        <v>5</v>
      </c>
      <c r="R385" s="7">
        <v>37165</v>
      </c>
      <c r="S385" s="8">
        <f t="shared" si="40"/>
        <v>2001</v>
      </c>
      <c r="T385" s="8">
        <v>2001</v>
      </c>
      <c r="U385" s="8">
        <f t="shared" si="41"/>
        <v>21</v>
      </c>
      <c r="V385" s="7">
        <v>37165</v>
      </c>
      <c r="W385" t="s">
        <v>6254</v>
      </c>
      <c r="X385" s="2">
        <v>0.10199999999999999</v>
      </c>
      <c r="Y385" s="6">
        <f t="shared" si="46"/>
        <v>2.7228317450148152E-3</v>
      </c>
      <c r="AA385">
        <v>10508171</v>
      </c>
      <c r="AB385">
        <v>13966</v>
      </c>
      <c r="AD385" t="s">
        <v>1</v>
      </c>
      <c r="AE385">
        <v>44</v>
      </c>
      <c r="AF385">
        <v>11</v>
      </c>
      <c r="AH385" t="s">
        <v>905</v>
      </c>
      <c r="AI385" t="s">
        <v>6253</v>
      </c>
      <c r="AK385" t="s">
        <v>6252</v>
      </c>
      <c r="AL385">
        <v>0</v>
      </c>
      <c r="AM385" s="5">
        <f t="shared" si="42"/>
        <v>0</v>
      </c>
      <c r="AN385" s="4">
        <f t="shared" si="47"/>
        <v>0</v>
      </c>
      <c r="AO385" s="3"/>
      <c r="AP385">
        <v>0</v>
      </c>
      <c r="AR385" t="s">
        <v>0</v>
      </c>
      <c r="AT385" s="2" t="s">
        <v>7</v>
      </c>
      <c r="AU385" s="1">
        <f t="shared" si="43"/>
        <v>0.19059822215103706</v>
      </c>
      <c r="AV385" s="1">
        <f t="shared" si="44"/>
        <v>0.13614158725074077</v>
      </c>
      <c r="AW385" s="1">
        <f t="shared" si="45"/>
        <v>8.1684952350444456E-2</v>
      </c>
    </row>
    <row r="386" spans="1:49" x14ac:dyDescent="0.2">
      <c r="A386">
        <v>384</v>
      </c>
      <c r="B386" t="s">
        <v>6251</v>
      </c>
      <c r="C386" t="s">
        <v>6250</v>
      </c>
      <c r="D386" t="s">
        <v>6249</v>
      </c>
      <c r="F386" t="s">
        <v>6248</v>
      </c>
      <c r="G386" t="s">
        <v>6</v>
      </c>
      <c r="H386" t="s">
        <v>5</v>
      </c>
      <c r="I386" t="s">
        <v>6247</v>
      </c>
      <c r="J386" t="s">
        <v>6246</v>
      </c>
      <c r="K386" t="s">
        <v>6245</v>
      </c>
      <c r="L386" t="s">
        <v>6244</v>
      </c>
      <c r="M386" t="s">
        <v>44</v>
      </c>
      <c r="N386">
        <v>2</v>
      </c>
      <c r="O386" t="s">
        <v>6243</v>
      </c>
      <c r="P386" t="s">
        <v>6242</v>
      </c>
      <c r="Q386" t="s">
        <v>6241</v>
      </c>
      <c r="R386" s="7">
        <v>37165</v>
      </c>
      <c r="S386" s="8">
        <f t="shared" ref="S386:S449" si="48">YEAR(R386)</f>
        <v>2001</v>
      </c>
      <c r="T386" s="8">
        <v>2001</v>
      </c>
      <c r="U386" s="8">
        <f t="shared" ref="U386:U449" si="49">2022-T386</f>
        <v>21</v>
      </c>
      <c r="V386" s="7">
        <v>37165</v>
      </c>
      <c r="W386" t="s">
        <v>294</v>
      </c>
      <c r="X386" s="2">
        <v>1.6379999999999999</v>
      </c>
      <c r="Y386" s="6">
        <f t="shared" si="46"/>
        <v>4.3725474493473214E-2</v>
      </c>
      <c r="AA386" t="s">
        <v>293</v>
      </c>
      <c r="AB386">
        <v>17391</v>
      </c>
      <c r="AD386" t="s">
        <v>1</v>
      </c>
      <c r="AE386">
        <v>49</v>
      </c>
      <c r="AF386">
        <v>10</v>
      </c>
      <c r="AH386" t="s">
        <v>6240</v>
      </c>
      <c r="AI386" t="s">
        <v>6239</v>
      </c>
      <c r="AJ386" t="s">
        <v>6238</v>
      </c>
      <c r="AK386" t="s">
        <v>6237</v>
      </c>
      <c r="AL386">
        <v>21</v>
      </c>
      <c r="AM386" s="5">
        <f t="shared" ref="AM386:AM449" si="50">AL386/U386</f>
        <v>1</v>
      </c>
      <c r="AN386" s="4">
        <f t="shared" si="47"/>
        <v>1.5145778114350624E-3</v>
      </c>
      <c r="AO386" s="3"/>
      <c r="AP386">
        <v>0</v>
      </c>
      <c r="AQ386" t="s">
        <v>6236</v>
      </c>
      <c r="AR386" t="s">
        <v>0</v>
      </c>
      <c r="AS386" t="s">
        <v>6235</v>
      </c>
      <c r="AT386" s="2">
        <v>4.931</v>
      </c>
      <c r="AU386" s="1">
        <f t="shared" ref="AU386:AU449" si="51">(Y386*0.7+AN386*0.3)*100</f>
        <v>3.1062205488861765</v>
      </c>
      <c r="AV386" s="1">
        <f t="shared" ref="AV386:AV449" si="52">(Y386*0.5+AN386*0.5)*100</f>
        <v>2.2620026152454136</v>
      </c>
      <c r="AW386" s="1">
        <f t="shared" ref="AW386:AW449" si="53">(Y386*0.3+AN386*0.7)*100</f>
        <v>1.4177846816046507</v>
      </c>
    </row>
    <row r="387" spans="1:49" x14ac:dyDescent="0.2">
      <c r="A387">
        <v>385</v>
      </c>
      <c r="B387" t="s">
        <v>6234</v>
      </c>
      <c r="C387" t="s">
        <v>6233</v>
      </c>
      <c r="D387" t="s">
        <v>6232</v>
      </c>
      <c r="F387" t="s">
        <v>6231</v>
      </c>
      <c r="G387" t="s">
        <v>6</v>
      </c>
      <c r="H387" t="s">
        <v>5</v>
      </c>
      <c r="I387" t="s">
        <v>6230</v>
      </c>
      <c r="J387">
        <v>60032350</v>
      </c>
      <c r="K387" t="s">
        <v>735</v>
      </c>
      <c r="L387" t="s">
        <v>67</v>
      </c>
      <c r="M387" t="s">
        <v>66</v>
      </c>
      <c r="N387">
        <v>2</v>
      </c>
      <c r="O387" t="s">
        <v>6229</v>
      </c>
      <c r="P387" t="s">
        <v>6228</v>
      </c>
      <c r="Q387" t="s">
        <v>6227</v>
      </c>
      <c r="R387" s="7">
        <v>37165</v>
      </c>
      <c r="S387" s="8">
        <f t="shared" si="48"/>
        <v>2001</v>
      </c>
      <c r="T387" s="8">
        <v>2001</v>
      </c>
      <c r="U387" s="8">
        <f t="shared" si="49"/>
        <v>21</v>
      </c>
      <c r="V387" s="7">
        <v>37165</v>
      </c>
      <c r="W387" t="s">
        <v>506</v>
      </c>
      <c r="X387" s="2">
        <v>0.627</v>
      </c>
      <c r="Y387" s="6">
        <f t="shared" ref="Y387:Y450" si="54">(X387-$Z$3)/($Z$2-$Z$3)</f>
        <v>1.6737406903179305E-2</v>
      </c>
      <c r="AA387">
        <v>9269851</v>
      </c>
      <c r="AB387">
        <v>28435</v>
      </c>
      <c r="AD387" t="s">
        <v>1</v>
      </c>
      <c r="AE387">
        <v>48</v>
      </c>
      <c r="AF387">
        <v>3</v>
      </c>
      <c r="AH387" t="s">
        <v>6226</v>
      </c>
      <c r="AI387" t="s">
        <v>6225</v>
      </c>
      <c r="AJ387" t="s">
        <v>6224</v>
      </c>
      <c r="AK387" t="s">
        <v>6223</v>
      </c>
      <c r="AL387">
        <v>43</v>
      </c>
      <c r="AM387" s="5">
        <f t="shared" si="50"/>
        <v>2.0476190476190474</v>
      </c>
      <c r="AN387" s="4">
        <f t="shared" ref="AN387:AN450" si="55">(AM387-$AO$3)/($AO$2-$AO$3)</f>
        <v>3.1012783757956037E-3</v>
      </c>
      <c r="AO387" s="3"/>
      <c r="AP387">
        <v>0</v>
      </c>
      <c r="AR387" t="s">
        <v>0</v>
      </c>
      <c r="AT387" s="2">
        <v>2.121</v>
      </c>
      <c r="AU387" s="1">
        <f t="shared" si="51"/>
        <v>1.2646568344964195</v>
      </c>
      <c r="AV387" s="1">
        <f t="shared" si="52"/>
        <v>0.9919342639487454</v>
      </c>
      <c r="AW387" s="1">
        <f t="shared" si="53"/>
        <v>0.71921169340107138</v>
      </c>
    </row>
    <row r="388" spans="1:49" x14ac:dyDescent="0.2">
      <c r="A388">
        <v>386</v>
      </c>
      <c r="B388" t="s">
        <v>6222</v>
      </c>
      <c r="C388" t="s">
        <v>6221</v>
      </c>
      <c r="D388" t="s">
        <v>6220</v>
      </c>
      <c r="F388" t="s">
        <v>6219</v>
      </c>
      <c r="G388" t="s">
        <v>6</v>
      </c>
      <c r="H388" t="s">
        <v>5</v>
      </c>
      <c r="I388" t="s">
        <v>6218</v>
      </c>
      <c r="J388" t="s">
        <v>6217</v>
      </c>
      <c r="K388" t="s">
        <v>6216</v>
      </c>
      <c r="L388" t="s">
        <v>6215</v>
      </c>
      <c r="M388" t="s">
        <v>128</v>
      </c>
      <c r="N388">
        <v>5</v>
      </c>
      <c r="O388" t="s">
        <v>6214</v>
      </c>
      <c r="P388" t="s">
        <v>6213</v>
      </c>
      <c r="Q388" t="s">
        <v>6212</v>
      </c>
      <c r="R388" s="7">
        <v>37165</v>
      </c>
      <c r="S388" s="8">
        <f t="shared" si="48"/>
        <v>2001</v>
      </c>
      <c r="T388" s="8">
        <v>2001</v>
      </c>
      <c r="U388" s="8">
        <f t="shared" si="49"/>
        <v>21</v>
      </c>
      <c r="V388" s="7">
        <v>37165</v>
      </c>
      <c r="W388" t="s">
        <v>750</v>
      </c>
      <c r="X388" s="2">
        <v>0.82</v>
      </c>
      <c r="Y388" s="6">
        <f t="shared" si="54"/>
        <v>2.1889431675609299E-2</v>
      </c>
      <c r="AA388">
        <v>189456</v>
      </c>
      <c r="AB388">
        <v>15361</v>
      </c>
      <c r="AD388" t="s">
        <v>1</v>
      </c>
      <c r="AE388">
        <v>50</v>
      </c>
      <c r="AF388">
        <v>5</v>
      </c>
      <c r="AH388" t="s">
        <v>6211</v>
      </c>
      <c r="AI388" t="s">
        <v>6210</v>
      </c>
      <c r="AK388" t="s">
        <v>6209</v>
      </c>
      <c r="AL388">
        <v>13</v>
      </c>
      <c r="AM388" s="5">
        <f t="shared" si="50"/>
        <v>0.61904761904761907</v>
      </c>
      <c r="AN388" s="4">
        <f t="shared" si="55"/>
        <v>9.3759578803122919E-4</v>
      </c>
      <c r="AO388" s="3"/>
      <c r="AP388">
        <v>0</v>
      </c>
      <c r="AQ388" t="s">
        <v>21</v>
      </c>
      <c r="AR388" t="s">
        <v>6208</v>
      </c>
      <c r="AS388" t="s">
        <v>20</v>
      </c>
      <c r="AT388" s="2" t="s">
        <v>7</v>
      </c>
      <c r="AU388" s="1">
        <f t="shared" si="51"/>
        <v>1.5603880909335877</v>
      </c>
      <c r="AV388" s="1">
        <f t="shared" si="52"/>
        <v>1.1413513731820264</v>
      </c>
      <c r="AW388" s="1">
        <f t="shared" si="53"/>
        <v>0.72231465543046491</v>
      </c>
    </row>
    <row r="389" spans="1:49" x14ac:dyDescent="0.2">
      <c r="A389">
        <v>387</v>
      </c>
      <c r="B389" t="s">
        <v>6207</v>
      </c>
      <c r="C389" t="s">
        <v>6206</v>
      </c>
      <c r="D389" t="s">
        <v>6205</v>
      </c>
      <c r="F389" t="s">
        <v>6204</v>
      </c>
      <c r="G389" t="s">
        <v>6</v>
      </c>
      <c r="H389" t="s">
        <v>5</v>
      </c>
      <c r="I389" t="s">
        <v>6203</v>
      </c>
      <c r="J389">
        <v>60003729</v>
      </c>
      <c r="K389" t="s">
        <v>184</v>
      </c>
      <c r="L389" t="s">
        <v>183</v>
      </c>
      <c r="M389" t="s">
        <v>87</v>
      </c>
      <c r="N389">
        <v>4</v>
      </c>
      <c r="O389" t="s">
        <v>6202</v>
      </c>
      <c r="P389" t="s">
        <v>6201</v>
      </c>
      <c r="Q389" t="s">
        <v>6200</v>
      </c>
      <c r="R389" s="7">
        <v>37165</v>
      </c>
      <c r="S389" s="8">
        <f t="shared" si="48"/>
        <v>2001</v>
      </c>
      <c r="T389" s="8">
        <v>2001</v>
      </c>
      <c r="U389" s="8">
        <f t="shared" si="49"/>
        <v>21</v>
      </c>
      <c r="V389" s="7">
        <v>37165</v>
      </c>
      <c r="W389" t="s">
        <v>33</v>
      </c>
      <c r="X389" s="2">
        <v>0.65600000000000003</v>
      </c>
      <c r="Y389" s="6">
        <f t="shared" si="54"/>
        <v>1.751154534048744E-2</v>
      </c>
      <c r="AA389">
        <v>9203796</v>
      </c>
      <c r="AB389">
        <v>20344</v>
      </c>
      <c r="AD389" t="s">
        <v>1</v>
      </c>
      <c r="AE389" t="s">
        <v>6124</v>
      </c>
      <c r="AH389" t="s">
        <v>6199</v>
      </c>
      <c r="AI389" t="s">
        <v>6198</v>
      </c>
      <c r="AJ389" t="s">
        <v>6197</v>
      </c>
      <c r="AK389" t="s">
        <v>6196</v>
      </c>
      <c r="AL389">
        <v>2</v>
      </c>
      <c r="AM389" s="5">
        <f t="shared" si="50"/>
        <v>9.5238095238095233E-2</v>
      </c>
      <c r="AN389" s="4">
        <f t="shared" si="55"/>
        <v>1.4424550585095833E-4</v>
      </c>
      <c r="AO389" s="3"/>
      <c r="AP389">
        <v>0</v>
      </c>
      <c r="AR389" t="s">
        <v>0</v>
      </c>
      <c r="AT389" s="2">
        <v>1.4530000000000001</v>
      </c>
      <c r="AU389" s="1">
        <f t="shared" si="51"/>
        <v>1.2301355390096496</v>
      </c>
      <c r="AV389" s="1">
        <f t="shared" si="52"/>
        <v>0.88278954231691997</v>
      </c>
      <c r="AW389" s="1">
        <f t="shared" si="53"/>
        <v>0.53544354562419028</v>
      </c>
    </row>
    <row r="390" spans="1:49" x14ac:dyDescent="0.2">
      <c r="A390">
        <v>388</v>
      </c>
      <c r="B390" t="s">
        <v>6195</v>
      </c>
      <c r="C390" t="s">
        <v>6194</v>
      </c>
      <c r="D390" t="s">
        <v>6193</v>
      </c>
      <c r="F390" t="s">
        <v>6192</v>
      </c>
      <c r="G390" t="s">
        <v>6</v>
      </c>
      <c r="H390" t="s">
        <v>5</v>
      </c>
      <c r="I390" t="s">
        <v>6191</v>
      </c>
      <c r="J390">
        <v>105169998</v>
      </c>
      <c r="K390" t="s">
        <v>6190</v>
      </c>
      <c r="L390" t="s">
        <v>6189</v>
      </c>
      <c r="M390" t="s">
        <v>37</v>
      </c>
      <c r="N390">
        <v>1</v>
      </c>
      <c r="O390" t="s">
        <v>6188</v>
      </c>
      <c r="P390">
        <v>6602131692</v>
      </c>
      <c r="Q390">
        <v>105169998</v>
      </c>
      <c r="R390" s="7">
        <v>37165</v>
      </c>
      <c r="S390" s="8">
        <f t="shared" si="48"/>
        <v>2001</v>
      </c>
      <c r="T390" s="8">
        <v>2001</v>
      </c>
      <c r="U390" s="8">
        <f t="shared" si="49"/>
        <v>21</v>
      </c>
      <c r="V390" s="7">
        <v>37165</v>
      </c>
      <c r="W390" t="s">
        <v>33</v>
      </c>
      <c r="X390" s="2">
        <v>0.65600000000000003</v>
      </c>
      <c r="Y390" s="6">
        <f t="shared" si="54"/>
        <v>1.751154534048744E-2</v>
      </c>
      <c r="AA390">
        <v>9203796</v>
      </c>
      <c r="AB390">
        <v>20344</v>
      </c>
      <c r="AD390" t="s">
        <v>1</v>
      </c>
      <c r="AE390" t="s">
        <v>6124</v>
      </c>
      <c r="AH390" t="s">
        <v>6187</v>
      </c>
      <c r="AI390" t="s">
        <v>6186</v>
      </c>
      <c r="AJ390" t="s">
        <v>6185</v>
      </c>
      <c r="AK390" t="s">
        <v>6184</v>
      </c>
      <c r="AL390">
        <v>4</v>
      </c>
      <c r="AM390" s="5">
        <f t="shared" si="50"/>
        <v>0.19047619047619047</v>
      </c>
      <c r="AN390" s="4">
        <f t="shared" si="55"/>
        <v>2.8849101170191666E-4</v>
      </c>
      <c r="AO390" s="3"/>
      <c r="AP390">
        <v>0</v>
      </c>
      <c r="AR390" t="s">
        <v>0</v>
      </c>
      <c r="AT390" s="2">
        <v>1.4530000000000001</v>
      </c>
      <c r="AU390" s="1">
        <f t="shared" si="51"/>
        <v>1.2344629041851785</v>
      </c>
      <c r="AV390" s="1">
        <f t="shared" si="52"/>
        <v>0.89000181760946784</v>
      </c>
      <c r="AW390" s="1">
        <f t="shared" si="53"/>
        <v>0.54554073103375744</v>
      </c>
    </row>
    <row r="391" spans="1:49" x14ac:dyDescent="0.2">
      <c r="A391">
        <v>389</v>
      </c>
      <c r="B391" t="s">
        <v>6183</v>
      </c>
      <c r="C391" t="s">
        <v>6182</v>
      </c>
      <c r="D391" t="s">
        <v>6181</v>
      </c>
      <c r="F391" t="s">
        <v>6180</v>
      </c>
      <c r="G391" t="s">
        <v>6</v>
      </c>
      <c r="H391" t="s">
        <v>5</v>
      </c>
      <c r="I391" t="s">
        <v>6179</v>
      </c>
      <c r="J391">
        <v>60019987</v>
      </c>
      <c r="K391" t="s">
        <v>2552</v>
      </c>
      <c r="L391" t="s">
        <v>2551</v>
      </c>
      <c r="M391" t="s">
        <v>2550</v>
      </c>
      <c r="N391">
        <v>2</v>
      </c>
      <c r="O391" t="s">
        <v>6178</v>
      </c>
      <c r="P391" t="s">
        <v>6177</v>
      </c>
      <c r="Q391" t="s">
        <v>6176</v>
      </c>
      <c r="R391" s="7">
        <v>37165</v>
      </c>
      <c r="S391" s="8">
        <f t="shared" si="48"/>
        <v>2001</v>
      </c>
      <c r="T391" s="8">
        <v>2001</v>
      </c>
      <c r="U391" s="8">
        <f t="shared" si="49"/>
        <v>21</v>
      </c>
      <c r="V391" s="7">
        <v>37165</v>
      </c>
      <c r="W391" t="s">
        <v>750</v>
      </c>
      <c r="X391" s="2">
        <v>0.82</v>
      </c>
      <c r="Y391" s="6">
        <f t="shared" si="54"/>
        <v>2.1889431675609299E-2</v>
      </c>
      <c r="AA391">
        <v>189456</v>
      </c>
      <c r="AB391">
        <v>15361</v>
      </c>
      <c r="AD391" t="s">
        <v>1</v>
      </c>
      <c r="AE391">
        <v>50</v>
      </c>
      <c r="AF391">
        <v>5</v>
      </c>
      <c r="AH391" t="s">
        <v>6175</v>
      </c>
      <c r="AI391" t="s">
        <v>6174</v>
      </c>
      <c r="AJ391" t="s">
        <v>6173</v>
      </c>
      <c r="AK391" t="s">
        <v>6172</v>
      </c>
      <c r="AL391">
        <v>9</v>
      </c>
      <c r="AM391" s="5">
        <f t="shared" si="50"/>
        <v>0.42857142857142855</v>
      </c>
      <c r="AN391" s="4">
        <f t="shared" si="55"/>
        <v>6.4910477632931242E-4</v>
      </c>
      <c r="AO391" s="3"/>
      <c r="AP391">
        <v>0</v>
      </c>
      <c r="AR391" t="s">
        <v>0</v>
      </c>
      <c r="AT391" s="2" t="s">
        <v>7</v>
      </c>
      <c r="AU391" s="1">
        <f t="shared" si="51"/>
        <v>1.5517333605825301</v>
      </c>
      <c r="AV391" s="1">
        <f t="shared" si="52"/>
        <v>1.1269268225969304</v>
      </c>
      <c r="AW391" s="1">
        <f t="shared" si="53"/>
        <v>0.7021202846113308</v>
      </c>
    </row>
    <row r="392" spans="1:49" x14ac:dyDescent="0.2">
      <c r="A392">
        <v>390</v>
      </c>
      <c r="B392" t="s">
        <v>6171</v>
      </c>
      <c r="C392" t="s">
        <v>6170</v>
      </c>
      <c r="D392" t="s">
        <v>6169</v>
      </c>
      <c r="F392" t="s">
        <v>6168</v>
      </c>
      <c r="G392" t="s">
        <v>6</v>
      </c>
      <c r="H392" t="s">
        <v>5</v>
      </c>
      <c r="I392" t="s">
        <v>539</v>
      </c>
      <c r="J392" t="s">
        <v>6167</v>
      </c>
      <c r="K392" t="s">
        <v>6166</v>
      </c>
      <c r="L392" t="s">
        <v>6165</v>
      </c>
      <c r="M392" t="s">
        <v>6164</v>
      </c>
      <c r="N392">
        <v>9</v>
      </c>
      <c r="O392" t="s">
        <v>6163</v>
      </c>
      <c r="P392" t="s">
        <v>6162</v>
      </c>
      <c r="Q392" t="s">
        <v>6161</v>
      </c>
      <c r="R392" s="7">
        <v>37165</v>
      </c>
      <c r="S392" s="8">
        <f t="shared" si="48"/>
        <v>2001</v>
      </c>
      <c r="T392" s="8">
        <v>2001</v>
      </c>
      <c r="U392" s="8">
        <f t="shared" si="49"/>
        <v>21</v>
      </c>
      <c r="V392" s="7">
        <v>37165</v>
      </c>
      <c r="W392" t="s">
        <v>33</v>
      </c>
      <c r="X392" s="2">
        <v>0.65600000000000003</v>
      </c>
      <c r="Y392" s="6">
        <f t="shared" si="54"/>
        <v>1.751154534048744E-2</v>
      </c>
      <c r="AA392">
        <v>9203796</v>
      </c>
      <c r="AB392">
        <v>20344</v>
      </c>
      <c r="AD392" t="s">
        <v>1</v>
      </c>
      <c r="AE392" t="s">
        <v>6124</v>
      </c>
      <c r="AH392" t="s">
        <v>6160</v>
      </c>
      <c r="AI392" t="s">
        <v>6159</v>
      </c>
      <c r="AJ392" t="s">
        <v>6158</v>
      </c>
      <c r="AK392" t="s">
        <v>6157</v>
      </c>
      <c r="AL392">
        <v>9</v>
      </c>
      <c r="AM392" s="5">
        <f t="shared" si="50"/>
        <v>0.42857142857142855</v>
      </c>
      <c r="AN392" s="4">
        <f t="shared" si="55"/>
        <v>6.4910477632931242E-4</v>
      </c>
      <c r="AO392" s="3"/>
      <c r="AP392">
        <v>0</v>
      </c>
      <c r="AR392" t="s">
        <v>0</v>
      </c>
      <c r="AT392" s="2">
        <v>1.4530000000000001</v>
      </c>
      <c r="AU392" s="1">
        <f t="shared" si="51"/>
        <v>1.2452813171240003</v>
      </c>
      <c r="AV392" s="1">
        <f t="shared" si="52"/>
        <v>0.90803250584083761</v>
      </c>
      <c r="AW392" s="1">
        <f t="shared" si="53"/>
        <v>0.57078369455767508</v>
      </c>
    </row>
    <row r="393" spans="1:49" x14ac:dyDescent="0.2">
      <c r="A393">
        <v>391</v>
      </c>
      <c r="B393" t="s">
        <v>6156</v>
      </c>
      <c r="F393" t="s">
        <v>6155</v>
      </c>
      <c r="G393" t="s">
        <v>6</v>
      </c>
      <c r="H393" t="s">
        <v>5</v>
      </c>
      <c r="I393" t="s">
        <v>6154</v>
      </c>
      <c r="J393">
        <v>60024542</v>
      </c>
      <c r="K393" t="s">
        <v>6153</v>
      </c>
      <c r="L393" t="s">
        <v>6152</v>
      </c>
      <c r="M393" t="s">
        <v>62</v>
      </c>
      <c r="N393">
        <v>1</v>
      </c>
      <c r="O393" t="s">
        <v>6151</v>
      </c>
      <c r="P393">
        <v>57225867449</v>
      </c>
      <c r="Q393">
        <v>60024542</v>
      </c>
      <c r="R393" s="7">
        <v>37165</v>
      </c>
      <c r="S393" s="8">
        <f t="shared" si="48"/>
        <v>2001</v>
      </c>
      <c r="T393" s="8">
        <v>2001</v>
      </c>
      <c r="U393" s="8">
        <f t="shared" si="49"/>
        <v>21</v>
      </c>
      <c r="V393" s="7">
        <v>37165</v>
      </c>
      <c r="W393" t="s">
        <v>6150</v>
      </c>
      <c r="X393" s="2">
        <v>0.154</v>
      </c>
      <c r="Y393" s="6">
        <f t="shared" si="54"/>
        <v>4.1109420463949177E-3</v>
      </c>
      <c r="AA393" t="s">
        <v>6149</v>
      </c>
      <c r="AB393">
        <v>22368</v>
      </c>
      <c r="AD393" t="s">
        <v>1</v>
      </c>
      <c r="AE393">
        <v>29</v>
      </c>
      <c r="AF393">
        <v>10</v>
      </c>
      <c r="AH393" t="s">
        <v>292</v>
      </c>
      <c r="AI393" t="s">
        <v>6148</v>
      </c>
      <c r="AJ393" t="s">
        <v>6147</v>
      </c>
      <c r="AK393" t="s">
        <v>6146</v>
      </c>
      <c r="AL393">
        <v>1</v>
      </c>
      <c r="AM393" s="5">
        <f t="shared" si="50"/>
        <v>4.7619047619047616E-2</v>
      </c>
      <c r="AN393" s="4">
        <f t="shared" si="55"/>
        <v>7.2122752925479164E-5</v>
      </c>
      <c r="AO393" s="3"/>
      <c r="AP393">
        <v>0</v>
      </c>
      <c r="AR393" t="s">
        <v>0</v>
      </c>
      <c r="AT393" s="2" t="s">
        <v>7</v>
      </c>
      <c r="AU393" s="1">
        <f t="shared" si="51"/>
        <v>0.2899296258354086</v>
      </c>
      <c r="AV393" s="1">
        <f t="shared" si="52"/>
        <v>0.20915323996601984</v>
      </c>
      <c r="AW393" s="1">
        <f t="shared" si="53"/>
        <v>0.12837685409663108</v>
      </c>
    </row>
    <row r="394" spans="1:49" x14ac:dyDescent="0.2">
      <c r="A394">
        <v>392</v>
      </c>
      <c r="B394" t="s">
        <v>6145</v>
      </c>
      <c r="C394" t="s">
        <v>6144</v>
      </c>
      <c r="D394" t="s">
        <v>6143</v>
      </c>
      <c r="F394" t="s">
        <v>6142</v>
      </c>
      <c r="G394" t="s">
        <v>6</v>
      </c>
      <c r="H394" t="s">
        <v>5</v>
      </c>
      <c r="I394" t="s">
        <v>6141</v>
      </c>
      <c r="J394">
        <v>60026838</v>
      </c>
      <c r="K394" t="s">
        <v>6140</v>
      </c>
      <c r="L394" t="s">
        <v>466</v>
      </c>
      <c r="M394" t="s">
        <v>46</v>
      </c>
      <c r="N394">
        <v>7</v>
      </c>
      <c r="O394" t="s">
        <v>6139</v>
      </c>
      <c r="P394" t="s">
        <v>6138</v>
      </c>
      <c r="Q394" t="s">
        <v>6137</v>
      </c>
      <c r="R394" s="7">
        <v>37165</v>
      </c>
      <c r="S394" s="8">
        <f t="shared" si="48"/>
        <v>2001</v>
      </c>
      <c r="T394" s="8">
        <v>2001</v>
      </c>
      <c r="U394" s="8">
        <f t="shared" si="49"/>
        <v>21</v>
      </c>
      <c r="V394" s="7">
        <v>37165</v>
      </c>
      <c r="W394" t="s">
        <v>33</v>
      </c>
      <c r="X394" s="2">
        <v>0.65600000000000003</v>
      </c>
      <c r="Y394" s="6">
        <f t="shared" si="54"/>
        <v>1.751154534048744E-2</v>
      </c>
      <c r="AA394">
        <v>9203796</v>
      </c>
      <c r="AB394">
        <v>20344</v>
      </c>
      <c r="AD394" t="s">
        <v>1</v>
      </c>
      <c r="AE394" t="s">
        <v>6124</v>
      </c>
      <c r="AH394" t="s">
        <v>6136</v>
      </c>
      <c r="AI394" t="s">
        <v>6135</v>
      </c>
      <c r="AJ394" t="s">
        <v>6134</v>
      </c>
      <c r="AK394" t="s">
        <v>6133</v>
      </c>
      <c r="AL394">
        <v>15</v>
      </c>
      <c r="AM394" s="5">
        <f t="shared" si="50"/>
        <v>0.7142857142857143</v>
      </c>
      <c r="AN394" s="4">
        <f t="shared" si="55"/>
        <v>1.0818412938821875E-3</v>
      </c>
      <c r="AO394" s="3"/>
      <c r="AP394">
        <v>0</v>
      </c>
      <c r="AR394" t="s">
        <v>0</v>
      </c>
      <c r="AT394" s="2">
        <v>1.4530000000000001</v>
      </c>
      <c r="AU394" s="1">
        <f t="shared" si="51"/>
        <v>1.2582634126505863</v>
      </c>
      <c r="AV394" s="1">
        <f t="shared" si="52"/>
        <v>0.92966933171848132</v>
      </c>
      <c r="AW394" s="1">
        <f t="shared" si="53"/>
        <v>0.60107525078637636</v>
      </c>
    </row>
    <row r="395" spans="1:49" x14ac:dyDescent="0.2">
      <c r="A395">
        <v>393</v>
      </c>
      <c r="B395" t="s">
        <v>6132</v>
      </c>
      <c r="C395" t="s">
        <v>6131</v>
      </c>
      <c r="D395" t="s">
        <v>6130</v>
      </c>
      <c r="F395" t="s">
        <v>6129</v>
      </c>
      <c r="G395" t="s">
        <v>6</v>
      </c>
      <c r="H395" t="s">
        <v>5</v>
      </c>
      <c r="I395" t="s">
        <v>6128</v>
      </c>
      <c r="J395">
        <v>60003729</v>
      </c>
      <c r="K395" t="s">
        <v>184</v>
      </c>
      <c r="L395" t="s">
        <v>183</v>
      </c>
      <c r="M395" t="s">
        <v>87</v>
      </c>
      <c r="N395">
        <v>7</v>
      </c>
      <c r="O395" t="s">
        <v>6127</v>
      </c>
      <c r="P395" t="s">
        <v>6126</v>
      </c>
      <c r="Q395" t="s">
        <v>6125</v>
      </c>
      <c r="R395" s="7">
        <v>37165</v>
      </c>
      <c r="S395" s="8">
        <f t="shared" si="48"/>
        <v>2001</v>
      </c>
      <c r="T395" s="8">
        <v>2001</v>
      </c>
      <c r="U395" s="8">
        <f t="shared" si="49"/>
        <v>21</v>
      </c>
      <c r="V395" s="7">
        <v>37165</v>
      </c>
      <c r="W395" t="s">
        <v>33</v>
      </c>
      <c r="X395" s="2">
        <v>0.65600000000000003</v>
      </c>
      <c r="Y395" s="6">
        <f t="shared" si="54"/>
        <v>1.751154534048744E-2</v>
      </c>
      <c r="AA395">
        <v>9203796</v>
      </c>
      <c r="AB395">
        <v>20344</v>
      </c>
      <c r="AD395" t="s">
        <v>1</v>
      </c>
      <c r="AE395" t="s">
        <v>6124</v>
      </c>
      <c r="AH395" t="s">
        <v>6123</v>
      </c>
      <c r="AI395" t="s">
        <v>6122</v>
      </c>
      <c r="AJ395" t="s">
        <v>6121</v>
      </c>
      <c r="AK395" t="s">
        <v>6120</v>
      </c>
      <c r="AL395">
        <v>9</v>
      </c>
      <c r="AM395" s="5">
        <f t="shared" si="50"/>
        <v>0.42857142857142855</v>
      </c>
      <c r="AN395" s="4">
        <f t="shared" si="55"/>
        <v>6.4910477632931242E-4</v>
      </c>
      <c r="AO395" s="3"/>
      <c r="AP395">
        <v>0</v>
      </c>
      <c r="AR395" t="s">
        <v>0</v>
      </c>
      <c r="AT395" s="2">
        <v>1.4530000000000001</v>
      </c>
      <c r="AU395" s="1">
        <f t="shared" si="51"/>
        <v>1.2452813171240003</v>
      </c>
      <c r="AV395" s="1">
        <f t="shared" si="52"/>
        <v>0.90803250584083761</v>
      </c>
      <c r="AW395" s="1">
        <f t="shared" si="53"/>
        <v>0.57078369455767508</v>
      </c>
    </row>
    <row r="396" spans="1:49" x14ac:dyDescent="0.2">
      <c r="A396">
        <v>394</v>
      </c>
      <c r="B396" t="s">
        <v>6119</v>
      </c>
      <c r="C396" t="s">
        <v>6118</v>
      </c>
      <c r="D396" t="s">
        <v>6117</v>
      </c>
      <c r="F396" t="s">
        <v>6116</v>
      </c>
      <c r="G396" t="s">
        <v>6</v>
      </c>
      <c r="H396" t="s">
        <v>5</v>
      </c>
      <c r="I396" t="s">
        <v>6115</v>
      </c>
      <c r="J396" t="s">
        <v>6114</v>
      </c>
      <c r="K396" t="s">
        <v>6113</v>
      </c>
      <c r="L396" t="s">
        <v>6112</v>
      </c>
      <c r="M396" t="s">
        <v>14</v>
      </c>
      <c r="N396">
        <v>3</v>
      </c>
      <c r="O396" t="s">
        <v>6111</v>
      </c>
      <c r="P396" t="s">
        <v>6110</v>
      </c>
      <c r="Q396" t="s">
        <v>6109</v>
      </c>
      <c r="R396" s="7">
        <v>37165</v>
      </c>
      <c r="S396" s="8">
        <f t="shared" si="48"/>
        <v>2001</v>
      </c>
      <c r="T396" s="8">
        <v>2001</v>
      </c>
      <c r="U396" s="8">
        <f t="shared" si="49"/>
        <v>21</v>
      </c>
      <c r="V396" s="7">
        <v>37165</v>
      </c>
      <c r="W396" t="s">
        <v>750</v>
      </c>
      <c r="X396" s="2">
        <v>0.82</v>
      </c>
      <c r="Y396" s="6">
        <f t="shared" si="54"/>
        <v>2.1889431675609299E-2</v>
      </c>
      <c r="AA396">
        <v>189456</v>
      </c>
      <c r="AB396">
        <v>15361</v>
      </c>
      <c r="AD396" t="s">
        <v>1</v>
      </c>
      <c r="AE396">
        <v>50</v>
      </c>
      <c r="AF396">
        <v>5</v>
      </c>
      <c r="AH396" t="s">
        <v>6108</v>
      </c>
      <c r="AI396" t="s">
        <v>6107</v>
      </c>
      <c r="AJ396" t="s">
        <v>6106</v>
      </c>
      <c r="AK396" t="s">
        <v>6105</v>
      </c>
      <c r="AL396">
        <v>43</v>
      </c>
      <c r="AM396" s="5">
        <f t="shared" si="50"/>
        <v>2.0476190476190474</v>
      </c>
      <c r="AN396" s="4">
        <f t="shared" si="55"/>
        <v>3.1012783757956037E-3</v>
      </c>
      <c r="AO396" s="3"/>
      <c r="AP396">
        <v>0</v>
      </c>
      <c r="AQ396" t="s">
        <v>6104</v>
      </c>
      <c r="AR396" t="s">
        <v>0</v>
      </c>
      <c r="AS396" t="s">
        <v>6103</v>
      </c>
      <c r="AT396" s="2" t="s">
        <v>7</v>
      </c>
      <c r="AU396" s="1">
        <f t="shared" si="51"/>
        <v>1.6252985685665189</v>
      </c>
      <c r="AV396" s="1">
        <f t="shared" si="52"/>
        <v>1.249535502570245</v>
      </c>
      <c r="AW396" s="1">
        <f t="shared" si="53"/>
        <v>0.87377243657397119</v>
      </c>
    </row>
    <row r="397" spans="1:49" x14ac:dyDescent="0.2">
      <c r="A397">
        <v>395</v>
      </c>
      <c r="B397" t="s">
        <v>6102</v>
      </c>
      <c r="C397" t="s">
        <v>6101</v>
      </c>
      <c r="D397" t="s">
        <v>6100</v>
      </c>
      <c r="F397" t="s">
        <v>6099</v>
      </c>
      <c r="G397" t="s">
        <v>6</v>
      </c>
      <c r="H397" t="s">
        <v>5</v>
      </c>
      <c r="I397" t="s">
        <v>6098</v>
      </c>
      <c r="J397" t="s">
        <v>6093</v>
      </c>
      <c r="K397" t="s">
        <v>6097</v>
      </c>
      <c r="L397" t="s">
        <v>6096</v>
      </c>
      <c r="M397" t="s">
        <v>9</v>
      </c>
      <c r="N397">
        <v>2</v>
      </c>
      <c r="O397" t="s">
        <v>6095</v>
      </c>
      <c r="P397" t="s">
        <v>6094</v>
      </c>
      <c r="Q397" t="s">
        <v>6093</v>
      </c>
      <c r="R397" s="7">
        <v>37165</v>
      </c>
      <c r="S397" s="8">
        <f t="shared" si="48"/>
        <v>2001</v>
      </c>
      <c r="T397" s="8">
        <v>2001</v>
      </c>
      <c r="U397" s="8">
        <f t="shared" si="49"/>
        <v>21</v>
      </c>
      <c r="V397" s="7">
        <v>37165</v>
      </c>
      <c r="W397" t="s">
        <v>750</v>
      </c>
      <c r="X397" s="2">
        <v>0.82</v>
      </c>
      <c r="Y397" s="6">
        <f t="shared" si="54"/>
        <v>2.1889431675609299E-2</v>
      </c>
      <c r="AA397">
        <v>189456</v>
      </c>
      <c r="AB397">
        <v>15361</v>
      </c>
      <c r="AD397" t="s">
        <v>1</v>
      </c>
      <c r="AE397">
        <v>50</v>
      </c>
      <c r="AF397">
        <v>5</v>
      </c>
      <c r="AH397" t="s">
        <v>6092</v>
      </c>
      <c r="AI397" t="s">
        <v>6091</v>
      </c>
      <c r="AJ397" t="s">
        <v>6090</v>
      </c>
      <c r="AK397" t="s">
        <v>6089</v>
      </c>
      <c r="AL397">
        <v>8</v>
      </c>
      <c r="AM397" s="5">
        <f t="shared" si="50"/>
        <v>0.38095238095238093</v>
      </c>
      <c r="AN397" s="4">
        <f t="shared" si="55"/>
        <v>5.7698202340383331E-4</v>
      </c>
      <c r="AO397" s="3"/>
      <c r="AP397">
        <v>0</v>
      </c>
      <c r="AR397" t="s">
        <v>0</v>
      </c>
      <c r="AT397" s="2" t="s">
        <v>7</v>
      </c>
      <c r="AU397" s="1">
        <f t="shared" si="51"/>
        <v>1.5495696779947659</v>
      </c>
      <c r="AV397" s="1">
        <f t="shared" si="52"/>
        <v>1.1233206849506567</v>
      </c>
      <c r="AW397" s="1">
        <f t="shared" si="53"/>
        <v>0.69707169190654727</v>
      </c>
    </row>
    <row r="398" spans="1:49" x14ac:dyDescent="0.2">
      <c r="A398">
        <v>396</v>
      </c>
      <c r="B398" t="s">
        <v>6088</v>
      </c>
      <c r="C398" t="s">
        <v>6087</v>
      </c>
      <c r="F398" t="s">
        <v>6086</v>
      </c>
      <c r="G398" t="s">
        <v>6</v>
      </c>
      <c r="H398" t="s">
        <v>5</v>
      </c>
      <c r="I398" t="s">
        <v>6085</v>
      </c>
      <c r="J398">
        <v>60017560</v>
      </c>
      <c r="K398" t="s">
        <v>6084</v>
      </c>
      <c r="L398" t="s">
        <v>6083</v>
      </c>
      <c r="M398" t="s">
        <v>80</v>
      </c>
      <c r="N398">
        <v>2</v>
      </c>
      <c r="O398" t="s">
        <v>6082</v>
      </c>
      <c r="P398" t="s">
        <v>6081</v>
      </c>
      <c r="Q398" t="s">
        <v>6080</v>
      </c>
      <c r="R398" s="7">
        <v>37165</v>
      </c>
      <c r="S398" s="8">
        <f t="shared" si="48"/>
        <v>2001</v>
      </c>
      <c r="T398" s="8">
        <v>2001</v>
      </c>
      <c r="U398" s="8">
        <f t="shared" si="49"/>
        <v>21</v>
      </c>
      <c r="V398" s="7">
        <v>37165</v>
      </c>
      <c r="W398" t="s">
        <v>6079</v>
      </c>
      <c r="X398" s="2">
        <v>1.5980000000000001</v>
      </c>
      <c r="Y398" s="6">
        <f t="shared" si="54"/>
        <v>4.2657697338565448E-2</v>
      </c>
      <c r="AA398">
        <v>7339445</v>
      </c>
      <c r="AB398">
        <v>16305</v>
      </c>
      <c r="AD398" t="s">
        <v>1</v>
      </c>
      <c r="AE398">
        <v>127</v>
      </c>
      <c r="AF398">
        <v>10</v>
      </c>
      <c r="AH398" t="s">
        <v>996</v>
      </c>
      <c r="AI398" t="s">
        <v>6078</v>
      </c>
      <c r="AK398" t="s">
        <v>6077</v>
      </c>
      <c r="AL398">
        <v>8</v>
      </c>
      <c r="AM398" s="5">
        <f t="shared" si="50"/>
        <v>0.38095238095238093</v>
      </c>
      <c r="AN398" s="4">
        <f t="shared" si="55"/>
        <v>5.7698202340383331E-4</v>
      </c>
      <c r="AO398" s="3"/>
      <c r="AP398">
        <v>0</v>
      </c>
      <c r="AR398" t="s">
        <v>0</v>
      </c>
      <c r="AT398" s="2">
        <v>3.3119999999999998</v>
      </c>
      <c r="AU398" s="1">
        <f t="shared" si="51"/>
        <v>3.0033482744016964</v>
      </c>
      <c r="AV398" s="1">
        <f t="shared" si="52"/>
        <v>2.161733968098464</v>
      </c>
      <c r="AW398" s="1">
        <f t="shared" si="53"/>
        <v>1.3201196617952318</v>
      </c>
    </row>
    <row r="399" spans="1:49" x14ac:dyDescent="0.2">
      <c r="A399">
        <v>397</v>
      </c>
      <c r="B399" t="s">
        <v>6076</v>
      </c>
      <c r="C399" t="s">
        <v>6075</v>
      </c>
      <c r="D399" t="s">
        <v>6074</v>
      </c>
      <c r="F399" t="s">
        <v>6073</v>
      </c>
      <c r="G399" t="s">
        <v>6</v>
      </c>
      <c r="H399" t="s">
        <v>5</v>
      </c>
      <c r="I399" t="s">
        <v>6072</v>
      </c>
      <c r="J399" t="s">
        <v>991</v>
      </c>
      <c r="K399" t="s">
        <v>990</v>
      </c>
      <c r="L399" t="s">
        <v>989</v>
      </c>
      <c r="M399" t="s">
        <v>44</v>
      </c>
      <c r="N399">
        <v>2</v>
      </c>
      <c r="O399" t="s">
        <v>6071</v>
      </c>
      <c r="P399" t="s">
        <v>6070</v>
      </c>
      <c r="Q399" t="s">
        <v>6069</v>
      </c>
      <c r="R399" s="7">
        <v>37165</v>
      </c>
      <c r="S399" s="8">
        <f t="shared" si="48"/>
        <v>2001</v>
      </c>
      <c r="T399" s="8">
        <v>2001</v>
      </c>
      <c r="U399" s="8">
        <f t="shared" si="49"/>
        <v>21</v>
      </c>
      <c r="V399" s="7">
        <v>37165</v>
      </c>
      <c r="W399" t="s">
        <v>834</v>
      </c>
      <c r="X399" s="2">
        <v>0.81499999999999995</v>
      </c>
      <c r="Y399" s="6">
        <f t="shared" si="54"/>
        <v>2.1755959531245827E-2</v>
      </c>
      <c r="AA399">
        <v>10709908</v>
      </c>
      <c r="AB399">
        <v>17316</v>
      </c>
      <c r="AD399" t="s">
        <v>1</v>
      </c>
      <c r="AE399">
        <v>8</v>
      </c>
      <c r="AF399">
        <v>10</v>
      </c>
      <c r="AH399" t="s">
        <v>6068</v>
      </c>
      <c r="AI399" t="s">
        <v>6067</v>
      </c>
      <c r="AJ399" t="s">
        <v>6066</v>
      </c>
      <c r="AK399" t="s">
        <v>6065</v>
      </c>
      <c r="AL399">
        <v>91</v>
      </c>
      <c r="AM399" s="5">
        <f t="shared" si="50"/>
        <v>4.333333333333333</v>
      </c>
      <c r="AN399" s="4">
        <f t="shared" si="55"/>
        <v>6.5631705162186036E-3</v>
      </c>
      <c r="AO399" s="3"/>
      <c r="AP399">
        <v>0</v>
      </c>
      <c r="AQ399" t="s">
        <v>21</v>
      </c>
      <c r="AR399" t="s">
        <v>6064</v>
      </c>
      <c r="AS399" t="s">
        <v>20</v>
      </c>
      <c r="AT399" s="2">
        <v>3.109</v>
      </c>
      <c r="AU399" s="1">
        <f t="shared" si="51"/>
        <v>1.7198122826737661</v>
      </c>
      <c r="AV399" s="1">
        <f t="shared" si="52"/>
        <v>1.4159565023732215</v>
      </c>
      <c r="AW399" s="1">
        <f t="shared" si="53"/>
        <v>1.1121007220726769</v>
      </c>
    </row>
    <row r="400" spans="1:49" x14ac:dyDescent="0.2">
      <c r="A400">
        <v>398</v>
      </c>
      <c r="B400" t="s">
        <v>6063</v>
      </c>
      <c r="C400" t="s">
        <v>6062</v>
      </c>
      <c r="D400" t="s">
        <v>6061</v>
      </c>
      <c r="F400" t="s">
        <v>6060</v>
      </c>
      <c r="G400" t="s">
        <v>6</v>
      </c>
      <c r="H400" t="s">
        <v>5</v>
      </c>
      <c r="I400" t="s">
        <v>6022</v>
      </c>
      <c r="J400" t="s">
        <v>6021</v>
      </c>
      <c r="K400" t="s">
        <v>6020</v>
      </c>
      <c r="L400" t="s">
        <v>6019</v>
      </c>
      <c r="M400" t="s">
        <v>29</v>
      </c>
      <c r="N400">
        <v>4</v>
      </c>
      <c r="O400" t="s">
        <v>6018</v>
      </c>
      <c r="P400" t="s">
        <v>6017</v>
      </c>
      <c r="Q400" t="s">
        <v>6016</v>
      </c>
      <c r="R400" s="7">
        <v>37165</v>
      </c>
      <c r="S400" s="8">
        <f t="shared" si="48"/>
        <v>2001</v>
      </c>
      <c r="T400" s="8">
        <v>2001</v>
      </c>
      <c r="U400" s="8">
        <f t="shared" si="49"/>
        <v>21</v>
      </c>
      <c r="V400" s="7">
        <v>37165</v>
      </c>
      <c r="W400" t="s">
        <v>6015</v>
      </c>
      <c r="X400" s="2">
        <v>1.57</v>
      </c>
      <c r="Y400" s="6">
        <f t="shared" si="54"/>
        <v>4.1910253330130008E-2</v>
      </c>
      <c r="AA400">
        <v>8858977</v>
      </c>
      <c r="AB400">
        <v>17370</v>
      </c>
      <c r="AD400" t="s">
        <v>1</v>
      </c>
      <c r="AE400">
        <v>16</v>
      </c>
      <c r="AF400">
        <v>4</v>
      </c>
      <c r="AH400" t="s">
        <v>6059</v>
      </c>
      <c r="AI400" t="s">
        <v>6058</v>
      </c>
      <c r="AJ400" t="s">
        <v>6057</v>
      </c>
      <c r="AK400" t="s">
        <v>6056</v>
      </c>
      <c r="AL400">
        <v>37</v>
      </c>
      <c r="AM400" s="5">
        <f t="shared" si="50"/>
        <v>1.7619047619047619</v>
      </c>
      <c r="AN400" s="4">
        <f t="shared" si="55"/>
        <v>2.668541858242729E-3</v>
      </c>
      <c r="AO400" s="3"/>
      <c r="AP400">
        <v>0</v>
      </c>
      <c r="AR400" t="s">
        <v>0</v>
      </c>
      <c r="AT400" s="2">
        <v>4.1310000000000002</v>
      </c>
      <c r="AU400" s="1">
        <f t="shared" si="51"/>
        <v>3.0137739888563821</v>
      </c>
      <c r="AV400" s="1">
        <f t="shared" si="52"/>
        <v>2.2289397594186369</v>
      </c>
      <c r="AW400" s="1">
        <f t="shared" si="53"/>
        <v>1.4441055299808911</v>
      </c>
    </row>
    <row r="401" spans="1:49" x14ac:dyDescent="0.2">
      <c r="A401">
        <v>399</v>
      </c>
      <c r="B401" t="s">
        <v>6055</v>
      </c>
      <c r="C401" t="s">
        <v>6054</v>
      </c>
      <c r="D401" t="s">
        <v>6053</v>
      </c>
      <c r="F401" t="s">
        <v>6052</v>
      </c>
      <c r="G401" t="s">
        <v>6</v>
      </c>
      <c r="H401" t="s">
        <v>5</v>
      </c>
      <c r="I401" t="s">
        <v>339</v>
      </c>
      <c r="J401" t="s">
        <v>6051</v>
      </c>
      <c r="K401" t="s">
        <v>6050</v>
      </c>
      <c r="L401" t="s">
        <v>6049</v>
      </c>
      <c r="M401" t="s">
        <v>460</v>
      </c>
      <c r="N401">
        <v>4</v>
      </c>
      <c r="O401" t="s">
        <v>6048</v>
      </c>
      <c r="P401" t="s">
        <v>6047</v>
      </c>
      <c r="Q401" t="s">
        <v>6046</v>
      </c>
      <c r="R401" s="7">
        <v>37165</v>
      </c>
      <c r="S401" s="8">
        <f t="shared" si="48"/>
        <v>2001</v>
      </c>
      <c r="T401" s="8">
        <v>2001</v>
      </c>
      <c r="U401" s="8">
        <f t="shared" si="49"/>
        <v>21</v>
      </c>
      <c r="V401" s="7">
        <v>37165</v>
      </c>
      <c r="W401" t="s">
        <v>284</v>
      </c>
      <c r="X401" s="2">
        <v>1.468</v>
      </c>
      <c r="Y401" s="6">
        <f t="shared" si="54"/>
        <v>3.9187421585115186E-2</v>
      </c>
      <c r="AA401">
        <v>906778</v>
      </c>
      <c r="AB401">
        <v>18931</v>
      </c>
      <c r="AD401" t="s">
        <v>1</v>
      </c>
      <c r="AE401">
        <v>49</v>
      </c>
      <c r="AF401">
        <v>10</v>
      </c>
      <c r="AH401" t="s">
        <v>6045</v>
      </c>
      <c r="AI401" t="s">
        <v>6044</v>
      </c>
      <c r="AJ401" t="s">
        <v>6043</v>
      </c>
      <c r="AK401" t="s">
        <v>6042</v>
      </c>
      <c r="AL401">
        <v>132</v>
      </c>
      <c r="AM401" s="5">
        <f t="shared" si="50"/>
        <v>6.2857142857142856</v>
      </c>
      <c r="AN401" s="4">
        <f t="shared" si="55"/>
        <v>9.5202033861632503E-3</v>
      </c>
      <c r="AO401" s="3"/>
      <c r="AP401">
        <v>0</v>
      </c>
      <c r="AQ401" t="s">
        <v>61</v>
      </c>
      <c r="AR401">
        <v>69872008</v>
      </c>
      <c r="AS401" t="s">
        <v>60</v>
      </c>
      <c r="AT401" s="2">
        <v>5.0830000000000002</v>
      </c>
      <c r="AU401" s="1">
        <f t="shared" si="51"/>
        <v>3.0287256125429605</v>
      </c>
      <c r="AV401" s="1">
        <f t="shared" si="52"/>
        <v>2.4353812485639219</v>
      </c>
      <c r="AW401" s="1">
        <f t="shared" si="53"/>
        <v>1.8420368845848831</v>
      </c>
    </row>
    <row r="402" spans="1:49" x14ac:dyDescent="0.2">
      <c r="A402">
        <v>400</v>
      </c>
      <c r="B402" t="s">
        <v>6041</v>
      </c>
      <c r="C402" t="s">
        <v>6040</v>
      </c>
      <c r="D402" t="s">
        <v>6039</v>
      </c>
      <c r="F402" t="s">
        <v>6038</v>
      </c>
      <c r="G402" t="s">
        <v>6</v>
      </c>
      <c r="H402" t="s">
        <v>5</v>
      </c>
      <c r="I402" t="s">
        <v>6037</v>
      </c>
      <c r="J402" t="s">
        <v>6036</v>
      </c>
      <c r="K402" t="s">
        <v>6035</v>
      </c>
      <c r="L402" t="s">
        <v>6034</v>
      </c>
      <c r="M402" t="s">
        <v>128</v>
      </c>
      <c r="N402">
        <v>4</v>
      </c>
      <c r="O402" t="s">
        <v>6033</v>
      </c>
      <c r="P402" t="s">
        <v>6032</v>
      </c>
      <c r="Q402" t="s">
        <v>6031</v>
      </c>
      <c r="R402" s="7">
        <v>37165</v>
      </c>
      <c r="S402" s="8">
        <f t="shared" si="48"/>
        <v>2001</v>
      </c>
      <c r="T402" s="8">
        <v>2001</v>
      </c>
      <c r="U402" s="8">
        <f t="shared" si="49"/>
        <v>21</v>
      </c>
      <c r="V402" s="7">
        <v>37165</v>
      </c>
      <c r="W402" t="s">
        <v>283</v>
      </c>
      <c r="X402" s="2">
        <v>2.141</v>
      </c>
      <c r="Y402" s="6">
        <f t="shared" si="54"/>
        <v>5.7152772216438434E-2</v>
      </c>
      <c r="AA402">
        <v>1962892</v>
      </c>
      <c r="AB402">
        <v>17360</v>
      </c>
      <c r="AD402" t="s">
        <v>1</v>
      </c>
      <c r="AE402">
        <v>39</v>
      </c>
      <c r="AF402">
        <v>10</v>
      </c>
      <c r="AH402" t="s">
        <v>6030</v>
      </c>
      <c r="AI402" t="s">
        <v>6029</v>
      </c>
      <c r="AJ402" t="s">
        <v>6028</v>
      </c>
      <c r="AK402" t="s">
        <v>6027</v>
      </c>
      <c r="AL402">
        <v>7</v>
      </c>
      <c r="AM402" s="5">
        <f t="shared" si="50"/>
        <v>0.33333333333333331</v>
      </c>
      <c r="AN402" s="4">
        <f t="shared" si="55"/>
        <v>5.048592704783541E-4</v>
      </c>
      <c r="AO402" s="3"/>
      <c r="AP402">
        <v>0</v>
      </c>
      <c r="AR402" t="s">
        <v>0</v>
      </c>
      <c r="AT402" s="2" t="s">
        <v>7</v>
      </c>
      <c r="AU402" s="1">
        <f t="shared" si="51"/>
        <v>4.0158398332650407</v>
      </c>
      <c r="AV402" s="1">
        <f t="shared" si="52"/>
        <v>2.8828815743458391</v>
      </c>
      <c r="AW402" s="1">
        <f t="shared" si="53"/>
        <v>1.7499233154266376</v>
      </c>
    </row>
    <row r="403" spans="1:49" x14ac:dyDescent="0.2">
      <c r="A403">
        <v>401</v>
      </c>
      <c r="B403" t="s">
        <v>6026</v>
      </c>
      <c r="C403" t="s">
        <v>6025</v>
      </c>
      <c r="D403" t="s">
        <v>6024</v>
      </c>
      <c r="F403" t="s">
        <v>6023</v>
      </c>
      <c r="G403" t="s">
        <v>6</v>
      </c>
      <c r="H403" t="s">
        <v>5</v>
      </c>
      <c r="I403" t="s">
        <v>6022</v>
      </c>
      <c r="J403" t="s">
        <v>6021</v>
      </c>
      <c r="K403" t="s">
        <v>6020</v>
      </c>
      <c r="L403" t="s">
        <v>6019</v>
      </c>
      <c r="M403" t="s">
        <v>29</v>
      </c>
      <c r="N403">
        <v>4</v>
      </c>
      <c r="O403" t="s">
        <v>6018</v>
      </c>
      <c r="P403" t="s">
        <v>6017</v>
      </c>
      <c r="Q403" t="s">
        <v>6016</v>
      </c>
      <c r="R403" s="7">
        <v>37165</v>
      </c>
      <c r="S403" s="8">
        <f t="shared" si="48"/>
        <v>2001</v>
      </c>
      <c r="T403" s="8">
        <v>2001</v>
      </c>
      <c r="U403" s="8">
        <f t="shared" si="49"/>
        <v>21</v>
      </c>
      <c r="V403" s="7">
        <v>37165</v>
      </c>
      <c r="W403" t="s">
        <v>6015</v>
      </c>
      <c r="X403" s="2">
        <v>1.57</v>
      </c>
      <c r="Y403" s="6">
        <f t="shared" si="54"/>
        <v>4.1910253330130008E-2</v>
      </c>
      <c r="AA403">
        <v>8858977</v>
      </c>
      <c r="AB403">
        <v>17370</v>
      </c>
      <c r="AD403" t="s">
        <v>1</v>
      </c>
      <c r="AE403">
        <v>16</v>
      </c>
      <c r="AF403">
        <v>4</v>
      </c>
      <c r="AH403" t="s">
        <v>6014</v>
      </c>
      <c r="AI403" t="s">
        <v>6013</v>
      </c>
      <c r="AJ403" t="s">
        <v>6012</v>
      </c>
      <c r="AK403" t="s">
        <v>6011</v>
      </c>
      <c r="AL403">
        <v>23</v>
      </c>
      <c r="AM403" s="5">
        <f t="shared" si="50"/>
        <v>1.0952380952380953</v>
      </c>
      <c r="AN403" s="4">
        <f t="shared" si="55"/>
        <v>1.658823317286021E-3</v>
      </c>
      <c r="AO403" s="3"/>
      <c r="AP403">
        <v>0</v>
      </c>
      <c r="AR403" t="s">
        <v>0</v>
      </c>
      <c r="AT403" s="2">
        <v>4.1310000000000002</v>
      </c>
      <c r="AU403" s="1">
        <f t="shared" si="51"/>
        <v>2.9834824326276812</v>
      </c>
      <c r="AV403" s="1">
        <f t="shared" si="52"/>
        <v>2.1784538323708014</v>
      </c>
      <c r="AW403" s="1">
        <f t="shared" si="53"/>
        <v>1.3734252321139218</v>
      </c>
    </row>
    <row r="404" spans="1:49" x14ac:dyDescent="0.2">
      <c r="A404">
        <v>402</v>
      </c>
      <c r="B404" t="s">
        <v>6010</v>
      </c>
      <c r="C404" t="s">
        <v>6009</v>
      </c>
      <c r="D404" t="s">
        <v>6008</v>
      </c>
      <c r="F404" t="s">
        <v>6007</v>
      </c>
      <c r="G404" t="s">
        <v>6</v>
      </c>
      <c r="H404" t="s">
        <v>5</v>
      </c>
      <c r="I404" t="s">
        <v>6006</v>
      </c>
      <c r="J404">
        <v>60068504</v>
      </c>
      <c r="K404" t="s">
        <v>459</v>
      </c>
      <c r="L404" t="s">
        <v>458</v>
      </c>
      <c r="M404" t="s">
        <v>457</v>
      </c>
      <c r="N404">
        <v>1</v>
      </c>
      <c r="O404" t="s">
        <v>6005</v>
      </c>
      <c r="P404">
        <v>56085848500</v>
      </c>
      <c r="Q404">
        <v>60068504</v>
      </c>
      <c r="R404" s="7">
        <v>37165</v>
      </c>
      <c r="S404" s="8">
        <f t="shared" si="48"/>
        <v>2001</v>
      </c>
      <c r="T404" s="8">
        <v>2001</v>
      </c>
      <c r="U404" s="8">
        <f t="shared" si="49"/>
        <v>21</v>
      </c>
      <c r="V404" s="7">
        <v>37165</v>
      </c>
      <c r="W404" t="s">
        <v>6004</v>
      </c>
      <c r="X404" s="2">
        <v>1.0429999999999999</v>
      </c>
      <c r="Y404" s="6">
        <f t="shared" si="54"/>
        <v>2.7842289314220121E-2</v>
      </c>
      <c r="AA404">
        <v>9600779</v>
      </c>
      <c r="AB404">
        <v>25347</v>
      </c>
      <c r="AD404" t="s">
        <v>1</v>
      </c>
      <c r="AE404">
        <v>12</v>
      </c>
      <c r="AF404">
        <v>13</v>
      </c>
      <c r="AH404" t="s">
        <v>6003</v>
      </c>
      <c r="AI404" t="s">
        <v>6002</v>
      </c>
      <c r="AK404" t="s">
        <v>6001</v>
      </c>
      <c r="AL404">
        <v>1</v>
      </c>
      <c r="AM404" s="5">
        <f t="shared" si="50"/>
        <v>4.7619047619047616E-2</v>
      </c>
      <c r="AN404" s="4">
        <f t="shared" si="55"/>
        <v>7.2122752925479164E-5</v>
      </c>
      <c r="AO404" s="3"/>
      <c r="AP404">
        <v>0</v>
      </c>
      <c r="AR404" t="s">
        <v>0</v>
      </c>
      <c r="AT404" s="2" t="s">
        <v>7</v>
      </c>
      <c r="AU404" s="1">
        <f t="shared" si="51"/>
        <v>1.9511239345831728</v>
      </c>
      <c r="AV404" s="1">
        <f t="shared" si="52"/>
        <v>1.39572060335728</v>
      </c>
      <c r="AW404" s="1">
        <f t="shared" si="53"/>
        <v>0.84031727213138718</v>
      </c>
    </row>
    <row r="405" spans="1:49" x14ac:dyDescent="0.2">
      <c r="A405">
        <v>403</v>
      </c>
      <c r="B405" t="s">
        <v>6000</v>
      </c>
      <c r="C405" t="s">
        <v>5999</v>
      </c>
      <c r="D405" t="s">
        <v>5998</v>
      </c>
      <c r="F405" t="s">
        <v>5997</v>
      </c>
      <c r="G405" t="s">
        <v>6</v>
      </c>
      <c r="H405" t="s">
        <v>5</v>
      </c>
      <c r="I405" t="s">
        <v>5996</v>
      </c>
      <c r="J405">
        <v>60073283</v>
      </c>
      <c r="K405" t="s">
        <v>554</v>
      </c>
      <c r="L405" t="s">
        <v>67</v>
      </c>
      <c r="M405" t="s">
        <v>66</v>
      </c>
      <c r="N405">
        <v>2</v>
      </c>
      <c r="O405" t="s">
        <v>5995</v>
      </c>
      <c r="P405" t="s">
        <v>5994</v>
      </c>
      <c r="Q405" t="s">
        <v>553</v>
      </c>
      <c r="R405" s="7">
        <v>37165</v>
      </c>
      <c r="S405" s="8">
        <f t="shared" si="48"/>
        <v>2001</v>
      </c>
      <c r="T405" s="8">
        <v>2001</v>
      </c>
      <c r="U405" s="8">
        <f t="shared" si="49"/>
        <v>21</v>
      </c>
      <c r="V405" s="7">
        <v>37165</v>
      </c>
      <c r="W405" t="s">
        <v>451</v>
      </c>
      <c r="X405" s="2">
        <v>0.90700000000000003</v>
      </c>
      <c r="Y405" s="6">
        <f t="shared" si="54"/>
        <v>2.4211846987533703E-2</v>
      </c>
      <c r="AA405">
        <v>1651684</v>
      </c>
      <c r="AB405">
        <v>25548</v>
      </c>
      <c r="AD405" t="s">
        <v>1</v>
      </c>
      <c r="AE405">
        <v>81</v>
      </c>
      <c r="AF405">
        <v>10</v>
      </c>
      <c r="AH405" t="s">
        <v>5993</v>
      </c>
      <c r="AI405" t="s">
        <v>5992</v>
      </c>
      <c r="AJ405" t="s">
        <v>5991</v>
      </c>
      <c r="AK405" t="s">
        <v>5990</v>
      </c>
      <c r="AL405">
        <v>1</v>
      </c>
      <c r="AM405" s="5">
        <f t="shared" si="50"/>
        <v>4.7619047619047616E-2</v>
      </c>
      <c r="AN405" s="4">
        <f t="shared" si="55"/>
        <v>7.2122752925479164E-5</v>
      </c>
      <c r="AO405" s="3"/>
      <c r="AP405">
        <v>0</v>
      </c>
      <c r="AR405" t="s">
        <v>0</v>
      </c>
      <c r="AT405" s="2">
        <v>4.6619999999999999</v>
      </c>
      <c r="AU405" s="1">
        <f t="shared" si="51"/>
        <v>1.6969929717151233</v>
      </c>
      <c r="AV405" s="1">
        <f t="shared" si="52"/>
        <v>1.2141984870229592</v>
      </c>
      <c r="AW405" s="1">
        <f t="shared" si="53"/>
        <v>0.73140400233079461</v>
      </c>
    </row>
    <row r="406" spans="1:49" x14ac:dyDescent="0.2">
      <c r="A406">
        <v>404</v>
      </c>
      <c r="B406" t="s">
        <v>5989</v>
      </c>
      <c r="C406" t="s">
        <v>5988</v>
      </c>
      <c r="D406" t="s">
        <v>5987</v>
      </c>
      <c r="F406" t="s">
        <v>5986</v>
      </c>
      <c r="G406" t="s">
        <v>6</v>
      </c>
      <c r="H406" t="s">
        <v>5</v>
      </c>
      <c r="I406" t="s">
        <v>5985</v>
      </c>
      <c r="J406" t="s">
        <v>5984</v>
      </c>
      <c r="K406" t="s">
        <v>5983</v>
      </c>
      <c r="L406" t="s">
        <v>5982</v>
      </c>
      <c r="M406" t="s">
        <v>44</v>
      </c>
      <c r="N406">
        <v>2</v>
      </c>
      <c r="O406" t="s">
        <v>5981</v>
      </c>
      <c r="P406" t="s">
        <v>5980</v>
      </c>
      <c r="Q406" t="s">
        <v>5979</v>
      </c>
      <c r="R406" s="7">
        <v>37165</v>
      </c>
      <c r="S406" s="8">
        <f t="shared" si="48"/>
        <v>2001</v>
      </c>
      <c r="T406" s="8">
        <v>2001</v>
      </c>
      <c r="U406" s="8">
        <f t="shared" si="49"/>
        <v>21</v>
      </c>
      <c r="V406" s="7">
        <v>37165</v>
      </c>
      <c r="W406" t="s">
        <v>451</v>
      </c>
      <c r="X406" s="2">
        <v>0.90700000000000003</v>
      </c>
      <c r="Y406" s="6">
        <f t="shared" si="54"/>
        <v>2.4211846987533703E-2</v>
      </c>
      <c r="AA406">
        <v>1651684</v>
      </c>
      <c r="AB406">
        <v>25548</v>
      </c>
      <c r="AD406" t="s">
        <v>1</v>
      </c>
      <c r="AE406">
        <v>81</v>
      </c>
      <c r="AF406">
        <v>10</v>
      </c>
      <c r="AH406" t="s">
        <v>5978</v>
      </c>
      <c r="AI406" t="s">
        <v>5977</v>
      </c>
      <c r="AJ406" t="s">
        <v>5976</v>
      </c>
      <c r="AK406" t="s">
        <v>5975</v>
      </c>
      <c r="AL406">
        <v>49</v>
      </c>
      <c r="AM406" s="5">
        <f t="shared" si="50"/>
        <v>2.3333333333333335</v>
      </c>
      <c r="AN406" s="4">
        <f t="shared" si="55"/>
        <v>3.5340148933484792E-3</v>
      </c>
      <c r="AO406" s="3"/>
      <c r="AP406">
        <v>0</v>
      </c>
      <c r="AR406" t="s">
        <v>0</v>
      </c>
      <c r="AT406" s="2">
        <v>4.6619999999999999</v>
      </c>
      <c r="AU406" s="1">
        <f t="shared" si="51"/>
        <v>1.8008497359278133</v>
      </c>
      <c r="AV406" s="1">
        <f t="shared" si="52"/>
        <v>1.3872930940441091</v>
      </c>
      <c r="AW406" s="1">
        <f t="shared" si="53"/>
        <v>0.97373645216040461</v>
      </c>
    </row>
    <row r="407" spans="1:49" x14ac:dyDescent="0.2">
      <c r="A407">
        <v>405</v>
      </c>
      <c r="B407" t="s">
        <v>5974</v>
      </c>
      <c r="C407" t="s">
        <v>5973</v>
      </c>
      <c r="D407" t="s">
        <v>5972</v>
      </c>
      <c r="F407" t="s">
        <v>5971</v>
      </c>
      <c r="G407" t="s">
        <v>6</v>
      </c>
      <c r="H407" t="s">
        <v>5</v>
      </c>
      <c r="I407" t="s">
        <v>5970</v>
      </c>
      <c r="J407">
        <v>60021902</v>
      </c>
      <c r="K407" t="s">
        <v>5969</v>
      </c>
      <c r="L407" t="s">
        <v>5968</v>
      </c>
      <c r="M407" t="s">
        <v>138</v>
      </c>
      <c r="N407">
        <v>3</v>
      </c>
      <c r="O407" t="s">
        <v>5967</v>
      </c>
      <c r="P407" t="s">
        <v>5966</v>
      </c>
      <c r="Q407" t="s">
        <v>5965</v>
      </c>
      <c r="R407" s="7">
        <v>37165</v>
      </c>
      <c r="S407" s="8">
        <f t="shared" si="48"/>
        <v>2001</v>
      </c>
      <c r="T407" s="8">
        <v>2001</v>
      </c>
      <c r="U407" s="8">
        <f t="shared" si="49"/>
        <v>21</v>
      </c>
      <c r="V407" s="7">
        <v>37165</v>
      </c>
      <c r="W407" t="s">
        <v>451</v>
      </c>
      <c r="X407" s="2">
        <v>0.90700000000000003</v>
      </c>
      <c r="Y407" s="6">
        <f t="shared" si="54"/>
        <v>2.4211846987533703E-2</v>
      </c>
      <c r="AA407">
        <v>1651684</v>
      </c>
      <c r="AB407">
        <v>25548</v>
      </c>
      <c r="AD407" t="s">
        <v>1</v>
      </c>
      <c r="AE407">
        <v>81</v>
      </c>
      <c r="AF407">
        <v>10</v>
      </c>
      <c r="AH407" t="s">
        <v>5964</v>
      </c>
      <c r="AI407" t="s">
        <v>5963</v>
      </c>
      <c r="AJ407" t="s">
        <v>5962</v>
      </c>
      <c r="AK407" t="s">
        <v>5961</v>
      </c>
      <c r="AL407">
        <v>3</v>
      </c>
      <c r="AM407" s="5">
        <f t="shared" si="50"/>
        <v>0.14285714285714285</v>
      </c>
      <c r="AN407" s="4">
        <f t="shared" si="55"/>
        <v>2.1636825877643749E-4</v>
      </c>
      <c r="AO407" s="3"/>
      <c r="AP407">
        <v>0</v>
      </c>
      <c r="AR407" t="s">
        <v>0</v>
      </c>
      <c r="AT407" s="2">
        <v>4.6619999999999999</v>
      </c>
      <c r="AU407" s="1">
        <f t="shared" si="51"/>
        <v>1.7013203368906522</v>
      </c>
      <c r="AV407" s="1">
        <f t="shared" si="52"/>
        <v>1.2214107623155068</v>
      </c>
      <c r="AW407" s="1">
        <f t="shared" si="53"/>
        <v>0.74150118774036167</v>
      </c>
    </row>
    <row r="408" spans="1:49" x14ac:dyDescent="0.2">
      <c r="A408">
        <v>406</v>
      </c>
      <c r="B408" t="s">
        <v>5960</v>
      </c>
      <c r="C408" t="s">
        <v>5959</v>
      </c>
      <c r="D408" t="s">
        <v>5958</v>
      </c>
      <c r="F408" t="s">
        <v>5957</v>
      </c>
      <c r="G408" t="s">
        <v>6</v>
      </c>
      <c r="H408" t="s">
        <v>5</v>
      </c>
      <c r="I408" t="s">
        <v>5956</v>
      </c>
      <c r="J408">
        <v>60007457</v>
      </c>
      <c r="K408" t="s">
        <v>709</v>
      </c>
      <c r="L408" t="s">
        <v>198</v>
      </c>
      <c r="M408" t="s">
        <v>197</v>
      </c>
      <c r="N408">
        <v>1</v>
      </c>
      <c r="O408" t="s">
        <v>5955</v>
      </c>
      <c r="P408">
        <v>35351478800</v>
      </c>
      <c r="Q408">
        <v>60007457</v>
      </c>
      <c r="R408" s="7">
        <v>37165</v>
      </c>
      <c r="S408" s="8">
        <f t="shared" si="48"/>
        <v>2001</v>
      </c>
      <c r="T408" s="8">
        <v>2001</v>
      </c>
      <c r="U408" s="8">
        <f t="shared" si="49"/>
        <v>21</v>
      </c>
      <c r="V408" s="7">
        <v>37165</v>
      </c>
      <c r="W408" t="s">
        <v>708</v>
      </c>
      <c r="X408" s="2">
        <v>0.499</v>
      </c>
      <c r="Y408" s="6">
        <f t="shared" si="54"/>
        <v>1.332052000747444E-2</v>
      </c>
      <c r="AA408">
        <v>3759601</v>
      </c>
      <c r="AB408">
        <v>29464</v>
      </c>
      <c r="AD408" t="s">
        <v>1</v>
      </c>
      <c r="AE408">
        <v>288</v>
      </c>
      <c r="AF408" s="10">
        <v>44352</v>
      </c>
      <c r="AH408" t="s">
        <v>5954</v>
      </c>
      <c r="AI408" t="s">
        <v>5953</v>
      </c>
      <c r="AK408" t="s">
        <v>5952</v>
      </c>
      <c r="AL408">
        <v>50</v>
      </c>
      <c r="AM408" s="5">
        <f t="shared" si="50"/>
        <v>2.3809523809523809</v>
      </c>
      <c r="AN408" s="4">
        <f t="shared" si="55"/>
        <v>3.6061376462739581E-3</v>
      </c>
      <c r="AO408" s="3"/>
      <c r="AP408">
        <v>0</v>
      </c>
      <c r="AQ408" t="s">
        <v>21</v>
      </c>
      <c r="AR408" t="s">
        <v>0</v>
      </c>
      <c r="AS408" t="s">
        <v>20</v>
      </c>
      <c r="AT408" s="2" t="s">
        <v>7</v>
      </c>
      <c r="AU408" s="1">
        <f t="shared" si="51"/>
        <v>1.0406205299114295</v>
      </c>
      <c r="AV408" s="1">
        <f t="shared" si="52"/>
        <v>0.8463328826874198</v>
      </c>
      <c r="AW408" s="1">
        <f t="shared" si="53"/>
        <v>0.65204523546341031</v>
      </c>
    </row>
    <row r="409" spans="1:49" x14ac:dyDescent="0.2">
      <c r="A409">
        <v>407</v>
      </c>
      <c r="B409" t="s">
        <v>5951</v>
      </c>
      <c r="C409" t="s">
        <v>5950</v>
      </c>
      <c r="F409" t="s">
        <v>5949</v>
      </c>
      <c r="G409" t="s">
        <v>6</v>
      </c>
      <c r="H409" t="s">
        <v>5</v>
      </c>
      <c r="I409" t="s">
        <v>5948</v>
      </c>
      <c r="J409">
        <v>100562929</v>
      </c>
      <c r="K409" t="s">
        <v>5947</v>
      </c>
      <c r="L409" t="s">
        <v>5946</v>
      </c>
      <c r="M409" t="s">
        <v>62</v>
      </c>
      <c r="N409">
        <v>5</v>
      </c>
      <c r="O409" t="s">
        <v>5945</v>
      </c>
      <c r="P409" t="s">
        <v>5944</v>
      </c>
      <c r="Q409" t="s">
        <v>5943</v>
      </c>
      <c r="R409" s="7">
        <v>37165</v>
      </c>
      <c r="S409" s="8">
        <f t="shared" si="48"/>
        <v>2001</v>
      </c>
      <c r="T409" s="8">
        <v>2001</v>
      </c>
      <c r="U409" s="8">
        <f t="shared" si="49"/>
        <v>21</v>
      </c>
      <c r="V409" s="7">
        <v>37165</v>
      </c>
      <c r="W409" s="11" t="s">
        <v>761</v>
      </c>
      <c r="X409" s="2">
        <v>2.383</v>
      </c>
      <c r="Y409" s="6">
        <f t="shared" si="54"/>
        <v>6.3612824003630442E-2</v>
      </c>
      <c r="AA409">
        <v>13502395</v>
      </c>
      <c r="AB409">
        <v>17418</v>
      </c>
      <c r="AD409" t="s">
        <v>1</v>
      </c>
      <c r="AE409">
        <v>148</v>
      </c>
      <c r="AF409">
        <v>5</v>
      </c>
      <c r="AH409" t="s">
        <v>5942</v>
      </c>
      <c r="AI409" t="s">
        <v>5941</v>
      </c>
      <c r="AK409" t="s">
        <v>5940</v>
      </c>
      <c r="AL409">
        <v>23</v>
      </c>
      <c r="AM409" s="5">
        <f t="shared" si="50"/>
        <v>1.0952380952380953</v>
      </c>
      <c r="AN409" s="4">
        <f t="shared" si="55"/>
        <v>1.658823317286021E-3</v>
      </c>
      <c r="AO409" s="3"/>
      <c r="AP409">
        <v>0</v>
      </c>
      <c r="AR409" t="s">
        <v>0</v>
      </c>
      <c r="AT409" s="2" t="s">
        <v>7</v>
      </c>
      <c r="AU409" s="1">
        <f t="shared" si="51"/>
        <v>4.5026623797727119</v>
      </c>
      <c r="AV409" s="1">
        <f t="shared" si="52"/>
        <v>3.263582366045823</v>
      </c>
      <c r="AW409" s="1">
        <f t="shared" si="53"/>
        <v>2.0245023523189345</v>
      </c>
    </row>
    <row r="410" spans="1:49" x14ac:dyDescent="0.2">
      <c r="A410">
        <v>408</v>
      </c>
      <c r="B410" t="s">
        <v>5939</v>
      </c>
      <c r="C410" t="s">
        <v>5938</v>
      </c>
      <c r="F410" t="s">
        <v>5937</v>
      </c>
      <c r="G410" t="s">
        <v>6</v>
      </c>
      <c r="H410" t="s">
        <v>5</v>
      </c>
      <c r="I410" t="s">
        <v>5936</v>
      </c>
      <c r="J410">
        <v>100497058</v>
      </c>
      <c r="K410" t="s">
        <v>5935</v>
      </c>
      <c r="L410" t="s">
        <v>5934</v>
      </c>
      <c r="M410" t="s">
        <v>46</v>
      </c>
      <c r="N410">
        <v>2</v>
      </c>
      <c r="O410" t="s">
        <v>5933</v>
      </c>
      <c r="P410" t="s">
        <v>5932</v>
      </c>
      <c r="Q410" t="s">
        <v>5931</v>
      </c>
      <c r="R410" s="7">
        <v>37165</v>
      </c>
      <c r="S410" s="8">
        <f t="shared" si="48"/>
        <v>2001</v>
      </c>
      <c r="T410" s="8">
        <v>2001</v>
      </c>
      <c r="U410" s="8">
        <f t="shared" si="49"/>
        <v>21</v>
      </c>
      <c r="V410" s="7">
        <v>37165</v>
      </c>
      <c r="W410" s="11" t="s">
        <v>761</v>
      </c>
      <c r="X410" s="2">
        <v>2.383</v>
      </c>
      <c r="Y410" s="6">
        <f t="shared" si="54"/>
        <v>6.3612824003630442E-2</v>
      </c>
      <c r="AA410">
        <v>13502395</v>
      </c>
      <c r="AB410">
        <v>17418</v>
      </c>
      <c r="AD410" t="s">
        <v>1</v>
      </c>
      <c r="AE410">
        <v>148</v>
      </c>
      <c r="AF410">
        <v>5</v>
      </c>
      <c r="AH410" t="s">
        <v>5930</v>
      </c>
      <c r="AI410" t="s">
        <v>5929</v>
      </c>
      <c r="AK410" t="s">
        <v>5928</v>
      </c>
      <c r="AL410">
        <v>109</v>
      </c>
      <c r="AM410" s="5">
        <f t="shared" si="50"/>
        <v>5.1904761904761907</v>
      </c>
      <c r="AN410" s="4">
        <f t="shared" si="55"/>
        <v>7.8613800688772297E-3</v>
      </c>
      <c r="AO410" s="3"/>
      <c r="AP410">
        <v>0</v>
      </c>
      <c r="AR410" t="s">
        <v>0</v>
      </c>
      <c r="AT410" s="2" t="s">
        <v>7</v>
      </c>
      <c r="AU410" s="1">
        <f t="shared" si="51"/>
        <v>4.6887390823204473</v>
      </c>
      <c r="AV410" s="1">
        <f t="shared" si="52"/>
        <v>3.5737102036253834</v>
      </c>
      <c r="AW410" s="1">
        <f t="shared" si="53"/>
        <v>2.458681324930319</v>
      </c>
    </row>
    <row r="411" spans="1:49" x14ac:dyDescent="0.2">
      <c r="A411">
        <v>409</v>
      </c>
      <c r="B411" t="s">
        <v>5927</v>
      </c>
      <c r="C411" t="s">
        <v>5926</v>
      </c>
      <c r="D411" t="s">
        <v>5925</v>
      </c>
      <c r="F411" t="s">
        <v>5924</v>
      </c>
      <c r="G411" t="s">
        <v>6</v>
      </c>
      <c r="H411" t="s">
        <v>5</v>
      </c>
      <c r="I411" t="s">
        <v>277</v>
      </c>
      <c r="J411">
        <v>60026553</v>
      </c>
      <c r="K411" t="s">
        <v>5923</v>
      </c>
      <c r="L411" t="s">
        <v>5922</v>
      </c>
      <c r="M411" t="s">
        <v>223</v>
      </c>
      <c r="N411">
        <v>4</v>
      </c>
      <c r="O411" t="s">
        <v>5921</v>
      </c>
      <c r="P411" t="s">
        <v>5920</v>
      </c>
      <c r="Q411" t="s">
        <v>5919</v>
      </c>
      <c r="R411" s="7">
        <v>37165</v>
      </c>
      <c r="S411" s="8">
        <f t="shared" si="48"/>
        <v>2001</v>
      </c>
      <c r="T411" s="8">
        <v>2001</v>
      </c>
      <c r="U411" s="8">
        <f t="shared" si="49"/>
        <v>21</v>
      </c>
      <c r="V411" s="7">
        <v>37165</v>
      </c>
      <c r="W411" t="s">
        <v>103</v>
      </c>
      <c r="X411" s="2">
        <v>1.3720000000000001</v>
      </c>
      <c r="Y411" s="6">
        <f t="shared" si="54"/>
        <v>3.662475641333654E-2</v>
      </c>
      <c r="AA411">
        <v>189480</v>
      </c>
      <c r="AB411">
        <v>17366</v>
      </c>
      <c r="AD411" t="s">
        <v>1</v>
      </c>
      <c r="AE411">
        <v>49</v>
      </c>
      <c r="AF411" t="s">
        <v>5885</v>
      </c>
      <c r="AH411" t="s">
        <v>5918</v>
      </c>
      <c r="AI411" t="s">
        <v>5917</v>
      </c>
      <c r="AJ411" t="s">
        <v>5916</v>
      </c>
      <c r="AK411" t="s">
        <v>5915</v>
      </c>
      <c r="AL411">
        <v>78</v>
      </c>
      <c r="AM411" s="5">
        <f t="shared" si="50"/>
        <v>3.7142857142857144</v>
      </c>
      <c r="AN411" s="4">
        <f t="shared" si="55"/>
        <v>5.6255747281873754E-3</v>
      </c>
      <c r="AO411" s="3"/>
      <c r="AP411">
        <v>0</v>
      </c>
      <c r="AR411" t="s">
        <v>0</v>
      </c>
      <c r="AT411" s="2" t="s">
        <v>7</v>
      </c>
      <c r="AU411" s="1">
        <f t="shared" si="51"/>
        <v>2.7325001907791786</v>
      </c>
      <c r="AV411" s="1">
        <f t="shared" si="52"/>
        <v>2.1125165570761957</v>
      </c>
      <c r="AW411" s="1">
        <f t="shared" si="53"/>
        <v>1.4925329233732125</v>
      </c>
    </row>
    <row r="412" spans="1:49" x14ac:dyDescent="0.2">
      <c r="A412">
        <v>410</v>
      </c>
      <c r="B412" t="s">
        <v>5914</v>
      </c>
      <c r="F412" t="s">
        <v>5913</v>
      </c>
      <c r="G412" t="s">
        <v>6</v>
      </c>
      <c r="H412" t="s">
        <v>5</v>
      </c>
      <c r="I412" t="s">
        <v>5912</v>
      </c>
      <c r="J412">
        <v>60005244</v>
      </c>
      <c r="K412" t="s">
        <v>928</v>
      </c>
      <c r="L412" t="s">
        <v>367</v>
      </c>
      <c r="M412" t="s">
        <v>62</v>
      </c>
      <c r="N412">
        <v>4</v>
      </c>
      <c r="O412" t="s">
        <v>5911</v>
      </c>
      <c r="P412" t="s">
        <v>5910</v>
      </c>
      <c r="Q412" t="s">
        <v>5909</v>
      </c>
      <c r="R412" s="7">
        <v>37165</v>
      </c>
      <c r="S412" s="8">
        <f t="shared" si="48"/>
        <v>2001</v>
      </c>
      <c r="T412" s="8">
        <v>2001</v>
      </c>
      <c r="U412" s="8">
        <f t="shared" si="49"/>
        <v>21</v>
      </c>
      <c r="V412" s="7">
        <v>37165</v>
      </c>
      <c r="W412" t="s">
        <v>95</v>
      </c>
      <c r="X412" s="2">
        <v>0.26700000000000002</v>
      </c>
      <c r="Y412" s="6">
        <f t="shared" si="54"/>
        <v>7.1274125090093707E-3</v>
      </c>
      <c r="AA412">
        <v>10224653</v>
      </c>
      <c r="AB412">
        <v>24184</v>
      </c>
      <c r="AD412" t="s">
        <v>1</v>
      </c>
      <c r="AE412">
        <v>10</v>
      </c>
      <c r="AF412">
        <v>4</v>
      </c>
      <c r="AH412" t="s">
        <v>5908</v>
      </c>
      <c r="AI412" t="s">
        <v>5907</v>
      </c>
      <c r="AJ412" t="s">
        <v>5906</v>
      </c>
      <c r="AK412" t="s">
        <v>5905</v>
      </c>
      <c r="AL412">
        <v>0</v>
      </c>
      <c r="AM412" s="5">
        <f t="shared" si="50"/>
        <v>0</v>
      </c>
      <c r="AN412" s="4">
        <f t="shared" si="55"/>
        <v>0</v>
      </c>
      <c r="AO412" s="3"/>
      <c r="AP412">
        <v>0</v>
      </c>
      <c r="AR412" t="s">
        <v>0</v>
      </c>
      <c r="AT412" s="2">
        <v>1.014</v>
      </c>
      <c r="AU412" s="1">
        <f t="shared" si="51"/>
        <v>0.49891887563065596</v>
      </c>
      <c r="AV412" s="1">
        <f t="shared" si="52"/>
        <v>0.35637062545046855</v>
      </c>
      <c r="AW412" s="1">
        <f t="shared" si="53"/>
        <v>0.21382237527028108</v>
      </c>
    </row>
    <row r="413" spans="1:49" x14ac:dyDescent="0.2">
      <c r="A413">
        <v>411</v>
      </c>
      <c r="B413" t="s">
        <v>5904</v>
      </c>
      <c r="C413" t="s">
        <v>5903</v>
      </c>
      <c r="D413" t="s">
        <v>5902</v>
      </c>
      <c r="F413" t="s">
        <v>5901</v>
      </c>
      <c r="G413" t="s">
        <v>6</v>
      </c>
      <c r="H413" t="s">
        <v>5</v>
      </c>
      <c r="I413" t="s">
        <v>5900</v>
      </c>
      <c r="J413">
        <v>60029428</v>
      </c>
      <c r="K413" t="s">
        <v>462</v>
      </c>
      <c r="L413" t="s">
        <v>461</v>
      </c>
      <c r="M413" t="s">
        <v>46</v>
      </c>
      <c r="N413">
        <v>3</v>
      </c>
      <c r="O413" t="s">
        <v>5899</v>
      </c>
      <c r="P413" t="s">
        <v>5898</v>
      </c>
      <c r="Q413" t="s">
        <v>5897</v>
      </c>
      <c r="R413" s="7">
        <v>37165</v>
      </c>
      <c r="S413" s="8">
        <f t="shared" si="48"/>
        <v>2001</v>
      </c>
      <c r="T413" s="8">
        <v>2001</v>
      </c>
      <c r="U413" s="8">
        <f t="shared" si="49"/>
        <v>21</v>
      </c>
      <c r="V413" s="7">
        <v>37165</v>
      </c>
      <c r="W413" t="s">
        <v>103</v>
      </c>
      <c r="X413" s="2">
        <v>1.3720000000000001</v>
      </c>
      <c r="Y413" s="6">
        <f t="shared" si="54"/>
        <v>3.662475641333654E-2</v>
      </c>
      <c r="AA413">
        <v>189480</v>
      </c>
      <c r="AB413">
        <v>17366</v>
      </c>
      <c r="AD413" t="s">
        <v>1</v>
      </c>
      <c r="AE413">
        <v>49</v>
      </c>
      <c r="AF413" t="s">
        <v>5885</v>
      </c>
      <c r="AH413" t="s">
        <v>5896</v>
      </c>
      <c r="AI413" t="s">
        <v>5895</v>
      </c>
      <c r="AJ413" t="s">
        <v>5894</v>
      </c>
      <c r="AK413" t="s">
        <v>5893</v>
      </c>
      <c r="AL413">
        <v>115</v>
      </c>
      <c r="AM413" s="5">
        <f t="shared" si="50"/>
        <v>5.4761904761904763</v>
      </c>
      <c r="AN413" s="4">
        <f t="shared" si="55"/>
        <v>8.2941165864301048E-3</v>
      </c>
      <c r="AO413" s="3"/>
      <c r="AP413">
        <v>0</v>
      </c>
      <c r="AR413" t="s">
        <v>0</v>
      </c>
      <c r="AT413" s="2" t="s">
        <v>7</v>
      </c>
      <c r="AU413" s="1">
        <f t="shared" si="51"/>
        <v>2.8125564465264605</v>
      </c>
      <c r="AV413" s="1">
        <f t="shared" si="52"/>
        <v>2.2459436499883321</v>
      </c>
      <c r="AW413" s="1">
        <f t="shared" si="53"/>
        <v>1.6793308534502036</v>
      </c>
    </row>
    <row r="414" spans="1:49" x14ac:dyDescent="0.2">
      <c r="A414">
        <v>412</v>
      </c>
      <c r="B414" t="s">
        <v>5892</v>
      </c>
      <c r="C414" t="s">
        <v>5891</v>
      </c>
      <c r="D414" t="s">
        <v>5890</v>
      </c>
      <c r="F414" t="s">
        <v>5889</v>
      </c>
      <c r="G414" t="s">
        <v>6</v>
      </c>
      <c r="H414" t="s">
        <v>5</v>
      </c>
      <c r="I414" t="s">
        <v>5888</v>
      </c>
      <c r="J414">
        <v>60018735</v>
      </c>
      <c r="K414" t="s">
        <v>288</v>
      </c>
      <c r="L414" t="s">
        <v>92</v>
      </c>
      <c r="M414" t="s">
        <v>26</v>
      </c>
      <c r="N414">
        <v>3</v>
      </c>
      <c r="O414" t="s">
        <v>5887</v>
      </c>
      <c r="P414" t="s">
        <v>5886</v>
      </c>
      <c r="Q414" t="s">
        <v>515</v>
      </c>
      <c r="R414" s="7">
        <v>37165</v>
      </c>
      <c r="S414" s="8">
        <f t="shared" si="48"/>
        <v>2001</v>
      </c>
      <c r="T414" s="8">
        <v>2001</v>
      </c>
      <c r="U414" s="8">
        <f t="shared" si="49"/>
        <v>21</v>
      </c>
      <c r="V414" s="7">
        <v>37165</v>
      </c>
      <c r="W414" t="s">
        <v>103</v>
      </c>
      <c r="X414" s="2">
        <v>1.3720000000000001</v>
      </c>
      <c r="Y414" s="6">
        <f t="shared" si="54"/>
        <v>3.662475641333654E-2</v>
      </c>
      <c r="AA414">
        <v>189480</v>
      </c>
      <c r="AB414">
        <v>17366</v>
      </c>
      <c r="AD414" t="s">
        <v>1</v>
      </c>
      <c r="AE414">
        <v>49</v>
      </c>
      <c r="AF414" t="s">
        <v>5885</v>
      </c>
      <c r="AH414" t="s">
        <v>5884</v>
      </c>
      <c r="AI414" t="s">
        <v>5883</v>
      </c>
      <c r="AJ414" t="s">
        <v>5882</v>
      </c>
      <c r="AK414" t="s">
        <v>5881</v>
      </c>
      <c r="AL414">
        <v>23</v>
      </c>
      <c r="AM414" s="5">
        <f t="shared" si="50"/>
        <v>1.0952380952380953</v>
      </c>
      <c r="AN414" s="4">
        <f t="shared" si="55"/>
        <v>1.658823317286021E-3</v>
      </c>
      <c r="AO414" s="3"/>
      <c r="AP414">
        <v>0</v>
      </c>
      <c r="AR414" t="s">
        <v>0</v>
      </c>
      <c r="AT414" s="2" t="s">
        <v>7</v>
      </c>
      <c r="AU414" s="1">
        <f t="shared" si="51"/>
        <v>2.6134976484521384</v>
      </c>
      <c r="AV414" s="1">
        <f t="shared" si="52"/>
        <v>1.9141789865311281</v>
      </c>
      <c r="AW414" s="1">
        <f t="shared" si="53"/>
        <v>1.2148603246101177</v>
      </c>
    </row>
    <row r="415" spans="1:49" x14ac:dyDescent="0.2">
      <c r="A415">
        <v>413</v>
      </c>
      <c r="B415" t="s">
        <v>5880</v>
      </c>
      <c r="C415" t="s">
        <v>5879</v>
      </c>
      <c r="F415" t="s">
        <v>5878</v>
      </c>
      <c r="G415" t="s">
        <v>6</v>
      </c>
      <c r="H415" t="s">
        <v>5</v>
      </c>
      <c r="I415" t="s">
        <v>5877</v>
      </c>
      <c r="J415" t="s">
        <v>5876</v>
      </c>
      <c r="K415" t="s">
        <v>5875</v>
      </c>
      <c r="L415" t="s">
        <v>5874</v>
      </c>
      <c r="M415" t="s">
        <v>5873</v>
      </c>
      <c r="N415">
        <v>2</v>
      </c>
      <c r="O415" t="s">
        <v>5872</v>
      </c>
      <c r="P415" t="s">
        <v>5871</v>
      </c>
      <c r="Q415" t="s">
        <v>5870</v>
      </c>
      <c r="R415" s="7">
        <v>37165</v>
      </c>
      <c r="S415" s="8">
        <f t="shared" si="48"/>
        <v>2001</v>
      </c>
      <c r="T415" s="8">
        <v>2001</v>
      </c>
      <c r="U415" s="8">
        <f t="shared" si="49"/>
        <v>21</v>
      </c>
      <c r="V415" s="7">
        <v>37165</v>
      </c>
      <c r="W415" t="s">
        <v>892</v>
      </c>
      <c r="X415" s="2">
        <v>0.75</v>
      </c>
      <c r="Y415" s="6">
        <f t="shared" si="54"/>
        <v>2.0020821654520703E-2</v>
      </c>
      <c r="AA415" t="s">
        <v>891</v>
      </c>
      <c r="AB415">
        <v>29221</v>
      </c>
      <c r="AD415" t="s">
        <v>1</v>
      </c>
      <c r="AE415">
        <v>8</v>
      </c>
      <c r="AF415">
        <v>10</v>
      </c>
      <c r="AH415" t="s">
        <v>5869</v>
      </c>
      <c r="AI415" t="s">
        <v>5868</v>
      </c>
      <c r="AK415" t="s">
        <v>5867</v>
      </c>
      <c r="AL415">
        <v>39</v>
      </c>
      <c r="AM415" s="5">
        <f t="shared" si="50"/>
        <v>1.8571428571428572</v>
      </c>
      <c r="AN415" s="4">
        <f t="shared" si="55"/>
        <v>2.8127873640936877E-3</v>
      </c>
      <c r="AO415" s="3"/>
      <c r="AP415">
        <v>0</v>
      </c>
      <c r="AR415" t="s">
        <v>0</v>
      </c>
      <c r="AT415" s="2">
        <v>2.0230000000000001</v>
      </c>
      <c r="AU415" s="1">
        <f t="shared" si="51"/>
        <v>1.4858411367392597</v>
      </c>
      <c r="AV415" s="1">
        <f t="shared" si="52"/>
        <v>1.1416804509307195</v>
      </c>
      <c r="AW415" s="1">
        <f t="shared" si="53"/>
        <v>0.79751976512217915</v>
      </c>
    </row>
    <row r="416" spans="1:49" x14ac:dyDescent="0.2">
      <c r="A416">
        <v>414</v>
      </c>
      <c r="B416" t="s">
        <v>5866</v>
      </c>
      <c r="C416" t="s">
        <v>5865</v>
      </c>
      <c r="D416" t="s">
        <v>5864</v>
      </c>
      <c r="F416" t="s">
        <v>5863</v>
      </c>
      <c r="G416" t="s">
        <v>6</v>
      </c>
      <c r="H416" t="s">
        <v>5</v>
      </c>
      <c r="I416" t="s">
        <v>5862</v>
      </c>
      <c r="J416" t="s">
        <v>5861</v>
      </c>
      <c r="K416" t="s">
        <v>5860</v>
      </c>
      <c r="L416" t="s">
        <v>5859</v>
      </c>
      <c r="M416" t="s">
        <v>128</v>
      </c>
      <c r="N416">
        <v>2</v>
      </c>
      <c r="O416" t="s">
        <v>5858</v>
      </c>
      <c r="P416" t="s">
        <v>5857</v>
      </c>
      <c r="Q416" t="s">
        <v>5856</v>
      </c>
      <c r="R416" s="7">
        <v>37165</v>
      </c>
      <c r="S416" s="8">
        <f t="shared" si="48"/>
        <v>2001</v>
      </c>
      <c r="T416" s="8">
        <v>2001</v>
      </c>
      <c r="U416" s="8">
        <f t="shared" si="49"/>
        <v>21</v>
      </c>
      <c r="V416" s="7">
        <v>37165</v>
      </c>
      <c r="W416" t="s">
        <v>226</v>
      </c>
      <c r="X416" s="2">
        <v>1.6519999999999999</v>
      </c>
      <c r="Y416" s="6">
        <f t="shared" si="54"/>
        <v>4.409919649769093E-2</v>
      </c>
      <c r="AA416" t="s">
        <v>225</v>
      </c>
      <c r="AB416">
        <v>17337</v>
      </c>
      <c r="AD416" t="s">
        <v>1</v>
      </c>
      <c r="AE416">
        <v>49</v>
      </c>
      <c r="AF416">
        <v>10</v>
      </c>
      <c r="AH416" t="s">
        <v>5855</v>
      </c>
      <c r="AI416" t="s">
        <v>5854</v>
      </c>
      <c r="AJ416" t="s">
        <v>5853</v>
      </c>
      <c r="AK416" t="s">
        <v>5852</v>
      </c>
      <c r="AL416">
        <v>74</v>
      </c>
      <c r="AM416" s="5">
        <f t="shared" si="50"/>
        <v>3.5238095238095237</v>
      </c>
      <c r="AN416" s="4">
        <f t="shared" si="55"/>
        <v>5.337083716485458E-3</v>
      </c>
      <c r="AO416" s="3"/>
      <c r="AP416">
        <v>0</v>
      </c>
      <c r="AQ416" t="s">
        <v>21</v>
      </c>
      <c r="AR416" t="s">
        <v>5851</v>
      </c>
      <c r="AS416" t="s">
        <v>20</v>
      </c>
      <c r="AT416" s="2" t="s">
        <v>7</v>
      </c>
      <c r="AU416" s="1">
        <f t="shared" si="51"/>
        <v>3.2470562663329288</v>
      </c>
      <c r="AV416" s="1">
        <f t="shared" si="52"/>
        <v>2.4718140107088193</v>
      </c>
      <c r="AW416" s="1">
        <f t="shared" si="53"/>
        <v>1.6965717550847099</v>
      </c>
    </row>
    <row r="417" spans="1:49" x14ac:dyDescent="0.2">
      <c r="A417">
        <v>415</v>
      </c>
      <c r="B417" t="s">
        <v>5850</v>
      </c>
      <c r="C417" t="s">
        <v>5849</v>
      </c>
      <c r="D417" t="s">
        <v>5848</v>
      </c>
      <c r="F417" t="s">
        <v>5847</v>
      </c>
      <c r="G417" t="s">
        <v>6</v>
      </c>
      <c r="H417" t="s">
        <v>5</v>
      </c>
      <c r="I417" t="s">
        <v>5846</v>
      </c>
      <c r="J417" t="s">
        <v>5845</v>
      </c>
      <c r="K417" t="s">
        <v>5844</v>
      </c>
      <c r="L417" t="s">
        <v>5843</v>
      </c>
      <c r="M417" t="s">
        <v>44</v>
      </c>
      <c r="N417">
        <v>2</v>
      </c>
      <c r="O417" t="s">
        <v>5842</v>
      </c>
      <c r="P417" t="s">
        <v>5841</v>
      </c>
      <c r="Q417" t="s">
        <v>5840</v>
      </c>
      <c r="R417" s="7">
        <v>37165</v>
      </c>
      <c r="S417" s="8">
        <f t="shared" si="48"/>
        <v>2001</v>
      </c>
      <c r="T417" s="8">
        <v>2001</v>
      </c>
      <c r="U417" s="8">
        <f t="shared" si="49"/>
        <v>21</v>
      </c>
      <c r="V417" s="7">
        <v>37165</v>
      </c>
      <c r="W417" t="s">
        <v>226</v>
      </c>
      <c r="X417" s="2">
        <v>1.6519999999999999</v>
      </c>
      <c r="Y417" s="6">
        <f t="shared" si="54"/>
        <v>4.409919649769093E-2</v>
      </c>
      <c r="AA417" t="s">
        <v>225</v>
      </c>
      <c r="AB417">
        <v>17337</v>
      </c>
      <c r="AD417" t="s">
        <v>1</v>
      </c>
      <c r="AE417">
        <v>49</v>
      </c>
      <c r="AF417">
        <v>10</v>
      </c>
      <c r="AH417" t="s">
        <v>5839</v>
      </c>
      <c r="AI417" t="s">
        <v>5838</v>
      </c>
      <c r="AJ417" t="s">
        <v>5837</v>
      </c>
      <c r="AK417" t="s">
        <v>5836</v>
      </c>
      <c r="AL417">
        <v>20</v>
      </c>
      <c r="AM417" s="5">
        <f t="shared" si="50"/>
        <v>0.95238095238095233</v>
      </c>
      <c r="AN417" s="4">
        <f t="shared" si="55"/>
        <v>1.4424550585095833E-3</v>
      </c>
      <c r="AO417" s="3"/>
      <c r="AP417">
        <v>0</v>
      </c>
      <c r="AR417" t="s">
        <v>0</v>
      </c>
      <c r="AT417" s="2" t="s">
        <v>7</v>
      </c>
      <c r="AU417" s="1">
        <f t="shared" si="51"/>
        <v>3.1302174065936521</v>
      </c>
      <c r="AV417" s="1">
        <f t="shared" si="52"/>
        <v>2.2770825778100257</v>
      </c>
      <c r="AW417" s="1">
        <f t="shared" si="53"/>
        <v>1.4239477490263985</v>
      </c>
    </row>
    <row r="418" spans="1:49" x14ac:dyDescent="0.2">
      <c r="A418">
        <v>416</v>
      </c>
      <c r="B418" t="s">
        <v>5835</v>
      </c>
      <c r="C418" t="s">
        <v>5834</v>
      </c>
      <c r="D418" t="s">
        <v>5833</v>
      </c>
      <c r="F418" t="s">
        <v>5832</v>
      </c>
      <c r="G418" t="s">
        <v>6</v>
      </c>
      <c r="H418" t="s">
        <v>5</v>
      </c>
      <c r="I418" t="s">
        <v>5831</v>
      </c>
      <c r="J418" t="s">
        <v>229</v>
      </c>
      <c r="K418" t="s">
        <v>228</v>
      </c>
      <c r="L418" t="s">
        <v>227</v>
      </c>
      <c r="M418" t="s">
        <v>44</v>
      </c>
      <c r="N418">
        <v>1</v>
      </c>
      <c r="O418" t="s">
        <v>5830</v>
      </c>
      <c r="P418">
        <v>57223745182</v>
      </c>
      <c r="Q418" t="s">
        <v>5829</v>
      </c>
      <c r="R418" s="7">
        <v>37165</v>
      </c>
      <c r="S418" s="8">
        <f t="shared" si="48"/>
        <v>2001</v>
      </c>
      <c r="T418" s="8">
        <v>2001</v>
      </c>
      <c r="U418" s="8">
        <f t="shared" si="49"/>
        <v>21</v>
      </c>
      <c r="V418" s="7">
        <v>37165</v>
      </c>
      <c r="W418" t="s">
        <v>226</v>
      </c>
      <c r="X418" s="2">
        <v>1.6519999999999999</v>
      </c>
      <c r="Y418" s="6">
        <f t="shared" si="54"/>
        <v>4.409919649769093E-2</v>
      </c>
      <c r="AA418" t="s">
        <v>225</v>
      </c>
      <c r="AB418">
        <v>17337</v>
      </c>
      <c r="AD418" t="s">
        <v>1</v>
      </c>
      <c r="AE418">
        <v>49</v>
      </c>
      <c r="AF418">
        <v>10</v>
      </c>
      <c r="AH418" t="s">
        <v>5828</v>
      </c>
      <c r="AI418" t="s">
        <v>5827</v>
      </c>
      <c r="AJ418" t="s">
        <v>5826</v>
      </c>
      <c r="AK418" t="s">
        <v>5825</v>
      </c>
      <c r="AL418">
        <v>20</v>
      </c>
      <c r="AM418" s="5">
        <f t="shared" si="50"/>
        <v>0.95238095238095233</v>
      </c>
      <c r="AN418" s="4">
        <f t="shared" si="55"/>
        <v>1.4424550585095833E-3</v>
      </c>
      <c r="AO418" s="3"/>
      <c r="AP418">
        <v>0</v>
      </c>
      <c r="AQ418" t="s">
        <v>245</v>
      </c>
      <c r="AR418" t="s">
        <v>0</v>
      </c>
      <c r="AS418" t="s">
        <v>244</v>
      </c>
      <c r="AT418" s="2" t="s">
        <v>7</v>
      </c>
      <c r="AU418" s="1">
        <f t="shared" si="51"/>
        <v>3.1302174065936521</v>
      </c>
      <c r="AV418" s="1">
        <f t="shared" si="52"/>
        <v>2.2770825778100257</v>
      </c>
      <c r="AW418" s="1">
        <f t="shared" si="53"/>
        <v>1.4239477490263985</v>
      </c>
    </row>
    <row r="419" spans="1:49" x14ac:dyDescent="0.2">
      <c r="A419">
        <v>417</v>
      </c>
      <c r="B419" t="s">
        <v>5824</v>
      </c>
      <c r="C419" t="s">
        <v>5823</v>
      </c>
      <c r="D419" t="s">
        <v>5822</v>
      </c>
      <c r="F419" t="s">
        <v>5821</v>
      </c>
      <c r="G419" t="s">
        <v>6</v>
      </c>
      <c r="H419" t="s">
        <v>5</v>
      </c>
      <c r="I419" t="s">
        <v>5820</v>
      </c>
      <c r="J419">
        <v>60025028</v>
      </c>
      <c r="K419" t="s">
        <v>5819</v>
      </c>
      <c r="L419" t="s">
        <v>5818</v>
      </c>
      <c r="M419" t="s">
        <v>194</v>
      </c>
      <c r="N419">
        <v>2</v>
      </c>
      <c r="O419" t="s">
        <v>5817</v>
      </c>
      <c r="P419" t="s">
        <v>5816</v>
      </c>
      <c r="Q419" t="s">
        <v>5815</v>
      </c>
      <c r="R419" s="7">
        <v>37165</v>
      </c>
      <c r="S419" s="8">
        <f t="shared" si="48"/>
        <v>2001</v>
      </c>
      <c r="T419" s="8">
        <v>2001</v>
      </c>
      <c r="U419" s="8">
        <f t="shared" si="49"/>
        <v>21</v>
      </c>
      <c r="V419" s="7">
        <v>37165</v>
      </c>
      <c r="W419" t="s">
        <v>226</v>
      </c>
      <c r="X419" s="2">
        <v>1.6519999999999999</v>
      </c>
      <c r="Y419" s="6">
        <f t="shared" si="54"/>
        <v>4.409919649769093E-2</v>
      </c>
      <c r="AA419" t="s">
        <v>225</v>
      </c>
      <c r="AB419">
        <v>17337</v>
      </c>
      <c r="AD419" t="s">
        <v>1</v>
      </c>
      <c r="AE419">
        <v>49</v>
      </c>
      <c r="AF419">
        <v>10</v>
      </c>
      <c r="AH419" t="s">
        <v>5814</v>
      </c>
      <c r="AI419" t="s">
        <v>5813</v>
      </c>
      <c r="AJ419" t="s">
        <v>5812</v>
      </c>
      <c r="AK419" t="s">
        <v>5811</v>
      </c>
      <c r="AL419">
        <v>1</v>
      </c>
      <c r="AM419" s="5">
        <f t="shared" si="50"/>
        <v>4.7619047619047616E-2</v>
      </c>
      <c r="AN419" s="4">
        <f t="shared" si="55"/>
        <v>7.2122752925479164E-5</v>
      </c>
      <c r="AO419" s="3"/>
      <c r="AP419">
        <v>0</v>
      </c>
      <c r="AR419" t="s">
        <v>0</v>
      </c>
      <c r="AT419" s="2" t="s">
        <v>7</v>
      </c>
      <c r="AU419" s="1">
        <f t="shared" si="51"/>
        <v>3.0891074374261294</v>
      </c>
      <c r="AV419" s="1">
        <f t="shared" si="52"/>
        <v>2.2085659625308205</v>
      </c>
      <c r="AW419" s="1">
        <f t="shared" si="53"/>
        <v>1.3280244876355114</v>
      </c>
    </row>
    <row r="420" spans="1:49" x14ac:dyDescent="0.2">
      <c r="A420">
        <v>418</v>
      </c>
      <c r="B420" t="s">
        <v>5810</v>
      </c>
      <c r="C420" t="s">
        <v>5809</v>
      </c>
      <c r="D420" t="s">
        <v>5808</v>
      </c>
      <c r="F420" t="s">
        <v>5807</v>
      </c>
      <c r="G420" t="s">
        <v>6</v>
      </c>
      <c r="H420" t="s">
        <v>5</v>
      </c>
      <c r="I420" t="s">
        <v>5806</v>
      </c>
      <c r="J420" t="s">
        <v>5805</v>
      </c>
      <c r="K420" t="s">
        <v>5804</v>
      </c>
      <c r="L420" t="s">
        <v>5803</v>
      </c>
      <c r="M420" t="s">
        <v>29</v>
      </c>
      <c r="N420">
        <v>1</v>
      </c>
      <c r="O420" t="s">
        <v>5802</v>
      </c>
      <c r="P420">
        <v>7005896265</v>
      </c>
      <c r="Q420" t="s">
        <v>5801</v>
      </c>
      <c r="R420" s="7">
        <v>37165</v>
      </c>
      <c r="S420" s="8">
        <f t="shared" si="48"/>
        <v>2001</v>
      </c>
      <c r="T420" s="8">
        <v>2001</v>
      </c>
      <c r="U420" s="8">
        <f t="shared" si="49"/>
        <v>21</v>
      </c>
      <c r="V420" s="7">
        <v>37165</v>
      </c>
      <c r="W420" t="s">
        <v>226</v>
      </c>
      <c r="X420" s="2">
        <v>1.6519999999999999</v>
      </c>
      <c r="Y420" s="6">
        <f t="shared" si="54"/>
        <v>4.409919649769093E-2</v>
      </c>
      <c r="AA420" t="s">
        <v>225</v>
      </c>
      <c r="AB420">
        <v>17337</v>
      </c>
      <c r="AD420" t="s">
        <v>1</v>
      </c>
      <c r="AE420">
        <v>49</v>
      </c>
      <c r="AF420">
        <v>10</v>
      </c>
      <c r="AH420" t="s">
        <v>5800</v>
      </c>
      <c r="AI420" t="s">
        <v>5799</v>
      </c>
      <c r="AJ420" t="s">
        <v>5798</v>
      </c>
      <c r="AK420" t="s">
        <v>5797</v>
      </c>
      <c r="AL420">
        <v>18</v>
      </c>
      <c r="AM420" s="5">
        <f t="shared" si="50"/>
        <v>0.8571428571428571</v>
      </c>
      <c r="AN420" s="4">
        <f t="shared" si="55"/>
        <v>1.2982095526586248E-3</v>
      </c>
      <c r="AO420" s="3"/>
      <c r="AP420">
        <v>0</v>
      </c>
      <c r="AR420" t="s">
        <v>0</v>
      </c>
      <c r="AT420" s="2" t="s">
        <v>7</v>
      </c>
      <c r="AU420" s="1">
        <f t="shared" si="51"/>
        <v>3.1258900414181237</v>
      </c>
      <c r="AV420" s="1">
        <f t="shared" si="52"/>
        <v>2.2698703025174778</v>
      </c>
      <c r="AW420" s="1">
        <f t="shared" si="53"/>
        <v>1.4138505636168315</v>
      </c>
    </row>
    <row r="421" spans="1:49" x14ac:dyDescent="0.2">
      <c r="A421">
        <v>419</v>
      </c>
      <c r="B421" t="s">
        <v>5796</v>
      </c>
      <c r="C421" t="s">
        <v>5795</v>
      </c>
      <c r="D421" t="s">
        <v>5794</v>
      </c>
      <c r="F421" t="s">
        <v>5793</v>
      </c>
      <c r="G421" t="s">
        <v>6</v>
      </c>
      <c r="H421" t="s">
        <v>5</v>
      </c>
      <c r="I421" t="s">
        <v>5792</v>
      </c>
      <c r="J421" t="s">
        <v>5791</v>
      </c>
      <c r="K421" t="s">
        <v>5790</v>
      </c>
      <c r="L421" t="s">
        <v>5789</v>
      </c>
      <c r="M421" t="s">
        <v>5788</v>
      </c>
      <c r="N421">
        <v>2</v>
      </c>
      <c r="O421" t="s">
        <v>5787</v>
      </c>
      <c r="P421" t="s">
        <v>5786</v>
      </c>
      <c r="Q421" t="s">
        <v>5785</v>
      </c>
      <c r="R421" s="7">
        <v>37165</v>
      </c>
      <c r="S421" s="8">
        <f t="shared" si="48"/>
        <v>2001</v>
      </c>
      <c r="T421" s="8">
        <v>2001</v>
      </c>
      <c r="U421" s="8">
        <f t="shared" si="49"/>
        <v>21</v>
      </c>
      <c r="V421" s="7">
        <v>37165</v>
      </c>
      <c r="W421" t="s">
        <v>226</v>
      </c>
      <c r="X421" s="2">
        <v>1.6519999999999999</v>
      </c>
      <c r="Y421" s="6">
        <f t="shared" si="54"/>
        <v>4.409919649769093E-2</v>
      </c>
      <c r="AA421" t="s">
        <v>225</v>
      </c>
      <c r="AB421">
        <v>17337</v>
      </c>
      <c r="AD421" t="s">
        <v>1</v>
      </c>
      <c r="AE421">
        <v>49</v>
      </c>
      <c r="AF421">
        <v>10</v>
      </c>
      <c r="AH421" t="s">
        <v>5784</v>
      </c>
      <c r="AI421" t="s">
        <v>5783</v>
      </c>
      <c r="AJ421" t="s">
        <v>5782</v>
      </c>
      <c r="AK421" t="s">
        <v>5781</v>
      </c>
      <c r="AL421">
        <v>38</v>
      </c>
      <c r="AM421" s="5">
        <f t="shared" si="50"/>
        <v>1.8095238095238095</v>
      </c>
      <c r="AN421" s="4">
        <f t="shared" si="55"/>
        <v>2.7406646111682084E-3</v>
      </c>
      <c r="AO421" s="3"/>
      <c r="AP421">
        <v>0</v>
      </c>
      <c r="AR421" t="s">
        <v>0</v>
      </c>
      <c r="AT421" s="2" t="s">
        <v>7</v>
      </c>
      <c r="AU421" s="1">
        <f t="shared" si="51"/>
        <v>3.1691636931734117</v>
      </c>
      <c r="AV421" s="1">
        <f t="shared" si="52"/>
        <v>2.3419930554429569</v>
      </c>
      <c r="AW421" s="1">
        <f t="shared" si="53"/>
        <v>1.5148224177125023</v>
      </c>
    </row>
    <row r="422" spans="1:49" x14ac:dyDescent="0.2">
      <c r="A422">
        <v>420</v>
      </c>
      <c r="B422" t="s">
        <v>5780</v>
      </c>
      <c r="C422" t="s">
        <v>5779</v>
      </c>
      <c r="D422" t="s">
        <v>5778</v>
      </c>
      <c r="F422" t="s">
        <v>5777</v>
      </c>
      <c r="G422" t="s">
        <v>6</v>
      </c>
      <c r="H422" t="s">
        <v>5</v>
      </c>
      <c r="I422" t="s">
        <v>5776</v>
      </c>
      <c r="J422" t="s">
        <v>5775</v>
      </c>
      <c r="K422" t="s">
        <v>5774</v>
      </c>
      <c r="L422" t="s">
        <v>5773</v>
      </c>
      <c r="M422" t="s">
        <v>235</v>
      </c>
      <c r="N422">
        <v>3</v>
      </c>
      <c r="O422" t="s">
        <v>5772</v>
      </c>
      <c r="P422" t="s">
        <v>5771</v>
      </c>
      <c r="Q422" t="s">
        <v>5770</v>
      </c>
      <c r="R422" s="7">
        <v>37165</v>
      </c>
      <c r="S422" s="8">
        <f t="shared" si="48"/>
        <v>2001</v>
      </c>
      <c r="T422" s="8">
        <v>2001</v>
      </c>
      <c r="U422" s="8">
        <f t="shared" si="49"/>
        <v>21</v>
      </c>
      <c r="V422" s="7">
        <v>37165</v>
      </c>
      <c r="W422" t="s">
        <v>226</v>
      </c>
      <c r="X422" s="2">
        <v>1.6519999999999999</v>
      </c>
      <c r="Y422" s="6">
        <f t="shared" si="54"/>
        <v>4.409919649769093E-2</v>
      </c>
      <c r="AA422" t="s">
        <v>225</v>
      </c>
      <c r="AB422">
        <v>17337</v>
      </c>
      <c r="AD422" t="s">
        <v>1</v>
      </c>
      <c r="AE422">
        <v>49</v>
      </c>
      <c r="AF422">
        <v>10</v>
      </c>
      <c r="AH422" t="s">
        <v>109</v>
      </c>
      <c r="AI422" t="s">
        <v>5769</v>
      </c>
      <c r="AJ422" t="s">
        <v>5768</v>
      </c>
      <c r="AK422" t="s">
        <v>5767</v>
      </c>
      <c r="AL422">
        <v>9</v>
      </c>
      <c r="AM422" s="5">
        <f t="shared" si="50"/>
        <v>0.42857142857142855</v>
      </c>
      <c r="AN422" s="4">
        <f t="shared" si="55"/>
        <v>6.4910477632931242E-4</v>
      </c>
      <c r="AO422" s="3"/>
      <c r="AP422">
        <v>0</v>
      </c>
      <c r="AR422" t="s">
        <v>0</v>
      </c>
      <c r="AT422" s="2" t="s">
        <v>7</v>
      </c>
      <c r="AU422" s="1">
        <f t="shared" si="51"/>
        <v>3.1064168981282445</v>
      </c>
      <c r="AV422" s="1">
        <f t="shared" si="52"/>
        <v>2.237415063701012</v>
      </c>
      <c r="AW422" s="1">
        <f t="shared" si="53"/>
        <v>1.3684132292737798</v>
      </c>
    </row>
    <row r="423" spans="1:49" x14ac:dyDescent="0.2">
      <c r="A423">
        <v>421</v>
      </c>
      <c r="B423" t="s">
        <v>5766</v>
      </c>
      <c r="C423" t="s">
        <v>5765</v>
      </c>
      <c r="D423" t="s">
        <v>5764</v>
      </c>
      <c r="F423" t="s">
        <v>5763</v>
      </c>
      <c r="G423" t="s">
        <v>6</v>
      </c>
      <c r="H423" t="s">
        <v>5</v>
      </c>
      <c r="I423" t="s">
        <v>5762</v>
      </c>
      <c r="J423" t="s">
        <v>5761</v>
      </c>
      <c r="K423" t="s">
        <v>5760</v>
      </c>
      <c r="L423" t="s">
        <v>5759</v>
      </c>
      <c r="M423" t="s">
        <v>669</v>
      </c>
      <c r="N423">
        <v>1</v>
      </c>
      <c r="O423" t="s">
        <v>5758</v>
      </c>
      <c r="P423">
        <v>7005853672</v>
      </c>
      <c r="Q423" t="s">
        <v>5757</v>
      </c>
      <c r="R423" s="7">
        <v>37165</v>
      </c>
      <c r="S423" s="8">
        <f t="shared" si="48"/>
        <v>2001</v>
      </c>
      <c r="T423" s="8">
        <v>2001</v>
      </c>
      <c r="U423" s="8">
        <f t="shared" si="49"/>
        <v>21</v>
      </c>
      <c r="V423" s="7">
        <v>37165</v>
      </c>
      <c r="W423" t="s">
        <v>226</v>
      </c>
      <c r="X423" s="2">
        <v>1.6519999999999999</v>
      </c>
      <c r="Y423" s="6">
        <f t="shared" si="54"/>
        <v>4.409919649769093E-2</v>
      </c>
      <c r="AA423" t="s">
        <v>225</v>
      </c>
      <c r="AB423">
        <v>17337</v>
      </c>
      <c r="AD423" t="s">
        <v>1</v>
      </c>
      <c r="AE423">
        <v>49</v>
      </c>
      <c r="AF423">
        <v>10</v>
      </c>
      <c r="AH423" t="s">
        <v>5756</v>
      </c>
      <c r="AI423" t="s">
        <v>5755</v>
      </c>
      <c r="AJ423" t="s">
        <v>5754</v>
      </c>
      <c r="AK423" t="s">
        <v>5753</v>
      </c>
      <c r="AL423">
        <v>501</v>
      </c>
      <c r="AM423" s="5">
        <f t="shared" si="50"/>
        <v>23.857142857142858</v>
      </c>
      <c r="AN423" s="4">
        <f t="shared" si="55"/>
        <v>3.6133499215665062E-2</v>
      </c>
      <c r="AO423" s="3"/>
      <c r="AP423">
        <v>0</v>
      </c>
      <c r="AR423" t="s">
        <v>0</v>
      </c>
      <c r="AT423" s="2" t="s">
        <v>7</v>
      </c>
      <c r="AU423" s="1">
        <f t="shared" si="51"/>
        <v>4.1709487313083171</v>
      </c>
      <c r="AV423" s="1">
        <f t="shared" si="52"/>
        <v>4.0116347856677992</v>
      </c>
      <c r="AW423" s="1">
        <f t="shared" si="53"/>
        <v>3.8523208400272817</v>
      </c>
    </row>
    <row r="424" spans="1:49" x14ac:dyDescent="0.2">
      <c r="A424">
        <v>422</v>
      </c>
      <c r="B424" t="s">
        <v>5752</v>
      </c>
      <c r="C424" t="s">
        <v>5751</v>
      </c>
      <c r="D424" t="s">
        <v>5750</v>
      </c>
      <c r="F424" t="s">
        <v>5749</v>
      </c>
      <c r="G424" t="s">
        <v>6</v>
      </c>
      <c r="H424" t="s">
        <v>5</v>
      </c>
      <c r="I424" t="s">
        <v>5748</v>
      </c>
      <c r="J424" t="s">
        <v>1347</v>
      </c>
      <c r="K424" t="s">
        <v>1346</v>
      </c>
      <c r="L424" t="s">
        <v>1345</v>
      </c>
      <c r="M424" t="s">
        <v>1344</v>
      </c>
      <c r="N424">
        <v>2</v>
      </c>
      <c r="O424" t="s">
        <v>5747</v>
      </c>
      <c r="P424" t="s">
        <v>5746</v>
      </c>
      <c r="Q424" t="s">
        <v>5745</v>
      </c>
      <c r="R424" s="7">
        <v>37165</v>
      </c>
      <c r="S424" s="8">
        <f t="shared" si="48"/>
        <v>2001</v>
      </c>
      <c r="T424" s="8">
        <v>2001</v>
      </c>
      <c r="U424" s="8">
        <f t="shared" si="49"/>
        <v>21</v>
      </c>
      <c r="V424" s="7">
        <v>37165</v>
      </c>
      <c r="W424" t="s">
        <v>226</v>
      </c>
      <c r="X424" s="2">
        <v>1.6519999999999999</v>
      </c>
      <c r="Y424" s="6">
        <f t="shared" si="54"/>
        <v>4.409919649769093E-2</v>
      </c>
      <c r="AA424" t="s">
        <v>225</v>
      </c>
      <c r="AB424">
        <v>17337</v>
      </c>
      <c r="AD424" t="s">
        <v>1</v>
      </c>
      <c r="AE424">
        <v>49</v>
      </c>
      <c r="AF424">
        <v>10</v>
      </c>
      <c r="AH424" t="s">
        <v>5744</v>
      </c>
      <c r="AI424" t="s">
        <v>5743</v>
      </c>
      <c r="AJ424" t="s">
        <v>5742</v>
      </c>
      <c r="AK424" t="s">
        <v>5741</v>
      </c>
      <c r="AL424">
        <v>88</v>
      </c>
      <c r="AM424" s="5">
        <f t="shared" si="50"/>
        <v>4.1904761904761907</v>
      </c>
      <c r="AN424" s="4">
        <f t="shared" si="55"/>
        <v>6.3468022574421669E-3</v>
      </c>
      <c r="AO424" s="3"/>
      <c r="AP424">
        <v>0</v>
      </c>
      <c r="AR424" t="s">
        <v>0</v>
      </c>
      <c r="AT424" s="2" t="s">
        <v>7</v>
      </c>
      <c r="AU424" s="1">
        <f t="shared" si="51"/>
        <v>3.2773478225616297</v>
      </c>
      <c r="AV424" s="1">
        <f t="shared" si="52"/>
        <v>2.5222999377566548</v>
      </c>
      <c r="AW424" s="1">
        <f t="shared" si="53"/>
        <v>1.7672520529516795</v>
      </c>
    </row>
    <row r="425" spans="1:49" x14ac:dyDescent="0.2">
      <c r="A425">
        <v>423</v>
      </c>
      <c r="B425" t="s">
        <v>5740</v>
      </c>
      <c r="C425" t="s">
        <v>5739</v>
      </c>
      <c r="D425" t="s">
        <v>5738</v>
      </c>
      <c r="F425" t="s">
        <v>5737</v>
      </c>
      <c r="G425" t="s">
        <v>6</v>
      </c>
      <c r="H425" t="s">
        <v>5</v>
      </c>
      <c r="I425" t="s">
        <v>5736</v>
      </c>
      <c r="J425" t="s">
        <v>875</v>
      </c>
      <c r="K425" t="s">
        <v>874</v>
      </c>
      <c r="L425" t="s">
        <v>873</v>
      </c>
      <c r="M425" t="s">
        <v>44</v>
      </c>
      <c r="N425">
        <v>4</v>
      </c>
      <c r="O425" t="s">
        <v>5735</v>
      </c>
      <c r="P425" t="s">
        <v>5734</v>
      </c>
      <c r="Q425" t="s">
        <v>5733</v>
      </c>
      <c r="R425" s="7">
        <v>37165</v>
      </c>
      <c r="S425" s="8">
        <f t="shared" si="48"/>
        <v>2001</v>
      </c>
      <c r="T425" s="8">
        <v>2001</v>
      </c>
      <c r="U425" s="8">
        <f t="shared" si="49"/>
        <v>21</v>
      </c>
      <c r="V425" s="7">
        <v>37165</v>
      </c>
      <c r="W425" t="s">
        <v>226</v>
      </c>
      <c r="X425" s="2">
        <v>1.6519999999999999</v>
      </c>
      <c r="Y425" s="6">
        <f t="shared" si="54"/>
        <v>4.409919649769093E-2</v>
      </c>
      <c r="AA425" t="s">
        <v>225</v>
      </c>
      <c r="AB425">
        <v>17337</v>
      </c>
      <c r="AD425" t="s">
        <v>1</v>
      </c>
      <c r="AE425">
        <v>49</v>
      </c>
      <c r="AF425">
        <v>10</v>
      </c>
      <c r="AH425" t="s">
        <v>5732</v>
      </c>
      <c r="AI425" t="s">
        <v>5731</v>
      </c>
      <c r="AJ425" t="s">
        <v>5730</v>
      </c>
      <c r="AK425" t="s">
        <v>5729</v>
      </c>
      <c r="AL425">
        <v>35</v>
      </c>
      <c r="AM425" s="5">
        <f t="shared" si="50"/>
        <v>1.6666666666666667</v>
      </c>
      <c r="AN425" s="4">
        <f t="shared" si="55"/>
        <v>2.5242963523917708E-3</v>
      </c>
      <c r="AO425" s="3"/>
      <c r="AP425">
        <v>0</v>
      </c>
      <c r="AQ425" t="s">
        <v>5728</v>
      </c>
      <c r="AR425" t="s">
        <v>0</v>
      </c>
      <c r="AS425" t="s">
        <v>5727</v>
      </c>
      <c r="AT425" s="2" t="s">
        <v>7</v>
      </c>
      <c r="AU425" s="1">
        <f t="shared" si="51"/>
        <v>3.1626726454101179</v>
      </c>
      <c r="AV425" s="1">
        <f t="shared" si="52"/>
        <v>2.3311746425041351</v>
      </c>
      <c r="AW425" s="1">
        <f t="shared" si="53"/>
        <v>1.4996766395981516</v>
      </c>
    </row>
    <row r="426" spans="1:49" x14ac:dyDescent="0.2">
      <c r="A426">
        <v>424</v>
      </c>
      <c r="B426" t="s">
        <v>5726</v>
      </c>
      <c r="C426" t="s">
        <v>5725</v>
      </c>
      <c r="E426">
        <v>11459485</v>
      </c>
      <c r="F426" t="s">
        <v>5724</v>
      </c>
      <c r="G426" t="s">
        <v>6</v>
      </c>
      <c r="H426" t="s">
        <v>5</v>
      </c>
      <c r="I426" t="s">
        <v>5723</v>
      </c>
      <c r="J426">
        <v>60000745</v>
      </c>
      <c r="K426" t="s">
        <v>179</v>
      </c>
      <c r="L426" t="s">
        <v>178</v>
      </c>
      <c r="M426" t="s">
        <v>3</v>
      </c>
      <c r="N426">
        <v>2</v>
      </c>
      <c r="O426" t="s">
        <v>5722</v>
      </c>
      <c r="P426" t="s">
        <v>5721</v>
      </c>
      <c r="Q426" t="s">
        <v>177</v>
      </c>
      <c r="R426" s="7">
        <v>37165</v>
      </c>
      <c r="S426" s="8">
        <f t="shared" si="48"/>
        <v>2001</v>
      </c>
      <c r="T426" s="8">
        <v>2001</v>
      </c>
      <c r="U426" s="8">
        <f t="shared" si="49"/>
        <v>21</v>
      </c>
      <c r="V426" s="7">
        <v>2001</v>
      </c>
      <c r="W426" t="s">
        <v>699</v>
      </c>
      <c r="X426" s="2">
        <v>7.1150000000000002</v>
      </c>
      <c r="Y426" s="6">
        <f t="shared" si="54"/>
        <v>0.18993086142921972</v>
      </c>
      <c r="AA426">
        <v>27863</v>
      </c>
      <c r="AB426">
        <v>22680</v>
      </c>
      <c r="AD426" t="s">
        <v>1</v>
      </c>
      <c r="AE426">
        <v>123</v>
      </c>
      <c r="AF426">
        <v>29</v>
      </c>
      <c r="AH426" t="s">
        <v>5720</v>
      </c>
      <c r="AI426" t="s">
        <v>5719</v>
      </c>
      <c r="AK426" t="s">
        <v>5718</v>
      </c>
      <c r="AL426">
        <v>239</v>
      </c>
      <c r="AM426" s="5">
        <f t="shared" si="50"/>
        <v>11.380952380952381</v>
      </c>
      <c r="AN426" s="4">
        <f t="shared" si="55"/>
        <v>1.7237337949189521E-2</v>
      </c>
      <c r="AO426" s="3"/>
      <c r="AP426">
        <v>0</v>
      </c>
      <c r="AQ426" t="s">
        <v>5717</v>
      </c>
      <c r="AR426" t="s">
        <v>5716</v>
      </c>
      <c r="AS426" t="s">
        <v>5715</v>
      </c>
      <c r="AT426" s="2" t="s">
        <v>7</v>
      </c>
      <c r="AU426" s="1">
        <f t="shared" si="51"/>
        <v>13.812280438521066</v>
      </c>
      <c r="AV426" s="1">
        <f t="shared" si="52"/>
        <v>10.358409968920462</v>
      </c>
      <c r="AW426" s="1">
        <f t="shared" si="53"/>
        <v>6.9045394993198572</v>
      </c>
    </row>
    <row r="427" spans="1:49" x14ac:dyDescent="0.2">
      <c r="A427">
        <v>425</v>
      </c>
      <c r="B427" t="s">
        <v>5714</v>
      </c>
      <c r="C427" t="s">
        <v>5713</v>
      </c>
      <c r="F427" t="s">
        <v>5712</v>
      </c>
      <c r="G427" t="s">
        <v>6</v>
      </c>
      <c r="H427" t="s">
        <v>5</v>
      </c>
      <c r="I427" t="s">
        <v>551</v>
      </c>
      <c r="J427">
        <v>60080744</v>
      </c>
      <c r="K427" t="s">
        <v>475</v>
      </c>
      <c r="L427" t="s">
        <v>474</v>
      </c>
      <c r="M427" t="s">
        <v>76</v>
      </c>
      <c r="N427">
        <v>1</v>
      </c>
      <c r="O427" t="s">
        <v>3371</v>
      </c>
      <c r="P427">
        <v>7201869206</v>
      </c>
      <c r="Q427">
        <v>60080744</v>
      </c>
      <c r="R427" s="7">
        <v>37165</v>
      </c>
      <c r="S427" s="8">
        <f t="shared" si="48"/>
        <v>2001</v>
      </c>
      <c r="T427" s="8">
        <v>2001</v>
      </c>
      <c r="U427" s="8">
        <f t="shared" si="49"/>
        <v>21</v>
      </c>
      <c r="V427" s="7">
        <v>37165</v>
      </c>
      <c r="W427" t="s">
        <v>389</v>
      </c>
      <c r="X427" s="2">
        <v>0.94</v>
      </c>
      <c r="Y427" s="6">
        <f t="shared" si="54"/>
        <v>2.5092763140332611E-2</v>
      </c>
      <c r="AA427">
        <v>15311309</v>
      </c>
      <c r="AB427">
        <v>17295</v>
      </c>
      <c r="AD427" t="s">
        <v>1</v>
      </c>
      <c r="AE427">
        <v>11</v>
      </c>
      <c r="AF427">
        <v>10</v>
      </c>
      <c r="AH427" t="s">
        <v>5711</v>
      </c>
      <c r="AI427" t="s">
        <v>5710</v>
      </c>
      <c r="AJ427" t="s">
        <v>5709</v>
      </c>
      <c r="AK427" t="s">
        <v>5708</v>
      </c>
      <c r="AL427">
        <v>58</v>
      </c>
      <c r="AM427" s="5">
        <f t="shared" si="50"/>
        <v>2.7619047619047619</v>
      </c>
      <c r="AN427" s="4">
        <f t="shared" si="55"/>
        <v>4.1831196696777914E-3</v>
      </c>
      <c r="AO427" s="3"/>
      <c r="AP427">
        <v>0</v>
      </c>
      <c r="AR427" t="s">
        <v>0</v>
      </c>
      <c r="AT427" s="2" t="s">
        <v>7</v>
      </c>
      <c r="AU427" s="1">
        <f t="shared" si="51"/>
        <v>1.8819870099136164</v>
      </c>
      <c r="AV427" s="1">
        <f t="shared" si="52"/>
        <v>1.4637941405005201</v>
      </c>
      <c r="AW427" s="1">
        <f t="shared" si="53"/>
        <v>1.0456012710874236</v>
      </c>
    </row>
    <row r="428" spans="1:49" x14ac:dyDescent="0.2">
      <c r="A428">
        <v>426</v>
      </c>
      <c r="B428" t="s">
        <v>5707</v>
      </c>
      <c r="C428" t="s">
        <v>5706</v>
      </c>
      <c r="F428" t="s">
        <v>5705</v>
      </c>
      <c r="G428" t="s">
        <v>6</v>
      </c>
      <c r="H428" t="s">
        <v>5</v>
      </c>
      <c r="I428" t="s">
        <v>5704</v>
      </c>
      <c r="J428" t="s">
        <v>576</v>
      </c>
      <c r="K428" t="s">
        <v>575</v>
      </c>
      <c r="L428" t="s">
        <v>574</v>
      </c>
      <c r="M428" t="s">
        <v>44</v>
      </c>
      <c r="N428">
        <v>6</v>
      </c>
      <c r="O428" t="s">
        <v>5703</v>
      </c>
      <c r="P428" t="s">
        <v>5702</v>
      </c>
      <c r="Q428" t="s">
        <v>5701</v>
      </c>
      <c r="R428" s="7">
        <v>37165</v>
      </c>
      <c r="S428" s="8">
        <f t="shared" si="48"/>
        <v>2001</v>
      </c>
      <c r="T428" s="8">
        <v>2001</v>
      </c>
      <c r="U428" s="8">
        <f t="shared" si="49"/>
        <v>21</v>
      </c>
      <c r="V428" s="7">
        <v>37165</v>
      </c>
      <c r="W428" t="s">
        <v>5700</v>
      </c>
      <c r="X428" s="2">
        <v>1.524</v>
      </c>
      <c r="Y428" s="6">
        <f t="shared" si="54"/>
        <v>4.0682309601986065E-2</v>
      </c>
      <c r="AA428">
        <v>1469592</v>
      </c>
      <c r="AB428">
        <v>12863</v>
      </c>
      <c r="AD428" t="s">
        <v>1</v>
      </c>
      <c r="AE428">
        <v>26</v>
      </c>
      <c r="AF428">
        <v>19</v>
      </c>
      <c r="AH428" t="s">
        <v>5699</v>
      </c>
      <c r="AI428" t="s">
        <v>5698</v>
      </c>
      <c r="AK428" t="s">
        <v>5697</v>
      </c>
      <c r="AL428">
        <v>49</v>
      </c>
      <c r="AM428" s="5">
        <f t="shared" si="50"/>
        <v>2.3333333333333335</v>
      </c>
      <c r="AN428" s="4">
        <f t="shared" si="55"/>
        <v>3.5340148933484792E-3</v>
      </c>
      <c r="AO428" s="3"/>
      <c r="AP428">
        <v>0</v>
      </c>
      <c r="AR428" t="s">
        <v>0</v>
      </c>
      <c r="AT428" s="2">
        <v>3.7759999999999998</v>
      </c>
      <c r="AU428" s="1">
        <f t="shared" si="51"/>
        <v>2.9537821189394786</v>
      </c>
      <c r="AV428" s="1">
        <f t="shared" si="52"/>
        <v>2.2108162247667273</v>
      </c>
      <c r="AW428" s="1">
        <f t="shared" si="53"/>
        <v>1.4678503305939756</v>
      </c>
    </row>
    <row r="429" spans="1:49" x14ac:dyDescent="0.2">
      <c r="A429">
        <v>427</v>
      </c>
      <c r="B429" t="s">
        <v>5696</v>
      </c>
      <c r="C429" t="s">
        <v>5695</v>
      </c>
      <c r="E429">
        <v>11454001</v>
      </c>
      <c r="F429" t="s">
        <v>5694</v>
      </c>
      <c r="G429" t="s">
        <v>6</v>
      </c>
      <c r="H429" t="s">
        <v>5</v>
      </c>
      <c r="I429" t="s">
        <v>5693</v>
      </c>
      <c r="J429" t="s">
        <v>5692</v>
      </c>
      <c r="K429" t="s">
        <v>5691</v>
      </c>
      <c r="L429" t="s">
        <v>5690</v>
      </c>
      <c r="M429" t="s">
        <v>894</v>
      </c>
      <c r="N429">
        <v>6</v>
      </c>
      <c r="O429" t="s">
        <v>5689</v>
      </c>
      <c r="P429" t="s">
        <v>5688</v>
      </c>
      <c r="Q429" t="s">
        <v>5687</v>
      </c>
      <c r="R429" s="7">
        <v>37163</v>
      </c>
      <c r="S429" s="8">
        <f t="shared" si="48"/>
        <v>2001</v>
      </c>
      <c r="T429" s="8">
        <v>2001</v>
      </c>
      <c r="U429" s="8">
        <f t="shared" si="49"/>
        <v>21</v>
      </c>
      <c r="V429" s="7">
        <v>2001</v>
      </c>
      <c r="W429" t="s">
        <v>90</v>
      </c>
      <c r="X429" s="2">
        <v>1.9810000000000001</v>
      </c>
      <c r="Y429" s="6">
        <f t="shared" si="54"/>
        <v>5.2881663596807349E-2</v>
      </c>
      <c r="AA429">
        <v>142956</v>
      </c>
      <c r="AB429">
        <v>39034</v>
      </c>
      <c r="AD429" t="s">
        <v>1</v>
      </c>
      <c r="AE429">
        <v>268</v>
      </c>
      <c r="AF429">
        <v>14</v>
      </c>
      <c r="AH429" t="s">
        <v>5686</v>
      </c>
      <c r="AI429" t="s">
        <v>5685</v>
      </c>
      <c r="AJ429" t="s">
        <v>5684</v>
      </c>
      <c r="AK429" t="s">
        <v>5683</v>
      </c>
      <c r="AL429">
        <v>10</v>
      </c>
      <c r="AM429" s="5">
        <f t="shared" si="50"/>
        <v>0.47619047619047616</v>
      </c>
      <c r="AN429" s="4">
        <f t="shared" si="55"/>
        <v>7.2122752925479164E-4</v>
      </c>
      <c r="AO429" s="3"/>
      <c r="AP429">
        <v>0</v>
      </c>
      <c r="AR429" t="s">
        <v>0</v>
      </c>
      <c r="AT429" s="2" t="s">
        <v>7</v>
      </c>
      <c r="AU429" s="1">
        <f t="shared" si="51"/>
        <v>3.7233532776541582</v>
      </c>
      <c r="AV429" s="1">
        <f t="shared" si="52"/>
        <v>2.680144556303107</v>
      </c>
      <c r="AW429" s="1">
        <f t="shared" si="53"/>
        <v>1.636935834952056</v>
      </c>
    </row>
    <row r="430" spans="1:49" x14ac:dyDescent="0.2">
      <c r="A430">
        <v>428</v>
      </c>
      <c r="B430" t="s">
        <v>5682</v>
      </c>
      <c r="C430" t="s">
        <v>5681</v>
      </c>
      <c r="F430" t="s">
        <v>5680</v>
      </c>
      <c r="G430" t="s">
        <v>6</v>
      </c>
      <c r="H430" t="s">
        <v>5</v>
      </c>
      <c r="I430" t="s">
        <v>5679</v>
      </c>
      <c r="J430">
        <v>60010338</v>
      </c>
      <c r="K430" t="s">
        <v>5678</v>
      </c>
      <c r="L430" t="s">
        <v>5677</v>
      </c>
      <c r="M430" t="s">
        <v>46</v>
      </c>
      <c r="N430">
        <v>1</v>
      </c>
      <c r="O430" t="s">
        <v>5676</v>
      </c>
      <c r="P430">
        <v>7006216873</v>
      </c>
      <c r="Q430">
        <v>60010338</v>
      </c>
      <c r="R430" s="7">
        <v>37163</v>
      </c>
      <c r="S430" s="8">
        <f t="shared" si="48"/>
        <v>2001</v>
      </c>
      <c r="T430" s="8">
        <v>2001</v>
      </c>
      <c r="U430" s="8">
        <f t="shared" si="49"/>
        <v>21</v>
      </c>
      <c r="V430" s="7">
        <v>2001</v>
      </c>
      <c r="W430" t="s">
        <v>888</v>
      </c>
      <c r="X430" s="2">
        <v>0.39600000000000002</v>
      </c>
      <c r="Y430" s="6">
        <f t="shared" si="54"/>
        <v>1.0570993833586931E-2</v>
      </c>
      <c r="AA430">
        <v>8858985</v>
      </c>
      <c r="AB430">
        <v>25993</v>
      </c>
      <c r="AD430" t="s">
        <v>1</v>
      </c>
      <c r="AE430">
        <v>16</v>
      </c>
      <c r="AF430">
        <v>1</v>
      </c>
      <c r="AH430" t="s">
        <v>754</v>
      </c>
      <c r="AI430" t="s">
        <v>5675</v>
      </c>
      <c r="AK430" t="s">
        <v>5674</v>
      </c>
      <c r="AL430">
        <v>0</v>
      </c>
      <c r="AM430" s="5">
        <f t="shared" si="50"/>
        <v>0</v>
      </c>
      <c r="AN430" s="4">
        <f t="shared" si="55"/>
        <v>0</v>
      </c>
      <c r="AO430" s="3"/>
      <c r="AP430">
        <v>0</v>
      </c>
      <c r="AR430" t="s">
        <v>0</v>
      </c>
      <c r="AT430" s="2" t="s">
        <v>7</v>
      </c>
      <c r="AU430" s="1">
        <f t="shared" si="51"/>
        <v>0.73996956835108518</v>
      </c>
      <c r="AV430" s="1">
        <f t="shared" si="52"/>
        <v>0.52854969167934651</v>
      </c>
      <c r="AW430" s="1">
        <f t="shared" si="53"/>
        <v>0.3171298150076079</v>
      </c>
    </row>
    <row r="431" spans="1:49" x14ac:dyDescent="0.2">
      <c r="A431">
        <v>429</v>
      </c>
      <c r="B431" t="s">
        <v>5673</v>
      </c>
      <c r="C431" t="s">
        <v>5672</v>
      </c>
      <c r="F431" t="s">
        <v>5671</v>
      </c>
      <c r="G431" t="s">
        <v>6</v>
      </c>
      <c r="H431" t="s">
        <v>5</v>
      </c>
      <c r="I431" t="s">
        <v>5670</v>
      </c>
      <c r="J431" t="s">
        <v>5669</v>
      </c>
      <c r="K431" t="s">
        <v>5668</v>
      </c>
      <c r="L431" t="s">
        <v>5667</v>
      </c>
      <c r="M431" t="s">
        <v>44</v>
      </c>
      <c r="N431">
        <v>2</v>
      </c>
      <c r="O431" t="s">
        <v>5666</v>
      </c>
      <c r="P431" t="s">
        <v>5665</v>
      </c>
      <c r="Q431" t="s">
        <v>5664</v>
      </c>
      <c r="R431" s="7">
        <v>37163</v>
      </c>
      <c r="S431" s="8">
        <f t="shared" si="48"/>
        <v>2001</v>
      </c>
      <c r="T431" s="8">
        <v>2001</v>
      </c>
      <c r="U431" s="8">
        <f t="shared" si="49"/>
        <v>21</v>
      </c>
      <c r="V431" s="7">
        <v>2001</v>
      </c>
      <c r="W431" t="s">
        <v>888</v>
      </c>
      <c r="X431" s="2">
        <v>0.39600000000000002</v>
      </c>
      <c r="Y431" s="6">
        <f t="shared" si="54"/>
        <v>1.0570993833586931E-2</v>
      </c>
      <c r="AA431">
        <v>8858985</v>
      </c>
      <c r="AB431">
        <v>25993</v>
      </c>
      <c r="AD431" t="s">
        <v>1</v>
      </c>
      <c r="AE431">
        <v>16</v>
      </c>
      <c r="AF431">
        <v>1</v>
      </c>
      <c r="AH431" t="s">
        <v>677</v>
      </c>
      <c r="AI431" t="s">
        <v>5663</v>
      </c>
      <c r="AK431" t="s">
        <v>5662</v>
      </c>
      <c r="AL431">
        <v>17</v>
      </c>
      <c r="AM431" s="5">
        <f t="shared" si="50"/>
        <v>0.80952380952380953</v>
      </c>
      <c r="AN431" s="4">
        <f t="shared" si="55"/>
        <v>1.2260867997331457E-3</v>
      </c>
      <c r="AO431" s="3"/>
      <c r="AP431">
        <v>0</v>
      </c>
      <c r="AR431" t="s">
        <v>0</v>
      </c>
      <c r="AT431" s="2" t="s">
        <v>7</v>
      </c>
      <c r="AU431" s="1">
        <f t="shared" si="51"/>
        <v>0.77675217234307958</v>
      </c>
      <c r="AV431" s="1">
        <f t="shared" si="52"/>
        <v>0.58985403166600381</v>
      </c>
      <c r="AW431" s="1">
        <f t="shared" si="53"/>
        <v>0.40295589098892809</v>
      </c>
    </row>
    <row r="432" spans="1:49" x14ac:dyDescent="0.2">
      <c r="A432">
        <v>430</v>
      </c>
      <c r="B432" t="s">
        <v>5661</v>
      </c>
      <c r="C432" t="s">
        <v>5660</v>
      </c>
      <c r="F432" t="s">
        <v>5659</v>
      </c>
      <c r="G432" t="s">
        <v>6</v>
      </c>
      <c r="H432" t="s">
        <v>5</v>
      </c>
      <c r="I432" t="s">
        <v>5658</v>
      </c>
      <c r="J432">
        <v>60010818</v>
      </c>
      <c r="K432" t="s">
        <v>689</v>
      </c>
      <c r="L432" t="s">
        <v>688</v>
      </c>
      <c r="M432" t="s">
        <v>37</v>
      </c>
      <c r="N432">
        <v>2</v>
      </c>
      <c r="O432" t="s">
        <v>5657</v>
      </c>
      <c r="P432" t="s">
        <v>5656</v>
      </c>
      <c r="Q432" t="s">
        <v>5655</v>
      </c>
      <c r="R432" s="7">
        <v>37161</v>
      </c>
      <c r="S432" s="8">
        <f t="shared" si="48"/>
        <v>2001</v>
      </c>
      <c r="T432" s="8">
        <v>2001</v>
      </c>
      <c r="U432" s="8">
        <f t="shared" si="49"/>
        <v>21</v>
      </c>
      <c r="V432" s="7">
        <v>37161</v>
      </c>
      <c r="W432" t="s">
        <v>698</v>
      </c>
      <c r="X432" s="2">
        <v>0.375</v>
      </c>
      <c r="Y432" s="6">
        <f t="shared" si="54"/>
        <v>1.0010410827260351E-2</v>
      </c>
      <c r="AA432">
        <v>135194</v>
      </c>
      <c r="AB432">
        <v>24918</v>
      </c>
      <c r="AD432" t="s">
        <v>1</v>
      </c>
      <c r="AE432">
        <v>37</v>
      </c>
      <c r="AF432">
        <v>20</v>
      </c>
      <c r="AH432" t="s">
        <v>5654</v>
      </c>
      <c r="AI432" t="s">
        <v>5653</v>
      </c>
      <c r="AK432" t="s">
        <v>5652</v>
      </c>
      <c r="AL432">
        <v>0</v>
      </c>
      <c r="AM432" s="5">
        <f t="shared" si="50"/>
        <v>0</v>
      </c>
      <c r="AN432" s="4">
        <f t="shared" si="55"/>
        <v>0</v>
      </c>
      <c r="AO432" s="3"/>
      <c r="AP432">
        <v>0</v>
      </c>
      <c r="AR432" t="s">
        <v>0</v>
      </c>
      <c r="AT432" s="2">
        <v>1.3140000000000001</v>
      </c>
      <c r="AU432" s="1">
        <f t="shared" si="51"/>
        <v>0.70072875790822453</v>
      </c>
      <c r="AV432" s="1">
        <f t="shared" si="52"/>
        <v>0.5005205413630176</v>
      </c>
      <c r="AW432" s="1">
        <f t="shared" si="53"/>
        <v>0.30031232481781051</v>
      </c>
    </row>
    <row r="433" spans="1:49" x14ac:dyDescent="0.2">
      <c r="A433">
        <v>431</v>
      </c>
      <c r="B433" t="s">
        <v>5651</v>
      </c>
      <c r="C433" t="s">
        <v>5650</v>
      </c>
      <c r="F433" t="s">
        <v>5649</v>
      </c>
      <c r="G433" t="s">
        <v>6</v>
      </c>
      <c r="H433" t="s">
        <v>5</v>
      </c>
      <c r="I433" t="s">
        <v>401</v>
      </c>
      <c r="J433" t="s">
        <v>4040</v>
      </c>
      <c r="K433" t="s">
        <v>4039</v>
      </c>
      <c r="L433" t="s">
        <v>4038</v>
      </c>
      <c r="M433" t="s">
        <v>4037</v>
      </c>
      <c r="N433">
        <v>4</v>
      </c>
      <c r="O433" t="s">
        <v>4036</v>
      </c>
      <c r="P433" t="s">
        <v>4035</v>
      </c>
      <c r="Q433" t="s">
        <v>4034</v>
      </c>
      <c r="R433" s="7">
        <v>37161</v>
      </c>
      <c r="S433" s="8">
        <f t="shared" si="48"/>
        <v>2001</v>
      </c>
      <c r="T433" s="8">
        <v>2001</v>
      </c>
      <c r="U433" s="8">
        <f t="shared" si="49"/>
        <v>21</v>
      </c>
      <c r="V433" s="7">
        <v>37161</v>
      </c>
      <c r="W433" t="s">
        <v>698</v>
      </c>
      <c r="X433" s="2">
        <v>0.375</v>
      </c>
      <c r="Y433" s="6">
        <f t="shared" si="54"/>
        <v>1.0010410827260351E-2</v>
      </c>
      <c r="AA433">
        <v>135194</v>
      </c>
      <c r="AB433">
        <v>24918</v>
      </c>
      <c r="AD433" t="s">
        <v>1</v>
      </c>
      <c r="AE433">
        <v>37</v>
      </c>
      <c r="AF433">
        <v>20</v>
      </c>
      <c r="AH433" t="s">
        <v>5648</v>
      </c>
      <c r="AI433" t="s">
        <v>5647</v>
      </c>
      <c r="AK433" t="s">
        <v>5646</v>
      </c>
      <c r="AL433">
        <v>27</v>
      </c>
      <c r="AM433" s="5">
        <f t="shared" si="50"/>
        <v>1.2857142857142858</v>
      </c>
      <c r="AN433" s="4">
        <f t="shared" si="55"/>
        <v>1.9473143289879377E-3</v>
      </c>
      <c r="AO433" s="3"/>
      <c r="AP433">
        <v>0</v>
      </c>
      <c r="AR433" t="s">
        <v>0</v>
      </c>
      <c r="AT433" s="2">
        <v>1.3140000000000001</v>
      </c>
      <c r="AU433" s="1">
        <f t="shared" si="51"/>
        <v>0.75914818777786275</v>
      </c>
      <c r="AV433" s="1">
        <f t="shared" si="52"/>
        <v>0.59788625781241445</v>
      </c>
      <c r="AW433" s="1">
        <f t="shared" si="53"/>
        <v>0.43662432784696609</v>
      </c>
    </row>
    <row r="434" spans="1:49" x14ac:dyDescent="0.2">
      <c r="A434">
        <v>432</v>
      </c>
      <c r="B434" t="s">
        <v>5645</v>
      </c>
      <c r="C434" t="s">
        <v>5644</v>
      </c>
      <c r="F434" t="s">
        <v>5643</v>
      </c>
      <c r="G434" t="s">
        <v>6</v>
      </c>
      <c r="H434" t="s">
        <v>5</v>
      </c>
      <c r="I434" t="s">
        <v>5642</v>
      </c>
      <c r="J434">
        <v>60012708</v>
      </c>
      <c r="K434" t="s">
        <v>425</v>
      </c>
      <c r="L434" t="s">
        <v>424</v>
      </c>
      <c r="M434" t="s">
        <v>3</v>
      </c>
      <c r="N434">
        <v>3</v>
      </c>
      <c r="O434" t="s">
        <v>5641</v>
      </c>
      <c r="P434" t="s">
        <v>5640</v>
      </c>
      <c r="Q434" t="s">
        <v>5639</v>
      </c>
      <c r="R434" s="7">
        <v>37161</v>
      </c>
      <c r="S434" s="8">
        <f t="shared" si="48"/>
        <v>2001</v>
      </c>
      <c r="T434" s="8">
        <v>2001</v>
      </c>
      <c r="U434" s="8">
        <f t="shared" si="49"/>
        <v>21</v>
      </c>
      <c r="V434" s="7">
        <v>37161</v>
      </c>
      <c r="W434" t="s">
        <v>698</v>
      </c>
      <c r="X434" s="2">
        <v>0.375</v>
      </c>
      <c r="Y434" s="6">
        <f t="shared" si="54"/>
        <v>1.0010410827260351E-2</v>
      </c>
      <c r="AA434">
        <v>135194</v>
      </c>
      <c r="AB434">
        <v>24918</v>
      </c>
      <c r="AD434" t="s">
        <v>1</v>
      </c>
      <c r="AE434">
        <v>37</v>
      </c>
      <c r="AF434">
        <v>20</v>
      </c>
      <c r="AH434" t="s">
        <v>5638</v>
      </c>
      <c r="AI434" t="s">
        <v>5637</v>
      </c>
      <c r="AK434" t="s">
        <v>5636</v>
      </c>
      <c r="AL434">
        <v>22</v>
      </c>
      <c r="AM434" s="5">
        <f t="shared" si="50"/>
        <v>1.0476190476190477</v>
      </c>
      <c r="AN434" s="4">
        <f t="shared" si="55"/>
        <v>1.5867005643605417E-3</v>
      </c>
      <c r="AO434" s="3"/>
      <c r="AP434">
        <v>0</v>
      </c>
      <c r="AR434" t="s">
        <v>0</v>
      </c>
      <c r="AT434" s="2">
        <v>1.3140000000000001</v>
      </c>
      <c r="AU434" s="1">
        <f t="shared" si="51"/>
        <v>0.74832977483904084</v>
      </c>
      <c r="AV434" s="1">
        <f t="shared" si="52"/>
        <v>0.57985556958104456</v>
      </c>
      <c r="AW434" s="1">
        <f t="shared" si="53"/>
        <v>0.41138136432304845</v>
      </c>
    </row>
    <row r="435" spans="1:49" x14ac:dyDescent="0.2">
      <c r="A435">
        <v>433</v>
      </c>
      <c r="B435" t="s">
        <v>5635</v>
      </c>
      <c r="C435" t="s">
        <v>5634</v>
      </c>
      <c r="F435" t="s">
        <v>5633</v>
      </c>
      <c r="G435" t="s">
        <v>6</v>
      </c>
      <c r="H435" t="s">
        <v>5</v>
      </c>
      <c r="I435" t="s">
        <v>5632</v>
      </c>
      <c r="J435">
        <v>60021221</v>
      </c>
      <c r="K435" t="s">
        <v>5631</v>
      </c>
      <c r="L435" t="s">
        <v>5630</v>
      </c>
      <c r="M435" t="s">
        <v>5629</v>
      </c>
      <c r="N435">
        <v>2</v>
      </c>
      <c r="O435" t="s">
        <v>5628</v>
      </c>
      <c r="P435" t="s">
        <v>5627</v>
      </c>
      <c r="Q435" t="s">
        <v>5626</v>
      </c>
      <c r="R435" s="7">
        <v>37161</v>
      </c>
      <c r="S435" s="8">
        <f t="shared" si="48"/>
        <v>2001</v>
      </c>
      <c r="T435" s="8">
        <v>2001</v>
      </c>
      <c r="U435" s="8">
        <f t="shared" si="49"/>
        <v>21</v>
      </c>
      <c r="V435" s="7">
        <v>2001</v>
      </c>
      <c r="W435" t="s">
        <v>5625</v>
      </c>
      <c r="X435" s="2">
        <v>0.72</v>
      </c>
      <c r="Y435" s="6">
        <f t="shared" si="54"/>
        <v>1.9219988788339873E-2</v>
      </c>
      <c r="AA435">
        <v>16159306</v>
      </c>
      <c r="AB435">
        <v>24063</v>
      </c>
      <c r="AD435" t="s">
        <v>1</v>
      </c>
      <c r="AE435">
        <v>24</v>
      </c>
      <c r="AF435">
        <v>7</v>
      </c>
      <c r="AH435" t="s">
        <v>5624</v>
      </c>
      <c r="AI435" t="s">
        <v>5623</v>
      </c>
      <c r="AJ435" t="s">
        <v>5622</v>
      </c>
      <c r="AK435" t="s">
        <v>5621</v>
      </c>
      <c r="AL435">
        <v>37</v>
      </c>
      <c r="AM435" s="5">
        <f t="shared" si="50"/>
        <v>1.7619047619047619</v>
      </c>
      <c r="AN435" s="4">
        <f t="shared" si="55"/>
        <v>2.668541858242729E-3</v>
      </c>
      <c r="AO435" s="3"/>
      <c r="AP435">
        <v>0</v>
      </c>
      <c r="AR435" t="s">
        <v>0</v>
      </c>
      <c r="AT435" s="2">
        <v>3.645</v>
      </c>
      <c r="AU435" s="1">
        <f t="shared" si="51"/>
        <v>1.4254554709310729</v>
      </c>
      <c r="AV435" s="1">
        <f t="shared" si="52"/>
        <v>1.0944265323291302</v>
      </c>
      <c r="AW435" s="1">
        <f t="shared" si="53"/>
        <v>0.7633975937271873</v>
      </c>
    </row>
    <row r="436" spans="1:49" x14ac:dyDescent="0.2">
      <c r="A436">
        <v>434</v>
      </c>
      <c r="B436" t="s">
        <v>5620</v>
      </c>
      <c r="C436" t="s">
        <v>5619</v>
      </c>
      <c r="E436">
        <v>11422366</v>
      </c>
      <c r="F436" t="s">
        <v>5618</v>
      </c>
      <c r="G436" t="s">
        <v>6</v>
      </c>
      <c r="H436" t="s">
        <v>5</v>
      </c>
      <c r="I436" t="s">
        <v>5617</v>
      </c>
      <c r="J436">
        <v>60008435</v>
      </c>
      <c r="K436" t="s">
        <v>358</v>
      </c>
      <c r="L436" t="s">
        <v>357</v>
      </c>
      <c r="M436" t="s">
        <v>26</v>
      </c>
      <c r="N436">
        <v>5</v>
      </c>
      <c r="O436" t="s">
        <v>5616</v>
      </c>
      <c r="P436" t="s">
        <v>5615</v>
      </c>
      <c r="Q436" t="s">
        <v>5614</v>
      </c>
      <c r="R436" s="7">
        <v>37161</v>
      </c>
      <c r="S436" s="8">
        <f t="shared" si="48"/>
        <v>2001</v>
      </c>
      <c r="T436" s="8">
        <v>2001</v>
      </c>
      <c r="U436" s="8">
        <f t="shared" si="49"/>
        <v>21</v>
      </c>
      <c r="V436" s="7">
        <v>2001</v>
      </c>
      <c r="W436" t="s">
        <v>90</v>
      </c>
      <c r="X436" s="2">
        <v>1.9810000000000001</v>
      </c>
      <c r="Y436" s="6">
        <f t="shared" si="54"/>
        <v>5.2881663596807349E-2</v>
      </c>
      <c r="AA436">
        <v>142956</v>
      </c>
      <c r="AB436">
        <v>39034</v>
      </c>
      <c r="AD436" t="s">
        <v>1</v>
      </c>
      <c r="AE436">
        <v>268</v>
      </c>
      <c r="AF436">
        <v>12</v>
      </c>
      <c r="AH436" t="s">
        <v>5613</v>
      </c>
      <c r="AI436" t="s">
        <v>5612</v>
      </c>
      <c r="AJ436" t="s">
        <v>5611</v>
      </c>
      <c r="AK436" t="s">
        <v>5610</v>
      </c>
      <c r="AL436">
        <v>31</v>
      </c>
      <c r="AM436" s="5">
        <f t="shared" si="50"/>
        <v>1.4761904761904763</v>
      </c>
      <c r="AN436" s="4">
        <f t="shared" si="55"/>
        <v>2.2358053406898544E-3</v>
      </c>
      <c r="AO436" s="3"/>
      <c r="AP436">
        <v>1</v>
      </c>
      <c r="AR436" t="s">
        <v>0</v>
      </c>
      <c r="AT436" s="2" t="s">
        <v>7</v>
      </c>
      <c r="AU436" s="1">
        <f t="shared" si="51"/>
        <v>3.7687906119972094</v>
      </c>
      <c r="AV436" s="1">
        <f t="shared" si="52"/>
        <v>2.75587344687486</v>
      </c>
      <c r="AW436" s="1">
        <f t="shared" si="53"/>
        <v>1.7429562817525102</v>
      </c>
    </row>
    <row r="437" spans="1:49" x14ac:dyDescent="0.2">
      <c r="A437">
        <v>435</v>
      </c>
      <c r="B437" t="s">
        <v>5609</v>
      </c>
      <c r="C437" t="s">
        <v>5608</v>
      </c>
      <c r="E437">
        <v>11562209</v>
      </c>
      <c r="F437" t="s">
        <v>5607</v>
      </c>
      <c r="G437" t="s">
        <v>6</v>
      </c>
      <c r="H437" t="s">
        <v>5</v>
      </c>
      <c r="I437" t="s">
        <v>5606</v>
      </c>
      <c r="J437">
        <v>60015404</v>
      </c>
      <c r="K437" t="s">
        <v>5605</v>
      </c>
      <c r="L437" t="s">
        <v>5604</v>
      </c>
      <c r="M437" t="s">
        <v>3</v>
      </c>
      <c r="N437">
        <v>1</v>
      </c>
      <c r="O437" t="s">
        <v>5603</v>
      </c>
      <c r="P437">
        <v>6701823872</v>
      </c>
      <c r="Q437">
        <v>60015404</v>
      </c>
      <c r="R437" s="7">
        <v>37160</v>
      </c>
      <c r="S437" s="8">
        <f t="shared" si="48"/>
        <v>2001</v>
      </c>
      <c r="T437" s="8">
        <v>2001</v>
      </c>
      <c r="U437" s="8">
        <f t="shared" si="49"/>
        <v>21</v>
      </c>
      <c r="V437" s="7">
        <v>37160</v>
      </c>
      <c r="W437" t="s">
        <v>699</v>
      </c>
      <c r="X437" s="2">
        <v>7.1150000000000002</v>
      </c>
      <c r="Y437" s="6">
        <f t="shared" si="54"/>
        <v>0.18993086142921972</v>
      </c>
      <c r="AA437">
        <v>27863</v>
      </c>
      <c r="AB437">
        <v>22680</v>
      </c>
      <c r="AD437" t="s">
        <v>1</v>
      </c>
      <c r="AE437">
        <v>123</v>
      </c>
      <c r="AF437">
        <v>38</v>
      </c>
      <c r="AH437" t="s">
        <v>5602</v>
      </c>
      <c r="AI437" t="s">
        <v>5601</v>
      </c>
      <c r="AK437" t="s">
        <v>5600</v>
      </c>
      <c r="AL437">
        <v>63</v>
      </c>
      <c r="AM437" s="5">
        <f t="shared" si="50"/>
        <v>3</v>
      </c>
      <c r="AN437" s="4">
        <f t="shared" si="55"/>
        <v>4.5437334343051876E-3</v>
      </c>
      <c r="AO437" s="3"/>
      <c r="AP437">
        <v>0</v>
      </c>
      <c r="AR437" t="s">
        <v>0</v>
      </c>
      <c r="AT437" s="2" t="s">
        <v>7</v>
      </c>
      <c r="AU437" s="1">
        <f t="shared" si="51"/>
        <v>13.431472303074536</v>
      </c>
      <c r="AV437" s="1">
        <f t="shared" si="52"/>
        <v>9.7237297431762464</v>
      </c>
      <c r="AW437" s="1">
        <f t="shared" si="53"/>
        <v>6.0159871832779555</v>
      </c>
    </row>
    <row r="438" spans="1:49" x14ac:dyDescent="0.2">
      <c r="A438">
        <v>436</v>
      </c>
      <c r="B438" t="s">
        <v>5599</v>
      </c>
      <c r="C438" t="s">
        <v>5598</v>
      </c>
      <c r="D438" t="s">
        <v>5597</v>
      </c>
      <c r="E438">
        <v>11587348</v>
      </c>
      <c r="F438" t="s">
        <v>5596</v>
      </c>
      <c r="G438" t="s">
        <v>6</v>
      </c>
      <c r="H438" t="s">
        <v>5</v>
      </c>
      <c r="I438" t="s">
        <v>5595</v>
      </c>
      <c r="J438">
        <v>60009839</v>
      </c>
      <c r="K438" t="s">
        <v>5594</v>
      </c>
      <c r="L438" t="s">
        <v>5593</v>
      </c>
      <c r="M438" t="s">
        <v>126</v>
      </c>
      <c r="N438">
        <v>5</v>
      </c>
      <c r="O438" t="s">
        <v>5592</v>
      </c>
      <c r="P438" t="s">
        <v>5591</v>
      </c>
      <c r="Q438" t="s">
        <v>5590</v>
      </c>
      <c r="R438" s="7">
        <v>37159</v>
      </c>
      <c r="S438" s="8">
        <f t="shared" si="48"/>
        <v>2001</v>
      </c>
      <c r="T438" s="8">
        <v>2001</v>
      </c>
      <c r="U438" s="8">
        <f t="shared" si="49"/>
        <v>21</v>
      </c>
      <c r="V438" s="7">
        <v>37159</v>
      </c>
      <c r="W438" t="s">
        <v>957</v>
      </c>
      <c r="X438" s="2" t="s">
        <v>7</v>
      </c>
      <c r="Y438" s="6" t="e">
        <f t="shared" si="54"/>
        <v>#VALUE!</v>
      </c>
      <c r="AA438">
        <v>13872273</v>
      </c>
      <c r="AB438">
        <v>100429</v>
      </c>
      <c r="AD438" t="s">
        <v>1</v>
      </c>
      <c r="AE438">
        <v>761</v>
      </c>
      <c r="AF438">
        <v>2</v>
      </c>
      <c r="AH438" t="s">
        <v>5589</v>
      </c>
      <c r="AI438" t="s">
        <v>5588</v>
      </c>
      <c r="AJ438" t="s">
        <v>5587</v>
      </c>
      <c r="AK438" t="s">
        <v>5586</v>
      </c>
      <c r="AL438">
        <v>26</v>
      </c>
      <c r="AM438" s="5">
        <f t="shared" si="50"/>
        <v>1.2380952380952381</v>
      </c>
      <c r="AN438" s="4">
        <f t="shared" si="55"/>
        <v>1.8751915760624584E-3</v>
      </c>
      <c r="AO438" s="3"/>
      <c r="AP438">
        <v>0</v>
      </c>
      <c r="AR438" t="s">
        <v>0</v>
      </c>
      <c r="AT438" s="2" t="s">
        <v>7</v>
      </c>
      <c r="AU438" s="1" t="e">
        <f t="shared" si="51"/>
        <v>#VALUE!</v>
      </c>
      <c r="AV438" s="1" t="e">
        <f t="shared" si="52"/>
        <v>#VALUE!</v>
      </c>
      <c r="AW438" s="1" t="e">
        <f t="shared" si="53"/>
        <v>#VALUE!</v>
      </c>
    </row>
    <row r="439" spans="1:49" x14ac:dyDescent="0.2">
      <c r="A439">
        <v>437</v>
      </c>
      <c r="B439" t="s">
        <v>5585</v>
      </c>
      <c r="C439" t="s">
        <v>5584</v>
      </c>
      <c r="E439">
        <v>11454869</v>
      </c>
      <c r="F439" t="s">
        <v>5583</v>
      </c>
      <c r="G439" t="s">
        <v>6</v>
      </c>
      <c r="H439" t="s">
        <v>5</v>
      </c>
      <c r="I439" t="s">
        <v>5582</v>
      </c>
      <c r="J439" t="s">
        <v>5581</v>
      </c>
      <c r="K439" t="s">
        <v>5580</v>
      </c>
      <c r="L439" t="s">
        <v>5579</v>
      </c>
      <c r="M439" t="s">
        <v>852</v>
      </c>
      <c r="N439">
        <v>4</v>
      </c>
      <c r="O439" t="s">
        <v>5578</v>
      </c>
      <c r="P439" t="s">
        <v>5577</v>
      </c>
      <c r="Q439" t="s">
        <v>5576</v>
      </c>
      <c r="R439" s="7">
        <v>37155</v>
      </c>
      <c r="S439" s="8">
        <f t="shared" si="48"/>
        <v>2001</v>
      </c>
      <c r="T439" s="8">
        <v>2001</v>
      </c>
      <c r="U439" s="8">
        <f t="shared" si="49"/>
        <v>21</v>
      </c>
      <c r="V439" s="7">
        <v>37155</v>
      </c>
      <c r="W439" t="s">
        <v>784</v>
      </c>
      <c r="X439" s="2">
        <v>2.3610000000000002</v>
      </c>
      <c r="Y439" s="6">
        <f t="shared" si="54"/>
        <v>6.3025546568431179E-2</v>
      </c>
      <c r="AA439">
        <v>219258</v>
      </c>
      <c r="AB439">
        <v>17592</v>
      </c>
      <c r="AD439" t="s">
        <v>1</v>
      </c>
      <c r="AE439">
        <v>276</v>
      </c>
      <c r="AF439">
        <v>38</v>
      </c>
      <c r="AH439" t="s">
        <v>5575</v>
      </c>
      <c r="AI439" t="s">
        <v>5574</v>
      </c>
      <c r="AK439" t="s">
        <v>5573</v>
      </c>
      <c r="AL439">
        <v>188</v>
      </c>
      <c r="AM439" s="5">
        <f t="shared" si="50"/>
        <v>8.9523809523809526</v>
      </c>
      <c r="AN439" s="4">
        <f t="shared" si="55"/>
        <v>1.3559077549990084E-2</v>
      </c>
      <c r="AO439" s="3"/>
      <c r="AP439">
        <v>1</v>
      </c>
      <c r="AR439" t="s">
        <v>0</v>
      </c>
      <c r="AT439" s="2">
        <v>5.157</v>
      </c>
      <c r="AU439" s="1">
        <f t="shared" si="51"/>
        <v>4.8185605862898848</v>
      </c>
      <c r="AV439" s="1">
        <f t="shared" si="52"/>
        <v>3.8292312059210634</v>
      </c>
      <c r="AW439" s="1">
        <f t="shared" si="53"/>
        <v>2.839901825552241</v>
      </c>
    </row>
    <row r="440" spans="1:49" x14ac:dyDescent="0.2">
      <c r="A440">
        <v>438</v>
      </c>
      <c r="B440" t="s">
        <v>5572</v>
      </c>
      <c r="C440" t="s">
        <v>5571</v>
      </c>
      <c r="E440">
        <v>11533223</v>
      </c>
      <c r="F440" t="s">
        <v>5570</v>
      </c>
      <c r="G440" t="s">
        <v>6</v>
      </c>
      <c r="H440" t="s">
        <v>5</v>
      </c>
      <c r="I440" t="s">
        <v>5569</v>
      </c>
      <c r="J440">
        <v>60030718</v>
      </c>
      <c r="K440" t="s">
        <v>3929</v>
      </c>
      <c r="L440" t="s">
        <v>172</v>
      </c>
      <c r="M440" t="s">
        <v>46</v>
      </c>
      <c r="N440">
        <v>4</v>
      </c>
      <c r="O440" t="s">
        <v>5568</v>
      </c>
      <c r="P440" t="s">
        <v>5567</v>
      </c>
      <c r="Q440" t="s">
        <v>5566</v>
      </c>
      <c r="R440" s="7">
        <v>37155</v>
      </c>
      <c r="S440" s="8">
        <f t="shared" si="48"/>
        <v>2001</v>
      </c>
      <c r="T440" s="8">
        <v>2001</v>
      </c>
      <c r="U440" s="8">
        <f t="shared" si="49"/>
        <v>21</v>
      </c>
      <c r="V440" s="7">
        <v>2001</v>
      </c>
      <c r="W440" t="s">
        <v>927</v>
      </c>
      <c r="X440" s="2">
        <v>1.228</v>
      </c>
      <c r="Y440" s="6">
        <f t="shared" si="54"/>
        <v>3.2780758655668561E-2</v>
      </c>
      <c r="AA440">
        <v>10720502</v>
      </c>
      <c r="AB440">
        <v>17282</v>
      </c>
      <c r="AD440" t="s">
        <v>1</v>
      </c>
      <c r="AE440">
        <v>8</v>
      </c>
      <c r="AF440">
        <v>4</v>
      </c>
      <c r="AH440" t="s">
        <v>5565</v>
      </c>
      <c r="AI440" t="s">
        <v>5564</v>
      </c>
      <c r="AK440" t="s">
        <v>5563</v>
      </c>
      <c r="AL440">
        <v>135</v>
      </c>
      <c r="AM440" s="5">
        <f t="shared" si="50"/>
        <v>6.4285714285714288</v>
      </c>
      <c r="AN440" s="4">
        <f t="shared" si="55"/>
        <v>9.7365716449396879E-3</v>
      </c>
      <c r="AO440" s="3"/>
      <c r="AP440">
        <v>1</v>
      </c>
      <c r="AR440" t="s">
        <v>0</v>
      </c>
      <c r="AT440" s="2" t="s">
        <v>7</v>
      </c>
      <c r="AU440" s="1">
        <f t="shared" si="51"/>
        <v>2.5867502552449899</v>
      </c>
      <c r="AV440" s="1">
        <f t="shared" si="52"/>
        <v>2.1258665150304128</v>
      </c>
      <c r="AW440" s="1">
        <f t="shared" si="53"/>
        <v>1.664982774815835</v>
      </c>
    </row>
    <row r="441" spans="1:49" x14ac:dyDescent="0.2">
      <c r="A441">
        <v>439</v>
      </c>
      <c r="B441" t="s">
        <v>5562</v>
      </c>
      <c r="C441" t="s">
        <v>5561</v>
      </c>
      <c r="F441" t="s">
        <v>5560</v>
      </c>
      <c r="G441" t="s">
        <v>6</v>
      </c>
      <c r="H441" t="s">
        <v>5</v>
      </c>
      <c r="I441" t="s">
        <v>5559</v>
      </c>
      <c r="J441" t="s">
        <v>5558</v>
      </c>
      <c r="K441" t="s">
        <v>5557</v>
      </c>
      <c r="L441" t="s">
        <v>5556</v>
      </c>
      <c r="M441" t="s">
        <v>327</v>
      </c>
      <c r="N441">
        <v>5</v>
      </c>
      <c r="O441" t="s">
        <v>5555</v>
      </c>
      <c r="P441" t="s">
        <v>5554</v>
      </c>
      <c r="Q441" t="s">
        <v>5553</v>
      </c>
      <c r="R441" s="7">
        <v>37154</v>
      </c>
      <c r="S441" s="8">
        <f t="shared" si="48"/>
        <v>2001</v>
      </c>
      <c r="T441" s="8">
        <v>2001</v>
      </c>
      <c r="U441" s="8">
        <f t="shared" si="49"/>
        <v>21</v>
      </c>
      <c r="V441" s="7">
        <v>37154</v>
      </c>
      <c r="W441" t="s">
        <v>290</v>
      </c>
      <c r="X441" s="2">
        <v>0.30399999999999999</v>
      </c>
      <c r="Y441" s="6">
        <f t="shared" si="54"/>
        <v>8.115106377299057E-3</v>
      </c>
      <c r="AA441">
        <v>8952477</v>
      </c>
      <c r="AB441">
        <v>12250</v>
      </c>
      <c r="AD441" t="s">
        <v>1</v>
      </c>
      <c r="AE441">
        <v>30</v>
      </c>
      <c r="AF441">
        <v>6</v>
      </c>
      <c r="AH441" t="s">
        <v>5552</v>
      </c>
      <c r="AI441" t="s">
        <v>5551</v>
      </c>
      <c r="AJ441" t="s">
        <v>5550</v>
      </c>
      <c r="AK441" t="s">
        <v>5549</v>
      </c>
      <c r="AL441">
        <v>0</v>
      </c>
      <c r="AM441" s="5">
        <f t="shared" si="50"/>
        <v>0</v>
      </c>
      <c r="AN441" s="4">
        <f t="shared" si="55"/>
        <v>0</v>
      </c>
      <c r="AO441" s="3"/>
      <c r="AP441">
        <v>0</v>
      </c>
      <c r="AR441" t="s">
        <v>0</v>
      </c>
      <c r="AT441" s="2" t="s">
        <v>7</v>
      </c>
      <c r="AU441" s="1">
        <f t="shared" si="51"/>
        <v>0.56805744641093392</v>
      </c>
      <c r="AV441" s="1">
        <f t="shared" si="52"/>
        <v>0.40575531886495286</v>
      </c>
      <c r="AW441" s="1">
        <f t="shared" si="53"/>
        <v>0.24345319131897172</v>
      </c>
    </row>
    <row r="442" spans="1:49" x14ac:dyDescent="0.2">
      <c r="A442">
        <v>440</v>
      </c>
      <c r="B442" t="s">
        <v>5548</v>
      </c>
      <c r="C442" t="s">
        <v>5547</v>
      </c>
      <c r="F442" t="s">
        <v>5546</v>
      </c>
      <c r="G442" t="s">
        <v>6</v>
      </c>
      <c r="H442" t="s">
        <v>5</v>
      </c>
      <c r="I442" t="s">
        <v>366</v>
      </c>
      <c r="J442">
        <v>100755790</v>
      </c>
      <c r="K442" t="s">
        <v>5510</v>
      </c>
      <c r="M442" t="s">
        <v>115</v>
      </c>
      <c r="N442">
        <v>4</v>
      </c>
      <c r="O442" t="s">
        <v>365</v>
      </c>
      <c r="P442" t="s">
        <v>364</v>
      </c>
      <c r="Q442" t="s">
        <v>5545</v>
      </c>
      <c r="R442" s="7">
        <v>37154</v>
      </c>
      <c r="S442" s="8">
        <f t="shared" si="48"/>
        <v>2001</v>
      </c>
      <c r="T442" s="8">
        <v>2001</v>
      </c>
      <c r="U442" s="8">
        <f t="shared" si="49"/>
        <v>21</v>
      </c>
      <c r="V442" s="7">
        <v>37154</v>
      </c>
      <c r="W442" t="s">
        <v>290</v>
      </c>
      <c r="X442" s="2">
        <v>0.30399999999999999</v>
      </c>
      <c r="Y442" s="6">
        <f t="shared" si="54"/>
        <v>8.115106377299057E-3</v>
      </c>
      <c r="AA442">
        <v>8952477</v>
      </c>
      <c r="AB442">
        <v>12250</v>
      </c>
      <c r="AD442" t="s">
        <v>1</v>
      </c>
      <c r="AE442">
        <v>30</v>
      </c>
      <c r="AF442">
        <v>6</v>
      </c>
      <c r="AH442" t="s">
        <v>5544</v>
      </c>
      <c r="AI442" t="s">
        <v>5543</v>
      </c>
      <c r="AJ442" t="s">
        <v>5542</v>
      </c>
      <c r="AK442" t="s">
        <v>5541</v>
      </c>
      <c r="AL442">
        <v>130</v>
      </c>
      <c r="AM442" s="5">
        <f t="shared" si="50"/>
        <v>6.1904761904761907</v>
      </c>
      <c r="AN442" s="4">
        <f t="shared" si="55"/>
        <v>9.3759578803122925E-3</v>
      </c>
      <c r="AO442" s="3"/>
      <c r="AP442">
        <v>0</v>
      </c>
      <c r="AR442" t="s">
        <v>0</v>
      </c>
      <c r="AT442" s="2" t="s">
        <v>7</v>
      </c>
      <c r="AU442" s="1">
        <f t="shared" si="51"/>
        <v>0.84933618282030265</v>
      </c>
      <c r="AV442" s="1">
        <f t="shared" si="52"/>
        <v>0.87455321288056753</v>
      </c>
      <c r="AW442" s="1">
        <f t="shared" si="53"/>
        <v>0.89977024294083208</v>
      </c>
    </row>
    <row r="443" spans="1:49" x14ac:dyDescent="0.2">
      <c r="A443">
        <v>441</v>
      </c>
      <c r="B443" t="s">
        <v>5540</v>
      </c>
      <c r="C443" t="s">
        <v>5539</v>
      </c>
      <c r="F443" t="s">
        <v>5538</v>
      </c>
      <c r="G443" t="s">
        <v>6</v>
      </c>
      <c r="H443" t="s">
        <v>5</v>
      </c>
      <c r="I443" t="s">
        <v>842</v>
      </c>
      <c r="J443">
        <v>60032006</v>
      </c>
      <c r="K443" t="s">
        <v>5537</v>
      </c>
      <c r="L443" t="s">
        <v>276</v>
      </c>
      <c r="M443" t="s">
        <v>87</v>
      </c>
      <c r="N443">
        <v>5</v>
      </c>
      <c r="O443" t="s">
        <v>5536</v>
      </c>
      <c r="P443" t="s">
        <v>5535</v>
      </c>
      <c r="Q443" t="s">
        <v>5534</v>
      </c>
      <c r="R443" s="7">
        <v>37154</v>
      </c>
      <c r="S443" s="8">
        <f t="shared" si="48"/>
        <v>2001</v>
      </c>
      <c r="T443" s="8">
        <v>2001</v>
      </c>
      <c r="U443" s="8">
        <f t="shared" si="49"/>
        <v>21</v>
      </c>
      <c r="V443" s="7">
        <v>37154</v>
      </c>
      <c r="W443" t="s">
        <v>290</v>
      </c>
      <c r="X443" s="2">
        <v>0.30399999999999999</v>
      </c>
      <c r="Y443" s="6">
        <f t="shared" si="54"/>
        <v>8.115106377299057E-3</v>
      </c>
      <c r="AA443">
        <v>8952477</v>
      </c>
      <c r="AB443">
        <v>12250</v>
      </c>
      <c r="AD443" t="s">
        <v>1</v>
      </c>
      <c r="AE443">
        <v>30</v>
      </c>
      <c r="AF443">
        <v>6</v>
      </c>
      <c r="AH443" t="s">
        <v>5533</v>
      </c>
      <c r="AI443" t="s">
        <v>5532</v>
      </c>
      <c r="AJ443" t="s">
        <v>5531</v>
      </c>
      <c r="AK443" t="s">
        <v>5530</v>
      </c>
      <c r="AL443">
        <v>24</v>
      </c>
      <c r="AM443" s="5">
        <f t="shared" si="50"/>
        <v>1.1428571428571428</v>
      </c>
      <c r="AN443" s="4">
        <f t="shared" si="55"/>
        <v>1.7309460702114999E-3</v>
      </c>
      <c r="AO443" s="3"/>
      <c r="AP443">
        <v>0</v>
      </c>
      <c r="AR443" t="s">
        <v>0</v>
      </c>
      <c r="AT443" s="2" t="s">
        <v>7</v>
      </c>
      <c r="AU443" s="1">
        <f t="shared" si="51"/>
        <v>0.6199858285172789</v>
      </c>
      <c r="AV443" s="1">
        <f t="shared" si="52"/>
        <v>0.49230262237552785</v>
      </c>
      <c r="AW443" s="1">
        <f t="shared" si="53"/>
        <v>0.36461941623377669</v>
      </c>
    </row>
    <row r="444" spans="1:49" x14ac:dyDescent="0.2">
      <c r="A444">
        <v>442</v>
      </c>
      <c r="B444" t="s">
        <v>5529</v>
      </c>
      <c r="C444" t="s">
        <v>5528</v>
      </c>
      <c r="F444" t="s">
        <v>5527</v>
      </c>
      <c r="G444" t="s">
        <v>6</v>
      </c>
      <c r="H444" t="s">
        <v>5</v>
      </c>
      <c r="I444" t="s">
        <v>5526</v>
      </c>
      <c r="J444">
        <v>60014756</v>
      </c>
      <c r="K444" t="s">
        <v>662</v>
      </c>
      <c r="L444" t="s">
        <v>661</v>
      </c>
      <c r="M444" t="s">
        <v>26</v>
      </c>
      <c r="N444">
        <v>1</v>
      </c>
      <c r="O444" t="s">
        <v>5525</v>
      </c>
      <c r="P444">
        <v>7102532900</v>
      </c>
      <c r="Q444">
        <v>60014756</v>
      </c>
      <c r="R444" s="7">
        <v>37154</v>
      </c>
      <c r="S444" s="8">
        <f t="shared" si="48"/>
        <v>2001</v>
      </c>
      <c r="T444" s="8">
        <v>2001</v>
      </c>
      <c r="U444" s="8">
        <f t="shared" si="49"/>
        <v>21</v>
      </c>
      <c r="V444" s="7">
        <v>37154</v>
      </c>
      <c r="W444" t="s">
        <v>290</v>
      </c>
      <c r="X444" s="2">
        <v>0.30399999999999999</v>
      </c>
      <c r="Y444" s="6">
        <f t="shared" si="54"/>
        <v>8.115106377299057E-3</v>
      </c>
      <c r="AA444">
        <v>8952477</v>
      </c>
      <c r="AB444">
        <v>12250</v>
      </c>
      <c r="AD444" t="s">
        <v>1</v>
      </c>
      <c r="AE444">
        <v>30</v>
      </c>
      <c r="AF444">
        <v>6</v>
      </c>
      <c r="AH444" t="s">
        <v>5524</v>
      </c>
      <c r="AI444" t="s">
        <v>5523</v>
      </c>
      <c r="AJ444" t="s">
        <v>5522</v>
      </c>
      <c r="AK444" t="s">
        <v>5521</v>
      </c>
      <c r="AL444">
        <v>3</v>
      </c>
      <c r="AM444" s="5">
        <f t="shared" si="50"/>
        <v>0.14285714285714285</v>
      </c>
      <c r="AN444" s="4">
        <f t="shared" si="55"/>
        <v>2.1636825877643749E-4</v>
      </c>
      <c r="AO444" s="3"/>
      <c r="AP444">
        <v>0</v>
      </c>
      <c r="AR444" t="s">
        <v>0</v>
      </c>
      <c r="AT444" s="2" t="s">
        <v>7</v>
      </c>
      <c r="AU444" s="1">
        <f t="shared" si="51"/>
        <v>0.57454849417422704</v>
      </c>
      <c r="AV444" s="1">
        <f t="shared" si="52"/>
        <v>0.41657373180377472</v>
      </c>
      <c r="AW444" s="1">
        <f t="shared" si="53"/>
        <v>0.25859896943332233</v>
      </c>
    </row>
    <row r="445" spans="1:49" x14ac:dyDescent="0.2">
      <c r="A445">
        <v>443</v>
      </c>
      <c r="B445" t="s">
        <v>5520</v>
      </c>
      <c r="C445" t="s">
        <v>5519</v>
      </c>
      <c r="F445" t="s">
        <v>5518</v>
      </c>
      <c r="G445" t="s">
        <v>6</v>
      </c>
      <c r="H445" t="s">
        <v>5</v>
      </c>
      <c r="I445" t="s">
        <v>900</v>
      </c>
      <c r="J445">
        <v>60011357</v>
      </c>
      <c r="K445" t="s">
        <v>342</v>
      </c>
      <c r="L445" t="s">
        <v>329</v>
      </c>
      <c r="M445" t="s">
        <v>105</v>
      </c>
      <c r="N445">
        <v>2</v>
      </c>
      <c r="O445" t="s">
        <v>899</v>
      </c>
      <c r="P445" t="s">
        <v>898</v>
      </c>
      <c r="Q445" t="s">
        <v>341</v>
      </c>
      <c r="R445" s="7">
        <v>37154</v>
      </c>
      <c r="S445" s="8">
        <f t="shared" si="48"/>
        <v>2001</v>
      </c>
      <c r="T445" s="8">
        <v>2001</v>
      </c>
      <c r="U445" s="8">
        <f t="shared" si="49"/>
        <v>21</v>
      </c>
      <c r="V445" s="7">
        <v>37154</v>
      </c>
      <c r="W445" t="s">
        <v>290</v>
      </c>
      <c r="X445" s="2">
        <v>0.30399999999999999</v>
      </c>
      <c r="Y445" s="6">
        <f t="shared" si="54"/>
        <v>8.115106377299057E-3</v>
      </c>
      <c r="AA445">
        <v>8952477</v>
      </c>
      <c r="AB445">
        <v>12250</v>
      </c>
      <c r="AD445" t="s">
        <v>1</v>
      </c>
      <c r="AE445">
        <v>30</v>
      </c>
      <c r="AF445">
        <v>6</v>
      </c>
      <c r="AH445" t="s">
        <v>5517</v>
      </c>
      <c r="AI445" t="s">
        <v>5516</v>
      </c>
      <c r="AJ445" t="s">
        <v>5515</v>
      </c>
      <c r="AK445" t="s">
        <v>5514</v>
      </c>
      <c r="AL445">
        <v>17</v>
      </c>
      <c r="AM445" s="5">
        <f t="shared" si="50"/>
        <v>0.80952380952380953</v>
      </c>
      <c r="AN445" s="4">
        <f t="shared" si="55"/>
        <v>1.2260867997331457E-3</v>
      </c>
      <c r="AO445" s="3"/>
      <c r="AP445">
        <v>0</v>
      </c>
      <c r="AR445" t="s">
        <v>0</v>
      </c>
      <c r="AT445" s="2" t="s">
        <v>7</v>
      </c>
      <c r="AU445" s="1">
        <f t="shared" si="51"/>
        <v>0.60484005040292832</v>
      </c>
      <c r="AV445" s="1">
        <f t="shared" si="52"/>
        <v>0.4670596588516101</v>
      </c>
      <c r="AW445" s="1">
        <f t="shared" si="53"/>
        <v>0.32927926730029189</v>
      </c>
    </row>
    <row r="446" spans="1:49" x14ac:dyDescent="0.2">
      <c r="A446">
        <v>444</v>
      </c>
      <c r="B446" t="s">
        <v>5513</v>
      </c>
      <c r="C446" t="s">
        <v>5512</v>
      </c>
      <c r="F446" t="s">
        <v>5511</v>
      </c>
      <c r="G446" t="s">
        <v>6</v>
      </c>
      <c r="H446" t="s">
        <v>5</v>
      </c>
      <c r="I446" t="s">
        <v>366</v>
      </c>
      <c r="J446">
        <v>100755790</v>
      </c>
      <c r="K446" t="s">
        <v>5510</v>
      </c>
      <c r="M446" t="s">
        <v>115</v>
      </c>
      <c r="N446">
        <v>2</v>
      </c>
      <c r="O446" t="s">
        <v>376</v>
      </c>
      <c r="P446" t="s">
        <v>375</v>
      </c>
      <c r="Q446" t="s">
        <v>5509</v>
      </c>
      <c r="R446" s="7">
        <v>37154</v>
      </c>
      <c r="S446" s="8">
        <f t="shared" si="48"/>
        <v>2001</v>
      </c>
      <c r="T446" s="8">
        <v>2001</v>
      </c>
      <c r="U446" s="8">
        <f t="shared" si="49"/>
        <v>21</v>
      </c>
      <c r="V446" s="7">
        <v>37154</v>
      </c>
      <c r="W446" t="s">
        <v>290</v>
      </c>
      <c r="X446" s="2">
        <v>0.30399999999999999</v>
      </c>
      <c r="Y446" s="6">
        <f t="shared" si="54"/>
        <v>8.115106377299057E-3</v>
      </c>
      <c r="AA446">
        <v>8952477</v>
      </c>
      <c r="AB446">
        <v>12250</v>
      </c>
      <c r="AD446" t="s">
        <v>1</v>
      </c>
      <c r="AE446">
        <v>30</v>
      </c>
      <c r="AF446">
        <v>6</v>
      </c>
      <c r="AH446" t="s">
        <v>5508</v>
      </c>
      <c r="AI446" t="s">
        <v>5507</v>
      </c>
      <c r="AJ446" t="s">
        <v>5506</v>
      </c>
      <c r="AK446" t="s">
        <v>5505</v>
      </c>
      <c r="AL446">
        <v>94</v>
      </c>
      <c r="AM446" s="5">
        <f t="shared" si="50"/>
        <v>4.4761904761904763</v>
      </c>
      <c r="AN446" s="4">
        <f t="shared" si="55"/>
        <v>6.779538774995042E-3</v>
      </c>
      <c r="AO446" s="3"/>
      <c r="AP446">
        <v>0</v>
      </c>
      <c r="AR446" t="s">
        <v>0</v>
      </c>
      <c r="AT446" s="2" t="s">
        <v>7</v>
      </c>
      <c r="AU446" s="1">
        <f t="shared" si="51"/>
        <v>0.77144360966078518</v>
      </c>
      <c r="AV446" s="1">
        <f t="shared" si="52"/>
        <v>0.74473225761470496</v>
      </c>
      <c r="AW446" s="1">
        <f t="shared" si="53"/>
        <v>0.71802090556862452</v>
      </c>
    </row>
    <row r="447" spans="1:49" x14ac:dyDescent="0.2">
      <c r="A447">
        <v>445</v>
      </c>
      <c r="B447" t="s">
        <v>5504</v>
      </c>
      <c r="C447" t="s">
        <v>5503</v>
      </c>
      <c r="F447" t="s">
        <v>5502</v>
      </c>
      <c r="G447" t="s">
        <v>6</v>
      </c>
      <c r="H447" t="s">
        <v>5</v>
      </c>
      <c r="I447" t="s">
        <v>362</v>
      </c>
      <c r="J447">
        <v>60019330</v>
      </c>
      <c r="K447" t="s">
        <v>904</v>
      </c>
      <c r="L447" t="s">
        <v>329</v>
      </c>
      <c r="M447" t="s">
        <v>105</v>
      </c>
      <c r="N447">
        <v>2</v>
      </c>
      <c r="O447" t="s">
        <v>903</v>
      </c>
      <c r="P447" t="s">
        <v>902</v>
      </c>
      <c r="Q447" t="s">
        <v>901</v>
      </c>
      <c r="R447" s="7">
        <v>37154</v>
      </c>
      <c r="S447" s="8">
        <f t="shared" si="48"/>
        <v>2001</v>
      </c>
      <c r="T447" s="8">
        <v>2001</v>
      </c>
      <c r="U447" s="8">
        <f t="shared" si="49"/>
        <v>21</v>
      </c>
      <c r="V447" s="7">
        <v>37154</v>
      </c>
      <c r="W447" t="s">
        <v>290</v>
      </c>
      <c r="X447" s="2">
        <v>0.30399999999999999</v>
      </c>
      <c r="Y447" s="6">
        <f t="shared" si="54"/>
        <v>8.115106377299057E-3</v>
      </c>
      <c r="AA447">
        <v>8952477</v>
      </c>
      <c r="AB447">
        <v>12250</v>
      </c>
      <c r="AD447" t="s">
        <v>1</v>
      </c>
      <c r="AE447">
        <v>30</v>
      </c>
      <c r="AF447">
        <v>6</v>
      </c>
      <c r="AH447" t="s">
        <v>5501</v>
      </c>
      <c r="AI447" t="s">
        <v>5500</v>
      </c>
      <c r="AJ447" t="s">
        <v>5499</v>
      </c>
      <c r="AK447" t="s">
        <v>5498</v>
      </c>
      <c r="AL447">
        <v>3</v>
      </c>
      <c r="AM447" s="5">
        <f t="shared" si="50"/>
        <v>0.14285714285714285</v>
      </c>
      <c r="AN447" s="4">
        <f t="shared" si="55"/>
        <v>2.1636825877643749E-4</v>
      </c>
      <c r="AO447" s="3"/>
      <c r="AP447">
        <v>0</v>
      </c>
      <c r="AR447" t="s">
        <v>0</v>
      </c>
      <c r="AT447" s="2" t="s">
        <v>7</v>
      </c>
      <c r="AU447" s="1">
        <f t="shared" si="51"/>
        <v>0.57454849417422704</v>
      </c>
      <c r="AV447" s="1">
        <f t="shared" si="52"/>
        <v>0.41657373180377472</v>
      </c>
      <c r="AW447" s="1">
        <f t="shared" si="53"/>
        <v>0.25859896943332233</v>
      </c>
    </row>
    <row r="448" spans="1:49" x14ac:dyDescent="0.2">
      <c r="A448">
        <v>446</v>
      </c>
      <c r="B448" t="s">
        <v>5497</v>
      </c>
      <c r="C448" t="s">
        <v>5496</v>
      </c>
      <c r="F448" t="s">
        <v>5495</v>
      </c>
      <c r="G448" t="s">
        <v>6</v>
      </c>
      <c r="H448" t="s">
        <v>5</v>
      </c>
      <c r="I448" t="s">
        <v>909</v>
      </c>
      <c r="J448" t="s">
        <v>5490</v>
      </c>
      <c r="K448" t="s">
        <v>5494</v>
      </c>
      <c r="L448" t="s">
        <v>5493</v>
      </c>
      <c r="M448" t="s">
        <v>187</v>
      </c>
      <c r="N448">
        <v>2</v>
      </c>
      <c r="O448" t="s">
        <v>5492</v>
      </c>
      <c r="P448" t="s">
        <v>5491</v>
      </c>
      <c r="Q448" t="s">
        <v>5490</v>
      </c>
      <c r="R448" s="7">
        <v>37154</v>
      </c>
      <c r="S448" s="8">
        <f t="shared" si="48"/>
        <v>2001</v>
      </c>
      <c r="T448" s="8">
        <v>2001</v>
      </c>
      <c r="U448" s="8">
        <f t="shared" si="49"/>
        <v>21</v>
      </c>
      <c r="V448" s="7">
        <v>37154</v>
      </c>
      <c r="W448" t="s">
        <v>290</v>
      </c>
      <c r="X448" s="2">
        <v>0.30399999999999999</v>
      </c>
      <c r="Y448" s="6">
        <f t="shared" si="54"/>
        <v>8.115106377299057E-3</v>
      </c>
      <c r="AA448">
        <v>8952477</v>
      </c>
      <c r="AB448">
        <v>12250</v>
      </c>
      <c r="AD448" t="s">
        <v>1</v>
      </c>
      <c r="AE448">
        <v>30</v>
      </c>
      <c r="AF448">
        <v>6</v>
      </c>
      <c r="AH448" t="s">
        <v>5489</v>
      </c>
      <c r="AI448" t="s">
        <v>5488</v>
      </c>
      <c r="AJ448" t="s">
        <v>5487</v>
      </c>
      <c r="AK448" t="s">
        <v>5486</v>
      </c>
      <c r="AL448">
        <v>4</v>
      </c>
      <c r="AM448" s="5">
        <f t="shared" si="50"/>
        <v>0.19047619047619047</v>
      </c>
      <c r="AN448" s="4">
        <f t="shared" si="55"/>
        <v>2.8849101170191666E-4</v>
      </c>
      <c r="AO448" s="3"/>
      <c r="AP448">
        <v>0</v>
      </c>
      <c r="AR448" t="s">
        <v>0</v>
      </c>
      <c r="AT448" s="2" t="s">
        <v>7</v>
      </c>
      <c r="AU448" s="1">
        <f t="shared" si="51"/>
        <v>0.57671217676199149</v>
      </c>
      <c r="AV448" s="1">
        <f t="shared" si="52"/>
        <v>0.4201798694500487</v>
      </c>
      <c r="AW448" s="1">
        <f t="shared" si="53"/>
        <v>0.26364756213810586</v>
      </c>
    </row>
    <row r="449" spans="1:49" x14ac:dyDescent="0.2">
      <c r="A449">
        <v>447</v>
      </c>
      <c r="B449" t="s">
        <v>5485</v>
      </c>
      <c r="C449" t="s">
        <v>5484</v>
      </c>
      <c r="D449" t="s">
        <v>5483</v>
      </c>
      <c r="E449">
        <v>11566098</v>
      </c>
      <c r="F449" t="s">
        <v>5482</v>
      </c>
      <c r="G449" t="s">
        <v>6</v>
      </c>
      <c r="H449" t="s">
        <v>5</v>
      </c>
      <c r="I449" t="s">
        <v>5481</v>
      </c>
      <c r="J449" t="s">
        <v>5480</v>
      </c>
      <c r="K449" t="s">
        <v>5479</v>
      </c>
      <c r="L449" t="s">
        <v>4829</v>
      </c>
      <c r="M449" t="s">
        <v>44</v>
      </c>
      <c r="N449">
        <v>3</v>
      </c>
      <c r="O449" t="s">
        <v>5478</v>
      </c>
      <c r="P449" t="s">
        <v>5477</v>
      </c>
      <c r="Q449" t="s">
        <v>5476</v>
      </c>
      <c r="R449" s="7">
        <v>37152</v>
      </c>
      <c r="S449" s="8">
        <f t="shared" si="48"/>
        <v>2001</v>
      </c>
      <c r="T449" s="8">
        <v>2001</v>
      </c>
      <c r="U449" s="8">
        <f t="shared" si="49"/>
        <v>21</v>
      </c>
      <c r="V449" s="7">
        <v>37152</v>
      </c>
      <c r="W449" t="s">
        <v>5475</v>
      </c>
      <c r="X449" s="2">
        <v>3.8220000000000001</v>
      </c>
      <c r="Y449" s="6">
        <f t="shared" si="54"/>
        <v>0.10202610715143751</v>
      </c>
      <c r="AA449">
        <v>9609822</v>
      </c>
      <c r="AB449">
        <v>15537</v>
      </c>
      <c r="AD449" t="s">
        <v>1</v>
      </c>
      <c r="AE449">
        <v>11</v>
      </c>
      <c r="AF449">
        <v>18</v>
      </c>
      <c r="AH449" t="s">
        <v>5474</v>
      </c>
      <c r="AI449" t="s">
        <v>5473</v>
      </c>
      <c r="AK449" t="s">
        <v>5472</v>
      </c>
      <c r="AL449">
        <v>69</v>
      </c>
      <c r="AM449" s="5">
        <f t="shared" si="50"/>
        <v>3.2857142857142856</v>
      </c>
      <c r="AN449" s="4">
        <f t="shared" si="55"/>
        <v>4.9764699518580618E-3</v>
      </c>
      <c r="AO449" s="3"/>
      <c r="AP449">
        <v>1</v>
      </c>
      <c r="AQ449" t="s">
        <v>21</v>
      </c>
      <c r="AR449" t="s">
        <v>5471</v>
      </c>
      <c r="AS449" t="s">
        <v>20</v>
      </c>
      <c r="AT449" s="2">
        <v>10.834</v>
      </c>
      <c r="AU449" s="1">
        <f t="shared" si="51"/>
        <v>7.2911215991563667</v>
      </c>
      <c r="AV449" s="1">
        <f t="shared" si="52"/>
        <v>5.3501288551647788</v>
      </c>
      <c r="AW449" s="1">
        <f t="shared" si="53"/>
        <v>3.4091361111731895</v>
      </c>
    </row>
    <row r="450" spans="1:49" x14ac:dyDescent="0.2">
      <c r="A450">
        <v>448</v>
      </c>
      <c r="B450" t="s">
        <v>5470</v>
      </c>
      <c r="C450" t="s">
        <v>5469</v>
      </c>
      <c r="E450">
        <v>11455438</v>
      </c>
      <c r="F450" t="s">
        <v>5468</v>
      </c>
      <c r="G450" t="s">
        <v>6</v>
      </c>
      <c r="H450" t="s">
        <v>5</v>
      </c>
      <c r="I450" t="s">
        <v>5467</v>
      </c>
      <c r="J450">
        <v>60000762</v>
      </c>
      <c r="K450" t="s">
        <v>5466</v>
      </c>
      <c r="L450" t="s">
        <v>172</v>
      </c>
      <c r="M450" t="s">
        <v>46</v>
      </c>
      <c r="N450">
        <v>2</v>
      </c>
      <c r="O450" t="s">
        <v>5465</v>
      </c>
      <c r="P450" t="s">
        <v>5464</v>
      </c>
      <c r="Q450" t="s">
        <v>5463</v>
      </c>
      <c r="R450" s="7">
        <v>37151</v>
      </c>
      <c r="S450" s="8">
        <f t="shared" ref="S450:S513" si="56">YEAR(R450)</f>
        <v>2001</v>
      </c>
      <c r="T450" s="8">
        <v>2001</v>
      </c>
      <c r="U450" s="8">
        <f t="shared" ref="U450:U513" si="57">2022-T450</f>
        <v>21</v>
      </c>
      <c r="V450" s="7">
        <v>2001</v>
      </c>
      <c r="W450" t="s">
        <v>121</v>
      </c>
      <c r="X450" s="2">
        <v>0.67400000000000004</v>
      </c>
      <c r="Y450" s="6">
        <f t="shared" si="54"/>
        <v>1.799204506019594E-2</v>
      </c>
      <c r="AA450" t="s">
        <v>120</v>
      </c>
      <c r="AB450">
        <v>14532</v>
      </c>
      <c r="AD450" t="s">
        <v>1</v>
      </c>
      <c r="AE450">
        <v>211</v>
      </c>
      <c r="AF450">
        <v>5</v>
      </c>
      <c r="AH450" t="s">
        <v>5462</v>
      </c>
      <c r="AI450" t="s">
        <v>5461</v>
      </c>
      <c r="AJ450" t="s">
        <v>5460</v>
      </c>
      <c r="AK450" t="s">
        <v>5459</v>
      </c>
      <c r="AL450">
        <v>70</v>
      </c>
      <c r="AM450" s="5">
        <f t="shared" ref="AM450:AM513" si="58">AL450/U450</f>
        <v>3.3333333333333335</v>
      </c>
      <c r="AN450" s="4">
        <f t="shared" si="55"/>
        <v>5.0485927047835416E-3</v>
      </c>
      <c r="AO450" s="3"/>
      <c r="AP450">
        <v>0</v>
      </c>
      <c r="AQ450" t="s">
        <v>152</v>
      </c>
      <c r="AR450" t="s">
        <v>5458</v>
      </c>
      <c r="AS450" t="s">
        <v>151</v>
      </c>
      <c r="AT450" s="2">
        <v>0.9</v>
      </c>
      <c r="AU450" s="1">
        <f t="shared" ref="AU450:AU513" si="59">(Y450*0.7+AN450*0.3)*100</f>
        <v>1.4109009353572222</v>
      </c>
      <c r="AV450" s="1">
        <f t="shared" ref="AV450:AV513" si="60">(Y450*0.5+AN450*0.5)*100</f>
        <v>1.1520318882489742</v>
      </c>
      <c r="AW450" s="1">
        <f t="shared" ref="AW450:AW513" si="61">(Y450*0.3+AN450*0.7)*100</f>
        <v>0.89316284114072597</v>
      </c>
    </row>
    <row r="451" spans="1:49" x14ac:dyDescent="0.2">
      <c r="A451">
        <v>449</v>
      </c>
      <c r="B451" t="s">
        <v>5457</v>
      </c>
      <c r="C451" t="s">
        <v>5456</v>
      </c>
      <c r="E451">
        <v>11513657</v>
      </c>
      <c r="F451" t="s">
        <v>5455</v>
      </c>
      <c r="G451" t="s">
        <v>6</v>
      </c>
      <c r="H451" t="s">
        <v>5</v>
      </c>
      <c r="I451" t="s">
        <v>5454</v>
      </c>
      <c r="J451" t="s">
        <v>655</v>
      </c>
      <c r="K451" t="s">
        <v>654</v>
      </c>
      <c r="L451" t="s">
        <v>653</v>
      </c>
      <c r="M451" t="s">
        <v>176</v>
      </c>
      <c r="N451">
        <v>9</v>
      </c>
      <c r="O451" t="s">
        <v>5453</v>
      </c>
      <c r="P451" t="s">
        <v>5452</v>
      </c>
      <c r="Q451" t="s">
        <v>5451</v>
      </c>
      <c r="R451" s="7">
        <v>37151</v>
      </c>
      <c r="S451" s="8">
        <f t="shared" si="56"/>
        <v>2001</v>
      </c>
      <c r="T451" s="8">
        <v>2001</v>
      </c>
      <c r="U451" s="8">
        <f t="shared" si="57"/>
        <v>21</v>
      </c>
      <c r="V451" s="7">
        <v>2001</v>
      </c>
      <c r="W451" t="s">
        <v>5450</v>
      </c>
      <c r="X451" s="2">
        <v>1.2030000000000001</v>
      </c>
      <c r="Y451" s="6">
        <f t="shared" ref="Y451:Y514" si="62">(X451-$Z$3)/($Z$2-$Z$3)</f>
        <v>3.2113397933851207E-2</v>
      </c>
      <c r="AA451">
        <v>218561</v>
      </c>
      <c r="AB451">
        <v>33722</v>
      </c>
      <c r="AD451" t="s">
        <v>1</v>
      </c>
      <c r="AE451">
        <v>49</v>
      </c>
      <c r="AF451">
        <v>8</v>
      </c>
      <c r="AH451" t="s">
        <v>5449</v>
      </c>
      <c r="AI451" t="s">
        <v>5448</v>
      </c>
      <c r="AJ451" t="s">
        <v>5447</v>
      </c>
      <c r="AK451" t="s">
        <v>5446</v>
      </c>
      <c r="AL451">
        <v>135</v>
      </c>
      <c r="AM451" s="5">
        <f t="shared" si="58"/>
        <v>6.4285714285714288</v>
      </c>
      <c r="AN451" s="4">
        <f t="shared" ref="AN451:AN514" si="63">(AM451-$AO$3)/($AO$2-$AO$3)</f>
        <v>9.7365716449396879E-3</v>
      </c>
      <c r="AO451" s="3"/>
      <c r="AP451">
        <v>0</v>
      </c>
      <c r="AR451" t="s">
        <v>0</v>
      </c>
      <c r="AT451" s="2" t="s">
        <v>7</v>
      </c>
      <c r="AU451" s="1">
        <f t="shared" si="59"/>
        <v>2.5400350047177751</v>
      </c>
      <c r="AV451" s="1">
        <f t="shared" si="60"/>
        <v>2.0924984789395444</v>
      </c>
      <c r="AW451" s="1">
        <f t="shared" si="61"/>
        <v>1.6449619531613142</v>
      </c>
    </row>
    <row r="452" spans="1:49" x14ac:dyDescent="0.2">
      <c r="A452">
        <v>450</v>
      </c>
      <c r="B452" t="s">
        <v>5445</v>
      </c>
      <c r="C452" t="s">
        <v>5444</v>
      </c>
      <c r="D452" t="s">
        <v>5443</v>
      </c>
      <c r="F452" t="s">
        <v>5442</v>
      </c>
      <c r="G452" t="s">
        <v>6</v>
      </c>
      <c r="H452" t="s">
        <v>5</v>
      </c>
      <c r="I452" t="s">
        <v>473</v>
      </c>
      <c r="J452" t="s">
        <v>5441</v>
      </c>
      <c r="K452" t="s">
        <v>5440</v>
      </c>
      <c r="L452" t="s">
        <v>5439</v>
      </c>
      <c r="M452" t="s">
        <v>5438</v>
      </c>
      <c r="N452">
        <v>2</v>
      </c>
      <c r="O452" t="s">
        <v>5437</v>
      </c>
      <c r="P452" t="s">
        <v>470</v>
      </c>
      <c r="Q452" t="s">
        <v>5436</v>
      </c>
      <c r="R452" s="7">
        <v>37149</v>
      </c>
      <c r="S452" s="8">
        <f t="shared" si="56"/>
        <v>2001</v>
      </c>
      <c r="T452" s="8">
        <v>2001</v>
      </c>
      <c r="U452" s="8">
        <f t="shared" si="57"/>
        <v>21</v>
      </c>
      <c r="V452" s="7">
        <v>37149</v>
      </c>
      <c r="W452" t="s">
        <v>5435</v>
      </c>
      <c r="X452" s="2">
        <v>1.089</v>
      </c>
      <c r="Y452" s="6">
        <f t="shared" si="62"/>
        <v>2.9070233042364058E-2</v>
      </c>
      <c r="AA452">
        <v>3770273</v>
      </c>
      <c r="AB452">
        <v>28449</v>
      </c>
      <c r="AD452" t="s">
        <v>1</v>
      </c>
      <c r="AE452">
        <v>109</v>
      </c>
      <c r="AF452">
        <v>4</v>
      </c>
      <c r="AH452" t="s">
        <v>5434</v>
      </c>
      <c r="AI452" t="s">
        <v>5433</v>
      </c>
      <c r="AJ452" t="s">
        <v>5432</v>
      </c>
      <c r="AK452" t="s">
        <v>5431</v>
      </c>
      <c r="AL452">
        <v>21</v>
      </c>
      <c r="AM452" s="5">
        <f t="shared" si="58"/>
        <v>1</v>
      </c>
      <c r="AN452" s="4">
        <f t="shared" si="63"/>
        <v>1.5145778114350624E-3</v>
      </c>
      <c r="AO452" s="3"/>
      <c r="AP452">
        <v>0</v>
      </c>
      <c r="AR452" t="s">
        <v>0</v>
      </c>
      <c r="AT452" s="2" t="s">
        <v>7</v>
      </c>
      <c r="AU452" s="1">
        <f t="shared" si="59"/>
        <v>2.0803536473085358</v>
      </c>
      <c r="AV452" s="1">
        <f t="shared" si="60"/>
        <v>1.529240542689956</v>
      </c>
      <c r="AW452" s="1">
        <f t="shared" si="61"/>
        <v>0.97812743807137603</v>
      </c>
    </row>
    <row r="453" spans="1:49" x14ac:dyDescent="0.2">
      <c r="A453">
        <v>451</v>
      </c>
      <c r="B453" t="s">
        <v>5430</v>
      </c>
      <c r="C453" t="s">
        <v>5429</v>
      </c>
      <c r="D453" t="s">
        <v>5428</v>
      </c>
      <c r="F453" t="s">
        <v>5427</v>
      </c>
      <c r="G453" t="s">
        <v>6</v>
      </c>
      <c r="H453" t="s">
        <v>5</v>
      </c>
      <c r="I453" t="s">
        <v>5426</v>
      </c>
      <c r="J453" t="s">
        <v>5425</v>
      </c>
      <c r="K453" t="s">
        <v>5424</v>
      </c>
      <c r="L453" t="s">
        <v>5423</v>
      </c>
      <c r="M453" t="s">
        <v>5422</v>
      </c>
      <c r="N453">
        <v>4</v>
      </c>
      <c r="O453" t="s">
        <v>5421</v>
      </c>
      <c r="P453" t="s">
        <v>5420</v>
      </c>
      <c r="Q453" t="s">
        <v>5419</v>
      </c>
      <c r="R453" s="7">
        <v>37149</v>
      </c>
      <c r="S453" s="8">
        <f t="shared" si="56"/>
        <v>2001</v>
      </c>
      <c r="T453" s="8">
        <v>2001</v>
      </c>
      <c r="U453" s="8">
        <f t="shared" si="57"/>
        <v>21</v>
      </c>
      <c r="V453" s="7">
        <v>37149</v>
      </c>
      <c r="W453" t="s">
        <v>5418</v>
      </c>
      <c r="X453" s="2">
        <v>0.7</v>
      </c>
      <c r="Y453" s="6">
        <f t="shared" si="62"/>
        <v>1.8686100210885986E-2</v>
      </c>
      <c r="AA453" t="s">
        <v>5417</v>
      </c>
      <c r="AB453">
        <v>25890</v>
      </c>
      <c r="AD453" t="s">
        <v>1</v>
      </c>
      <c r="AE453">
        <v>112</v>
      </c>
      <c r="AF453" s="10">
        <v>44256</v>
      </c>
      <c r="AH453" t="s">
        <v>5416</v>
      </c>
      <c r="AI453" t="s">
        <v>5415</v>
      </c>
      <c r="AJ453" t="s">
        <v>5414</v>
      </c>
      <c r="AK453" t="s">
        <v>5413</v>
      </c>
      <c r="AL453">
        <v>5</v>
      </c>
      <c r="AM453" s="5">
        <f t="shared" si="58"/>
        <v>0.23809523809523808</v>
      </c>
      <c r="AN453" s="4">
        <f t="shared" si="63"/>
        <v>3.6061376462739582E-4</v>
      </c>
      <c r="AO453" s="3"/>
      <c r="AP453">
        <v>1</v>
      </c>
      <c r="AR453" t="s">
        <v>0</v>
      </c>
      <c r="AT453" s="2">
        <v>1.139</v>
      </c>
      <c r="AU453" s="1">
        <f t="shared" si="59"/>
        <v>1.3188454277008408</v>
      </c>
      <c r="AV453" s="1">
        <f t="shared" si="60"/>
        <v>0.95233569877566904</v>
      </c>
      <c r="AW453" s="1">
        <f t="shared" si="61"/>
        <v>0.58582596985049729</v>
      </c>
    </row>
    <row r="454" spans="1:49" x14ac:dyDescent="0.2">
      <c r="A454">
        <v>452</v>
      </c>
      <c r="B454" t="s">
        <v>5412</v>
      </c>
      <c r="C454" t="s">
        <v>5411</v>
      </c>
      <c r="D454" t="s">
        <v>5410</v>
      </c>
      <c r="E454">
        <v>11543621</v>
      </c>
      <c r="F454" t="s">
        <v>5409</v>
      </c>
      <c r="G454" t="s">
        <v>6</v>
      </c>
      <c r="H454" t="s">
        <v>5</v>
      </c>
      <c r="I454" t="s">
        <v>5408</v>
      </c>
      <c r="J454" t="s">
        <v>5407</v>
      </c>
      <c r="K454" t="s">
        <v>5406</v>
      </c>
      <c r="L454" t="s">
        <v>5405</v>
      </c>
      <c r="M454" t="s">
        <v>2018</v>
      </c>
      <c r="N454">
        <v>4</v>
      </c>
      <c r="O454" t="s">
        <v>5404</v>
      </c>
      <c r="P454" t="s">
        <v>5403</v>
      </c>
      <c r="Q454" t="s">
        <v>5402</v>
      </c>
      <c r="R454" s="7">
        <v>37149</v>
      </c>
      <c r="S454" s="8">
        <f t="shared" si="56"/>
        <v>2001</v>
      </c>
      <c r="T454" s="8">
        <v>2001</v>
      </c>
      <c r="U454" s="8">
        <f t="shared" si="57"/>
        <v>21</v>
      </c>
      <c r="V454" s="7">
        <v>37149</v>
      </c>
      <c r="W454" t="s">
        <v>920</v>
      </c>
      <c r="X454" s="2">
        <v>1.77</v>
      </c>
      <c r="Y454" s="6">
        <f t="shared" si="62"/>
        <v>4.7249139104668859E-2</v>
      </c>
      <c r="AA454">
        <v>121606</v>
      </c>
      <c r="AB454">
        <v>14536</v>
      </c>
      <c r="AD454" t="s">
        <v>1</v>
      </c>
      <c r="AE454">
        <v>237</v>
      </c>
      <c r="AF454">
        <v>2</v>
      </c>
      <c r="AH454" t="s">
        <v>5401</v>
      </c>
      <c r="AI454" t="s">
        <v>5400</v>
      </c>
      <c r="AJ454" t="s">
        <v>5399</v>
      </c>
      <c r="AK454" t="s">
        <v>5398</v>
      </c>
      <c r="AL454">
        <v>27</v>
      </c>
      <c r="AM454" s="5">
        <f t="shared" si="58"/>
        <v>1.2857142857142858</v>
      </c>
      <c r="AN454" s="4">
        <f t="shared" si="63"/>
        <v>1.9473143289879377E-3</v>
      </c>
      <c r="AO454" s="3"/>
      <c r="AP454">
        <v>1</v>
      </c>
      <c r="AQ454" t="s">
        <v>408</v>
      </c>
      <c r="AR454" t="s">
        <v>5397</v>
      </c>
      <c r="AS454" t="s">
        <v>568</v>
      </c>
      <c r="AT454" s="2">
        <v>3.5819999999999999</v>
      </c>
      <c r="AU454" s="1">
        <f t="shared" si="59"/>
        <v>3.3658591671964584</v>
      </c>
      <c r="AV454" s="1">
        <f t="shared" si="60"/>
        <v>2.45982267168284</v>
      </c>
      <c r="AW454" s="1">
        <f t="shared" si="61"/>
        <v>1.5537861761692213</v>
      </c>
    </row>
    <row r="455" spans="1:49" x14ac:dyDescent="0.2">
      <c r="A455">
        <v>453</v>
      </c>
      <c r="B455" t="s">
        <v>5396</v>
      </c>
      <c r="C455" t="s">
        <v>5395</v>
      </c>
      <c r="F455" t="s">
        <v>5394</v>
      </c>
      <c r="G455" t="s">
        <v>6</v>
      </c>
      <c r="H455" t="s">
        <v>5</v>
      </c>
      <c r="I455" t="s">
        <v>5393</v>
      </c>
      <c r="J455">
        <v>60011484</v>
      </c>
      <c r="K455" t="s">
        <v>5392</v>
      </c>
      <c r="L455" t="s">
        <v>272</v>
      </c>
      <c r="M455" t="s">
        <v>3</v>
      </c>
      <c r="N455">
        <v>2</v>
      </c>
      <c r="O455" t="s">
        <v>5391</v>
      </c>
      <c r="P455" t="s">
        <v>5390</v>
      </c>
      <c r="Q455" t="s">
        <v>5389</v>
      </c>
      <c r="R455" s="7">
        <v>37149</v>
      </c>
      <c r="S455" s="8">
        <f t="shared" si="56"/>
        <v>2001</v>
      </c>
      <c r="T455" s="8">
        <v>2001</v>
      </c>
      <c r="U455" s="8">
        <f t="shared" si="57"/>
        <v>21</v>
      </c>
      <c r="V455" s="7">
        <v>37149</v>
      </c>
      <c r="W455" t="s">
        <v>5388</v>
      </c>
      <c r="X455" s="2">
        <v>0</v>
      </c>
      <c r="Y455" s="6">
        <f t="shared" si="62"/>
        <v>0</v>
      </c>
      <c r="AB455">
        <v>21101038511</v>
      </c>
      <c r="AC455">
        <v>21699291</v>
      </c>
      <c r="AD455" t="s">
        <v>1</v>
      </c>
      <c r="AE455">
        <v>106</v>
      </c>
      <c r="AF455" t="s">
        <v>5387</v>
      </c>
      <c r="AG455" t="s">
        <v>5386</v>
      </c>
      <c r="AH455" t="s">
        <v>5385</v>
      </c>
      <c r="AI455" t="s">
        <v>5384</v>
      </c>
      <c r="AK455" t="s">
        <v>5383</v>
      </c>
      <c r="AL455">
        <v>23</v>
      </c>
      <c r="AM455" s="5">
        <f t="shared" si="58"/>
        <v>1.0952380952380953</v>
      </c>
      <c r="AN455" s="4">
        <f t="shared" si="63"/>
        <v>1.658823317286021E-3</v>
      </c>
      <c r="AO455" s="3"/>
      <c r="AP455">
        <v>0</v>
      </c>
      <c r="AR455" t="s">
        <v>0</v>
      </c>
      <c r="AT455" s="2" t="s">
        <v>7</v>
      </c>
      <c r="AU455" s="1">
        <f t="shared" si="59"/>
        <v>4.9764699518580632E-2</v>
      </c>
      <c r="AV455" s="1">
        <f t="shared" si="60"/>
        <v>8.2941165864301059E-2</v>
      </c>
      <c r="AW455" s="1">
        <f t="shared" si="61"/>
        <v>0.11611763221002147</v>
      </c>
    </row>
    <row r="456" spans="1:49" x14ac:dyDescent="0.2">
      <c r="A456">
        <v>454</v>
      </c>
      <c r="B456" t="s">
        <v>5382</v>
      </c>
      <c r="C456" t="s">
        <v>5381</v>
      </c>
      <c r="D456" t="s">
        <v>5380</v>
      </c>
      <c r="E456">
        <v>11587331</v>
      </c>
      <c r="F456" t="s">
        <v>5379</v>
      </c>
      <c r="G456" t="s">
        <v>6</v>
      </c>
      <c r="H456" t="s">
        <v>5</v>
      </c>
      <c r="I456" t="s">
        <v>531</v>
      </c>
      <c r="J456" t="s">
        <v>5378</v>
      </c>
      <c r="K456" t="s">
        <v>5377</v>
      </c>
      <c r="L456" t="s">
        <v>5376</v>
      </c>
      <c r="M456" t="s">
        <v>45</v>
      </c>
      <c r="N456">
        <v>6</v>
      </c>
      <c r="O456" t="s">
        <v>5375</v>
      </c>
      <c r="P456" t="s">
        <v>5374</v>
      </c>
      <c r="Q456" t="s">
        <v>5373</v>
      </c>
      <c r="R456" s="7">
        <v>37148</v>
      </c>
      <c r="S456" s="8">
        <f t="shared" si="56"/>
        <v>2001</v>
      </c>
      <c r="T456" s="8">
        <v>2001</v>
      </c>
      <c r="U456" s="8">
        <f t="shared" si="57"/>
        <v>21</v>
      </c>
      <c r="V456" s="7">
        <v>37148</v>
      </c>
      <c r="W456" t="s">
        <v>851</v>
      </c>
      <c r="X456" s="2">
        <v>1.0109999999999999</v>
      </c>
      <c r="Y456" s="6">
        <f t="shared" si="62"/>
        <v>2.6988067590293905E-2</v>
      </c>
      <c r="AA456">
        <v>219673</v>
      </c>
      <c r="AB456">
        <v>130000</v>
      </c>
      <c r="AD456" t="s">
        <v>1</v>
      </c>
      <c r="AE456">
        <v>928</v>
      </c>
      <c r="AF456">
        <v>2</v>
      </c>
      <c r="AH456" t="s">
        <v>5372</v>
      </c>
      <c r="AI456" t="s">
        <v>5371</v>
      </c>
      <c r="AJ456" t="s">
        <v>5370</v>
      </c>
      <c r="AK456" t="s">
        <v>5369</v>
      </c>
      <c r="AL456">
        <v>10</v>
      </c>
      <c r="AM456" s="5">
        <f t="shared" si="58"/>
        <v>0.47619047619047616</v>
      </c>
      <c r="AN456" s="4">
        <f t="shared" si="63"/>
        <v>7.2122752925479164E-4</v>
      </c>
      <c r="AO456" s="3"/>
      <c r="AP456">
        <v>0</v>
      </c>
      <c r="AR456" t="s">
        <v>0</v>
      </c>
      <c r="AT456" s="2">
        <v>4.7590000000000003</v>
      </c>
      <c r="AU456" s="1">
        <f t="shared" si="59"/>
        <v>1.9108015571982169</v>
      </c>
      <c r="AV456" s="1">
        <f t="shared" si="60"/>
        <v>1.3854647559774347</v>
      </c>
      <c r="AW456" s="1">
        <f t="shared" si="61"/>
        <v>0.86012795475665271</v>
      </c>
    </row>
    <row r="457" spans="1:49" x14ac:dyDescent="0.2">
      <c r="A457">
        <v>455</v>
      </c>
      <c r="B457" t="s">
        <v>5368</v>
      </c>
      <c r="C457" t="s">
        <v>5367</v>
      </c>
      <c r="D457" t="s">
        <v>5366</v>
      </c>
      <c r="E457">
        <v>11603833</v>
      </c>
      <c r="F457" t="s">
        <v>5365</v>
      </c>
      <c r="G457" t="s">
        <v>6</v>
      </c>
      <c r="H457" t="s">
        <v>5</v>
      </c>
      <c r="I457" t="s">
        <v>5364</v>
      </c>
      <c r="J457" t="s">
        <v>5363</v>
      </c>
      <c r="K457" t="s">
        <v>5362</v>
      </c>
      <c r="L457" t="s">
        <v>5361</v>
      </c>
      <c r="M457" t="s">
        <v>5360</v>
      </c>
      <c r="N457">
        <v>11</v>
      </c>
      <c r="O457" t="s">
        <v>5359</v>
      </c>
      <c r="P457" t="s">
        <v>5358</v>
      </c>
      <c r="Q457" t="s">
        <v>5357</v>
      </c>
      <c r="R457" s="7">
        <v>37148</v>
      </c>
      <c r="S457" s="8">
        <f t="shared" si="56"/>
        <v>2001</v>
      </c>
      <c r="T457" s="8">
        <v>2001</v>
      </c>
      <c r="U457" s="8">
        <f t="shared" si="57"/>
        <v>21</v>
      </c>
      <c r="V457" s="7">
        <v>37148</v>
      </c>
      <c r="W457" t="s">
        <v>5356</v>
      </c>
      <c r="X457" s="2" t="s">
        <v>7</v>
      </c>
      <c r="Y457" s="6" t="e">
        <f t="shared" si="62"/>
        <v>#VALUE!</v>
      </c>
      <c r="AA457">
        <v>13861425</v>
      </c>
      <c r="AB457">
        <v>24530</v>
      </c>
      <c r="AD457" t="s">
        <v>1</v>
      </c>
      <c r="AE457">
        <v>57</v>
      </c>
      <c r="AF457">
        <v>11</v>
      </c>
      <c r="AH457" t="s">
        <v>5355</v>
      </c>
      <c r="AI457" t="s">
        <v>5354</v>
      </c>
      <c r="AJ457" t="s">
        <v>5353</v>
      </c>
      <c r="AK457" t="s">
        <v>5352</v>
      </c>
      <c r="AL457">
        <v>66</v>
      </c>
      <c r="AM457" s="5">
        <f t="shared" si="58"/>
        <v>3.1428571428571428</v>
      </c>
      <c r="AN457" s="4">
        <f t="shared" si="63"/>
        <v>4.7601016930816252E-3</v>
      </c>
      <c r="AO457" s="3"/>
      <c r="AP457">
        <v>0</v>
      </c>
      <c r="AQ457" t="s">
        <v>478</v>
      </c>
      <c r="AR457" t="s">
        <v>5351</v>
      </c>
      <c r="AS457" t="s">
        <v>477</v>
      </c>
      <c r="AT457" s="2" t="s">
        <v>7</v>
      </c>
      <c r="AU457" s="1" t="e">
        <f t="shared" si="59"/>
        <v>#VALUE!</v>
      </c>
      <c r="AV457" s="1" t="e">
        <f t="shared" si="60"/>
        <v>#VALUE!</v>
      </c>
      <c r="AW457" s="1" t="e">
        <f t="shared" si="61"/>
        <v>#VALUE!</v>
      </c>
    </row>
    <row r="458" spans="1:49" x14ac:dyDescent="0.2">
      <c r="A458">
        <v>456</v>
      </c>
      <c r="B458" t="s">
        <v>5350</v>
      </c>
      <c r="C458" t="s">
        <v>5349</v>
      </c>
      <c r="D458" t="s">
        <v>5348</v>
      </c>
      <c r="F458" t="s">
        <v>5347</v>
      </c>
      <c r="G458" t="s">
        <v>6</v>
      </c>
      <c r="H458" t="s">
        <v>5</v>
      </c>
      <c r="I458" t="s">
        <v>980</v>
      </c>
      <c r="J458">
        <v>60025038</v>
      </c>
      <c r="K458" t="s">
        <v>191</v>
      </c>
      <c r="L458" t="s">
        <v>190</v>
      </c>
      <c r="M458" t="s">
        <v>3</v>
      </c>
      <c r="N458">
        <v>3</v>
      </c>
      <c r="O458" t="s">
        <v>5346</v>
      </c>
      <c r="P458" t="s">
        <v>5345</v>
      </c>
      <c r="Q458" t="s">
        <v>189</v>
      </c>
      <c r="R458" s="7">
        <v>37148</v>
      </c>
      <c r="S458" s="8">
        <f t="shared" si="56"/>
        <v>2001</v>
      </c>
      <c r="T458" s="8">
        <v>2001</v>
      </c>
      <c r="U458" s="8">
        <f t="shared" si="57"/>
        <v>21</v>
      </c>
      <c r="V458" s="7">
        <v>37148</v>
      </c>
      <c r="W458" t="s">
        <v>5327</v>
      </c>
      <c r="X458" s="2">
        <v>0.71399999999999997</v>
      </c>
      <c r="Y458" s="6">
        <f t="shared" si="62"/>
        <v>1.9059822215103706E-2</v>
      </c>
      <c r="AA458">
        <v>10106030</v>
      </c>
      <c r="AB458">
        <v>26966</v>
      </c>
      <c r="AD458" t="s">
        <v>1</v>
      </c>
      <c r="AE458">
        <v>142</v>
      </c>
      <c r="AF458" s="10">
        <v>44257</v>
      </c>
      <c r="AH458" t="s">
        <v>5344</v>
      </c>
      <c r="AI458" t="s">
        <v>5343</v>
      </c>
      <c r="AJ458" t="s">
        <v>5342</v>
      </c>
      <c r="AK458" t="s">
        <v>5341</v>
      </c>
      <c r="AL458">
        <v>65</v>
      </c>
      <c r="AM458" s="5">
        <f t="shared" si="58"/>
        <v>3.0952380952380953</v>
      </c>
      <c r="AN458" s="4">
        <f t="shared" si="63"/>
        <v>4.6879789401561463E-3</v>
      </c>
      <c r="AO458" s="3"/>
      <c r="AP458">
        <v>0</v>
      </c>
      <c r="AQ458" t="s">
        <v>468</v>
      </c>
      <c r="AR458" t="s">
        <v>5340</v>
      </c>
      <c r="AS458" t="s">
        <v>467</v>
      </c>
      <c r="AT458" s="2" t="s">
        <v>7</v>
      </c>
      <c r="AU458" s="1">
        <f t="shared" si="59"/>
        <v>1.4748269232619438</v>
      </c>
      <c r="AV458" s="1">
        <f t="shared" si="60"/>
        <v>1.1873900577629926</v>
      </c>
      <c r="AW458" s="1">
        <f t="shared" si="61"/>
        <v>0.89995319226404136</v>
      </c>
    </row>
    <row r="459" spans="1:49" x14ac:dyDescent="0.2">
      <c r="A459">
        <v>457</v>
      </c>
      <c r="B459" t="s">
        <v>5339</v>
      </c>
      <c r="C459" t="s">
        <v>5338</v>
      </c>
      <c r="D459" t="s">
        <v>5337</v>
      </c>
      <c r="F459" t="s">
        <v>5336</v>
      </c>
      <c r="G459" t="s">
        <v>6</v>
      </c>
      <c r="H459" t="s">
        <v>5</v>
      </c>
      <c r="I459" t="s">
        <v>5335</v>
      </c>
      <c r="J459" t="s">
        <v>5334</v>
      </c>
      <c r="K459" t="s">
        <v>5333</v>
      </c>
      <c r="L459" t="s">
        <v>5332</v>
      </c>
      <c r="M459" t="s">
        <v>5331</v>
      </c>
      <c r="N459">
        <v>4</v>
      </c>
      <c r="O459" t="s">
        <v>5330</v>
      </c>
      <c r="P459" t="s">
        <v>5329</v>
      </c>
      <c r="Q459" t="s">
        <v>5328</v>
      </c>
      <c r="R459" s="7">
        <v>37148</v>
      </c>
      <c r="S459" s="8">
        <f t="shared" si="56"/>
        <v>2001</v>
      </c>
      <c r="T459" s="8">
        <v>2001</v>
      </c>
      <c r="U459" s="8">
        <f t="shared" si="57"/>
        <v>21</v>
      </c>
      <c r="V459" s="7">
        <v>37148</v>
      </c>
      <c r="W459" t="s">
        <v>5327</v>
      </c>
      <c r="X459" s="2">
        <v>0.71399999999999997</v>
      </c>
      <c r="Y459" s="6">
        <f t="shared" si="62"/>
        <v>1.9059822215103706E-2</v>
      </c>
      <c r="AA459">
        <v>10106030</v>
      </c>
      <c r="AB459">
        <v>26966</v>
      </c>
      <c r="AD459" t="s">
        <v>1</v>
      </c>
      <c r="AE459">
        <v>142</v>
      </c>
      <c r="AF459" s="10">
        <v>44257</v>
      </c>
      <c r="AH459" t="s">
        <v>5326</v>
      </c>
      <c r="AI459" t="s">
        <v>5325</v>
      </c>
      <c r="AJ459" t="s">
        <v>5324</v>
      </c>
      <c r="AK459" t="s">
        <v>5323</v>
      </c>
      <c r="AL459">
        <v>7</v>
      </c>
      <c r="AM459" s="5">
        <f t="shared" si="58"/>
        <v>0.33333333333333331</v>
      </c>
      <c r="AN459" s="4">
        <f t="shared" si="63"/>
        <v>5.048592704783541E-4</v>
      </c>
      <c r="AO459" s="3"/>
      <c r="AP459">
        <v>0</v>
      </c>
      <c r="AQ459" t="s">
        <v>21</v>
      </c>
      <c r="AR459" t="s">
        <v>0</v>
      </c>
      <c r="AS459" t="s">
        <v>20</v>
      </c>
      <c r="AT459" s="2" t="s">
        <v>7</v>
      </c>
      <c r="AU459" s="1">
        <f t="shared" si="59"/>
        <v>1.34933333317161</v>
      </c>
      <c r="AV459" s="1">
        <f t="shared" si="60"/>
        <v>0.97823407427910303</v>
      </c>
      <c r="AW459" s="1">
        <f t="shared" si="61"/>
        <v>0.60713481538659586</v>
      </c>
    </row>
    <row r="460" spans="1:49" x14ac:dyDescent="0.2">
      <c r="A460">
        <v>458</v>
      </c>
      <c r="B460" t="s">
        <v>5322</v>
      </c>
      <c r="C460" t="s">
        <v>5321</v>
      </c>
      <c r="F460" t="s">
        <v>5320</v>
      </c>
      <c r="G460" t="s">
        <v>6</v>
      </c>
      <c r="H460" t="s">
        <v>5</v>
      </c>
      <c r="I460" t="s">
        <v>5319</v>
      </c>
      <c r="J460">
        <v>60013071</v>
      </c>
      <c r="K460" t="s">
        <v>674</v>
      </c>
      <c r="L460" t="s">
        <v>673</v>
      </c>
      <c r="M460" t="s">
        <v>111</v>
      </c>
      <c r="N460">
        <v>1</v>
      </c>
      <c r="O460" t="s">
        <v>5318</v>
      </c>
      <c r="P460">
        <v>35583161300</v>
      </c>
      <c r="Q460">
        <v>60013071</v>
      </c>
      <c r="R460" s="7">
        <v>37147</v>
      </c>
      <c r="S460" s="8">
        <f t="shared" si="56"/>
        <v>2001</v>
      </c>
      <c r="T460" s="8">
        <v>2001</v>
      </c>
      <c r="U460" s="8">
        <f t="shared" si="57"/>
        <v>21</v>
      </c>
      <c r="V460" s="7">
        <v>37147</v>
      </c>
      <c r="W460" t="s">
        <v>698</v>
      </c>
      <c r="X460" s="2">
        <v>0.375</v>
      </c>
      <c r="Y460" s="6">
        <f t="shared" si="62"/>
        <v>1.0010410827260351E-2</v>
      </c>
      <c r="AA460">
        <v>135194</v>
      </c>
      <c r="AB460">
        <v>24918</v>
      </c>
      <c r="AD460" t="s">
        <v>1</v>
      </c>
      <c r="AE460">
        <v>37</v>
      </c>
      <c r="AF460">
        <v>19</v>
      </c>
      <c r="AH460" t="s">
        <v>5317</v>
      </c>
      <c r="AI460" t="s">
        <v>5316</v>
      </c>
      <c r="AK460" t="s">
        <v>5315</v>
      </c>
      <c r="AL460">
        <v>9</v>
      </c>
      <c r="AM460" s="5">
        <f t="shared" si="58"/>
        <v>0.42857142857142855</v>
      </c>
      <c r="AN460" s="4">
        <f t="shared" si="63"/>
        <v>6.4910477632931242E-4</v>
      </c>
      <c r="AO460" s="3"/>
      <c r="AP460">
        <v>0</v>
      </c>
      <c r="AR460" t="s">
        <v>0</v>
      </c>
      <c r="AT460" s="2">
        <v>1.3140000000000001</v>
      </c>
      <c r="AU460" s="1">
        <f t="shared" si="59"/>
        <v>0.72020190119810401</v>
      </c>
      <c r="AV460" s="1">
        <f t="shared" si="60"/>
        <v>0.53297578017948322</v>
      </c>
      <c r="AW460" s="1">
        <f t="shared" si="61"/>
        <v>0.34574965916086237</v>
      </c>
    </row>
    <row r="461" spans="1:49" x14ac:dyDescent="0.2">
      <c r="A461">
        <v>459</v>
      </c>
      <c r="B461" t="s">
        <v>5314</v>
      </c>
      <c r="C461" t="s">
        <v>5313</v>
      </c>
      <c r="F461" t="s">
        <v>5312</v>
      </c>
      <c r="G461" t="s">
        <v>6</v>
      </c>
      <c r="H461" t="s">
        <v>5</v>
      </c>
      <c r="I461" t="s">
        <v>377</v>
      </c>
      <c r="J461" t="s">
        <v>5311</v>
      </c>
      <c r="K461" t="s">
        <v>5310</v>
      </c>
      <c r="L461" t="s">
        <v>5309</v>
      </c>
      <c r="M461" t="s">
        <v>44</v>
      </c>
      <c r="N461">
        <v>3</v>
      </c>
      <c r="O461" t="s">
        <v>5308</v>
      </c>
      <c r="P461" t="s">
        <v>5307</v>
      </c>
      <c r="Q461" t="s">
        <v>5306</v>
      </c>
      <c r="R461" s="7">
        <v>37147</v>
      </c>
      <c r="S461" s="8">
        <f t="shared" si="56"/>
        <v>2001</v>
      </c>
      <c r="T461" s="8">
        <v>2001</v>
      </c>
      <c r="U461" s="8">
        <f t="shared" si="57"/>
        <v>21</v>
      </c>
      <c r="V461" s="7">
        <v>37147</v>
      </c>
      <c r="W461" t="s">
        <v>698</v>
      </c>
      <c r="X461" s="2">
        <v>0.375</v>
      </c>
      <c r="Y461" s="6">
        <f t="shared" si="62"/>
        <v>1.0010410827260351E-2</v>
      </c>
      <c r="AA461">
        <v>135194</v>
      </c>
      <c r="AB461">
        <v>24918</v>
      </c>
      <c r="AD461" t="s">
        <v>1</v>
      </c>
      <c r="AE461">
        <v>37</v>
      </c>
      <c r="AF461">
        <v>19</v>
      </c>
      <c r="AH461" t="s">
        <v>5305</v>
      </c>
      <c r="AI461" t="s">
        <v>5304</v>
      </c>
      <c r="AK461" t="s">
        <v>5303</v>
      </c>
      <c r="AL461">
        <v>64</v>
      </c>
      <c r="AM461" s="5">
        <f t="shared" si="58"/>
        <v>3.0476190476190474</v>
      </c>
      <c r="AN461" s="4">
        <f t="shared" si="63"/>
        <v>4.6158561872306665E-3</v>
      </c>
      <c r="AO461" s="3"/>
      <c r="AP461">
        <v>0</v>
      </c>
      <c r="AR461" t="s">
        <v>0</v>
      </c>
      <c r="AT461" s="2">
        <v>1.3140000000000001</v>
      </c>
      <c r="AU461" s="1">
        <f t="shared" si="59"/>
        <v>0.83920444352514456</v>
      </c>
      <c r="AV461" s="1">
        <f t="shared" si="60"/>
        <v>0.73131335072455084</v>
      </c>
      <c r="AW461" s="1">
        <f t="shared" si="61"/>
        <v>0.62342225792395711</v>
      </c>
    </row>
    <row r="462" spans="1:49" x14ac:dyDescent="0.2">
      <c r="A462">
        <v>460</v>
      </c>
      <c r="B462" t="s">
        <v>5302</v>
      </c>
      <c r="C462" t="s">
        <v>5301</v>
      </c>
      <c r="F462" t="s">
        <v>5300</v>
      </c>
      <c r="G462" t="s">
        <v>6</v>
      </c>
      <c r="H462" t="s">
        <v>5</v>
      </c>
      <c r="I462" t="s">
        <v>5299</v>
      </c>
      <c r="J462">
        <v>60012708</v>
      </c>
      <c r="K462" t="s">
        <v>425</v>
      </c>
      <c r="L462" t="s">
        <v>424</v>
      </c>
      <c r="M462" t="s">
        <v>3</v>
      </c>
      <c r="N462">
        <v>2</v>
      </c>
      <c r="O462" t="s">
        <v>5298</v>
      </c>
      <c r="P462" t="s">
        <v>5297</v>
      </c>
      <c r="Q462" t="s">
        <v>423</v>
      </c>
      <c r="R462" s="7">
        <v>37147</v>
      </c>
      <c r="S462" s="8">
        <f t="shared" si="56"/>
        <v>2001</v>
      </c>
      <c r="T462" s="8">
        <v>2001</v>
      </c>
      <c r="U462" s="8">
        <f t="shared" si="57"/>
        <v>21</v>
      </c>
      <c r="V462" s="7">
        <v>37147</v>
      </c>
      <c r="W462" t="s">
        <v>698</v>
      </c>
      <c r="X462" s="2">
        <v>0.375</v>
      </c>
      <c r="Y462" s="6">
        <f t="shared" si="62"/>
        <v>1.0010410827260351E-2</v>
      </c>
      <c r="AA462">
        <v>135194</v>
      </c>
      <c r="AB462">
        <v>24918</v>
      </c>
      <c r="AD462" t="s">
        <v>1</v>
      </c>
      <c r="AE462">
        <v>37</v>
      </c>
      <c r="AF462">
        <v>19</v>
      </c>
      <c r="AH462" t="s">
        <v>5296</v>
      </c>
      <c r="AI462" t="s">
        <v>5295</v>
      </c>
      <c r="AK462" t="s">
        <v>5294</v>
      </c>
      <c r="AL462">
        <v>6</v>
      </c>
      <c r="AM462" s="5">
        <f t="shared" si="58"/>
        <v>0.2857142857142857</v>
      </c>
      <c r="AN462" s="4">
        <f t="shared" si="63"/>
        <v>4.3273651755287499E-4</v>
      </c>
      <c r="AO462" s="3"/>
      <c r="AP462">
        <v>0</v>
      </c>
      <c r="AR462" t="s">
        <v>0</v>
      </c>
      <c r="AT462" s="2">
        <v>1.3140000000000001</v>
      </c>
      <c r="AU462" s="1">
        <f t="shared" si="59"/>
        <v>0.71371085343481078</v>
      </c>
      <c r="AV462" s="1">
        <f t="shared" si="60"/>
        <v>0.52215736724066131</v>
      </c>
      <c r="AW462" s="1">
        <f t="shared" si="61"/>
        <v>0.33060388104651178</v>
      </c>
    </row>
    <row r="463" spans="1:49" x14ac:dyDescent="0.2">
      <c r="A463">
        <v>461</v>
      </c>
      <c r="B463" t="s">
        <v>5293</v>
      </c>
      <c r="C463" t="s">
        <v>5292</v>
      </c>
      <c r="F463" t="s">
        <v>5291</v>
      </c>
      <c r="G463" t="s">
        <v>6</v>
      </c>
      <c r="H463" t="s">
        <v>5</v>
      </c>
      <c r="I463" t="s">
        <v>5290</v>
      </c>
      <c r="N463">
        <v>4</v>
      </c>
      <c r="O463" t="s">
        <v>5289</v>
      </c>
      <c r="P463" t="s">
        <v>5288</v>
      </c>
      <c r="Q463" t="s">
        <v>844</v>
      </c>
      <c r="R463" s="7">
        <v>37147</v>
      </c>
      <c r="S463" s="8">
        <f t="shared" si="56"/>
        <v>2001</v>
      </c>
      <c r="T463" s="8">
        <v>2001</v>
      </c>
      <c r="U463" s="8">
        <f t="shared" si="57"/>
        <v>21</v>
      </c>
      <c r="V463" s="7">
        <v>37147</v>
      </c>
      <c r="W463" t="s">
        <v>698</v>
      </c>
      <c r="X463" s="2">
        <v>0.375</v>
      </c>
      <c r="Y463" s="6">
        <f t="shared" si="62"/>
        <v>1.0010410827260351E-2</v>
      </c>
      <c r="AA463">
        <v>135194</v>
      </c>
      <c r="AB463">
        <v>24918</v>
      </c>
      <c r="AD463" t="s">
        <v>1</v>
      </c>
      <c r="AE463">
        <v>37</v>
      </c>
      <c r="AF463">
        <v>19</v>
      </c>
      <c r="AH463" t="s">
        <v>5287</v>
      </c>
      <c r="AI463" t="s">
        <v>5286</v>
      </c>
      <c r="AK463" t="s">
        <v>5285</v>
      </c>
      <c r="AL463">
        <v>15</v>
      </c>
      <c r="AM463" s="5">
        <f t="shared" si="58"/>
        <v>0.7142857142857143</v>
      </c>
      <c r="AN463" s="4">
        <f t="shared" si="63"/>
        <v>1.0818412938821875E-3</v>
      </c>
      <c r="AO463" s="3"/>
      <c r="AP463">
        <v>0</v>
      </c>
      <c r="AR463" t="s">
        <v>0</v>
      </c>
      <c r="AT463" s="2">
        <v>1.3140000000000001</v>
      </c>
      <c r="AU463" s="1">
        <f t="shared" si="59"/>
        <v>0.73318399672469026</v>
      </c>
      <c r="AV463" s="1">
        <f t="shared" si="60"/>
        <v>0.55461260605712692</v>
      </c>
      <c r="AW463" s="1">
        <f t="shared" si="61"/>
        <v>0.37604121538956359</v>
      </c>
    </row>
    <row r="464" spans="1:49" x14ac:dyDescent="0.2">
      <c r="A464">
        <v>462</v>
      </c>
      <c r="B464" t="s">
        <v>5284</v>
      </c>
      <c r="C464" t="s">
        <v>5283</v>
      </c>
      <c r="F464" t="s">
        <v>5282</v>
      </c>
      <c r="G464" t="s">
        <v>6</v>
      </c>
      <c r="H464" t="s">
        <v>5</v>
      </c>
      <c r="I464" t="s">
        <v>1011</v>
      </c>
      <c r="J464">
        <v>60031544</v>
      </c>
      <c r="K464" t="s">
        <v>908</v>
      </c>
      <c r="L464" t="s">
        <v>907</v>
      </c>
      <c r="M464" t="s">
        <v>80</v>
      </c>
      <c r="N464">
        <v>4</v>
      </c>
      <c r="O464" t="s">
        <v>5281</v>
      </c>
      <c r="P464" t="s">
        <v>1010</v>
      </c>
      <c r="Q464" t="s">
        <v>906</v>
      </c>
      <c r="R464" s="7">
        <v>37147</v>
      </c>
      <c r="S464" s="8">
        <f t="shared" si="56"/>
        <v>2001</v>
      </c>
      <c r="T464" s="8">
        <v>2001</v>
      </c>
      <c r="U464" s="8">
        <f t="shared" si="57"/>
        <v>21</v>
      </c>
      <c r="V464" s="7">
        <v>37147</v>
      </c>
      <c r="W464" t="s">
        <v>698</v>
      </c>
      <c r="X464" s="2">
        <v>0.375</v>
      </c>
      <c r="Y464" s="6">
        <f t="shared" si="62"/>
        <v>1.0010410827260351E-2</v>
      </c>
      <c r="AA464">
        <v>135194</v>
      </c>
      <c r="AB464">
        <v>24918</v>
      </c>
      <c r="AD464" t="s">
        <v>1</v>
      </c>
      <c r="AE464">
        <v>37</v>
      </c>
      <c r="AF464">
        <v>19</v>
      </c>
      <c r="AH464" t="s">
        <v>5280</v>
      </c>
      <c r="AI464" t="s">
        <v>5279</v>
      </c>
      <c r="AK464" t="s">
        <v>5278</v>
      </c>
      <c r="AL464">
        <v>16</v>
      </c>
      <c r="AM464" s="5">
        <f t="shared" si="58"/>
        <v>0.76190476190476186</v>
      </c>
      <c r="AN464" s="4">
        <f t="shared" si="63"/>
        <v>1.1539640468076666E-3</v>
      </c>
      <c r="AO464" s="3"/>
      <c r="AP464">
        <v>0</v>
      </c>
      <c r="AR464" t="s">
        <v>0</v>
      </c>
      <c r="AT464" s="2">
        <v>1.3140000000000001</v>
      </c>
      <c r="AU464" s="1">
        <f t="shared" si="59"/>
        <v>0.73534767931245459</v>
      </c>
      <c r="AV464" s="1">
        <f t="shared" si="60"/>
        <v>0.55821874370340085</v>
      </c>
      <c r="AW464" s="1">
        <f t="shared" si="61"/>
        <v>0.38108980809434717</v>
      </c>
    </row>
    <row r="465" spans="1:49" x14ac:dyDescent="0.2">
      <c r="A465">
        <v>463</v>
      </c>
      <c r="B465" t="s">
        <v>5277</v>
      </c>
      <c r="C465" t="s">
        <v>5276</v>
      </c>
      <c r="F465" t="s">
        <v>5275</v>
      </c>
      <c r="G465" t="s">
        <v>6</v>
      </c>
      <c r="H465" t="s">
        <v>5</v>
      </c>
      <c r="I465" t="s">
        <v>5274</v>
      </c>
      <c r="J465" t="s">
        <v>5273</v>
      </c>
      <c r="K465" t="s">
        <v>5272</v>
      </c>
      <c r="L465" t="s">
        <v>5271</v>
      </c>
      <c r="M465" t="s">
        <v>155</v>
      </c>
      <c r="N465">
        <v>3</v>
      </c>
      <c r="O465" t="s">
        <v>5270</v>
      </c>
      <c r="P465" t="s">
        <v>5269</v>
      </c>
      <c r="Q465" t="s">
        <v>5268</v>
      </c>
      <c r="R465" s="7">
        <v>37145</v>
      </c>
      <c r="S465" s="8">
        <f t="shared" si="56"/>
        <v>2001</v>
      </c>
      <c r="T465" s="8">
        <v>2001</v>
      </c>
      <c r="U465" s="8">
        <f t="shared" si="57"/>
        <v>21</v>
      </c>
      <c r="V465" s="7">
        <v>37145</v>
      </c>
      <c r="W465" t="s">
        <v>712</v>
      </c>
      <c r="X465" s="2">
        <v>2.0579999999999998</v>
      </c>
      <c r="Y465" s="6">
        <f t="shared" si="62"/>
        <v>5.4937134620004803E-2</v>
      </c>
      <c r="AA465">
        <v>358711</v>
      </c>
      <c r="AB465">
        <v>28218</v>
      </c>
      <c r="AD465" t="s">
        <v>1</v>
      </c>
      <c r="AE465">
        <v>326</v>
      </c>
      <c r="AF465">
        <v>2</v>
      </c>
      <c r="AH465" t="s">
        <v>5267</v>
      </c>
      <c r="AI465" t="s">
        <v>5266</v>
      </c>
      <c r="AJ465" t="s">
        <v>5265</v>
      </c>
      <c r="AK465" t="s">
        <v>5264</v>
      </c>
      <c r="AL465">
        <v>12</v>
      </c>
      <c r="AM465" s="5">
        <f t="shared" si="58"/>
        <v>0.5714285714285714</v>
      </c>
      <c r="AN465" s="4">
        <f t="shared" si="63"/>
        <v>8.6547303510574997E-4</v>
      </c>
      <c r="AO465" s="3"/>
      <c r="AP465">
        <v>0</v>
      </c>
      <c r="AR465" t="s">
        <v>0</v>
      </c>
      <c r="AT465" s="2" t="s">
        <v>7</v>
      </c>
      <c r="AU465" s="1">
        <f t="shared" si="59"/>
        <v>3.8715636144535082</v>
      </c>
      <c r="AV465" s="1">
        <f t="shared" si="60"/>
        <v>2.7901303827555277</v>
      </c>
      <c r="AW465" s="1">
        <f t="shared" si="61"/>
        <v>1.7086971510575466</v>
      </c>
    </row>
    <row r="466" spans="1:49" x14ac:dyDescent="0.2">
      <c r="A466">
        <v>464</v>
      </c>
      <c r="B466" t="s">
        <v>5263</v>
      </c>
      <c r="C466" t="s">
        <v>5262</v>
      </c>
      <c r="E466">
        <v>11553807</v>
      </c>
      <c r="F466" t="s">
        <v>5261</v>
      </c>
      <c r="G466" t="s">
        <v>6</v>
      </c>
      <c r="H466" t="s">
        <v>5</v>
      </c>
      <c r="I466" t="s">
        <v>5260</v>
      </c>
      <c r="J466">
        <v>60014439</v>
      </c>
      <c r="K466" t="s">
        <v>42</v>
      </c>
      <c r="L466" t="s">
        <v>41</v>
      </c>
      <c r="M466" t="s">
        <v>3</v>
      </c>
      <c r="N466">
        <v>2</v>
      </c>
      <c r="O466" t="s">
        <v>5259</v>
      </c>
      <c r="P466" t="s">
        <v>5258</v>
      </c>
      <c r="Q466" t="s">
        <v>5257</v>
      </c>
      <c r="R466" s="7">
        <v>37145</v>
      </c>
      <c r="S466" s="8">
        <f t="shared" si="56"/>
        <v>2001</v>
      </c>
      <c r="T466" s="8">
        <v>2001</v>
      </c>
      <c r="U466" s="8">
        <f t="shared" si="57"/>
        <v>21</v>
      </c>
      <c r="V466" s="7">
        <v>37145</v>
      </c>
      <c r="W466" t="s">
        <v>803</v>
      </c>
      <c r="X466" s="2">
        <v>5.0110000000000001</v>
      </c>
      <c r="Y466" s="6">
        <f t="shared" si="62"/>
        <v>0.13376578308107098</v>
      </c>
      <c r="AA466">
        <v>278424</v>
      </c>
      <c r="AB466">
        <v>21121</v>
      </c>
      <c r="AD466" t="s">
        <v>1</v>
      </c>
      <c r="AE466">
        <v>98</v>
      </c>
      <c r="AF466">
        <v>19</v>
      </c>
      <c r="AH466" t="s">
        <v>5256</v>
      </c>
      <c r="AI466" t="s">
        <v>5255</v>
      </c>
      <c r="AJ466" t="s">
        <v>5254</v>
      </c>
      <c r="AK466" t="s">
        <v>5253</v>
      </c>
      <c r="AL466">
        <v>179</v>
      </c>
      <c r="AM466" s="5">
        <f t="shared" si="58"/>
        <v>8.5238095238095237</v>
      </c>
      <c r="AN466" s="4">
        <f t="shared" si="63"/>
        <v>1.2909972773660771E-2</v>
      </c>
      <c r="AO466" s="3"/>
      <c r="AP466">
        <v>1</v>
      </c>
      <c r="AR466" t="s">
        <v>0</v>
      </c>
      <c r="AT466" s="2" t="s">
        <v>7</v>
      </c>
      <c r="AU466" s="1">
        <f t="shared" si="59"/>
        <v>9.750903998884791</v>
      </c>
      <c r="AV466" s="1">
        <f t="shared" si="60"/>
        <v>7.3337877927365875</v>
      </c>
      <c r="AW466" s="1">
        <f t="shared" si="61"/>
        <v>4.9166715865883841</v>
      </c>
    </row>
    <row r="467" spans="1:49" x14ac:dyDescent="0.2">
      <c r="A467">
        <v>465</v>
      </c>
      <c r="B467" t="s">
        <v>5252</v>
      </c>
      <c r="C467" t="s">
        <v>5251</v>
      </c>
      <c r="E467">
        <v>11545374</v>
      </c>
      <c r="F467" t="s">
        <v>5250</v>
      </c>
      <c r="G467" t="s">
        <v>6</v>
      </c>
      <c r="H467" t="s">
        <v>5</v>
      </c>
      <c r="I467" t="s">
        <v>5249</v>
      </c>
      <c r="J467" t="s">
        <v>5248</v>
      </c>
      <c r="K467" t="s">
        <v>5247</v>
      </c>
      <c r="L467" t="s">
        <v>5246</v>
      </c>
      <c r="M467" t="s">
        <v>44</v>
      </c>
      <c r="N467">
        <v>4</v>
      </c>
      <c r="O467" t="s">
        <v>5245</v>
      </c>
      <c r="P467" t="s">
        <v>5244</v>
      </c>
      <c r="Q467" t="s">
        <v>5243</v>
      </c>
      <c r="R467" s="7">
        <v>37145</v>
      </c>
      <c r="S467" s="8">
        <f t="shared" si="56"/>
        <v>2001</v>
      </c>
      <c r="T467" s="8">
        <v>2001</v>
      </c>
      <c r="U467" s="8">
        <f t="shared" si="57"/>
        <v>21</v>
      </c>
      <c r="V467" s="7">
        <v>2001</v>
      </c>
      <c r="W467" t="s">
        <v>1003</v>
      </c>
      <c r="X467" s="2">
        <v>0.85499999999999998</v>
      </c>
      <c r="Y467" s="6">
        <f t="shared" si="62"/>
        <v>2.28237366861536E-2</v>
      </c>
      <c r="AA467">
        <v>980331</v>
      </c>
      <c r="AB467">
        <v>23342</v>
      </c>
      <c r="AD467" t="s">
        <v>1</v>
      </c>
      <c r="AE467">
        <v>27</v>
      </c>
      <c r="AF467">
        <v>9</v>
      </c>
      <c r="AH467" t="s">
        <v>5242</v>
      </c>
      <c r="AI467" t="s">
        <v>5241</v>
      </c>
      <c r="AJ467" t="s">
        <v>5240</v>
      </c>
      <c r="AK467" t="s">
        <v>5239</v>
      </c>
      <c r="AL467">
        <v>29</v>
      </c>
      <c r="AM467" s="5">
        <f t="shared" si="58"/>
        <v>1.3809523809523809</v>
      </c>
      <c r="AN467" s="4">
        <f t="shared" si="63"/>
        <v>2.0915598348388957E-3</v>
      </c>
      <c r="AO467" s="3"/>
      <c r="AP467">
        <v>0</v>
      </c>
      <c r="AR467" t="s">
        <v>0</v>
      </c>
      <c r="AT467" s="2">
        <v>2.6259999999999999</v>
      </c>
      <c r="AU467" s="1">
        <f t="shared" si="59"/>
        <v>1.6604083630759185</v>
      </c>
      <c r="AV467" s="1">
        <f t="shared" si="60"/>
        <v>1.2457648260496248</v>
      </c>
      <c r="AW467" s="1">
        <f t="shared" si="61"/>
        <v>0.83112128902333071</v>
      </c>
    </row>
    <row r="468" spans="1:49" x14ac:dyDescent="0.2">
      <c r="A468">
        <v>466</v>
      </c>
      <c r="B468" t="s">
        <v>5238</v>
      </c>
      <c r="C468" t="s">
        <v>5237</v>
      </c>
      <c r="D468" t="s">
        <v>5236</v>
      </c>
      <c r="F468" t="s">
        <v>5235</v>
      </c>
      <c r="G468" t="s">
        <v>6</v>
      </c>
      <c r="H468" t="s">
        <v>5</v>
      </c>
      <c r="I468" t="s">
        <v>5234</v>
      </c>
      <c r="J468" t="s">
        <v>5233</v>
      </c>
      <c r="K468" t="s">
        <v>5232</v>
      </c>
      <c r="L468" t="s">
        <v>5231</v>
      </c>
      <c r="M468" t="s">
        <v>658</v>
      </c>
      <c r="N468">
        <v>6</v>
      </c>
      <c r="O468" t="s">
        <v>5230</v>
      </c>
      <c r="P468" t="s">
        <v>5229</v>
      </c>
      <c r="Q468" t="s">
        <v>5228</v>
      </c>
      <c r="R468" s="7">
        <v>37145</v>
      </c>
      <c r="S468" s="8">
        <f t="shared" si="56"/>
        <v>2001</v>
      </c>
      <c r="T468" s="8">
        <v>2001</v>
      </c>
      <c r="U468" s="8">
        <f t="shared" si="57"/>
        <v>21</v>
      </c>
      <c r="V468" s="7">
        <v>2001</v>
      </c>
      <c r="W468" t="s">
        <v>5227</v>
      </c>
      <c r="X468" s="2">
        <v>1.377</v>
      </c>
      <c r="Y468" s="6">
        <f t="shared" si="62"/>
        <v>3.6758228557700008E-2</v>
      </c>
      <c r="AA468">
        <v>1686496</v>
      </c>
      <c r="AB468">
        <v>19705</v>
      </c>
      <c r="AD468" t="s">
        <v>1</v>
      </c>
      <c r="AE468">
        <v>37</v>
      </c>
      <c r="AF468">
        <v>1</v>
      </c>
      <c r="AH468" s="9">
        <v>43770</v>
      </c>
      <c r="AI468" t="s">
        <v>5226</v>
      </c>
      <c r="AJ468" t="s">
        <v>5225</v>
      </c>
      <c r="AK468" t="s">
        <v>5224</v>
      </c>
      <c r="AL468">
        <v>8</v>
      </c>
      <c r="AM468" s="5">
        <f t="shared" si="58"/>
        <v>0.38095238095238093</v>
      </c>
      <c r="AN468" s="4">
        <f t="shared" si="63"/>
        <v>5.7698202340383331E-4</v>
      </c>
      <c r="AO468" s="3"/>
      <c r="AP468">
        <v>0</v>
      </c>
      <c r="AQ468" t="s">
        <v>478</v>
      </c>
      <c r="AR468" t="s">
        <v>5223</v>
      </c>
      <c r="AS468" t="s">
        <v>477</v>
      </c>
      <c r="AT468" s="2">
        <v>4.194</v>
      </c>
      <c r="AU468" s="1">
        <f t="shared" si="59"/>
        <v>2.5903854597411158</v>
      </c>
      <c r="AV468" s="1">
        <f t="shared" si="60"/>
        <v>1.8667605290551919</v>
      </c>
      <c r="AW468" s="1">
        <f t="shared" si="61"/>
        <v>1.1431355983692686</v>
      </c>
    </row>
    <row r="469" spans="1:49" x14ac:dyDescent="0.2">
      <c r="A469">
        <v>467</v>
      </c>
      <c r="B469" t="s">
        <v>5222</v>
      </c>
      <c r="C469" t="s">
        <v>5221</v>
      </c>
      <c r="D469" t="s">
        <v>5220</v>
      </c>
      <c r="F469" t="s">
        <v>5219</v>
      </c>
      <c r="G469" t="s">
        <v>6</v>
      </c>
      <c r="H469" t="s">
        <v>5</v>
      </c>
      <c r="I469" t="s">
        <v>5218</v>
      </c>
      <c r="J469">
        <v>60006920</v>
      </c>
      <c r="K469" t="s">
        <v>5217</v>
      </c>
      <c r="L469" t="s">
        <v>656</v>
      </c>
      <c r="M469" t="s">
        <v>194</v>
      </c>
      <c r="N469">
        <v>5</v>
      </c>
      <c r="O469" t="s">
        <v>5216</v>
      </c>
      <c r="P469" t="s">
        <v>5215</v>
      </c>
      <c r="Q469" t="s">
        <v>5214</v>
      </c>
      <c r="R469" s="7">
        <v>37145</v>
      </c>
      <c r="S469" s="8">
        <f t="shared" si="56"/>
        <v>2001</v>
      </c>
      <c r="T469" s="8">
        <v>2001</v>
      </c>
      <c r="U469" s="8">
        <f t="shared" si="57"/>
        <v>21</v>
      </c>
      <c r="V469" s="7">
        <v>2001</v>
      </c>
      <c r="W469" t="s">
        <v>5213</v>
      </c>
      <c r="X469" s="2">
        <v>1.6839999999999999</v>
      </c>
      <c r="Y469" s="6">
        <f t="shared" si="62"/>
        <v>4.495341822161715E-2</v>
      </c>
      <c r="AA469">
        <v>11610301</v>
      </c>
      <c r="AB469">
        <v>59988</v>
      </c>
      <c r="AD469" t="s">
        <v>1</v>
      </c>
      <c r="AE469">
        <v>15</v>
      </c>
      <c r="AF469">
        <v>1</v>
      </c>
      <c r="AH469" t="s">
        <v>202</v>
      </c>
      <c r="AI469" t="s">
        <v>5212</v>
      </c>
      <c r="AJ469" t="s">
        <v>5211</v>
      </c>
      <c r="AK469" t="s">
        <v>5210</v>
      </c>
      <c r="AL469">
        <v>80</v>
      </c>
      <c r="AM469" s="5">
        <f t="shared" si="58"/>
        <v>3.8095238095238093</v>
      </c>
      <c r="AN469" s="4">
        <f t="shared" si="63"/>
        <v>5.7698202340383331E-3</v>
      </c>
      <c r="AO469" s="3"/>
      <c r="AP469">
        <v>0</v>
      </c>
      <c r="AQ469" t="s">
        <v>5209</v>
      </c>
      <c r="AR469" t="s">
        <v>5208</v>
      </c>
      <c r="AS469" t="s">
        <v>5207</v>
      </c>
      <c r="AT469" s="2">
        <v>5.1239999999999997</v>
      </c>
      <c r="AU469" s="1">
        <f t="shared" si="59"/>
        <v>3.3198338825343501</v>
      </c>
      <c r="AV469" s="1">
        <f t="shared" si="60"/>
        <v>2.5361619227827741</v>
      </c>
      <c r="AW469" s="1">
        <f t="shared" si="61"/>
        <v>1.7524899630311976</v>
      </c>
    </row>
    <row r="470" spans="1:49" x14ac:dyDescent="0.2">
      <c r="A470">
        <v>468</v>
      </c>
      <c r="B470" t="s">
        <v>5206</v>
      </c>
      <c r="C470" t="s">
        <v>5205</v>
      </c>
      <c r="F470" t="s">
        <v>5204</v>
      </c>
      <c r="G470" t="s">
        <v>6</v>
      </c>
      <c r="H470" t="s">
        <v>5</v>
      </c>
      <c r="I470" t="s">
        <v>5203</v>
      </c>
      <c r="J470">
        <v>60009037</v>
      </c>
      <c r="K470" t="s">
        <v>124</v>
      </c>
      <c r="L470" t="s">
        <v>123</v>
      </c>
      <c r="M470" t="s">
        <v>3</v>
      </c>
      <c r="N470">
        <v>3</v>
      </c>
      <c r="O470" t="s">
        <v>5202</v>
      </c>
      <c r="P470" t="s">
        <v>5201</v>
      </c>
      <c r="Q470" t="s">
        <v>139</v>
      </c>
      <c r="R470" s="7">
        <v>37144</v>
      </c>
      <c r="S470" s="8">
        <f t="shared" si="56"/>
        <v>2001</v>
      </c>
      <c r="T470" s="8">
        <v>2001</v>
      </c>
      <c r="U470" s="8">
        <f t="shared" si="57"/>
        <v>21</v>
      </c>
      <c r="V470" s="7">
        <v>37144</v>
      </c>
      <c r="W470" t="s">
        <v>645</v>
      </c>
      <c r="X470" s="2">
        <v>2.3759999999999999</v>
      </c>
      <c r="Y470" s="6">
        <f t="shared" si="62"/>
        <v>6.3425963001521576E-2</v>
      </c>
      <c r="AA470" t="s">
        <v>644</v>
      </c>
      <c r="AB470">
        <v>26765</v>
      </c>
      <c r="AC470">
        <v>15384357</v>
      </c>
      <c r="AD470" t="s">
        <v>1</v>
      </c>
      <c r="AE470">
        <v>558</v>
      </c>
      <c r="AF470" t="s">
        <v>700</v>
      </c>
      <c r="AH470" t="s">
        <v>5200</v>
      </c>
      <c r="AI470" t="s">
        <v>5199</v>
      </c>
      <c r="AJ470" t="s">
        <v>5198</v>
      </c>
      <c r="AK470" t="s">
        <v>5197</v>
      </c>
      <c r="AL470">
        <v>44</v>
      </c>
      <c r="AM470" s="5">
        <f t="shared" si="58"/>
        <v>2.0952380952380953</v>
      </c>
      <c r="AN470" s="4">
        <f t="shared" si="63"/>
        <v>3.1734011287210834E-3</v>
      </c>
      <c r="AO470" s="3"/>
      <c r="AP470">
        <v>0</v>
      </c>
      <c r="AR470" t="s">
        <v>0</v>
      </c>
      <c r="AT470" s="2">
        <v>5.8739999999999997</v>
      </c>
      <c r="AU470" s="1">
        <f t="shared" si="59"/>
        <v>4.5350194439681424</v>
      </c>
      <c r="AV470" s="1">
        <f t="shared" si="60"/>
        <v>3.3299682065121328</v>
      </c>
      <c r="AW470" s="1">
        <f t="shared" si="61"/>
        <v>2.1249169690561232</v>
      </c>
    </row>
    <row r="471" spans="1:49" x14ac:dyDescent="0.2">
      <c r="A471">
        <v>469</v>
      </c>
      <c r="B471" t="s">
        <v>5196</v>
      </c>
      <c r="C471" t="s">
        <v>5195</v>
      </c>
      <c r="F471" t="s">
        <v>5194</v>
      </c>
      <c r="G471" t="s">
        <v>6</v>
      </c>
      <c r="H471" t="s">
        <v>5</v>
      </c>
      <c r="I471" t="s">
        <v>5193</v>
      </c>
      <c r="J471">
        <v>60003269</v>
      </c>
      <c r="K471" t="s">
        <v>5192</v>
      </c>
      <c r="L471" t="s">
        <v>841</v>
      </c>
      <c r="M471" t="s">
        <v>3</v>
      </c>
      <c r="N471">
        <v>3</v>
      </c>
      <c r="O471" t="s">
        <v>5191</v>
      </c>
      <c r="P471" t="s">
        <v>5190</v>
      </c>
      <c r="Q471" t="s">
        <v>5189</v>
      </c>
      <c r="R471" s="7">
        <v>37144</v>
      </c>
      <c r="S471" s="8">
        <f t="shared" si="56"/>
        <v>2001</v>
      </c>
      <c r="T471" s="8">
        <v>2001</v>
      </c>
      <c r="U471" s="8">
        <f t="shared" si="57"/>
        <v>21</v>
      </c>
      <c r="V471" s="7">
        <v>37144</v>
      </c>
      <c r="W471" t="s">
        <v>645</v>
      </c>
      <c r="X471" s="2">
        <v>2.3759999999999999</v>
      </c>
      <c r="Y471" s="6">
        <f t="shared" si="62"/>
        <v>6.3425963001521576E-2</v>
      </c>
      <c r="AA471" t="s">
        <v>644</v>
      </c>
      <c r="AB471">
        <v>26765</v>
      </c>
      <c r="AC471">
        <v>15384357</v>
      </c>
      <c r="AD471" t="s">
        <v>1</v>
      </c>
      <c r="AE471">
        <v>558</v>
      </c>
      <c r="AF471" t="s">
        <v>700</v>
      </c>
      <c r="AH471" t="s">
        <v>5188</v>
      </c>
      <c r="AI471" t="s">
        <v>5187</v>
      </c>
      <c r="AJ471" t="s">
        <v>5186</v>
      </c>
      <c r="AK471" t="s">
        <v>5185</v>
      </c>
      <c r="AL471">
        <v>145</v>
      </c>
      <c r="AM471" s="5">
        <f t="shared" si="58"/>
        <v>6.9047619047619051</v>
      </c>
      <c r="AN471" s="4">
        <f t="shared" si="63"/>
        <v>1.045779917419448E-2</v>
      </c>
      <c r="AO471" s="3"/>
      <c r="AP471">
        <v>0</v>
      </c>
      <c r="AR471" t="s">
        <v>0</v>
      </c>
      <c r="AT471" s="2">
        <v>5.8739999999999997</v>
      </c>
      <c r="AU471" s="1">
        <f t="shared" si="59"/>
        <v>4.7535513853323437</v>
      </c>
      <c r="AV471" s="1">
        <f t="shared" si="60"/>
        <v>3.6941881087858031</v>
      </c>
      <c r="AW471" s="1">
        <f t="shared" si="61"/>
        <v>2.6348248322392611</v>
      </c>
    </row>
    <row r="472" spans="1:49" x14ac:dyDescent="0.2">
      <c r="A472">
        <v>470</v>
      </c>
      <c r="B472" t="s">
        <v>5184</v>
      </c>
      <c r="C472" t="s">
        <v>5183</v>
      </c>
      <c r="E472">
        <v>11443110</v>
      </c>
      <c r="F472" t="s">
        <v>5182</v>
      </c>
      <c r="G472" t="s">
        <v>6</v>
      </c>
      <c r="H472" t="s">
        <v>5</v>
      </c>
      <c r="I472" t="s">
        <v>5181</v>
      </c>
      <c r="J472">
        <v>60028717</v>
      </c>
      <c r="K472" t="s">
        <v>102</v>
      </c>
      <c r="L472" t="s">
        <v>47</v>
      </c>
      <c r="M472" t="s">
        <v>46</v>
      </c>
      <c r="N472">
        <v>3</v>
      </c>
      <c r="O472" t="s">
        <v>5180</v>
      </c>
      <c r="P472" t="s">
        <v>5179</v>
      </c>
      <c r="Q472" t="s">
        <v>101</v>
      </c>
      <c r="R472" s="7">
        <v>37141</v>
      </c>
      <c r="S472" s="8">
        <f t="shared" si="56"/>
        <v>2001</v>
      </c>
      <c r="T472" s="8">
        <v>2001</v>
      </c>
      <c r="U472" s="8">
        <f t="shared" si="57"/>
        <v>21</v>
      </c>
      <c r="V472" s="7">
        <v>37141</v>
      </c>
      <c r="W472" t="s">
        <v>784</v>
      </c>
      <c r="X472" s="2">
        <v>2.3610000000000002</v>
      </c>
      <c r="Y472" s="6">
        <f t="shared" si="62"/>
        <v>6.3025546568431179E-2</v>
      </c>
      <c r="AA472">
        <v>219258</v>
      </c>
      <c r="AB472">
        <v>17592</v>
      </c>
      <c r="AD472" t="s">
        <v>1</v>
      </c>
      <c r="AE472">
        <v>276</v>
      </c>
      <c r="AF472">
        <v>36</v>
      </c>
      <c r="AH472" t="s">
        <v>5178</v>
      </c>
      <c r="AI472" t="s">
        <v>5177</v>
      </c>
      <c r="AK472" t="s">
        <v>5176</v>
      </c>
      <c r="AL472">
        <v>63</v>
      </c>
      <c r="AM472" s="5">
        <f t="shared" si="58"/>
        <v>3</v>
      </c>
      <c r="AN472" s="4">
        <f t="shared" si="63"/>
        <v>4.5437334343051876E-3</v>
      </c>
      <c r="AO472" s="3"/>
      <c r="AP472">
        <v>1</v>
      </c>
      <c r="AR472" t="s">
        <v>0</v>
      </c>
      <c r="AT472" s="2">
        <v>5.157</v>
      </c>
      <c r="AU472" s="1">
        <f t="shared" si="59"/>
        <v>4.5481002628193377</v>
      </c>
      <c r="AV472" s="1">
        <f t="shared" si="60"/>
        <v>3.3784640001368182</v>
      </c>
      <c r="AW472" s="1">
        <f t="shared" si="61"/>
        <v>2.2088277374542984</v>
      </c>
    </row>
    <row r="473" spans="1:49" x14ac:dyDescent="0.2">
      <c r="A473">
        <v>471</v>
      </c>
      <c r="B473" t="s">
        <v>5175</v>
      </c>
      <c r="C473" t="s">
        <v>5174</v>
      </c>
      <c r="D473" t="s">
        <v>5173</v>
      </c>
      <c r="E473">
        <v>11557061</v>
      </c>
      <c r="F473" t="s">
        <v>5172</v>
      </c>
      <c r="G473" t="s">
        <v>6</v>
      </c>
      <c r="H473" t="s">
        <v>5</v>
      </c>
      <c r="I473" t="s">
        <v>801</v>
      </c>
      <c r="J473" t="s">
        <v>5171</v>
      </c>
      <c r="K473" t="s">
        <v>5170</v>
      </c>
      <c r="L473" t="s">
        <v>5169</v>
      </c>
      <c r="M473" t="s">
        <v>215</v>
      </c>
      <c r="N473">
        <v>5</v>
      </c>
      <c r="O473" t="s">
        <v>5168</v>
      </c>
      <c r="P473" t="s">
        <v>5167</v>
      </c>
      <c r="Q473" t="s">
        <v>5166</v>
      </c>
      <c r="R473" s="7">
        <v>37141</v>
      </c>
      <c r="S473" s="8">
        <f t="shared" si="56"/>
        <v>2001</v>
      </c>
      <c r="T473" s="8">
        <v>2001</v>
      </c>
      <c r="U473" s="8">
        <f t="shared" si="57"/>
        <v>21</v>
      </c>
      <c r="V473" s="7">
        <v>37141</v>
      </c>
      <c r="W473" t="s">
        <v>800</v>
      </c>
      <c r="X473" s="2">
        <v>1.593</v>
      </c>
      <c r="Y473" s="6">
        <f t="shared" si="62"/>
        <v>4.2524225194201973E-2</v>
      </c>
      <c r="AA473">
        <v>145793</v>
      </c>
      <c r="AB473">
        <v>17481</v>
      </c>
      <c r="AD473" t="s">
        <v>1</v>
      </c>
      <c r="AE473">
        <v>505</v>
      </c>
      <c r="AF473">
        <v>1</v>
      </c>
      <c r="AH473" t="s">
        <v>587</v>
      </c>
      <c r="AI473" t="s">
        <v>5165</v>
      </c>
      <c r="AJ473" t="s">
        <v>5164</v>
      </c>
      <c r="AK473" t="s">
        <v>5163</v>
      </c>
      <c r="AL473">
        <v>29</v>
      </c>
      <c r="AM473" s="5">
        <f t="shared" si="58"/>
        <v>1.3809523809523809</v>
      </c>
      <c r="AN473" s="4">
        <f t="shared" si="63"/>
        <v>2.0915598348388957E-3</v>
      </c>
      <c r="AO473" s="3"/>
      <c r="AP473">
        <v>0</v>
      </c>
      <c r="AR473" t="s">
        <v>0</v>
      </c>
      <c r="AT473" s="2">
        <v>4.1239999999999997</v>
      </c>
      <c r="AU473" s="1">
        <f t="shared" si="59"/>
        <v>3.0394425586393048</v>
      </c>
      <c r="AV473" s="1">
        <f t="shared" si="60"/>
        <v>2.2307892514520438</v>
      </c>
      <c r="AW473" s="1">
        <f t="shared" si="61"/>
        <v>1.4221359442647818</v>
      </c>
    </row>
    <row r="474" spans="1:49" x14ac:dyDescent="0.2">
      <c r="A474">
        <v>472</v>
      </c>
      <c r="B474" t="s">
        <v>5162</v>
      </c>
      <c r="C474" t="s">
        <v>5161</v>
      </c>
      <c r="E474">
        <v>11529742</v>
      </c>
      <c r="F474" t="s">
        <v>5160</v>
      </c>
      <c r="G474" t="s">
        <v>6</v>
      </c>
      <c r="H474" t="s">
        <v>5</v>
      </c>
      <c r="I474" t="s">
        <v>5159</v>
      </c>
      <c r="J474" t="s">
        <v>5158</v>
      </c>
      <c r="K474" t="s">
        <v>5157</v>
      </c>
      <c r="L474" t="s">
        <v>5156</v>
      </c>
      <c r="M474" t="s">
        <v>44</v>
      </c>
      <c r="N474">
        <v>5</v>
      </c>
      <c r="O474" t="s">
        <v>5155</v>
      </c>
      <c r="P474" t="s">
        <v>5154</v>
      </c>
      <c r="Q474" t="s">
        <v>5153</v>
      </c>
      <c r="R474" s="7">
        <v>37141</v>
      </c>
      <c r="S474" s="8">
        <f t="shared" si="56"/>
        <v>2001</v>
      </c>
      <c r="T474" s="8">
        <v>2001</v>
      </c>
      <c r="U474" s="8">
        <f t="shared" si="57"/>
        <v>21</v>
      </c>
      <c r="V474" s="7">
        <v>37141</v>
      </c>
      <c r="W474" t="s">
        <v>5152</v>
      </c>
      <c r="X474" s="2">
        <v>1.2</v>
      </c>
      <c r="Y474" s="6">
        <f t="shared" si="62"/>
        <v>3.2033314647233121E-2</v>
      </c>
      <c r="AA474">
        <v>223263</v>
      </c>
      <c r="AB474">
        <v>25896</v>
      </c>
      <c r="AD474" t="s">
        <v>1</v>
      </c>
      <c r="AE474">
        <v>66</v>
      </c>
      <c r="AF474">
        <v>18</v>
      </c>
      <c r="AH474" t="s">
        <v>5151</v>
      </c>
      <c r="AI474" t="s">
        <v>5150</v>
      </c>
      <c r="AK474" t="s">
        <v>5149</v>
      </c>
      <c r="AL474">
        <v>112</v>
      </c>
      <c r="AM474" s="5">
        <f t="shared" si="58"/>
        <v>5.333333333333333</v>
      </c>
      <c r="AN474" s="4">
        <f t="shared" si="63"/>
        <v>8.0777483276536655E-3</v>
      </c>
      <c r="AO474" s="3"/>
      <c r="AP474">
        <v>0</v>
      </c>
      <c r="AQ474" t="s">
        <v>783</v>
      </c>
      <c r="AR474" t="s">
        <v>5148</v>
      </c>
      <c r="AS474" t="s">
        <v>782</v>
      </c>
      <c r="AT474" s="2">
        <v>4.3540000000000001</v>
      </c>
      <c r="AU474" s="1">
        <f t="shared" si="59"/>
        <v>2.4846644751359284</v>
      </c>
      <c r="AV474" s="1">
        <f t="shared" si="60"/>
        <v>2.0055531487443394</v>
      </c>
      <c r="AW474" s="1">
        <f t="shared" si="61"/>
        <v>1.5264418223527503</v>
      </c>
    </row>
    <row r="475" spans="1:49" x14ac:dyDescent="0.2">
      <c r="A475">
        <v>473</v>
      </c>
      <c r="B475" t="s">
        <v>5147</v>
      </c>
      <c r="C475" t="s">
        <v>5146</v>
      </c>
      <c r="F475" t="s">
        <v>5145</v>
      </c>
      <c r="G475" t="s">
        <v>6</v>
      </c>
      <c r="H475" t="s">
        <v>5</v>
      </c>
      <c r="I475" t="s">
        <v>5144</v>
      </c>
      <c r="J475" t="s">
        <v>5143</v>
      </c>
      <c r="K475" t="s">
        <v>5142</v>
      </c>
      <c r="L475" t="s">
        <v>5141</v>
      </c>
      <c r="M475" t="s">
        <v>570</v>
      </c>
      <c r="N475">
        <v>6</v>
      </c>
      <c r="O475" t="s">
        <v>5140</v>
      </c>
      <c r="P475" t="s">
        <v>5139</v>
      </c>
      <c r="Q475" t="s">
        <v>5138</v>
      </c>
      <c r="R475" s="7">
        <v>37140</v>
      </c>
      <c r="S475" s="8">
        <f t="shared" si="56"/>
        <v>2001</v>
      </c>
      <c r="T475" s="8">
        <v>2001</v>
      </c>
      <c r="U475" s="8">
        <f t="shared" si="57"/>
        <v>21</v>
      </c>
      <c r="V475" s="7">
        <v>37140</v>
      </c>
      <c r="W475" t="s">
        <v>835</v>
      </c>
      <c r="X475" s="2">
        <v>0.86399999999999999</v>
      </c>
      <c r="Y475" s="6">
        <f t="shared" si="62"/>
        <v>2.3063986546007848E-2</v>
      </c>
      <c r="AA475">
        <v>10895647</v>
      </c>
      <c r="AB475">
        <v>26970</v>
      </c>
      <c r="AD475" t="s">
        <v>1</v>
      </c>
      <c r="AE475">
        <v>105</v>
      </c>
      <c r="AF475">
        <v>35</v>
      </c>
      <c r="AH475" t="s">
        <v>5137</v>
      </c>
      <c r="AI475" t="s">
        <v>5136</v>
      </c>
      <c r="AK475" t="s">
        <v>5135</v>
      </c>
      <c r="AL475">
        <v>48</v>
      </c>
      <c r="AM475" s="5">
        <f t="shared" si="58"/>
        <v>2.2857142857142856</v>
      </c>
      <c r="AN475" s="4">
        <f t="shared" si="63"/>
        <v>3.4618921404229999E-3</v>
      </c>
      <c r="AO475" s="3"/>
      <c r="AP475">
        <v>0</v>
      </c>
      <c r="AR475" t="s">
        <v>0</v>
      </c>
      <c r="AT475" s="2">
        <v>2.9910000000000001</v>
      </c>
      <c r="AU475" s="1">
        <f t="shared" si="59"/>
        <v>1.7183358224332392</v>
      </c>
      <c r="AV475" s="1">
        <f t="shared" si="60"/>
        <v>1.3262939343215425</v>
      </c>
      <c r="AW475" s="1">
        <f t="shared" si="61"/>
        <v>0.93425204620984537</v>
      </c>
    </row>
    <row r="476" spans="1:49" x14ac:dyDescent="0.2">
      <c r="A476">
        <v>474</v>
      </c>
      <c r="B476" t="s">
        <v>5134</v>
      </c>
      <c r="C476" t="s">
        <v>5133</v>
      </c>
      <c r="D476" t="s">
        <v>5132</v>
      </c>
      <c r="E476">
        <v>11483433</v>
      </c>
      <c r="F476" t="s">
        <v>5131</v>
      </c>
      <c r="G476" t="s">
        <v>6</v>
      </c>
      <c r="H476" t="s">
        <v>5</v>
      </c>
      <c r="I476" t="s">
        <v>5130</v>
      </c>
      <c r="J476" t="s">
        <v>5129</v>
      </c>
      <c r="K476" t="s">
        <v>5128</v>
      </c>
      <c r="L476" t="s">
        <v>5127</v>
      </c>
      <c r="M476" t="s">
        <v>45</v>
      </c>
      <c r="N476">
        <v>5</v>
      </c>
      <c r="O476" t="s">
        <v>5126</v>
      </c>
      <c r="P476" t="s">
        <v>5125</v>
      </c>
      <c r="Q476" t="s">
        <v>5124</v>
      </c>
      <c r="R476" s="7">
        <v>37140</v>
      </c>
      <c r="S476" s="8">
        <f t="shared" si="56"/>
        <v>2001</v>
      </c>
      <c r="T476" s="8">
        <v>2001</v>
      </c>
      <c r="U476" s="8">
        <f t="shared" si="57"/>
        <v>21</v>
      </c>
      <c r="V476" s="7">
        <v>2001</v>
      </c>
      <c r="W476" t="s">
        <v>1036</v>
      </c>
      <c r="X476" s="2">
        <v>1.718</v>
      </c>
      <c r="Y476" s="6">
        <f t="shared" si="62"/>
        <v>4.5861028803288753E-2</v>
      </c>
      <c r="AA476">
        <v>9651748</v>
      </c>
      <c r="AB476">
        <v>20384</v>
      </c>
      <c r="AD476" t="s">
        <v>1</v>
      </c>
      <c r="AE476">
        <v>31</v>
      </c>
      <c r="AF476">
        <v>10</v>
      </c>
      <c r="AH476" t="s">
        <v>984</v>
      </c>
      <c r="AI476" t="s">
        <v>5123</v>
      </c>
      <c r="AJ476" t="s">
        <v>5122</v>
      </c>
      <c r="AK476" t="s">
        <v>5121</v>
      </c>
      <c r="AL476">
        <v>12</v>
      </c>
      <c r="AM476" s="5">
        <f t="shared" si="58"/>
        <v>0.5714285714285714</v>
      </c>
      <c r="AN476" s="4">
        <f t="shared" si="63"/>
        <v>8.6547303510574997E-4</v>
      </c>
      <c r="AO476" s="3"/>
      <c r="AP476">
        <v>0</v>
      </c>
      <c r="AR476" t="s">
        <v>0</v>
      </c>
      <c r="AT476" s="2" t="s">
        <v>7</v>
      </c>
      <c r="AU476" s="1">
        <f t="shared" si="59"/>
        <v>3.236236207283385</v>
      </c>
      <c r="AV476" s="1">
        <f t="shared" si="60"/>
        <v>2.3363250919197251</v>
      </c>
      <c r="AW476" s="1">
        <f t="shared" si="61"/>
        <v>1.4364139765560651</v>
      </c>
    </row>
    <row r="477" spans="1:49" x14ac:dyDescent="0.2">
      <c r="A477">
        <v>475</v>
      </c>
      <c r="B477" t="s">
        <v>5120</v>
      </c>
      <c r="C477" t="s">
        <v>5119</v>
      </c>
      <c r="F477" t="s">
        <v>5118</v>
      </c>
      <c r="G477" t="s">
        <v>6</v>
      </c>
      <c r="H477" t="s">
        <v>5</v>
      </c>
      <c r="I477" t="s">
        <v>829</v>
      </c>
      <c r="J477">
        <v>60024411</v>
      </c>
      <c r="K477" t="s">
        <v>344</v>
      </c>
      <c r="L477" t="s">
        <v>343</v>
      </c>
      <c r="M477" t="s">
        <v>115</v>
      </c>
      <c r="N477">
        <v>1</v>
      </c>
      <c r="O477" t="s">
        <v>5117</v>
      </c>
      <c r="P477">
        <v>6602716988</v>
      </c>
      <c r="Q477">
        <v>60024411</v>
      </c>
      <c r="R477" s="7">
        <v>37139</v>
      </c>
      <c r="S477" s="8">
        <f t="shared" si="56"/>
        <v>2001</v>
      </c>
      <c r="T477" s="8">
        <v>2001</v>
      </c>
      <c r="U477" s="8">
        <f t="shared" si="57"/>
        <v>21</v>
      </c>
      <c r="V477" s="7">
        <v>37139</v>
      </c>
      <c r="W477" t="s">
        <v>290</v>
      </c>
      <c r="X477" s="2">
        <v>0.30399999999999999</v>
      </c>
      <c r="Y477" s="6">
        <f t="shared" si="62"/>
        <v>8.115106377299057E-3</v>
      </c>
      <c r="AA477">
        <v>8952477</v>
      </c>
      <c r="AB477">
        <v>12250</v>
      </c>
      <c r="AD477" t="s">
        <v>1</v>
      </c>
      <c r="AE477">
        <v>30</v>
      </c>
      <c r="AF477">
        <v>5</v>
      </c>
      <c r="AH477" t="s">
        <v>5116</v>
      </c>
      <c r="AI477" t="s">
        <v>5115</v>
      </c>
      <c r="AJ477" t="s">
        <v>5114</v>
      </c>
      <c r="AK477" t="s">
        <v>5113</v>
      </c>
      <c r="AL477">
        <v>13</v>
      </c>
      <c r="AM477" s="5">
        <f t="shared" si="58"/>
        <v>0.61904761904761907</v>
      </c>
      <c r="AN477" s="4">
        <f t="shared" si="63"/>
        <v>9.3759578803122919E-4</v>
      </c>
      <c r="AO477" s="3"/>
      <c r="AP477">
        <v>0</v>
      </c>
      <c r="AR477" t="s">
        <v>0</v>
      </c>
      <c r="AT477" s="2" t="s">
        <v>7</v>
      </c>
      <c r="AU477" s="1">
        <f t="shared" si="59"/>
        <v>0.59618532005187075</v>
      </c>
      <c r="AV477" s="1">
        <f t="shared" si="60"/>
        <v>0.45263510826651432</v>
      </c>
      <c r="AW477" s="1">
        <f t="shared" si="61"/>
        <v>0.30908489648115778</v>
      </c>
    </row>
    <row r="478" spans="1:49" x14ac:dyDescent="0.2">
      <c r="A478">
        <v>476</v>
      </c>
      <c r="B478" t="s">
        <v>5112</v>
      </c>
      <c r="C478" t="s">
        <v>5111</v>
      </c>
      <c r="F478" t="s">
        <v>5110</v>
      </c>
      <c r="G478" t="s">
        <v>6</v>
      </c>
      <c r="H478" t="s">
        <v>5</v>
      </c>
      <c r="I478" t="s">
        <v>3220</v>
      </c>
      <c r="J478">
        <v>60020261</v>
      </c>
      <c r="K478" t="s">
        <v>5109</v>
      </c>
      <c r="L478" t="s">
        <v>5108</v>
      </c>
      <c r="M478" t="s">
        <v>66</v>
      </c>
      <c r="N478">
        <v>2</v>
      </c>
      <c r="O478" t="s">
        <v>5107</v>
      </c>
      <c r="P478" t="s">
        <v>5106</v>
      </c>
      <c r="Q478" t="s">
        <v>5105</v>
      </c>
      <c r="R478" s="7">
        <v>37139</v>
      </c>
      <c r="S478" s="8">
        <f t="shared" si="56"/>
        <v>2001</v>
      </c>
      <c r="T478" s="8">
        <v>2001</v>
      </c>
      <c r="U478" s="8">
        <f t="shared" si="57"/>
        <v>21</v>
      </c>
      <c r="V478" s="7">
        <v>37139</v>
      </c>
      <c r="W478" t="s">
        <v>290</v>
      </c>
      <c r="X478" s="2">
        <v>0.30399999999999999</v>
      </c>
      <c r="Y478" s="6">
        <f t="shared" si="62"/>
        <v>8.115106377299057E-3</v>
      </c>
      <c r="AA478">
        <v>8952477</v>
      </c>
      <c r="AB478">
        <v>12250</v>
      </c>
      <c r="AD478" t="s">
        <v>1</v>
      </c>
      <c r="AE478">
        <v>30</v>
      </c>
      <c r="AF478">
        <v>5</v>
      </c>
      <c r="AH478" t="s">
        <v>5104</v>
      </c>
      <c r="AI478" t="s">
        <v>5103</v>
      </c>
      <c r="AJ478" t="s">
        <v>5102</v>
      </c>
      <c r="AK478" t="s">
        <v>5101</v>
      </c>
      <c r="AL478">
        <v>11</v>
      </c>
      <c r="AM478" s="5">
        <f t="shared" si="58"/>
        <v>0.52380952380952384</v>
      </c>
      <c r="AN478" s="4">
        <f t="shared" si="63"/>
        <v>7.9335028218027086E-4</v>
      </c>
      <c r="AO478" s="3"/>
      <c r="AP478">
        <v>0</v>
      </c>
      <c r="AR478" t="s">
        <v>0</v>
      </c>
      <c r="AT478" s="2" t="s">
        <v>7</v>
      </c>
      <c r="AU478" s="1">
        <f t="shared" si="59"/>
        <v>0.59185795487634207</v>
      </c>
      <c r="AV478" s="1">
        <f t="shared" si="60"/>
        <v>0.44542283297396634</v>
      </c>
      <c r="AW478" s="1">
        <f t="shared" si="61"/>
        <v>0.29898771107159067</v>
      </c>
    </row>
    <row r="479" spans="1:49" x14ac:dyDescent="0.2">
      <c r="A479">
        <v>477</v>
      </c>
      <c r="B479" t="s">
        <v>5100</v>
      </c>
      <c r="C479" t="s">
        <v>5099</v>
      </c>
      <c r="F479" t="s">
        <v>5098</v>
      </c>
      <c r="G479" t="s">
        <v>6</v>
      </c>
      <c r="H479" t="s">
        <v>5</v>
      </c>
      <c r="I479" t="s">
        <v>5097</v>
      </c>
      <c r="J479">
        <v>60018123</v>
      </c>
      <c r="K479" t="s">
        <v>119</v>
      </c>
      <c r="L479" t="s">
        <v>118</v>
      </c>
      <c r="M479" t="s">
        <v>46</v>
      </c>
      <c r="N479">
        <v>1</v>
      </c>
      <c r="O479" t="s">
        <v>5096</v>
      </c>
      <c r="P479">
        <v>7004117976</v>
      </c>
      <c r="Q479">
        <v>60018123</v>
      </c>
      <c r="R479" s="7">
        <v>37139</v>
      </c>
      <c r="S479" s="8">
        <f t="shared" si="56"/>
        <v>2001</v>
      </c>
      <c r="T479" s="8">
        <v>2001</v>
      </c>
      <c r="U479" s="8">
        <f t="shared" si="57"/>
        <v>21</v>
      </c>
      <c r="V479" s="7">
        <v>37139</v>
      </c>
      <c r="W479" t="s">
        <v>290</v>
      </c>
      <c r="X479" s="2">
        <v>0.30399999999999999</v>
      </c>
      <c r="Y479" s="6">
        <f t="shared" si="62"/>
        <v>8.115106377299057E-3</v>
      </c>
      <c r="AA479">
        <v>8952477</v>
      </c>
      <c r="AB479">
        <v>12250</v>
      </c>
      <c r="AD479" t="s">
        <v>1</v>
      </c>
      <c r="AE479">
        <v>30</v>
      </c>
      <c r="AF479">
        <v>5</v>
      </c>
      <c r="AH479" t="s">
        <v>5095</v>
      </c>
      <c r="AI479" t="s">
        <v>5094</v>
      </c>
      <c r="AJ479" t="s">
        <v>5093</v>
      </c>
      <c r="AK479" t="s">
        <v>5092</v>
      </c>
      <c r="AL479">
        <v>19</v>
      </c>
      <c r="AM479" s="5">
        <f t="shared" si="58"/>
        <v>0.90476190476190477</v>
      </c>
      <c r="AN479" s="4">
        <f t="shared" si="63"/>
        <v>1.3703323055841042E-3</v>
      </c>
      <c r="AO479" s="3"/>
      <c r="AP479">
        <v>0</v>
      </c>
      <c r="AR479" t="s">
        <v>0</v>
      </c>
      <c r="AT479" s="2" t="s">
        <v>7</v>
      </c>
      <c r="AU479" s="1">
        <f t="shared" si="59"/>
        <v>0.60916741557845711</v>
      </c>
      <c r="AV479" s="1">
        <f t="shared" si="60"/>
        <v>0.47427193414415808</v>
      </c>
      <c r="AW479" s="1">
        <f t="shared" si="61"/>
        <v>0.339376452709859</v>
      </c>
    </row>
    <row r="480" spans="1:49" x14ac:dyDescent="0.2">
      <c r="A480">
        <v>478</v>
      </c>
      <c r="B480" t="s">
        <v>5091</v>
      </c>
      <c r="C480" t="s">
        <v>5090</v>
      </c>
      <c r="F480" t="s">
        <v>5089</v>
      </c>
      <c r="G480" t="s">
        <v>6</v>
      </c>
      <c r="H480" t="s">
        <v>5</v>
      </c>
      <c r="I480" t="s">
        <v>5088</v>
      </c>
      <c r="J480">
        <v>60026134</v>
      </c>
      <c r="K480" t="s">
        <v>781</v>
      </c>
      <c r="L480" t="s">
        <v>780</v>
      </c>
      <c r="M480" t="s">
        <v>194</v>
      </c>
      <c r="N480">
        <v>3</v>
      </c>
      <c r="O480" t="s">
        <v>5087</v>
      </c>
      <c r="P480" t="s">
        <v>5086</v>
      </c>
      <c r="Q480" t="s">
        <v>779</v>
      </c>
      <c r="R480" s="7">
        <v>37139</v>
      </c>
      <c r="S480" s="8">
        <f t="shared" si="56"/>
        <v>2001</v>
      </c>
      <c r="T480" s="8">
        <v>2001</v>
      </c>
      <c r="U480" s="8">
        <f t="shared" si="57"/>
        <v>21</v>
      </c>
      <c r="V480" s="7">
        <v>37139</v>
      </c>
      <c r="W480" t="s">
        <v>290</v>
      </c>
      <c r="X480" s="2">
        <v>0.30399999999999999</v>
      </c>
      <c r="Y480" s="6">
        <f t="shared" si="62"/>
        <v>8.115106377299057E-3</v>
      </c>
      <c r="AA480">
        <v>8952477</v>
      </c>
      <c r="AB480">
        <v>12250</v>
      </c>
      <c r="AD480" t="s">
        <v>1</v>
      </c>
      <c r="AE480">
        <v>30</v>
      </c>
      <c r="AF480">
        <v>5</v>
      </c>
      <c r="AH480" t="s">
        <v>5085</v>
      </c>
      <c r="AI480" t="s">
        <v>5084</v>
      </c>
      <c r="AJ480" t="s">
        <v>5083</v>
      </c>
      <c r="AK480" t="s">
        <v>5082</v>
      </c>
      <c r="AL480">
        <v>16</v>
      </c>
      <c r="AM480" s="5">
        <f t="shared" si="58"/>
        <v>0.76190476190476186</v>
      </c>
      <c r="AN480" s="4">
        <f t="shared" si="63"/>
        <v>1.1539640468076666E-3</v>
      </c>
      <c r="AO480" s="3"/>
      <c r="AP480">
        <v>0</v>
      </c>
      <c r="AR480" t="s">
        <v>0</v>
      </c>
      <c r="AT480" s="2" t="s">
        <v>7</v>
      </c>
      <c r="AU480" s="1">
        <f t="shared" si="59"/>
        <v>0.60267636781516387</v>
      </c>
      <c r="AV480" s="1">
        <f t="shared" si="60"/>
        <v>0.46345352120533612</v>
      </c>
      <c r="AW480" s="1">
        <f t="shared" si="61"/>
        <v>0.32423067459550836</v>
      </c>
    </row>
    <row r="481" spans="1:49" x14ac:dyDescent="0.2">
      <c r="A481">
        <v>479</v>
      </c>
      <c r="B481" t="s">
        <v>5081</v>
      </c>
      <c r="C481" t="s">
        <v>5080</v>
      </c>
      <c r="F481" t="s">
        <v>5079</v>
      </c>
      <c r="G481" t="s">
        <v>6</v>
      </c>
      <c r="H481" t="s">
        <v>5</v>
      </c>
      <c r="I481" t="s">
        <v>5078</v>
      </c>
      <c r="J481">
        <v>60011357</v>
      </c>
      <c r="K481" t="s">
        <v>342</v>
      </c>
      <c r="L481" t="s">
        <v>329</v>
      </c>
      <c r="M481" t="s">
        <v>105</v>
      </c>
      <c r="N481">
        <v>2</v>
      </c>
      <c r="O481" t="s">
        <v>5077</v>
      </c>
      <c r="P481" t="s">
        <v>5076</v>
      </c>
      <c r="Q481" t="s">
        <v>341</v>
      </c>
      <c r="R481" s="7">
        <v>37139</v>
      </c>
      <c r="S481" s="8">
        <f t="shared" si="56"/>
        <v>2001</v>
      </c>
      <c r="T481" s="8">
        <v>2001</v>
      </c>
      <c r="U481" s="8">
        <f t="shared" si="57"/>
        <v>21</v>
      </c>
      <c r="V481" s="7">
        <v>37139</v>
      </c>
      <c r="W481" t="s">
        <v>290</v>
      </c>
      <c r="X481" s="2">
        <v>0.30399999999999999</v>
      </c>
      <c r="Y481" s="6">
        <f t="shared" si="62"/>
        <v>8.115106377299057E-3</v>
      </c>
      <c r="AA481">
        <v>8952477</v>
      </c>
      <c r="AB481">
        <v>12250</v>
      </c>
      <c r="AD481" t="s">
        <v>1</v>
      </c>
      <c r="AE481">
        <v>30</v>
      </c>
      <c r="AF481">
        <v>5</v>
      </c>
      <c r="AH481" t="s">
        <v>5075</v>
      </c>
      <c r="AI481" t="s">
        <v>5074</v>
      </c>
      <c r="AJ481" t="s">
        <v>5073</v>
      </c>
      <c r="AK481" t="s">
        <v>5072</v>
      </c>
      <c r="AL481">
        <v>20</v>
      </c>
      <c r="AM481" s="5">
        <f t="shared" si="58"/>
        <v>0.95238095238095233</v>
      </c>
      <c r="AN481" s="4">
        <f t="shared" si="63"/>
        <v>1.4424550585095833E-3</v>
      </c>
      <c r="AO481" s="3"/>
      <c r="AP481">
        <v>0</v>
      </c>
      <c r="AR481" t="s">
        <v>0</v>
      </c>
      <c r="AT481" s="2" t="s">
        <v>7</v>
      </c>
      <c r="AU481" s="1">
        <f t="shared" si="59"/>
        <v>0.61133109816622144</v>
      </c>
      <c r="AV481" s="1">
        <f t="shared" si="60"/>
        <v>0.47787807179043201</v>
      </c>
      <c r="AW481" s="1">
        <f t="shared" si="61"/>
        <v>0.34442504541464258</v>
      </c>
    </row>
    <row r="482" spans="1:49" x14ac:dyDescent="0.2">
      <c r="A482">
        <v>480</v>
      </c>
      <c r="B482" t="s">
        <v>5071</v>
      </c>
      <c r="C482" t="s">
        <v>5070</v>
      </c>
      <c r="F482" t="s">
        <v>5069</v>
      </c>
      <c r="G482" t="s">
        <v>6</v>
      </c>
      <c r="H482" t="s">
        <v>5</v>
      </c>
      <c r="I482" t="s">
        <v>5068</v>
      </c>
      <c r="J482">
        <v>100452619</v>
      </c>
      <c r="K482" t="s">
        <v>5067</v>
      </c>
      <c r="L482" t="s">
        <v>656</v>
      </c>
      <c r="M482" t="s">
        <v>194</v>
      </c>
      <c r="N482">
        <v>1</v>
      </c>
      <c r="O482" t="s">
        <v>5066</v>
      </c>
      <c r="P482">
        <v>6603458886</v>
      </c>
      <c r="Q482">
        <v>100452619</v>
      </c>
      <c r="R482" s="7">
        <v>37139</v>
      </c>
      <c r="S482" s="8">
        <f t="shared" si="56"/>
        <v>2001</v>
      </c>
      <c r="T482" s="8">
        <v>2001</v>
      </c>
      <c r="U482" s="8">
        <f t="shared" si="57"/>
        <v>21</v>
      </c>
      <c r="V482" s="7">
        <v>37139</v>
      </c>
      <c r="W482" t="s">
        <v>290</v>
      </c>
      <c r="X482" s="2">
        <v>0.30399999999999999</v>
      </c>
      <c r="Y482" s="6">
        <f t="shared" si="62"/>
        <v>8.115106377299057E-3</v>
      </c>
      <c r="AA482">
        <v>8952477</v>
      </c>
      <c r="AB482">
        <v>12250</v>
      </c>
      <c r="AD482" t="s">
        <v>1</v>
      </c>
      <c r="AE482">
        <v>30</v>
      </c>
      <c r="AF482">
        <v>5</v>
      </c>
      <c r="AH482" t="s">
        <v>5065</v>
      </c>
      <c r="AI482" t="s">
        <v>5064</v>
      </c>
      <c r="AJ482" t="s">
        <v>5063</v>
      </c>
      <c r="AK482" t="s">
        <v>5062</v>
      </c>
      <c r="AL482">
        <v>6</v>
      </c>
      <c r="AM482" s="5">
        <f t="shared" si="58"/>
        <v>0.2857142857142857</v>
      </c>
      <c r="AN482" s="4">
        <f t="shared" si="63"/>
        <v>4.3273651755287499E-4</v>
      </c>
      <c r="AO482" s="3"/>
      <c r="AP482">
        <v>0</v>
      </c>
      <c r="AR482" t="s">
        <v>0</v>
      </c>
      <c r="AT482" s="2" t="s">
        <v>7</v>
      </c>
      <c r="AU482" s="1">
        <f t="shared" si="59"/>
        <v>0.58103954193752017</v>
      </c>
      <c r="AV482" s="1">
        <f t="shared" si="60"/>
        <v>0.42739214474259662</v>
      </c>
      <c r="AW482" s="1">
        <f t="shared" si="61"/>
        <v>0.27374474754767297</v>
      </c>
    </row>
    <row r="483" spans="1:49" x14ac:dyDescent="0.2">
      <c r="A483">
        <v>481</v>
      </c>
      <c r="B483" t="s">
        <v>5061</v>
      </c>
      <c r="C483" t="s">
        <v>5060</v>
      </c>
      <c r="F483" t="s">
        <v>5059</v>
      </c>
      <c r="G483" t="s">
        <v>6</v>
      </c>
      <c r="H483" t="s">
        <v>5</v>
      </c>
      <c r="I483" t="s">
        <v>530</v>
      </c>
      <c r="J483">
        <v>60005510</v>
      </c>
      <c r="K483" t="s">
        <v>315</v>
      </c>
      <c r="L483" t="s">
        <v>131</v>
      </c>
      <c r="M483" t="s">
        <v>130</v>
      </c>
      <c r="N483">
        <v>2</v>
      </c>
      <c r="O483" t="s">
        <v>5058</v>
      </c>
      <c r="P483" t="s">
        <v>5057</v>
      </c>
      <c r="Q483" t="s">
        <v>830</v>
      </c>
      <c r="R483" s="7">
        <v>37139</v>
      </c>
      <c r="S483" s="8">
        <f t="shared" si="56"/>
        <v>2001</v>
      </c>
      <c r="T483" s="8">
        <v>2001</v>
      </c>
      <c r="U483" s="8">
        <f t="shared" si="57"/>
        <v>21</v>
      </c>
      <c r="V483" s="7">
        <v>37139</v>
      </c>
      <c r="W483" t="s">
        <v>290</v>
      </c>
      <c r="X483" s="2">
        <v>0.30399999999999999</v>
      </c>
      <c r="Y483" s="6">
        <f t="shared" si="62"/>
        <v>8.115106377299057E-3</v>
      </c>
      <c r="AA483">
        <v>8952477</v>
      </c>
      <c r="AB483">
        <v>12250</v>
      </c>
      <c r="AD483" t="s">
        <v>1</v>
      </c>
      <c r="AE483">
        <v>30</v>
      </c>
      <c r="AF483">
        <v>5</v>
      </c>
      <c r="AH483" t="s">
        <v>5056</v>
      </c>
      <c r="AI483" t="s">
        <v>5055</v>
      </c>
      <c r="AJ483" t="s">
        <v>5054</v>
      </c>
      <c r="AK483" t="s">
        <v>5053</v>
      </c>
      <c r="AL483">
        <v>4</v>
      </c>
      <c r="AM483" s="5">
        <f t="shared" si="58"/>
        <v>0.19047619047619047</v>
      </c>
      <c r="AN483" s="4">
        <f t="shared" si="63"/>
        <v>2.8849101170191666E-4</v>
      </c>
      <c r="AO483" s="3"/>
      <c r="AP483">
        <v>0</v>
      </c>
      <c r="AR483" t="s">
        <v>0</v>
      </c>
      <c r="AT483" s="2" t="s">
        <v>7</v>
      </c>
      <c r="AU483" s="1">
        <f t="shared" si="59"/>
        <v>0.57671217676199149</v>
      </c>
      <c r="AV483" s="1">
        <f t="shared" si="60"/>
        <v>0.4201798694500487</v>
      </c>
      <c r="AW483" s="1">
        <f t="shared" si="61"/>
        <v>0.26364756213810586</v>
      </c>
    </row>
    <row r="484" spans="1:49" x14ac:dyDescent="0.2">
      <c r="A484">
        <v>482</v>
      </c>
      <c r="B484" t="s">
        <v>5052</v>
      </c>
      <c r="C484" t="s">
        <v>5051</v>
      </c>
      <c r="F484" t="s">
        <v>5050</v>
      </c>
      <c r="G484" t="s">
        <v>6</v>
      </c>
      <c r="H484" t="s">
        <v>5</v>
      </c>
      <c r="I484" t="s">
        <v>5049</v>
      </c>
      <c r="J484">
        <v>60028189</v>
      </c>
      <c r="K484" t="s">
        <v>5048</v>
      </c>
      <c r="L484" t="s">
        <v>233</v>
      </c>
      <c r="M484" t="s">
        <v>80</v>
      </c>
      <c r="N484">
        <v>4</v>
      </c>
      <c r="O484" t="s">
        <v>5047</v>
      </c>
      <c r="P484" t="s">
        <v>5046</v>
      </c>
      <c r="Q484" t="s">
        <v>5045</v>
      </c>
      <c r="R484" s="7">
        <v>37139</v>
      </c>
      <c r="S484" s="8">
        <f t="shared" si="56"/>
        <v>2001</v>
      </c>
      <c r="T484" s="8">
        <v>2001</v>
      </c>
      <c r="U484" s="8">
        <f t="shared" si="57"/>
        <v>21</v>
      </c>
      <c r="V484" s="7">
        <v>37139</v>
      </c>
      <c r="W484" t="s">
        <v>290</v>
      </c>
      <c r="X484" s="2">
        <v>0.30399999999999999</v>
      </c>
      <c r="Y484" s="6">
        <f t="shared" si="62"/>
        <v>8.115106377299057E-3</v>
      </c>
      <c r="AA484">
        <v>8952477</v>
      </c>
      <c r="AB484">
        <v>12250</v>
      </c>
      <c r="AD484" t="s">
        <v>1</v>
      </c>
      <c r="AE484">
        <v>30</v>
      </c>
      <c r="AF484">
        <v>5</v>
      </c>
      <c r="AH484" t="s">
        <v>5044</v>
      </c>
      <c r="AI484" t="s">
        <v>5043</v>
      </c>
      <c r="AJ484" t="s">
        <v>5042</v>
      </c>
      <c r="AK484" t="s">
        <v>5041</v>
      </c>
      <c r="AL484">
        <v>7</v>
      </c>
      <c r="AM484" s="5">
        <f t="shared" si="58"/>
        <v>0.33333333333333331</v>
      </c>
      <c r="AN484" s="4">
        <f t="shared" si="63"/>
        <v>5.048592704783541E-4</v>
      </c>
      <c r="AO484" s="3"/>
      <c r="AP484">
        <v>0</v>
      </c>
      <c r="AR484" t="s">
        <v>0</v>
      </c>
      <c r="AT484" s="2" t="s">
        <v>7</v>
      </c>
      <c r="AU484" s="1">
        <f t="shared" si="59"/>
        <v>0.58320322452528461</v>
      </c>
      <c r="AV484" s="1">
        <f t="shared" si="60"/>
        <v>0.43099828238887061</v>
      </c>
      <c r="AW484" s="1">
        <f t="shared" si="61"/>
        <v>0.2787933402524565</v>
      </c>
    </row>
    <row r="485" spans="1:49" x14ac:dyDescent="0.2">
      <c r="A485">
        <v>483</v>
      </c>
      <c r="B485" t="s">
        <v>5040</v>
      </c>
      <c r="C485" t="s">
        <v>5039</v>
      </c>
      <c r="F485" t="s">
        <v>5038</v>
      </c>
      <c r="G485" t="s">
        <v>6</v>
      </c>
      <c r="H485" t="s">
        <v>5</v>
      </c>
      <c r="I485" t="s">
        <v>952</v>
      </c>
      <c r="J485">
        <v>105318843</v>
      </c>
      <c r="K485" t="s">
        <v>951</v>
      </c>
      <c r="L485" t="s">
        <v>5037</v>
      </c>
      <c r="M485" t="s">
        <v>3</v>
      </c>
      <c r="N485">
        <v>1</v>
      </c>
      <c r="O485" t="s">
        <v>5036</v>
      </c>
      <c r="P485">
        <v>7004922524</v>
      </c>
      <c r="Q485">
        <v>105318843</v>
      </c>
      <c r="R485" s="7">
        <v>37139</v>
      </c>
      <c r="S485" s="8">
        <f t="shared" si="56"/>
        <v>2001</v>
      </c>
      <c r="T485" s="8">
        <v>2001</v>
      </c>
      <c r="U485" s="8">
        <f t="shared" si="57"/>
        <v>21</v>
      </c>
      <c r="V485" s="7">
        <v>37139</v>
      </c>
      <c r="W485" t="s">
        <v>290</v>
      </c>
      <c r="X485" s="2">
        <v>0.30399999999999999</v>
      </c>
      <c r="Y485" s="6">
        <f t="shared" si="62"/>
        <v>8.115106377299057E-3</v>
      </c>
      <c r="AA485">
        <v>8952477</v>
      </c>
      <c r="AB485">
        <v>12250</v>
      </c>
      <c r="AD485" t="s">
        <v>1</v>
      </c>
      <c r="AE485">
        <v>30</v>
      </c>
      <c r="AF485">
        <v>5</v>
      </c>
      <c r="AH485" t="s">
        <v>5035</v>
      </c>
      <c r="AI485" t="s">
        <v>5034</v>
      </c>
      <c r="AJ485" t="s">
        <v>5033</v>
      </c>
      <c r="AK485" t="s">
        <v>5032</v>
      </c>
      <c r="AL485">
        <v>22</v>
      </c>
      <c r="AM485" s="5">
        <f t="shared" si="58"/>
        <v>1.0476190476190477</v>
      </c>
      <c r="AN485" s="4">
        <f t="shared" si="63"/>
        <v>1.5867005643605417E-3</v>
      </c>
      <c r="AO485" s="3"/>
      <c r="AP485">
        <v>0</v>
      </c>
      <c r="AR485" t="s">
        <v>0</v>
      </c>
      <c r="AT485" s="2" t="s">
        <v>7</v>
      </c>
      <c r="AU485" s="1">
        <f t="shared" si="59"/>
        <v>0.61565846334175023</v>
      </c>
      <c r="AV485" s="1">
        <f t="shared" si="60"/>
        <v>0.48509034708297988</v>
      </c>
      <c r="AW485" s="1">
        <f t="shared" si="61"/>
        <v>0.35452223082420964</v>
      </c>
    </row>
    <row r="486" spans="1:49" x14ac:dyDescent="0.2">
      <c r="A486">
        <v>484</v>
      </c>
      <c r="B486" t="s">
        <v>5031</v>
      </c>
      <c r="C486" t="s">
        <v>5030</v>
      </c>
      <c r="F486" t="s">
        <v>5029</v>
      </c>
      <c r="G486" t="s">
        <v>6</v>
      </c>
      <c r="H486" t="s">
        <v>5</v>
      </c>
      <c r="I486" t="s">
        <v>3716</v>
      </c>
      <c r="J486">
        <v>60017161</v>
      </c>
      <c r="K486" t="s">
        <v>132</v>
      </c>
      <c r="L486" t="s">
        <v>131</v>
      </c>
      <c r="M486" t="s">
        <v>130</v>
      </c>
      <c r="N486">
        <v>3</v>
      </c>
      <c r="O486" t="s">
        <v>5028</v>
      </c>
      <c r="P486" t="s">
        <v>5027</v>
      </c>
      <c r="Q486" t="s">
        <v>741</v>
      </c>
      <c r="R486" s="7">
        <v>37139</v>
      </c>
      <c r="S486" s="8">
        <f t="shared" si="56"/>
        <v>2001</v>
      </c>
      <c r="T486" s="8">
        <v>2001</v>
      </c>
      <c r="U486" s="8">
        <f t="shared" si="57"/>
        <v>21</v>
      </c>
      <c r="V486" s="7">
        <v>37139</v>
      </c>
      <c r="W486" t="s">
        <v>290</v>
      </c>
      <c r="X486" s="2">
        <v>0.30399999999999999</v>
      </c>
      <c r="Y486" s="6">
        <f t="shared" si="62"/>
        <v>8.115106377299057E-3</v>
      </c>
      <c r="AA486">
        <v>8952477</v>
      </c>
      <c r="AB486">
        <v>12250</v>
      </c>
      <c r="AD486" t="s">
        <v>1</v>
      </c>
      <c r="AE486">
        <v>30</v>
      </c>
      <c r="AF486">
        <v>5</v>
      </c>
      <c r="AH486" t="s">
        <v>5026</v>
      </c>
      <c r="AI486" t="s">
        <v>5025</v>
      </c>
      <c r="AJ486" t="s">
        <v>1012</v>
      </c>
      <c r="AK486" t="s">
        <v>5024</v>
      </c>
      <c r="AL486">
        <v>11</v>
      </c>
      <c r="AM486" s="5">
        <f t="shared" si="58"/>
        <v>0.52380952380952384</v>
      </c>
      <c r="AN486" s="4">
        <f t="shared" si="63"/>
        <v>7.9335028218027086E-4</v>
      </c>
      <c r="AO486" s="3"/>
      <c r="AP486">
        <v>0</v>
      </c>
      <c r="AR486" t="s">
        <v>0</v>
      </c>
      <c r="AT486" s="2" t="s">
        <v>7</v>
      </c>
      <c r="AU486" s="1">
        <f t="shared" si="59"/>
        <v>0.59185795487634207</v>
      </c>
      <c r="AV486" s="1">
        <f t="shared" si="60"/>
        <v>0.44542283297396634</v>
      </c>
      <c r="AW486" s="1">
        <f t="shared" si="61"/>
        <v>0.29898771107159067</v>
      </c>
    </row>
    <row r="487" spans="1:49" x14ac:dyDescent="0.2">
      <c r="A487">
        <v>485</v>
      </c>
      <c r="B487" t="s">
        <v>5023</v>
      </c>
      <c r="F487" t="s">
        <v>5022</v>
      </c>
      <c r="G487" t="s">
        <v>6</v>
      </c>
      <c r="H487" t="s">
        <v>5</v>
      </c>
      <c r="I487" t="s">
        <v>5021</v>
      </c>
      <c r="J487" t="s">
        <v>5020</v>
      </c>
      <c r="K487" t="s">
        <v>5019</v>
      </c>
      <c r="L487" t="s">
        <v>2109</v>
      </c>
      <c r="M487" t="s">
        <v>45</v>
      </c>
      <c r="N487">
        <v>4</v>
      </c>
      <c r="O487" t="s">
        <v>5018</v>
      </c>
      <c r="P487" t="s">
        <v>5017</v>
      </c>
      <c r="Q487" t="s">
        <v>5016</v>
      </c>
      <c r="R487" s="7">
        <v>37137</v>
      </c>
      <c r="S487" s="8">
        <f t="shared" si="56"/>
        <v>2001</v>
      </c>
      <c r="T487" s="8">
        <v>2001</v>
      </c>
      <c r="U487" s="8">
        <f t="shared" si="57"/>
        <v>21</v>
      </c>
      <c r="V487" s="7">
        <v>37137</v>
      </c>
      <c r="W487" t="s">
        <v>3294</v>
      </c>
      <c r="X487" s="2">
        <v>5.8310000000000004</v>
      </c>
      <c r="Y487" s="6">
        <f t="shared" si="62"/>
        <v>0.15565521475668029</v>
      </c>
      <c r="AA487">
        <v>14337851</v>
      </c>
      <c r="AB487">
        <v>22687</v>
      </c>
      <c r="AD487" t="s">
        <v>1</v>
      </c>
      <c r="AE487">
        <v>40</v>
      </c>
      <c r="AF487">
        <v>17</v>
      </c>
      <c r="AH487" t="s">
        <v>5015</v>
      </c>
      <c r="AI487" t="s">
        <v>5014</v>
      </c>
      <c r="AJ487" t="s">
        <v>5013</v>
      </c>
      <c r="AK487" t="s">
        <v>5012</v>
      </c>
      <c r="AL487">
        <v>150</v>
      </c>
      <c r="AM487" s="5">
        <f t="shared" si="58"/>
        <v>7.1428571428571432</v>
      </c>
      <c r="AN487" s="4">
        <f t="shared" si="63"/>
        <v>1.0818412938821876E-2</v>
      </c>
      <c r="AO487" s="3"/>
      <c r="AP487">
        <v>0</v>
      </c>
      <c r="AR487" t="s">
        <v>0</v>
      </c>
      <c r="AT487" s="2" t="s">
        <v>7</v>
      </c>
      <c r="AU487" s="1">
        <f t="shared" si="59"/>
        <v>11.220417421132275</v>
      </c>
      <c r="AV487" s="1">
        <f t="shared" si="60"/>
        <v>8.3236813847751083</v>
      </c>
      <c r="AW487" s="1">
        <f t="shared" si="61"/>
        <v>5.4269453484179397</v>
      </c>
    </row>
    <row r="488" spans="1:49" x14ac:dyDescent="0.2">
      <c r="A488">
        <v>486</v>
      </c>
      <c r="B488" t="s">
        <v>5011</v>
      </c>
      <c r="C488" t="s">
        <v>5010</v>
      </c>
      <c r="D488" t="s">
        <v>5009</v>
      </c>
      <c r="F488" t="s">
        <v>5008</v>
      </c>
      <c r="G488" t="s">
        <v>6</v>
      </c>
      <c r="H488" t="s">
        <v>5</v>
      </c>
      <c r="I488" t="s">
        <v>710</v>
      </c>
      <c r="J488">
        <v>60007457</v>
      </c>
      <c r="K488" t="s">
        <v>709</v>
      </c>
      <c r="L488" t="s">
        <v>198</v>
      </c>
      <c r="M488" t="s">
        <v>197</v>
      </c>
      <c r="N488">
        <v>3</v>
      </c>
      <c r="O488" t="s">
        <v>5007</v>
      </c>
      <c r="P488" t="s">
        <v>5006</v>
      </c>
      <c r="Q488" t="s">
        <v>3044</v>
      </c>
      <c r="R488" s="7">
        <v>37137</v>
      </c>
      <c r="S488" s="8">
        <f t="shared" si="56"/>
        <v>2001</v>
      </c>
      <c r="T488" s="8">
        <v>2001</v>
      </c>
      <c r="U488" s="8">
        <f t="shared" si="57"/>
        <v>21</v>
      </c>
      <c r="V488" s="7">
        <v>37137</v>
      </c>
      <c r="W488" t="s">
        <v>708</v>
      </c>
      <c r="X488" s="2">
        <v>0.499</v>
      </c>
      <c r="Y488" s="6">
        <f t="shared" si="62"/>
        <v>1.332052000747444E-2</v>
      </c>
      <c r="AA488">
        <v>3759601</v>
      </c>
      <c r="AB488">
        <v>29464</v>
      </c>
      <c r="AD488" t="s">
        <v>1</v>
      </c>
      <c r="AE488">
        <v>287</v>
      </c>
      <c r="AF488" s="10">
        <v>44352</v>
      </c>
      <c r="AH488" t="s">
        <v>5005</v>
      </c>
      <c r="AI488" t="s">
        <v>5004</v>
      </c>
      <c r="AK488" t="s">
        <v>5003</v>
      </c>
      <c r="AL488">
        <v>284</v>
      </c>
      <c r="AM488" s="5">
        <f t="shared" si="58"/>
        <v>13.523809523809524</v>
      </c>
      <c r="AN488" s="4">
        <f t="shared" si="63"/>
        <v>2.0482861830836082E-2</v>
      </c>
      <c r="AO488" s="3"/>
      <c r="AP488">
        <v>0</v>
      </c>
      <c r="AQ488" t="s">
        <v>21</v>
      </c>
      <c r="AR488" t="s">
        <v>0</v>
      </c>
      <c r="AS488" t="s">
        <v>20</v>
      </c>
      <c r="AT488" s="2" t="s">
        <v>7</v>
      </c>
      <c r="AU488" s="1">
        <f t="shared" si="59"/>
        <v>1.5469222554482933</v>
      </c>
      <c r="AV488" s="1">
        <f t="shared" si="60"/>
        <v>1.6901690919155263</v>
      </c>
      <c r="AW488" s="1">
        <f t="shared" si="61"/>
        <v>1.8334159283827589</v>
      </c>
    </row>
    <row r="489" spans="1:49" x14ac:dyDescent="0.2">
      <c r="A489">
        <v>487</v>
      </c>
      <c r="B489" t="s">
        <v>5002</v>
      </c>
      <c r="C489" t="s">
        <v>5001</v>
      </c>
      <c r="F489" t="s">
        <v>5000</v>
      </c>
      <c r="G489" t="s">
        <v>6</v>
      </c>
      <c r="H489" t="s">
        <v>5</v>
      </c>
      <c r="I489" t="s">
        <v>4999</v>
      </c>
      <c r="J489" t="s">
        <v>4994</v>
      </c>
      <c r="K489" t="s">
        <v>4998</v>
      </c>
      <c r="L489" t="s">
        <v>4997</v>
      </c>
      <c r="M489" t="s">
        <v>44</v>
      </c>
      <c r="N489">
        <v>2</v>
      </c>
      <c r="O489" t="s">
        <v>4996</v>
      </c>
      <c r="P489" t="s">
        <v>4995</v>
      </c>
      <c r="Q489" t="s">
        <v>4994</v>
      </c>
      <c r="R489" s="7">
        <v>37135</v>
      </c>
      <c r="S489" s="8">
        <f t="shared" si="56"/>
        <v>2001</v>
      </c>
      <c r="T489" s="8">
        <v>2001</v>
      </c>
      <c r="U489" s="8">
        <f t="shared" si="57"/>
        <v>21</v>
      </c>
      <c r="V489" s="7">
        <v>37135</v>
      </c>
      <c r="W489" t="s">
        <v>4993</v>
      </c>
      <c r="X489" s="2">
        <v>0</v>
      </c>
      <c r="Y489" s="6">
        <f t="shared" si="62"/>
        <v>0</v>
      </c>
      <c r="AB489">
        <v>21101038512</v>
      </c>
      <c r="AC489">
        <v>21699402</v>
      </c>
      <c r="AD489" t="s">
        <v>1</v>
      </c>
      <c r="AE489">
        <v>106</v>
      </c>
      <c r="AF489" t="s">
        <v>4992</v>
      </c>
      <c r="AG489" t="s">
        <v>4991</v>
      </c>
      <c r="AH489" t="s">
        <v>4990</v>
      </c>
      <c r="AI489" t="s">
        <v>4989</v>
      </c>
      <c r="AK489" t="s">
        <v>4988</v>
      </c>
      <c r="AL489">
        <v>8</v>
      </c>
      <c r="AM489" s="5">
        <f t="shared" si="58"/>
        <v>0.38095238095238093</v>
      </c>
      <c r="AN489" s="4">
        <f t="shared" si="63"/>
        <v>5.7698202340383331E-4</v>
      </c>
      <c r="AO489" s="3"/>
      <c r="AP489">
        <v>1</v>
      </c>
      <c r="AR489" t="s">
        <v>0</v>
      </c>
      <c r="AT489" s="2" t="s">
        <v>7</v>
      </c>
      <c r="AU489" s="1">
        <f t="shared" si="59"/>
        <v>1.7309460702115E-2</v>
      </c>
      <c r="AV489" s="1">
        <f t="shared" si="60"/>
        <v>2.8849101170191665E-2</v>
      </c>
      <c r="AW489" s="1">
        <f t="shared" si="61"/>
        <v>4.0388741638268326E-2</v>
      </c>
    </row>
    <row r="490" spans="1:49" x14ac:dyDescent="0.2">
      <c r="A490">
        <v>488</v>
      </c>
      <c r="B490" t="s">
        <v>4987</v>
      </c>
      <c r="C490" t="s">
        <v>4986</v>
      </c>
      <c r="F490" t="s">
        <v>4985</v>
      </c>
      <c r="G490" t="s">
        <v>6</v>
      </c>
      <c r="H490" t="s">
        <v>5</v>
      </c>
      <c r="I490" t="s">
        <v>4984</v>
      </c>
      <c r="J490" t="s">
        <v>4983</v>
      </c>
      <c r="K490" t="s">
        <v>4982</v>
      </c>
      <c r="L490" t="s">
        <v>4981</v>
      </c>
      <c r="M490" t="s">
        <v>4980</v>
      </c>
      <c r="N490">
        <v>11</v>
      </c>
      <c r="O490" t="s">
        <v>4979</v>
      </c>
      <c r="P490" t="s">
        <v>4978</v>
      </c>
      <c r="Q490" t="s">
        <v>4977</v>
      </c>
      <c r="R490" s="7">
        <v>37135</v>
      </c>
      <c r="S490" s="8">
        <f t="shared" si="56"/>
        <v>2001</v>
      </c>
      <c r="T490" s="8">
        <v>2001</v>
      </c>
      <c r="U490" s="8">
        <f t="shared" si="57"/>
        <v>21</v>
      </c>
      <c r="V490" s="7">
        <v>37135</v>
      </c>
      <c r="W490" t="s">
        <v>637</v>
      </c>
      <c r="X490" s="2">
        <v>2.0070000000000001</v>
      </c>
      <c r="Y490" s="6">
        <f t="shared" si="62"/>
        <v>5.3575718747497406E-2</v>
      </c>
      <c r="AA490">
        <v>948276</v>
      </c>
      <c r="AB490">
        <v>27962</v>
      </c>
      <c r="AD490" t="s">
        <v>1</v>
      </c>
      <c r="AE490">
        <v>28</v>
      </c>
      <c r="AF490">
        <v>17</v>
      </c>
      <c r="AH490" t="s">
        <v>4976</v>
      </c>
      <c r="AI490" t="s">
        <v>4975</v>
      </c>
      <c r="AK490" t="s">
        <v>4974</v>
      </c>
      <c r="AL490">
        <v>351</v>
      </c>
      <c r="AM490" s="5">
        <f t="shared" si="58"/>
        <v>16.714285714285715</v>
      </c>
      <c r="AN490" s="4">
        <f t="shared" si="63"/>
        <v>2.5315086276843188E-2</v>
      </c>
      <c r="AO490" s="3"/>
      <c r="AP490">
        <v>1</v>
      </c>
      <c r="AR490" t="s">
        <v>0</v>
      </c>
      <c r="AT490" s="2">
        <v>4.72</v>
      </c>
      <c r="AU490" s="1">
        <f t="shared" si="59"/>
        <v>4.5097529006301134</v>
      </c>
      <c r="AV490" s="1">
        <f t="shared" si="60"/>
        <v>3.9445402512170298</v>
      </c>
      <c r="AW490" s="1">
        <f t="shared" si="61"/>
        <v>3.3793276018039449</v>
      </c>
    </row>
    <row r="491" spans="1:49" x14ac:dyDescent="0.2">
      <c r="A491">
        <v>489</v>
      </c>
      <c r="B491" t="s">
        <v>4973</v>
      </c>
      <c r="C491" t="s">
        <v>4972</v>
      </c>
      <c r="F491" t="s">
        <v>4971</v>
      </c>
      <c r="G491" t="s">
        <v>6</v>
      </c>
      <c r="H491" t="s">
        <v>5</v>
      </c>
      <c r="I491" t="s">
        <v>4970</v>
      </c>
      <c r="J491">
        <v>60027550</v>
      </c>
      <c r="K491" t="s">
        <v>144</v>
      </c>
      <c r="L491" t="s">
        <v>65</v>
      </c>
      <c r="M491" t="s">
        <v>3</v>
      </c>
      <c r="N491">
        <v>3</v>
      </c>
      <c r="O491" t="s">
        <v>4969</v>
      </c>
      <c r="P491" t="s">
        <v>4968</v>
      </c>
      <c r="Q491" t="s">
        <v>4552</v>
      </c>
      <c r="R491" s="7">
        <v>37135</v>
      </c>
      <c r="S491" s="8">
        <f t="shared" si="56"/>
        <v>2001</v>
      </c>
      <c r="T491" s="8">
        <v>2001</v>
      </c>
      <c r="U491" s="8">
        <f t="shared" si="57"/>
        <v>21</v>
      </c>
      <c r="V491" s="7">
        <v>37135</v>
      </c>
      <c r="W491" t="s">
        <v>892</v>
      </c>
      <c r="X491" s="2">
        <v>0.75</v>
      </c>
      <c r="Y491" s="6">
        <f t="shared" si="62"/>
        <v>2.0020821654520703E-2</v>
      </c>
      <c r="AA491" t="s">
        <v>891</v>
      </c>
      <c r="AB491">
        <v>29221</v>
      </c>
      <c r="AD491" t="s">
        <v>1</v>
      </c>
      <c r="AE491">
        <v>8</v>
      </c>
      <c r="AF491">
        <v>9</v>
      </c>
      <c r="AH491" t="s">
        <v>4967</v>
      </c>
      <c r="AI491" t="s">
        <v>4966</v>
      </c>
      <c r="AK491" t="s">
        <v>4965</v>
      </c>
      <c r="AL491">
        <v>32</v>
      </c>
      <c r="AM491" s="5">
        <f t="shared" si="58"/>
        <v>1.5238095238095237</v>
      </c>
      <c r="AN491" s="4">
        <f t="shared" si="63"/>
        <v>2.3079280936153333E-3</v>
      </c>
      <c r="AO491" s="3"/>
      <c r="AP491">
        <v>0</v>
      </c>
      <c r="AR491" t="s">
        <v>0</v>
      </c>
      <c r="AT491" s="2">
        <v>2.0230000000000001</v>
      </c>
      <c r="AU491" s="1">
        <f t="shared" si="59"/>
        <v>1.4706953586249092</v>
      </c>
      <c r="AV491" s="1">
        <f t="shared" si="60"/>
        <v>1.1164374874068017</v>
      </c>
      <c r="AW491" s="1">
        <f t="shared" si="61"/>
        <v>0.76217961618869434</v>
      </c>
    </row>
    <row r="492" spans="1:49" x14ac:dyDescent="0.2">
      <c r="A492">
        <v>490</v>
      </c>
      <c r="B492" t="s">
        <v>4964</v>
      </c>
      <c r="F492" t="s">
        <v>4963</v>
      </c>
      <c r="G492" t="s">
        <v>6</v>
      </c>
      <c r="H492" t="s">
        <v>5</v>
      </c>
      <c r="I492" t="s">
        <v>4962</v>
      </c>
      <c r="J492">
        <v>60029225</v>
      </c>
      <c r="K492" t="s">
        <v>681</v>
      </c>
      <c r="L492" t="s">
        <v>198</v>
      </c>
      <c r="M492" t="s">
        <v>197</v>
      </c>
      <c r="N492">
        <v>1</v>
      </c>
      <c r="O492" t="s">
        <v>4961</v>
      </c>
      <c r="P492">
        <v>7004850705</v>
      </c>
      <c r="Q492">
        <v>60029225</v>
      </c>
      <c r="R492" s="7">
        <v>37135</v>
      </c>
      <c r="S492" s="8">
        <f t="shared" si="56"/>
        <v>2001</v>
      </c>
      <c r="T492" s="8">
        <v>2001</v>
      </c>
      <c r="U492" s="8">
        <f t="shared" si="57"/>
        <v>21</v>
      </c>
      <c r="V492" s="7">
        <v>37135</v>
      </c>
      <c r="W492" t="s">
        <v>670</v>
      </c>
      <c r="X492" s="2">
        <v>0.29499999999999998</v>
      </c>
      <c r="Y492" s="6">
        <f t="shared" si="62"/>
        <v>7.8748565174448087E-3</v>
      </c>
      <c r="AA492">
        <v>10642269</v>
      </c>
      <c r="AB492">
        <v>19554</v>
      </c>
      <c r="AD492" t="s">
        <v>1</v>
      </c>
      <c r="AE492">
        <v>46</v>
      </c>
      <c r="AF492">
        <v>9</v>
      </c>
      <c r="AH492" t="s">
        <v>4960</v>
      </c>
      <c r="AI492" t="s">
        <v>4959</v>
      </c>
      <c r="AK492" t="s">
        <v>4958</v>
      </c>
      <c r="AL492">
        <v>4</v>
      </c>
      <c r="AM492" s="5">
        <f t="shared" si="58"/>
        <v>0.19047619047619047</v>
      </c>
      <c r="AN492" s="4">
        <f t="shared" si="63"/>
        <v>2.8849101170191666E-4</v>
      </c>
      <c r="AO492" s="3"/>
      <c r="AP492">
        <v>0</v>
      </c>
      <c r="AR492" t="s">
        <v>0</v>
      </c>
      <c r="AT492" s="2" t="s">
        <v>7</v>
      </c>
      <c r="AU492" s="1">
        <f t="shared" si="59"/>
        <v>0.5598946865721941</v>
      </c>
      <c r="AV492" s="1">
        <f t="shared" si="60"/>
        <v>0.40816737645733631</v>
      </c>
      <c r="AW492" s="1">
        <f t="shared" si="61"/>
        <v>0.2564400663424784</v>
      </c>
    </row>
    <row r="493" spans="1:49" x14ac:dyDescent="0.2">
      <c r="A493">
        <v>491</v>
      </c>
      <c r="B493" t="s">
        <v>4957</v>
      </c>
      <c r="F493" t="s">
        <v>4956</v>
      </c>
      <c r="G493" t="s">
        <v>6</v>
      </c>
      <c r="H493" t="s">
        <v>5</v>
      </c>
      <c r="I493" t="s">
        <v>4955</v>
      </c>
      <c r="J493">
        <v>100503204</v>
      </c>
      <c r="K493" t="s">
        <v>4954</v>
      </c>
      <c r="L493" t="s">
        <v>4953</v>
      </c>
      <c r="M493" t="s">
        <v>80</v>
      </c>
      <c r="N493">
        <v>1</v>
      </c>
      <c r="O493" t="s">
        <v>4952</v>
      </c>
      <c r="P493">
        <v>57199785276</v>
      </c>
      <c r="Q493">
        <v>100503204</v>
      </c>
      <c r="R493" s="7">
        <v>37135</v>
      </c>
      <c r="S493" s="8">
        <f t="shared" si="56"/>
        <v>2001</v>
      </c>
      <c r="T493" s="8">
        <v>2001</v>
      </c>
      <c r="U493" s="8">
        <f t="shared" si="57"/>
        <v>21</v>
      </c>
      <c r="V493" s="7">
        <v>37135</v>
      </c>
      <c r="W493" t="s">
        <v>4951</v>
      </c>
      <c r="X493" s="2">
        <v>0.20100000000000001</v>
      </c>
      <c r="Y493" s="6">
        <f t="shared" si="62"/>
        <v>5.3655802034115489E-3</v>
      </c>
      <c r="AA493">
        <v>195596</v>
      </c>
      <c r="AB493">
        <v>28036</v>
      </c>
      <c r="AD493" t="s">
        <v>1</v>
      </c>
      <c r="AE493">
        <v>39</v>
      </c>
      <c r="AF493">
        <v>9</v>
      </c>
      <c r="AH493" t="s">
        <v>4950</v>
      </c>
      <c r="AI493" t="s">
        <v>4949</v>
      </c>
      <c r="AK493" t="s">
        <v>4948</v>
      </c>
      <c r="AL493">
        <v>1</v>
      </c>
      <c r="AM493" s="5">
        <f t="shared" si="58"/>
        <v>4.7619047619047616E-2</v>
      </c>
      <c r="AN493" s="4">
        <f t="shared" si="63"/>
        <v>7.2122752925479164E-5</v>
      </c>
      <c r="AO493" s="3"/>
      <c r="AP493">
        <v>0</v>
      </c>
      <c r="AR493" t="s">
        <v>0</v>
      </c>
      <c r="AT493" s="2" t="s">
        <v>7</v>
      </c>
      <c r="AU493" s="1">
        <f t="shared" si="59"/>
        <v>0.37775429682657274</v>
      </c>
      <c r="AV493" s="1">
        <f t="shared" si="60"/>
        <v>0.27188514781685141</v>
      </c>
      <c r="AW493" s="1">
        <f t="shared" si="61"/>
        <v>0.16601599880713003</v>
      </c>
    </row>
    <row r="494" spans="1:49" x14ac:dyDescent="0.2">
      <c r="A494">
        <v>492</v>
      </c>
      <c r="B494" t="s">
        <v>4947</v>
      </c>
      <c r="C494" t="s">
        <v>4946</v>
      </c>
      <c r="F494" t="s">
        <v>4945</v>
      </c>
      <c r="G494" t="s">
        <v>6</v>
      </c>
      <c r="H494" t="s">
        <v>5</v>
      </c>
      <c r="I494" t="s">
        <v>1769</v>
      </c>
      <c r="J494">
        <v>60030359</v>
      </c>
      <c r="K494" t="s">
        <v>1768</v>
      </c>
      <c r="L494" t="s">
        <v>198</v>
      </c>
      <c r="M494" t="s">
        <v>197</v>
      </c>
      <c r="N494">
        <v>2</v>
      </c>
      <c r="O494" t="s">
        <v>1767</v>
      </c>
      <c r="P494" t="s">
        <v>1766</v>
      </c>
      <c r="Q494" t="s">
        <v>1765</v>
      </c>
      <c r="R494" s="7">
        <v>37135</v>
      </c>
      <c r="S494" s="8">
        <f t="shared" si="56"/>
        <v>2001</v>
      </c>
      <c r="T494" s="8">
        <v>2001</v>
      </c>
      <c r="U494" s="8">
        <f t="shared" si="57"/>
        <v>21</v>
      </c>
      <c r="V494" s="7">
        <v>37135</v>
      </c>
      <c r="W494" t="s">
        <v>1754</v>
      </c>
      <c r="X494" s="2">
        <v>0.36699999999999999</v>
      </c>
      <c r="Y494" s="6">
        <f t="shared" si="62"/>
        <v>9.7968553962787964E-3</v>
      </c>
      <c r="AA494">
        <v>10283358</v>
      </c>
      <c r="AB494">
        <v>27502</v>
      </c>
      <c r="AD494" t="s">
        <v>1</v>
      </c>
      <c r="AE494">
        <v>46</v>
      </c>
      <c r="AF494">
        <v>9</v>
      </c>
      <c r="AH494" t="s">
        <v>4944</v>
      </c>
      <c r="AL494">
        <v>2</v>
      </c>
      <c r="AM494" s="5">
        <f t="shared" si="58"/>
        <v>9.5238095238095233E-2</v>
      </c>
      <c r="AN494" s="4">
        <f t="shared" si="63"/>
        <v>1.4424550585095833E-4</v>
      </c>
      <c r="AO494" s="3"/>
      <c r="AP494">
        <v>0</v>
      </c>
      <c r="AR494" t="s">
        <v>0</v>
      </c>
      <c r="AT494" s="2">
        <v>0.67900000000000005</v>
      </c>
      <c r="AU494" s="1">
        <f t="shared" si="59"/>
        <v>0.69010724291504444</v>
      </c>
      <c r="AV494" s="1">
        <f t="shared" si="60"/>
        <v>0.49705504510648768</v>
      </c>
      <c r="AW494" s="1">
        <f t="shared" si="61"/>
        <v>0.30400284729793098</v>
      </c>
    </row>
    <row r="495" spans="1:49" x14ac:dyDescent="0.2">
      <c r="A495">
        <v>493</v>
      </c>
      <c r="B495" t="s">
        <v>4943</v>
      </c>
      <c r="C495" t="s">
        <v>4942</v>
      </c>
      <c r="F495" t="s">
        <v>4941</v>
      </c>
      <c r="G495" t="s">
        <v>6</v>
      </c>
      <c r="H495" t="s">
        <v>5</v>
      </c>
      <c r="I495" t="s">
        <v>4940</v>
      </c>
      <c r="J495">
        <v>60011774</v>
      </c>
      <c r="K495" t="s">
        <v>642</v>
      </c>
      <c r="L495" t="s">
        <v>641</v>
      </c>
      <c r="M495" t="s">
        <v>197</v>
      </c>
      <c r="N495">
        <v>2</v>
      </c>
      <c r="O495" t="s">
        <v>4939</v>
      </c>
      <c r="P495" t="s">
        <v>4938</v>
      </c>
      <c r="Q495" t="s">
        <v>4797</v>
      </c>
      <c r="R495" s="7">
        <v>37135</v>
      </c>
      <c r="S495" s="8">
        <f t="shared" si="56"/>
        <v>2001</v>
      </c>
      <c r="T495" s="8">
        <v>2001</v>
      </c>
      <c r="U495" s="8">
        <f t="shared" si="57"/>
        <v>21</v>
      </c>
      <c r="V495" s="7">
        <v>37135</v>
      </c>
      <c r="W495" t="s">
        <v>4937</v>
      </c>
      <c r="X495" s="2">
        <v>0.32500000000000001</v>
      </c>
      <c r="Y495" s="6">
        <f t="shared" si="62"/>
        <v>8.6756893836256385E-3</v>
      </c>
      <c r="AA495">
        <v>10637710</v>
      </c>
      <c r="AB495">
        <v>12922</v>
      </c>
      <c r="AD495" t="s">
        <v>1</v>
      </c>
      <c r="AE495">
        <v>47</v>
      </c>
      <c r="AF495">
        <v>5</v>
      </c>
      <c r="AH495" t="s">
        <v>4936</v>
      </c>
      <c r="AI495" t="s">
        <v>4935</v>
      </c>
      <c r="AK495" t="s">
        <v>4934</v>
      </c>
      <c r="AL495">
        <v>0</v>
      </c>
      <c r="AM495" s="5">
        <f t="shared" si="58"/>
        <v>0</v>
      </c>
      <c r="AN495" s="4">
        <f t="shared" si="63"/>
        <v>0</v>
      </c>
      <c r="AO495" s="3"/>
      <c r="AP495">
        <v>0</v>
      </c>
      <c r="AQ495" t="s">
        <v>219</v>
      </c>
      <c r="AR495" t="s">
        <v>4933</v>
      </c>
      <c r="AS495" t="s">
        <v>218</v>
      </c>
      <c r="AT495" s="2">
        <v>0.85599999999999998</v>
      </c>
      <c r="AU495" s="1">
        <f t="shared" si="59"/>
        <v>0.60729825685379468</v>
      </c>
      <c r="AV495" s="1">
        <f t="shared" si="60"/>
        <v>0.43378446918128194</v>
      </c>
      <c r="AW495" s="1">
        <f t="shared" si="61"/>
        <v>0.26027068150876914</v>
      </c>
    </row>
    <row r="496" spans="1:49" x14ac:dyDescent="0.2">
      <c r="A496">
        <v>494</v>
      </c>
      <c r="B496" t="s">
        <v>4932</v>
      </c>
      <c r="C496" t="s">
        <v>4931</v>
      </c>
      <c r="E496">
        <v>11594059</v>
      </c>
      <c r="F496" t="s">
        <v>4930</v>
      </c>
      <c r="G496" t="s">
        <v>6</v>
      </c>
      <c r="H496" t="s">
        <v>5</v>
      </c>
      <c r="I496" t="s">
        <v>4929</v>
      </c>
      <c r="J496" t="s">
        <v>4928</v>
      </c>
      <c r="K496" t="s">
        <v>4927</v>
      </c>
      <c r="L496" t="s">
        <v>4926</v>
      </c>
      <c r="M496" t="s">
        <v>45</v>
      </c>
      <c r="N496">
        <v>7</v>
      </c>
      <c r="O496" t="s">
        <v>4925</v>
      </c>
      <c r="P496" t="s">
        <v>4924</v>
      </c>
      <c r="Q496" t="s">
        <v>4923</v>
      </c>
      <c r="R496" s="7">
        <v>37135</v>
      </c>
      <c r="S496" s="8">
        <f t="shared" si="56"/>
        <v>2001</v>
      </c>
      <c r="T496" s="8">
        <v>2001</v>
      </c>
      <c r="U496" s="8">
        <f t="shared" si="57"/>
        <v>21</v>
      </c>
      <c r="V496" s="7">
        <v>37135</v>
      </c>
      <c r="W496" t="s">
        <v>773</v>
      </c>
      <c r="X496" s="2">
        <v>0.81799999999999995</v>
      </c>
      <c r="Y496" s="6">
        <f t="shared" si="62"/>
        <v>2.1836042817863912E-2</v>
      </c>
      <c r="AA496">
        <v>318655</v>
      </c>
      <c r="AB496">
        <v>27010</v>
      </c>
      <c r="AD496" t="s">
        <v>1</v>
      </c>
      <c r="AE496">
        <v>74</v>
      </c>
      <c r="AF496">
        <v>3</v>
      </c>
      <c r="AH496" t="s">
        <v>4922</v>
      </c>
      <c r="AI496" t="s">
        <v>4921</v>
      </c>
      <c r="AK496" t="s">
        <v>4920</v>
      </c>
      <c r="AL496">
        <v>23</v>
      </c>
      <c r="AM496" s="5">
        <f t="shared" si="58"/>
        <v>1.0952380952380953</v>
      </c>
      <c r="AN496" s="4">
        <f t="shared" si="63"/>
        <v>1.658823317286021E-3</v>
      </c>
      <c r="AO496" s="3"/>
      <c r="AP496">
        <v>0</v>
      </c>
      <c r="AR496" t="s">
        <v>0</v>
      </c>
      <c r="AT496" s="2">
        <v>3.4209999999999998</v>
      </c>
      <c r="AU496" s="1">
        <f t="shared" si="59"/>
        <v>1.5782876967690544</v>
      </c>
      <c r="AV496" s="1">
        <f t="shared" si="60"/>
        <v>1.1747433067574966</v>
      </c>
      <c r="AW496" s="1">
        <f t="shared" si="61"/>
        <v>0.77119891674593877</v>
      </c>
    </row>
    <row r="497" spans="1:49" x14ac:dyDescent="0.2">
      <c r="A497">
        <v>495</v>
      </c>
      <c r="B497" t="s">
        <v>4919</v>
      </c>
      <c r="C497" t="s">
        <v>4918</v>
      </c>
      <c r="E497">
        <v>12386455</v>
      </c>
      <c r="F497" t="s">
        <v>4917</v>
      </c>
      <c r="G497" t="s">
        <v>6</v>
      </c>
      <c r="H497" t="s">
        <v>5</v>
      </c>
      <c r="I497" t="s">
        <v>4916</v>
      </c>
      <c r="J497" t="s">
        <v>4915</v>
      </c>
      <c r="K497" t="s">
        <v>4914</v>
      </c>
      <c r="L497" t="s">
        <v>4913</v>
      </c>
      <c r="M497" t="s">
        <v>814</v>
      </c>
      <c r="N497">
        <v>6</v>
      </c>
      <c r="O497" t="s">
        <v>4912</v>
      </c>
      <c r="P497" t="s">
        <v>4911</v>
      </c>
      <c r="Q497" t="s">
        <v>4910</v>
      </c>
      <c r="R497" s="7">
        <v>37135</v>
      </c>
      <c r="S497" s="8">
        <f t="shared" si="56"/>
        <v>2001</v>
      </c>
      <c r="T497" s="8">
        <v>2001</v>
      </c>
      <c r="U497" s="8">
        <f t="shared" si="57"/>
        <v>21</v>
      </c>
      <c r="V497" s="7">
        <v>37135</v>
      </c>
      <c r="W497" t="s">
        <v>4909</v>
      </c>
      <c r="X497" s="2">
        <v>0.73699999999999999</v>
      </c>
      <c r="Y497" s="6">
        <f t="shared" si="62"/>
        <v>1.9673794079175678E-2</v>
      </c>
      <c r="AA497">
        <v>2820080</v>
      </c>
      <c r="AB497">
        <v>17513</v>
      </c>
      <c r="AD497" t="s">
        <v>1</v>
      </c>
      <c r="AE497">
        <v>18</v>
      </c>
      <c r="AF497">
        <v>9</v>
      </c>
      <c r="AH497" t="s">
        <v>4908</v>
      </c>
      <c r="AI497" t="s">
        <v>4907</v>
      </c>
      <c r="AJ497" t="s">
        <v>4906</v>
      </c>
      <c r="AK497" t="s">
        <v>4905</v>
      </c>
      <c r="AL497">
        <v>16</v>
      </c>
      <c r="AM497" s="5">
        <f t="shared" si="58"/>
        <v>0.76190476190476186</v>
      </c>
      <c r="AN497" s="4">
        <f t="shared" si="63"/>
        <v>1.1539640468076666E-3</v>
      </c>
      <c r="AO497" s="3"/>
      <c r="AP497">
        <v>0</v>
      </c>
      <c r="AQ497" t="s">
        <v>4904</v>
      </c>
      <c r="AR497" t="s">
        <v>0</v>
      </c>
      <c r="AS497" t="s">
        <v>4903</v>
      </c>
      <c r="AT497" s="2">
        <v>2.9159999999999999</v>
      </c>
      <c r="AU497" s="1">
        <f t="shared" si="59"/>
        <v>1.4117845069465274</v>
      </c>
      <c r="AV497" s="1">
        <f t="shared" si="60"/>
        <v>1.0413879062991671</v>
      </c>
      <c r="AW497" s="1">
        <f t="shared" si="61"/>
        <v>0.67099130565180698</v>
      </c>
    </row>
    <row r="498" spans="1:49" x14ac:dyDescent="0.2">
      <c r="A498">
        <v>496</v>
      </c>
      <c r="B498" t="s">
        <v>4902</v>
      </c>
      <c r="C498" t="s">
        <v>4901</v>
      </c>
      <c r="D498" t="s">
        <v>4900</v>
      </c>
      <c r="F498" t="s">
        <v>4899</v>
      </c>
      <c r="G498" t="s">
        <v>6</v>
      </c>
      <c r="H498" t="s">
        <v>5</v>
      </c>
      <c r="I498" t="s">
        <v>4898</v>
      </c>
      <c r="J498" t="s">
        <v>4897</v>
      </c>
      <c r="K498" t="s">
        <v>4896</v>
      </c>
      <c r="L498" t="s">
        <v>4895</v>
      </c>
      <c r="M498" t="s">
        <v>246</v>
      </c>
      <c r="N498">
        <v>1</v>
      </c>
      <c r="O498" t="s">
        <v>4894</v>
      </c>
      <c r="P498">
        <v>35618021600</v>
      </c>
      <c r="Q498" t="s">
        <v>4893</v>
      </c>
      <c r="R498" s="7">
        <v>37135</v>
      </c>
      <c r="S498" s="8">
        <f t="shared" si="56"/>
        <v>2001</v>
      </c>
      <c r="T498" s="8">
        <v>2001</v>
      </c>
      <c r="U498" s="8">
        <f t="shared" si="57"/>
        <v>21</v>
      </c>
      <c r="V498" s="7">
        <v>37135</v>
      </c>
      <c r="W498" t="s">
        <v>535</v>
      </c>
      <c r="X498" s="2">
        <v>0.78200000000000003</v>
      </c>
      <c r="Y498" s="6">
        <f t="shared" si="62"/>
        <v>2.0875043378446919E-2</v>
      </c>
      <c r="AA498">
        <v>189316</v>
      </c>
      <c r="AB498">
        <v>19901</v>
      </c>
      <c r="AD498" t="s">
        <v>1</v>
      </c>
      <c r="AE498">
        <v>47</v>
      </c>
      <c r="AF498">
        <v>3</v>
      </c>
      <c r="AH498" t="s">
        <v>4892</v>
      </c>
      <c r="AI498" t="s">
        <v>4891</v>
      </c>
      <c r="AJ498" t="s">
        <v>4890</v>
      </c>
      <c r="AK498" t="s">
        <v>4889</v>
      </c>
      <c r="AL498">
        <v>15</v>
      </c>
      <c r="AM498" s="5">
        <f t="shared" si="58"/>
        <v>0.7142857142857143</v>
      </c>
      <c r="AN498" s="4">
        <f t="shared" si="63"/>
        <v>1.0818412938821875E-3</v>
      </c>
      <c r="AO498" s="3"/>
      <c r="AP498">
        <v>0</v>
      </c>
      <c r="AR498" t="s">
        <v>0</v>
      </c>
      <c r="AT498" s="2">
        <v>3.863</v>
      </c>
      <c r="AU498" s="1">
        <f t="shared" si="59"/>
        <v>1.4937082753077497</v>
      </c>
      <c r="AV498" s="1">
        <f t="shared" si="60"/>
        <v>1.0978442336164553</v>
      </c>
      <c r="AW498" s="1">
        <f t="shared" si="61"/>
        <v>0.7019801919251607</v>
      </c>
    </row>
    <row r="499" spans="1:49" x14ac:dyDescent="0.2">
      <c r="A499">
        <v>497</v>
      </c>
      <c r="B499" t="s">
        <v>4888</v>
      </c>
      <c r="C499" t="s">
        <v>4887</v>
      </c>
      <c r="D499" t="s">
        <v>4886</v>
      </c>
      <c r="F499" t="s">
        <v>4885</v>
      </c>
      <c r="G499" t="s">
        <v>6</v>
      </c>
      <c r="H499" t="s">
        <v>5</v>
      </c>
      <c r="I499" t="s">
        <v>4884</v>
      </c>
      <c r="J499">
        <v>60074719</v>
      </c>
      <c r="K499" t="s">
        <v>4883</v>
      </c>
      <c r="L499" t="s">
        <v>4882</v>
      </c>
      <c r="M499" t="s">
        <v>3</v>
      </c>
      <c r="N499">
        <v>2</v>
      </c>
      <c r="O499" t="s">
        <v>4881</v>
      </c>
      <c r="P499" t="s">
        <v>4880</v>
      </c>
      <c r="Q499" t="s">
        <v>4879</v>
      </c>
      <c r="R499" s="7">
        <v>37135</v>
      </c>
      <c r="S499" s="8">
        <f t="shared" si="56"/>
        <v>2001</v>
      </c>
      <c r="T499" s="8">
        <v>2001</v>
      </c>
      <c r="U499" s="8">
        <f t="shared" si="57"/>
        <v>21</v>
      </c>
      <c r="V499" s="7">
        <v>37135</v>
      </c>
      <c r="W499" t="s">
        <v>535</v>
      </c>
      <c r="X499" s="2">
        <v>0.78200000000000003</v>
      </c>
      <c r="Y499" s="6">
        <f t="shared" si="62"/>
        <v>2.0875043378446919E-2</v>
      </c>
      <c r="AA499">
        <v>189316</v>
      </c>
      <c r="AB499">
        <v>19901</v>
      </c>
      <c r="AD499" t="s">
        <v>1</v>
      </c>
      <c r="AE499">
        <v>47</v>
      </c>
      <c r="AF499">
        <v>3</v>
      </c>
      <c r="AH499" t="s">
        <v>4878</v>
      </c>
      <c r="AI499" t="s">
        <v>4877</v>
      </c>
      <c r="AJ499" t="s">
        <v>4876</v>
      </c>
      <c r="AK499" t="s">
        <v>4875</v>
      </c>
      <c r="AL499">
        <v>1</v>
      </c>
      <c r="AM499" s="5">
        <f t="shared" si="58"/>
        <v>4.7619047619047616E-2</v>
      </c>
      <c r="AN499" s="4">
        <f t="shared" si="63"/>
        <v>7.2122752925479164E-5</v>
      </c>
      <c r="AO499" s="3"/>
      <c r="AP499">
        <v>0</v>
      </c>
      <c r="AR499" t="s">
        <v>0</v>
      </c>
      <c r="AT499" s="2">
        <v>3.863</v>
      </c>
      <c r="AU499" s="1">
        <f t="shared" si="59"/>
        <v>1.4634167190790486</v>
      </c>
      <c r="AV499" s="1">
        <f t="shared" si="60"/>
        <v>1.0473583065686198</v>
      </c>
      <c r="AW499" s="1">
        <f t="shared" si="61"/>
        <v>0.63129989405819109</v>
      </c>
    </row>
    <row r="500" spans="1:49" x14ac:dyDescent="0.2">
      <c r="A500">
        <v>498</v>
      </c>
      <c r="B500" t="s">
        <v>4874</v>
      </c>
      <c r="C500" t="s">
        <v>4873</v>
      </c>
      <c r="D500" t="s">
        <v>4872</v>
      </c>
      <c r="F500" t="s">
        <v>4871</v>
      </c>
      <c r="G500" t="s">
        <v>6</v>
      </c>
      <c r="H500" t="s">
        <v>5</v>
      </c>
      <c r="I500" t="s">
        <v>4870</v>
      </c>
      <c r="J500">
        <v>101436720</v>
      </c>
      <c r="K500" t="s">
        <v>4869</v>
      </c>
      <c r="L500" t="s">
        <v>4868</v>
      </c>
      <c r="M500" t="s">
        <v>46</v>
      </c>
      <c r="N500">
        <v>1</v>
      </c>
      <c r="O500" t="s">
        <v>4867</v>
      </c>
      <c r="P500">
        <v>6507476658</v>
      </c>
      <c r="Q500">
        <v>101436720</v>
      </c>
      <c r="R500" s="7">
        <v>37135</v>
      </c>
      <c r="S500" s="8">
        <f t="shared" si="56"/>
        <v>2001</v>
      </c>
      <c r="T500" s="8">
        <v>2001</v>
      </c>
      <c r="U500" s="8">
        <f t="shared" si="57"/>
        <v>21</v>
      </c>
      <c r="V500" s="7">
        <v>37135</v>
      </c>
      <c r="W500" t="s">
        <v>535</v>
      </c>
      <c r="X500" s="2">
        <v>0.78200000000000003</v>
      </c>
      <c r="Y500" s="6">
        <f t="shared" si="62"/>
        <v>2.0875043378446919E-2</v>
      </c>
      <c r="AA500">
        <v>189316</v>
      </c>
      <c r="AB500">
        <v>19901</v>
      </c>
      <c r="AD500" t="s">
        <v>1</v>
      </c>
      <c r="AE500">
        <v>47</v>
      </c>
      <c r="AF500">
        <v>3</v>
      </c>
      <c r="AH500" t="s">
        <v>4866</v>
      </c>
      <c r="AI500" t="s">
        <v>4865</v>
      </c>
      <c r="AJ500" t="s">
        <v>4864</v>
      </c>
      <c r="AK500" t="s">
        <v>4863</v>
      </c>
      <c r="AL500">
        <v>2</v>
      </c>
      <c r="AM500" s="5">
        <f t="shared" si="58"/>
        <v>9.5238095238095233E-2</v>
      </c>
      <c r="AN500" s="4">
        <f t="shared" si="63"/>
        <v>1.4424550585095833E-4</v>
      </c>
      <c r="AO500" s="3"/>
      <c r="AP500">
        <v>0</v>
      </c>
      <c r="AR500" t="s">
        <v>0</v>
      </c>
      <c r="AT500" s="2">
        <v>3.863</v>
      </c>
      <c r="AU500" s="1">
        <f t="shared" si="59"/>
        <v>1.4655804016668128</v>
      </c>
      <c r="AV500" s="1">
        <f t="shared" si="60"/>
        <v>1.050964444214894</v>
      </c>
      <c r="AW500" s="1">
        <f t="shared" si="61"/>
        <v>0.63634848676297462</v>
      </c>
    </row>
    <row r="501" spans="1:49" x14ac:dyDescent="0.2">
      <c r="A501">
        <v>499</v>
      </c>
      <c r="B501" t="s">
        <v>4862</v>
      </c>
      <c r="C501" t="s">
        <v>4861</v>
      </c>
      <c r="D501" t="s">
        <v>4860</v>
      </c>
      <c r="F501" t="s">
        <v>4859</v>
      </c>
      <c r="G501" t="s">
        <v>6</v>
      </c>
      <c r="H501" t="s">
        <v>5</v>
      </c>
      <c r="I501" t="s">
        <v>4858</v>
      </c>
      <c r="J501">
        <v>60032784</v>
      </c>
      <c r="K501" t="s">
        <v>4857</v>
      </c>
      <c r="L501" t="s">
        <v>4856</v>
      </c>
      <c r="M501" t="s">
        <v>3</v>
      </c>
      <c r="N501">
        <v>1</v>
      </c>
      <c r="O501" t="s">
        <v>4855</v>
      </c>
      <c r="P501">
        <v>7003514705</v>
      </c>
      <c r="Q501">
        <v>60032784</v>
      </c>
      <c r="R501" s="7">
        <v>37135</v>
      </c>
      <c r="S501" s="8">
        <f t="shared" si="56"/>
        <v>2001</v>
      </c>
      <c r="T501" s="8">
        <v>2001</v>
      </c>
      <c r="U501" s="8">
        <f t="shared" si="57"/>
        <v>21</v>
      </c>
      <c r="V501" s="7">
        <v>37135</v>
      </c>
      <c r="W501" t="s">
        <v>535</v>
      </c>
      <c r="X501" s="2">
        <v>0.78200000000000003</v>
      </c>
      <c r="Y501" s="6">
        <f t="shared" si="62"/>
        <v>2.0875043378446919E-2</v>
      </c>
      <c r="AA501">
        <v>189316</v>
      </c>
      <c r="AB501">
        <v>19901</v>
      </c>
      <c r="AD501" t="s">
        <v>1</v>
      </c>
      <c r="AE501">
        <v>47</v>
      </c>
      <c r="AF501">
        <v>3</v>
      </c>
      <c r="AH501" t="s">
        <v>4854</v>
      </c>
      <c r="AI501" t="s">
        <v>4853</v>
      </c>
      <c r="AJ501" t="s">
        <v>4852</v>
      </c>
      <c r="AK501" t="s">
        <v>4851</v>
      </c>
      <c r="AL501">
        <v>1</v>
      </c>
      <c r="AM501" s="5">
        <f t="shared" si="58"/>
        <v>4.7619047619047616E-2</v>
      </c>
      <c r="AN501" s="4">
        <f t="shared" si="63"/>
        <v>7.2122752925479164E-5</v>
      </c>
      <c r="AO501" s="3"/>
      <c r="AP501">
        <v>0</v>
      </c>
      <c r="AR501" t="s">
        <v>0</v>
      </c>
      <c r="AT501" s="2">
        <v>3.863</v>
      </c>
      <c r="AU501" s="1">
        <f t="shared" si="59"/>
        <v>1.4634167190790486</v>
      </c>
      <c r="AV501" s="1">
        <f t="shared" si="60"/>
        <v>1.0473583065686198</v>
      </c>
      <c r="AW501" s="1">
        <f t="shared" si="61"/>
        <v>0.63129989405819109</v>
      </c>
    </row>
    <row r="502" spans="1:49" x14ac:dyDescent="0.2">
      <c r="A502">
        <v>500</v>
      </c>
      <c r="B502" t="s">
        <v>4850</v>
      </c>
      <c r="C502" t="s">
        <v>4849</v>
      </c>
      <c r="F502" t="s">
        <v>4848</v>
      </c>
      <c r="G502" t="s">
        <v>6</v>
      </c>
      <c r="H502" t="s">
        <v>5</v>
      </c>
      <c r="I502" t="s">
        <v>4847</v>
      </c>
      <c r="J502" t="s">
        <v>4846</v>
      </c>
      <c r="K502" t="s">
        <v>4845</v>
      </c>
      <c r="L502" t="s">
        <v>4844</v>
      </c>
      <c r="M502" t="s">
        <v>4843</v>
      </c>
      <c r="N502">
        <v>30</v>
      </c>
      <c r="O502" t="s">
        <v>4842</v>
      </c>
      <c r="P502" t="s">
        <v>4841</v>
      </c>
      <c r="Q502" t="s">
        <v>4840</v>
      </c>
      <c r="R502" s="7">
        <v>37135</v>
      </c>
      <c r="S502" s="8">
        <f t="shared" si="56"/>
        <v>2001</v>
      </c>
      <c r="T502" s="8">
        <v>2001</v>
      </c>
      <c r="U502" s="8">
        <f t="shared" si="57"/>
        <v>21</v>
      </c>
      <c r="V502" s="7">
        <v>37135</v>
      </c>
      <c r="W502" t="s">
        <v>2</v>
      </c>
      <c r="X502" s="2">
        <v>0.60499999999999998</v>
      </c>
      <c r="Y502" s="6">
        <f t="shared" si="62"/>
        <v>1.6150129467980032E-2</v>
      </c>
      <c r="AA502">
        <v>346748</v>
      </c>
      <c r="AB502">
        <v>15563</v>
      </c>
      <c r="AD502" t="s">
        <v>1</v>
      </c>
      <c r="AE502">
        <v>72</v>
      </c>
      <c r="AF502">
        <v>9</v>
      </c>
      <c r="AH502" t="s">
        <v>4839</v>
      </c>
      <c r="AI502" t="s">
        <v>4838</v>
      </c>
      <c r="AK502" t="s">
        <v>4837</v>
      </c>
      <c r="AL502">
        <v>15</v>
      </c>
      <c r="AM502" s="5">
        <f t="shared" si="58"/>
        <v>0.7142857142857143</v>
      </c>
      <c r="AN502" s="4">
        <f t="shared" si="63"/>
        <v>1.0818412938821875E-3</v>
      </c>
      <c r="AO502" s="3"/>
      <c r="AP502">
        <v>0</v>
      </c>
      <c r="AR502" t="s">
        <v>0</v>
      </c>
      <c r="AT502" s="2">
        <v>1.5229999999999999</v>
      </c>
      <c r="AU502" s="1">
        <f t="shared" si="59"/>
        <v>1.1629643015750677</v>
      </c>
      <c r="AV502" s="1">
        <f t="shared" si="60"/>
        <v>0.86159853809311093</v>
      </c>
      <c r="AW502" s="1">
        <f t="shared" si="61"/>
        <v>0.56023277461115417</v>
      </c>
    </row>
    <row r="503" spans="1:49" x14ac:dyDescent="0.2">
      <c r="A503">
        <v>501</v>
      </c>
      <c r="B503" t="s">
        <v>4836</v>
      </c>
      <c r="C503" t="s">
        <v>4835</v>
      </c>
      <c r="D503" t="s">
        <v>4834</v>
      </c>
      <c r="F503" t="s">
        <v>4833</v>
      </c>
      <c r="G503" t="s">
        <v>6</v>
      </c>
      <c r="H503" t="s">
        <v>5</v>
      </c>
      <c r="I503" t="s">
        <v>4832</v>
      </c>
      <c r="J503" t="s">
        <v>4831</v>
      </c>
      <c r="K503" t="s">
        <v>4830</v>
      </c>
      <c r="L503" t="s">
        <v>4829</v>
      </c>
      <c r="M503" t="s">
        <v>44</v>
      </c>
      <c r="N503">
        <v>1</v>
      </c>
      <c r="O503" t="s">
        <v>4828</v>
      </c>
      <c r="P503">
        <v>7202869024</v>
      </c>
      <c r="Q503" t="s">
        <v>4827</v>
      </c>
      <c r="R503" s="7">
        <v>37135</v>
      </c>
      <c r="S503" s="8">
        <f t="shared" si="56"/>
        <v>2001</v>
      </c>
      <c r="T503" s="8">
        <v>2001</v>
      </c>
      <c r="U503" s="8">
        <f t="shared" si="57"/>
        <v>21</v>
      </c>
      <c r="V503" s="7">
        <v>37135</v>
      </c>
      <c r="W503" t="s">
        <v>535</v>
      </c>
      <c r="X503" s="2">
        <v>0.78200000000000003</v>
      </c>
      <c r="Y503" s="6">
        <f t="shared" si="62"/>
        <v>2.0875043378446919E-2</v>
      </c>
      <c r="AA503">
        <v>189316</v>
      </c>
      <c r="AB503">
        <v>19901</v>
      </c>
      <c r="AD503" t="s">
        <v>1</v>
      </c>
      <c r="AE503">
        <v>47</v>
      </c>
      <c r="AF503">
        <v>3</v>
      </c>
      <c r="AH503" t="s">
        <v>4826</v>
      </c>
      <c r="AI503" t="s">
        <v>4825</v>
      </c>
      <c r="AK503" t="s">
        <v>4824</v>
      </c>
      <c r="AL503">
        <v>11</v>
      </c>
      <c r="AM503" s="5">
        <f t="shared" si="58"/>
        <v>0.52380952380952384</v>
      </c>
      <c r="AN503" s="4">
        <f t="shared" si="63"/>
        <v>7.9335028218027086E-4</v>
      </c>
      <c r="AO503" s="3"/>
      <c r="AP503">
        <v>0</v>
      </c>
      <c r="AR503" t="s">
        <v>0</v>
      </c>
      <c r="AT503" s="2">
        <v>3.863</v>
      </c>
      <c r="AU503" s="1">
        <f t="shared" si="59"/>
        <v>1.4850535449566924</v>
      </c>
      <c r="AV503" s="1">
        <f t="shared" si="60"/>
        <v>1.0834196830313594</v>
      </c>
      <c r="AW503" s="1">
        <f t="shared" si="61"/>
        <v>0.68178582110602648</v>
      </c>
    </row>
    <row r="504" spans="1:49" x14ac:dyDescent="0.2">
      <c r="A504">
        <v>502</v>
      </c>
      <c r="B504" t="s">
        <v>4823</v>
      </c>
      <c r="C504" t="s">
        <v>4822</v>
      </c>
      <c r="E504">
        <v>11594057</v>
      </c>
      <c r="F504" t="s">
        <v>4821</v>
      </c>
      <c r="G504" t="s">
        <v>6</v>
      </c>
      <c r="H504" t="s">
        <v>5</v>
      </c>
      <c r="I504" t="s">
        <v>4820</v>
      </c>
      <c r="J504" t="s">
        <v>4819</v>
      </c>
      <c r="K504" t="s">
        <v>4818</v>
      </c>
      <c r="L504" t="s">
        <v>4817</v>
      </c>
      <c r="M504" t="s">
        <v>4816</v>
      </c>
      <c r="N504">
        <v>4</v>
      </c>
      <c r="O504" t="s">
        <v>4815</v>
      </c>
      <c r="P504" t="s">
        <v>4814</v>
      </c>
      <c r="Q504" t="s">
        <v>4813</v>
      </c>
      <c r="R504" s="7">
        <v>37135</v>
      </c>
      <c r="S504" s="8">
        <f t="shared" si="56"/>
        <v>2001</v>
      </c>
      <c r="T504" s="8">
        <v>2001</v>
      </c>
      <c r="U504" s="8">
        <f t="shared" si="57"/>
        <v>21</v>
      </c>
      <c r="V504" s="7">
        <v>37135</v>
      </c>
      <c r="W504" t="s">
        <v>773</v>
      </c>
      <c r="X504" s="2">
        <v>0.81799999999999995</v>
      </c>
      <c r="Y504" s="6">
        <f t="shared" si="62"/>
        <v>2.1836042817863912E-2</v>
      </c>
      <c r="AA504">
        <v>318655</v>
      </c>
      <c r="AB504">
        <v>27010</v>
      </c>
      <c r="AD504" t="s">
        <v>1</v>
      </c>
      <c r="AE504">
        <v>74</v>
      </c>
      <c r="AF504">
        <v>3</v>
      </c>
      <c r="AH504" t="s">
        <v>4812</v>
      </c>
      <c r="AI504" t="s">
        <v>4811</v>
      </c>
      <c r="AK504" t="s">
        <v>4810</v>
      </c>
      <c r="AL504">
        <v>75</v>
      </c>
      <c r="AM504" s="5">
        <f t="shared" si="58"/>
        <v>3.5714285714285716</v>
      </c>
      <c r="AN504" s="4">
        <f t="shared" si="63"/>
        <v>5.4092064694109378E-3</v>
      </c>
      <c r="AO504" s="3"/>
      <c r="AP504">
        <v>0</v>
      </c>
      <c r="AR504" t="s">
        <v>0</v>
      </c>
      <c r="AT504" s="2">
        <v>3.4209999999999998</v>
      </c>
      <c r="AU504" s="1">
        <f t="shared" si="59"/>
        <v>1.6907991913328018</v>
      </c>
      <c r="AV504" s="1">
        <f t="shared" si="60"/>
        <v>1.3622624643637424</v>
      </c>
      <c r="AW504" s="1">
        <f t="shared" si="61"/>
        <v>1.0337257373946831</v>
      </c>
    </row>
    <row r="505" spans="1:49" x14ac:dyDescent="0.2">
      <c r="A505">
        <v>503</v>
      </c>
      <c r="B505" t="s">
        <v>4809</v>
      </c>
      <c r="C505" t="s">
        <v>4808</v>
      </c>
      <c r="F505" t="s">
        <v>4807</v>
      </c>
      <c r="G505" t="s">
        <v>6</v>
      </c>
      <c r="H505" t="s">
        <v>5</v>
      </c>
      <c r="I505" t="s">
        <v>731</v>
      </c>
      <c r="J505">
        <v>60017161</v>
      </c>
      <c r="K505" t="s">
        <v>132</v>
      </c>
      <c r="L505" t="s">
        <v>131</v>
      </c>
      <c r="M505" t="s">
        <v>130</v>
      </c>
      <c r="N505">
        <v>1</v>
      </c>
      <c r="O505" t="s">
        <v>4806</v>
      </c>
      <c r="P505">
        <v>7409485017</v>
      </c>
      <c r="Q505">
        <v>60017161</v>
      </c>
      <c r="R505" s="7">
        <v>37135</v>
      </c>
      <c r="S505" s="8">
        <f t="shared" si="56"/>
        <v>2001</v>
      </c>
      <c r="T505" s="8">
        <v>2001</v>
      </c>
      <c r="U505" s="8">
        <f t="shared" si="57"/>
        <v>21</v>
      </c>
      <c r="V505" s="7">
        <v>37135</v>
      </c>
      <c r="W505" t="s">
        <v>251</v>
      </c>
      <c r="X505" s="2">
        <v>0.371</v>
      </c>
      <c r="Y505" s="6">
        <f t="shared" si="62"/>
        <v>9.9036331117695747E-3</v>
      </c>
      <c r="AA505">
        <v>486604</v>
      </c>
      <c r="AB505">
        <v>28580</v>
      </c>
      <c r="AD505" t="s">
        <v>1</v>
      </c>
      <c r="AE505">
        <v>36</v>
      </c>
      <c r="AF505">
        <v>5</v>
      </c>
      <c r="AH505" t="s">
        <v>4805</v>
      </c>
      <c r="AI505" t="s">
        <v>4804</v>
      </c>
      <c r="AK505" t="s">
        <v>4803</v>
      </c>
      <c r="AL505">
        <v>11</v>
      </c>
      <c r="AM505" s="5">
        <f t="shared" si="58"/>
        <v>0.52380952380952384</v>
      </c>
      <c r="AN505" s="4">
        <f t="shared" si="63"/>
        <v>7.9335028218027086E-4</v>
      </c>
      <c r="AO505" s="3"/>
      <c r="AP505">
        <v>0</v>
      </c>
      <c r="AR505" t="s">
        <v>0</v>
      </c>
      <c r="AT505" s="2">
        <v>1.431</v>
      </c>
      <c r="AU505" s="1">
        <f t="shared" si="59"/>
        <v>0.7170548262892783</v>
      </c>
      <c r="AV505" s="1">
        <f t="shared" si="60"/>
        <v>0.5348491696974923</v>
      </c>
      <c r="AW505" s="1">
        <f t="shared" si="61"/>
        <v>0.35264351310570619</v>
      </c>
    </row>
    <row r="506" spans="1:49" x14ac:dyDescent="0.2">
      <c r="A506">
        <v>504</v>
      </c>
      <c r="B506" t="s">
        <v>4802</v>
      </c>
      <c r="C506" t="s">
        <v>4801</v>
      </c>
      <c r="F506" t="s">
        <v>4800</v>
      </c>
      <c r="G506" t="s">
        <v>6</v>
      </c>
      <c r="H506" t="s">
        <v>5</v>
      </c>
      <c r="I506" t="s">
        <v>643</v>
      </c>
      <c r="J506">
        <v>60011774</v>
      </c>
      <c r="K506" t="s">
        <v>642</v>
      </c>
      <c r="L506" t="s">
        <v>641</v>
      </c>
      <c r="M506" t="s">
        <v>197</v>
      </c>
      <c r="N506">
        <v>2</v>
      </c>
      <c r="O506" t="s">
        <v>4799</v>
      </c>
      <c r="P506" t="s">
        <v>4798</v>
      </c>
      <c r="Q506" t="s">
        <v>4797</v>
      </c>
      <c r="R506" s="7">
        <v>37135</v>
      </c>
      <c r="S506" s="8">
        <f t="shared" si="56"/>
        <v>2001</v>
      </c>
      <c r="T506" s="8">
        <v>2001</v>
      </c>
      <c r="U506" s="8">
        <f t="shared" si="57"/>
        <v>21</v>
      </c>
      <c r="V506" s="7">
        <v>37135</v>
      </c>
      <c r="W506" t="s">
        <v>251</v>
      </c>
      <c r="X506" s="2">
        <v>0.371</v>
      </c>
      <c r="Y506" s="6">
        <f t="shared" si="62"/>
        <v>9.9036331117695747E-3</v>
      </c>
      <c r="AA506">
        <v>486604</v>
      </c>
      <c r="AB506">
        <v>28580</v>
      </c>
      <c r="AD506" t="s">
        <v>1</v>
      </c>
      <c r="AE506">
        <v>36</v>
      </c>
      <c r="AF506">
        <v>5</v>
      </c>
      <c r="AH506" t="s">
        <v>4796</v>
      </c>
      <c r="AI506" t="s">
        <v>4795</v>
      </c>
      <c r="AK506" t="s">
        <v>4794</v>
      </c>
      <c r="AL506">
        <v>4</v>
      </c>
      <c r="AM506" s="5">
        <f t="shared" si="58"/>
        <v>0.19047619047619047</v>
      </c>
      <c r="AN506" s="4">
        <f t="shared" si="63"/>
        <v>2.8849101170191666E-4</v>
      </c>
      <c r="AO506" s="3"/>
      <c r="AP506">
        <v>1</v>
      </c>
      <c r="AR506" t="s">
        <v>0</v>
      </c>
      <c r="AT506" s="2">
        <v>1.431</v>
      </c>
      <c r="AU506" s="1">
        <f t="shared" si="59"/>
        <v>0.70190904817492772</v>
      </c>
      <c r="AV506" s="1">
        <f t="shared" si="60"/>
        <v>0.50960620617357455</v>
      </c>
      <c r="AW506" s="1">
        <f t="shared" si="61"/>
        <v>0.31730336417222138</v>
      </c>
    </row>
    <row r="507" spans="1:49" x14ac:dyDescent="0.2">
      <c r="A507">
        <v>505</v>
      </c>
      <c r="B507" t="s">
        <v>4793</v>
      </c>
      <c r="C507" t="s">
        <v>4792</v>
      </c>
      <c r="D507" t="s">
        <v>4791</v>
      </c>
      <c r="F507" t="s">
        <v>4790</v>
      </c>
      <c r="G507" t="s">
        <v>6</v>
      </c>
      <c r="H507" t="s">
        <v>5</v>
      </c>
      <c r="I507" t="s">
        <v>4789</v>
      </c>
      <c r="J507">
        <v>60007816</v>
      </c>
      <c r="K507" t="s">
        <v>4788</v>
      </c>
      <c r="L507" t="s">
        <v>2074</v>
      </c>
      <c r="M507" t="s">
        <v>87</v>
      </c>
      <c r="N507">
        <v>2</v>
      </c>
      <c r="O507" t="s">
        <v>4787</v>
      </c>
      <c r="P507" t="s">
        <v>4786</v>
      </c>
      <c r="Q507" t="s">
        <v>4785</v>
      </c>
      <c r="R507" s="7">
        <v>37135</v>
      </c>
      <c r="S507" s="8">
        <f t="shared" si="56"/>
        <v>2001</v>
      </c>
      <c r="T507" s="8">
        <v>2001</v>
      </c>
      <c r="U507" s="8">
        <f t="shared" si="57"/>
        <v>21</v>
      </c>
      <c r="V507" s="7">
        <v>37135</v>
      </c>
      <c r="W507" t="s">
        <v>4784</v>
      </c>
      <c r="X507" s="2">
        <v>1.8819999999999999</v>
      </c>
      <c r="Y507" s="6">
        <f t="shared" si="62"/>
        <v>5.0238915138410611E-2</v>
      </c>
      <c r="AA507">
        <v>219991</v>
      </c>
      <c r="AB507">
        <v>13191</v>
      </c>
      <c r="AD507" t="s">
        <v>1</v>
      </c>
      <c r="AE507">
        <v>172</v>
      </c>
      <c r="AF507">
        <v>1</v>
      </c>
      <c r="AH507" t="s">
        <v>4783</v>
      </c>
      <c r="AI507" t="s">
        <v>4782</v>
      </c>
      <c r="AJ507" t="s">
        <v>4781</v>
      </c>
      <c r="AK507" t="s">
        <v>4780</v>
      </c>
      <c r="AL507">
        <v>1</v>
      </c>
      <c r="AM507" s="5">
        <f t="shared" si="58"/>
        <v>4.7619047619047616E-2</v>
      </c>
      <c r="AN507" s="4">
        <f t="shared" si="63"/>
        <v>7.2122752925479164E-5</v>
      </c>
      <c r="AO507" s="3"/>
      <c r="AP507">
        <v>0</v>
      </c>
      <c r="AR507" t="s">
        <v>0</v>
      </c>
      <c r="AT507" s="2">
        <v>3.5529999999999999</v>
      </c>
      <c r="AU507" s="1">
        <f t="shared" si="59"/>
        <v>3.5188877422765068</v>
      </c>
      <c r="AV507" s="1">
        <f t="shared" si="60"/>
        <v>2.5155518945668045</v>
      </c>
      <c r="AW507" s="1">
        <f t="shared" si="61"/>
        <v>1.5122160468571018</v>
      </c>
    </row>
    <row r="508" spans="1:49" x14ac:dyDescent="0.2">
      <c r="A508">
        <v>506</v>
      </c>
      <c r="B508" t="s">
        <v>4779</v>
      </c>
      <c r="C508" t="s">
        <v>4778</v>
      </c>
      <c r="F508" t="s">
        <v>4777</v>
      </c>
      <c r="G508" t="s">
        <v>6</v>
      </c>
      <c r="H508" t="s">
        <v>5</v>
      </c>
      <c r="I508" t="s">
        <v>4776</v>
      </c>
      <c r="J508">
        <v>100331894</v>
      </c>
      <c r="K508" t="s">
        <v>4775</v>
      </c>
      <c r="L508" t="s">
        <v>628</v>
      </c>
      <c r="M508" t="s">
        <v>223</v>
      </c>
      <c r="N508">
        <v>3</v>
      </c>
      <c r="O508" t="s">
        <v>4774</v>
      </c>
      <c r="P508" t="s">
        <v>4773</v>
      </c>
      <c r="Q508" t="s">
        <v>4772</v>
      </c>
      <c r="R508" s="7">
        <v>37135</v>
      </c>
      <c r="S508" s="8">
        <f t="shared" si="56"/>
        <v>2001</v>
      </c>
      <c r="T508" s="8">
        <v>2001</v>
      </c>
      <c r="U508" s="8">
        <f t="shared" si="57"/>
        <v>21</v>
      </c>
      <c r="V508" s="7">
        <v>37135</v>
      </c>
      <c r="W508" t="s">
        <v>251</v>
      </c>
      <c r="X508" s="2">
        <v>0.371</v>
      </c>
      <c r="Y508" s="6">
        <f t="shared" si="62"/>
        <v>9.9036331117695747E-3</v>
      </c>
      <c r="AA508">
        <v>486604</v>
      </c>
      <c r="AB508">
        <v>28580</v>
      </c>
      <c r="AD508" t="s">
        <v>1</v>
      </c>
      <c r="AE508">
        <v>36</v>
      </c>
      <c r="AF508">
        <v>5</v>
      </c>
      <c r="AH508" t="s">
        <v>4771</v>
      </c>
      <c r="AI508" t="s">
        <v>4770</v>
      </c>
      <c r="AK508" t="s">
        <v>4769</v>
      </c>
      <c r="AL508">
        <v>7</v>
      </c>
      <c r="AM508" s="5">
        <f t="shared" si="58"/>
        <v>0.33333333333333331</v>
      </c>
      <c r="AN508" s="4">
        <f t="shared" si="63"/>
        <v>5.048592704783541E-4</v>
      </c>
      <c r="AO508" s="3"/>
      <c r="AP508">
        <v>1</v>
      </c>
      <c r="AR508" t="s">
        <v>0</v>
      </c>
      <c r="AT508" s="2">
        <v>1.431</v>
      </c>
      <c r="AU508" s="1">
        <f t="shared" si="59"/>
        <v>0.70840009593822084</v>
      </c>
      <c r="AV508" s="1">
        <f t="shared" si="60"/>
        <v>0.52042461911239646</v>
      </c>
      <c r="AW508" s="1">
        <f t="shared" si="61"/>
        <v>0.33244914228657207</v>
      </c>
    </row>
    <row r="509" spans="1:49" x14ac:dyDescent="0.2">
      <c r="A509">
        <v>507</v>
      </c>
      <c r="B509" t="s">
        <v>4768</v>
      </c>
      <c r="C509" t="s">
        <v>4767</v>
      </c>
      <c r="D509" t="s">
        <v>4766</v>
      </c>
      <c r="F509" t="s">
        <v>4765</v>
      </c>
      <c r="G509" t="s">
        <v>6</v>
      </c>
      <c r="H509" t="s">
        <v>5</v>
      </c>
      <c r="I509" t="s">
        <v>4764</v>
      </c>
      <c r="J509" t="s">
        <v>4763</v>
      </c>
      <c r="K509" t="s">
        <v>4762</v>
      </c>
      <c r="L509" t="s">
        <v>4761</v>
      </c>
      <c r="M509" t="s">
        <v>236</v>
      </c>
      <c r="N509">
        <v>3</v>
      </c>
      <c r="O509" t="s">
        <v>4760</v>
      </c>
      <c r="P509" t="s">
        <v>4759</v>
      </c>
      <c r="Q509" t="s">
        <v>4758</v>
      </c>
      <c r="R509" s="7">
        <v>37135</v>
      </c>
      <c r="S509" s="8">
        <f t="shared" si="56"/>
        <v>2001</v>
      </c>
      <c r="T509" s="8">
        <v>2001</v>
      </c>
      <c r="U509" s="8">
        <f t="shared" si="57"/>
        <v>21</v>
      </c>
      <c r="V509" s="7">
        <v>37135</v>
      </c>
      <c r="W509" t="s">
        <v>389</v>
      </c>
      <c r="X509" s="2">
        <v>0.94</v>
      </c>
      <c r="Y509" s="6">
        <f t="shared" si="62"/>
        <v>2.5092763140332611E-2</v>
      </c>
      <c r="AA509">
        <v>15311309</v>
      </c>
      <c r="AB509">
        <v>17295</v>
      </c>
      <c r="AD509" t="s">
        <v>1</v>
      </c>
      <c r="AE509">
        <v>11</v>
      </c>
      <c r="AF509">
        <v>9</v>
      </c>
      <c r="AH509" t="s">
        <v>4757</v>
      </c>
      <c r="AI509" t="s">
        <v>4756</v>
      </c>
      <c r="AJ509" t="s">
        <v>4755</v>
      </c>
      <c r="AK509" t="s">
        <v>4754</v>
      </c>
      <c r="AL509">
        <v>5</v>
      </c>
      <c r="AM509" s="5">
        <f t="shared" si="58"/>
        <v>0.23809523809523808</v>
      </c>
      <c r="AN509" s="4">
        <f t="shared" si="63"/>
        <v>3.6061376462739582E-4</v>
      </c>
      <c r="AO509" s="3"/>
      <c r="AP509">
        <v>0</v>
      </c>
      <c r="AR509" t="s">
        <v>0</v>
      </c>
      <c r="AT509" s="2" t="s">
        <v>7</v>
      </c>
      <c r="AU509" s="1">
        <f t="shared" si="59"/>
        <v>1.7673118327621047</v>
      </c>
      <c r="AV509" s="1">
        <f t="shared" si="60"/>
        <v>1.2726688452480004</v>
      </c>
      <c r="AW509" s="1">
        <f t="shared" si="61"/>
        <v>0.7780258577338961</v>
      </c>
    </row>
    <row r="510" spans="1:49" x14ac:dyDescent="0.2">
      <c r="A510">
        <v>508</v>
      </c>
      <c r="B510" t="s">
        <v>4753</v>
      </c>
      <c r="C510" t="s">
        <v>4752</v>
      </c>
      <c r="D510" t="s">
        <v>4751</v>
      </c>
      <c r="F510" t="s">
        <v>4750</v>
      </c>
      <c r="G510" t="s">
        <v>6</v>
      </c>
      <c r="H510" t="s">
        <v>5</v>
      </c>
      <c r="I510" t="s">
        <v>4749</v>
      </c>
      <c r="J510" t="s">
        <v>4748</v>
      </c>
      <c r="K510" t="s">
        <v>4747</v>
      </c>
      <c r="L510" t="s">
        <v>4746</v>
      </c>
      <c r="M510" t="s">
        <v>4745</v>
      </c>
      <c r="N510">
        <v>5</v>
      </c>
      <c r="O510" t="s">
        <v>4744</v>
      </c>
      <c r="P510" t="s">
        <v>4743</v>
      </c>
      <c r="Q510" t="s">
        <v>4742</v>
      </c>
      <c r="R510" s="7">
        <v>37135</v>
      </c>
      <c r="S510" s="8">
        <f t="shared" si="56"/>
        <v>2001</v>
      </c>
      <c r="T510" s="8">
        <v>2001</v>
      </c>
      <c r="U510" s="8">
        <f t="shared" si="57"/>
        <v>21</v>
      </c>
      <c r="V510" s="7">
        <v>37135</v>
      </c>
      <c r="W510" t="s">
        <v>479</v>
      </c>
      <c r="X510" s="2">
        <v>1.23</v>
      </c>
      <c r="Y510" s="6">
        <f t="shared" si="62"/>
        <v>3.2834147513413951E-2</v>
      </c>
      <c r="AA510">
        <v>9638695</v>
      </c>
      <c r="AB510">
        <v>17852</v>
      </c>
      <c r="AD510" t="s">
        <v>1</v>
      </c>
      <c r="AE510">
        <v>34</v>
      </c>
      <c r="AF510">
        <v>6</v>
      </c>
      <c r="AH510" t="s">
        <v>4741</v>
      </c>
      <c r="AI510" t="s">
        <v>4740</v>
      </c>
      <c r="AJ510" t="s">
        <v>4739</v>
      </c>
      <c r="AK510" t="s">
        <v>4738</v>
      </c>
      <c r="AL510">
        <v>16</v>
      </c>
      <c r="AM510" s="5">
        <f t="shared" si="58"/>
        <v>0.76190476190476186</v>
      </c>
      <c r="AN510" s="4">
        <f t="shared" si="63"/>
        <v>1.1539640468076666E-3</v>
      </c>
      <c r="AO510" s="3"/>
      <c r="AP510">
        <v>0</v>
      </c>
      <c r="AR510" t="s">
        <v>0</v>
      </c>
      <c r="AT510" s="2" t="s">
        <v>7</v>
      </c>
      <c r="AU510" s="1">
        <f t="shared" si="59"/>
        <v>2.3330092473432065</v>
      </c>
      <c r="AV510" s="1">
        <f t="shared" si="60"/>
        <v>1.6994055780110811</v>
      </c>
      <c r="AW510" s="1">
        <f t="shared" si="61"/>
        <v>1.065801908678955</v>
      </c>
    </row>
    <row r="511" spans="1:49" x14ac:dyDescent="0.2">
      <c r="A511">
        <v>509</v>
      </c>
      <c r="B511" t="s">
        <v>4737</v>
      </c>
      <c r="F511" t="s">
        <v>4736</v>
      </c>
      <c r="G511" t="s">
        <v>6</v>
      </c>
      <c r="H511" t="s">
        <v>5</v>
      </c>
      <c r="R511" s="7">
        <v>37135</v>
      </c>
      <c r="S511" s="8">
        <f t="shared" si="56"/>
        <v>2001</v>
      </c>
      <c r="T511" s="8">
        <v>2001</v>
      </c>
      <c r="U511" s="8">
        <f t="shared" si="57"/>
        <v>21</v>
      </c>
      <c r="V511" s="7">
        <v>37135</v>
      </c>
      <c r="W511" t="s">
        <v>4735</v>
      </c>
      <c r="X511" s="2" t="s">
        <v>7</v>
      </c>
      <c r="Y511" s="6" t="e">
        <f t="shared" si="62"/>
        <v>#VALUE!</v>
      </c>
      <c r="AA511">
        <v>13654675</v>
      </c>
      <c r="AB511">
        <v>58615</v>
      </c>
      <c r="AD511" t="s">
        <v>1</v>
      </c>
      <c r="AE511">
        <v>107</v>
      </c>
      <c r="AF511">
        <v>1785</v>
      </c>
      <c r="AH511" t="s">
        <v>4734</v>
      </c>
      <c r="AI511" t="s">
        <v>4733</v>
      </c>
      <c r="AK511" t="s">
        <v>4732</v>
      </c>
      <c r="AL511">
        <v>0</v>
      </c>
      <c r="AM511" s="5">
        <f t="shared" si="58"/>
        <v>0</v>
      </c>
      <c r="AN511" s="4">
        <f t="shared" si="63"/>
        <v>0</v>
      </c>
      <c r="AO511" s="3"/>
      <c r="AP511">
        <v>0</v>
      </c>
      <c r="AR511" t="s">
        <v>0</v>
      </c>
      <c r="AT511" s="2" t="s">
        <v>7</v>
      </c>
      <c r="AU511" s="1" t="e">
        <f t="shared" si="59"/>
        <v>#VALUE!</v>
      </c>
      <c r="AV511" s="1" t="e">
        <f t="shared" si="60"/>
        <v>#VALUE!</v>
      </c>
      <c r="AW511" s="1" t="e">
        <f t="shared" si="61"/>
        <v>#VALUE!</v>
      </c>
    </row>
    <row r="512" spans="1:49" x14ac:dyDescent="0.2">
      <c r="A512">
        <v>510</v>
      </c>
      <c r="B512" t="s">
        <v>4731</v>
      </c>
      <c r="C512" t="s">
        <v>4730</v>
      </c>
      <c r="D512" t="s">
        <v>4729</v>
      </c>
      <c r="F512" t="s">
        <v>4728</v>
      </c>
      <c r="G512" t="s">
        <v>6</v>
      </c>
      <c r="H512" t="s">
        <v>5</v>
      </c>
      <c r="I512" t="s">
        <v>4727</v>
      </c>
      <c r="J512">
        <v>60028673</v>
      </c>
      <c r="K512" t="s">
        <v>110</v>
      </c>
      <c r="L512" t="s">
        <v>47</v>
      </c>
      <c r="M512" t="s">
        <v>46</v>
      </c>
      <c r="N512">
        <v>4</v>
      </c>
      <c r="O512" t="s">
        <v>4726</v>
      </c>
      <c r="P512" t="s">
        <v>4725</v>
      </c>
      <c r="Q512" t="s">
        <v>4724</v>
      </c>
      <c r="R512" s="7">
        <v>37135</v>
      </c>
      <c r="S512" s="8">
        <f t="shared" si="56"/>
        <v>2001</v>
      </c>
      <c r="T512" s="8">
        <v>2001</v>
      </c>
      <c r="U512" s="8">
        <f t="shared" si="57"/>
        <v>21</v>
      </c>
      <c r="V512" s="7">
        <v>37135</v>
      </c>
      <c r="W512" t="s">
        <v>4723</v>
      </c>
      <c r="X512" s="2">
        <v>0.79800000000000004</v>
      </c>
      <c r="Y512" s="6">
        <f t="shared" si="62"/>
        <v>2.1302154240410029E-2</v>
      </c>
      <c r="AA512">
        <v>13891286</v>
      </c>
      <c r="AB512">
        <v>26811</v>
      </c>
      <c r="AD512" t="s">
        <v>1</v>
      </c>
      <c r="AE512">
        <v>37</v>
      </c>
      <c r="AF512">
        <v>1</v>
      </c>
      <c r="AH512" t="s">
        <v>4722</v>
      </c>
      <c r="AI512" t="s">
        <v>4721</v>
      </c>
      <c r="AJ512" t="s">
        <v>4720</v>
      </c>
      <c r="AK512" t="s">
        <v>4719</v>
      </c>
      <c r="AL512">
        <v>22</v>
      </c>
      <c r="AM512" s="5">
        <f t="shared" si="58"/>
        <v>1.0476190476190477</v>
      </c>
      <c r="AN512" s="4">
        <f t="shared" si="63"/>
        <v>1.5867005643605417E-3</v>
      </c>
      <c r="AO512" s="3"/>
      <c r="AP512">
        <v>0</v>
      </c>
      <c r="AR512" t="s">
        <v>0</v>
      </c>
      <c r="AT512" s="2">
        <v>4.4740000000000002</v>
      </c>
      <c r="AU512" s="1">
        <f t="shared" si="59"/>
        <v>1.5387518137595182</v>
      </c>
      <c r="AV512" s="1">
        <f t="shared" si="60"/>
        <v>1.1444427402385284</v>
      </c>
      <c r="AW512" s="1">
        <f t="shared" si="61"/>
        <v>0.75013366671753878</v>
      </c>
    </row>
    <row r="513" spans="1:49" x14ac:dyDescent="0.2">
      <c r="A513">
        <v>511</v>
      </c>
      <c r="B513" t="s">
        <v>4718</v>
      </c>
      <c r="C513" t="s">
        <v>4717</v>
      </c>
      <c r="F513" t="s">
        <v>4716</v>
      </c>
      <c r="G513" t="s">
        <v>6</v>
      </c>
      <c r="H513" t="s">
        <v>5</v>
      </c>
      <c r="I513" t="s">
        <v>4715</v>
      </c>
      <c r="J513">
        <v>60105987</v>
      </c>
      <c r="K513" t="s">
        <v>4714</v>
      </c>
      <c r="L513" t="s">
        <v>567</v>
      </c>
      <c r="M513" t="s">
        <v>87</v>
      </c>
      <c r="N513">
        <v>3</v>
      </c>
      <c r="O513" t="s">
        <v>4713</v>
      </c>
      <c r="P513" t="s">
        <v>4712</v>
      </c>
      <c r="Q513" t="s">
        <v>4711</v>
      </c>
      <c r="R513" s="7">
        <v>37135</v>
      </c>
      <c r="S513" s="8">
        <f t="shared" si="56"/>
        <v>2001</v>
      </c>
      <c r="T513" s="8">
        <v>2001</v>
      </c>
      <c r="U513" s="8">
        <f t="shared" si="57"/>
        <v>21</v>
      </c>
      <c r="V513" s="7">
        <v>37135</v>
      </c>
      <c r="W513" t="s">
        <v>4710</v>
      </c>
      <c r="X513" s="2">
        <v>0.71899999999999997</v>
      </c>
      <c r="Y513" s="6">
        <f t="shared" si="62"/>
        <v>1.9193294359467178E-2</v>
      </c>
      <c r="AA513">
        <v>1704214</v>
      </c>
      <c r="AB513">
        <v>24594</v>
      </c>
      <c r="AD513" t="s">
        <v>1</v>
      </c>
      <c r="AE513">
        <v>24</v>
      </c>
      <c r="AF513">
        <v>13</v>
      </c>
      <c r="AH513" t="s">
        <v>4709</v>
      </c>
      <c r="AI513" t="s">
        <v>4708</v>
      </c>
      <c r="AJ513" t="s">
        <v>4707</v>
      </c>
      <c r="AK513" t="s">
        <v>4706</v>
      </c>
      <c r="AL513">
        <v>3</v>
      </c>
      <c r="AM513" s="5">
        <f t="shared" si="58"/>
        <v>0.14285714285714285</v>
      </c>
      <c r="AN513" s="4">
        <f t="shared" si="63"/>
        <v>2.1636825877643749E-4</v>
      </c>
      <c r="AO513" s="3"/>
      <c r="AP513">
        <v>0</v>
      </c>
      <c r="AR513" t="s">
        <v>0</v>
      </c>
      <c r="AT513" s="2" t="s">
        <v>7</v>
      </c>
      <c r="AU513" s="1">
        <f t="shared" si="59"/>
        <v>1.3500216529259954</v>
      </c>
      <c r="AV513" s="1">
        <f t="shared" si="60"/>
        <v>0.97048313091218064</v>
      </c>
      <c r="AW513" s="1">
        <f t="shared" si="61"/>
        <v>0.59094460889836598</v>
      </c>
    </row>
    <row r="514" spans="1:49" x14ac:dyDescent="0.2">
      <c r="A514">
        <v>512</v>
      </c>
      <c r="B514" t="s">
        <v>4705</v>
      </c>
      <c r="C514" t="s">
        <v>4704</v>
      </c>
      <c r="F514" t="s">
        <v>4703</v>
      </c>
      <c r="G514" t="s">
        <v>6</v>
      </c>
      <c r="H514" t="s">
        <v>5</v>
      </c>
      <c r="I514" t="s">
        <v>4702</v>
      </c>
      <c r="J514" t="s">
        <v>4701</v>
      </c>
      <c r="K514" t="s">
        <v>4700</v>
      </c>
      <c r="L514" t="s">
        <v>4699</v>
      </c>
      <c r="M514" t="s">
        <v>44</v>
      </c>
      <c r="N514">
        <v>2</v>
      </c>
      <c r="O514" t="s">
        <v>4698</v>
      </c>
      <c r="P514" t="s">
        <v>4697</v>
      </c>
      <c r="Q514" t="s">
        <v>4696</v>
      </c>
      <c r="R514" s="7">
        <v>37135</v>
      </c>
      <c r="S514" s="8">
        <f t="shared" ref="S514:S577" si="64">YEAR(R514)</f>
        <v>2001</v>
      </c>
      <c r="T514" s="8">
        <v>2001</v>
      </c>
      <c r="U514" s="8">
        <f t="shared" ref="U514:U577" si="65">2022-T514</f>
        <v>21</v>
      </c>
      <c r="V514" s="7">
        <v>37135</v>
      </c>
      <c r="W514" t="s">
        <v>4695</v>
      </c>
      <c r="X514" s="2">
        <v>0.29299999999999998</v>
      </c>
      <c r="Y514" s="6">
        <f t="shared" si="62"/>
        <v>7.8214676596994204E-3</v>
      </c>
      <c r="AA514">
        <v>10772618</v>
      </c>
      <c r="AB514">
        <v>17260</v>
      </c>
      <c r="AD514" t="s">
        <v>1</v>
      </c>
      <c r="AE514">
        <v>7</v>
      </c>
      <c r="AF514">
        <v>5</v>
      </c>
      <c r="AH514" t="s">
        <v>4694</v>
      </c>
      <c r="AI514" t="s">
        <v>4693</v>
      </c>
      <c r="AK514" t="s">
        <v>4692</v>
      </c>
      <c r="AL514">
        <v>1</v>
      </c>
      <c r="AM514" s="5">
        <f t="shared" ref="AM514:AM577" si="66">AL514/U514</f>
        <v>4.7619047619047616E-2</v>
      </c>
      <c r="AN514" s="4">
        <f t="shared" si="63"/>
        <v>7.2122752925479164E-5</v>
      </c>
      <c r="AO514" s="3"/>
      <c r="AP514">
        <v>0</v>
      </c>
      <c r="AR514" t="s">
        <v>0</v>
      </c>
      <c r="AT514" s="2">
        <v>0.67100000000000004</v>
      </c>
      <c r="AU514" s="1">
        <f t="shared" ref="AU514:AU577" si="67">(Y514*0.7+AN514*0.3)*100</f>
        <v>0.54966641876672373</v>
      </c>
      <c r="AV514" s="1">
        <f t="shared" ref="AV514:AV577" si="68">(Y514*0.5+AN514*0.5)*100</f>
        <v>0.39467952063124501</v>
      </c>
      <c r="AW514" s="1">
        <f t="shared" ref="AW514:AW577" si="69">(Y514*0.3+AN514*0.7)*100</f>
        <v>0.23969262249576617</v>
      </c>
    </row>
    <row r="515" spans="1:49" x14ac:dyDescent="0.2">
      <c r="A515">
        <v>513</v>
      </c>
      <c r="B515" t="s">
        <v>4691</v>
      </c>
      <c r="C515" t="s">
        <v>4690</v>
      </c>
      <c r="D515" t="s">
        <v>4689</v>
      </c>
      <c r="F515" t="s">
        <v>4688</v>
      </c>
      <c r="G515" t="s">
        <v>6</v>
      </c>
      <c r="H515" t="s">
        <v>5</v>
      </c>
      <c r="I515" t="s">
        <v>4117</v>
      </c>
      <c r="J515" t="s">
        <v>4116</v>
      </c>
      <c r="K515" t="s">
        <v>4115</v>
      </c>
      <c r="L515" t="s">
        <v>4114</v>
      </c>
      <c r="M515" t="s">
        <v>379</v>
      </c>
      <c r="N515">
        <v>5</v>
      </c>
      <c r="O515" t="s">
        <v>4687</v>
      </c>
      <c r="P515" t="s">
        <v>4686</v>
      </c>
      <c r="Q515" t="s">
        <v>4685</v>
      </c>
      <c r="R515" s="7">
        <v>37135</v>
      </c>
      <c r="S515" s="8">
        <f t="shared" si="64"/>
        <v>2001</v>
      </c>
      <c r="T515" s="8">
        <v>2001</v>
      </c>
      <c r="U515" s="8">
        <f t="shared" si="65"/>
        <v>21</v>
      </c>
      <c r="V515" s="7">
        <v>37135</v>
      </c>
      <c r="W515" t="s">
        <v>4684</v>
      </c>
      <c r="X515" s="2">
        <v>1.534</v>
      </c>
      <c r="Y515" s="6">
        <f t="shared" ref="Y515:Y578" si="70">(X515-$Z$3)/($Z$2-$Z$3)</f>
        <v>4.0949253890713008E-2</v>
      </c>
      <c r="AA515">
        <v>134686</v>
      </c>
      <c r="AB515">
        <v>25181</v>
      </c>
      <c r="AD515" t="s">
        <v>1</v>
      </c>
      <c r="AE515">
        <v>47</v>
      </c>
      <c r="AF515">
        <v>1</v>
      </c>
      <c r="AH515" t="s">
        <v>4683</v>
      </c>
      <c r="AI515" t="s">
        <v>4682</v>
      </c>
      <c r="AJ515" t="s">
        <v>4681</v>
      </c>
      <c r="AK515" t="s">
        <v>4680</v>
      </c>
      <c r="AL515">
        <v>11</v>
      </c>
      <c r="AM515" s="5">
        <f t="shared" si="66"/>
        <v>0.52380952380952384</v>
      </c>
      <c r="AN515" s="4">
        <f t="shared" ref="AN515:AN578" si="71">(AM515-$AO$3)/($AO$2-$AO$3)</f>
        <v>7.9335028218027086E-4</v>
      </c>
      <c r="AO515" s="3"/>
      <c r="AP515">
        <v>0</v>
      </c>
      <c r="AQ515" t="s">
        <v>4106</v>
      </c>
      <c r="AR515" t="s">
        <v>0</v>
      </c>
      <c r="AS515" t="s">
        <v>4105</v>
      </c>
      <c r="AT515" s="2">
        <v>6.9009999999999998</v>
      </c>
      <c r="AU515" s="1">
        <f t="shared" si="67"/>
        <v>2.8902482808153187</v>
      </c>
      <c r="AV515" s="1">
        <f t="shared" si="68"/>
        <v>2.0871302086446639</v>
      </c>
      <c r="AW515" s="1">
        <f t="shared" si="69"/>
        <v>1.2840121364740091</v>
      </c>
    </row>
    <row r="516" spans="1:49" x14ac:dyDescent="0.2">
      <c r="A516">
        <v>514</v>
      </c>
      <c r="B516" t="s">
        <v>4679</v>
      </c>
      <c r="F516" t="s">
        <v>4678</v>
      </c>
      <c r="G516" t="s">
        <v>6</v>
      </c>
      <c r="H516" t="s">
        <v>5</v>
      </c>
      <c r="I516" t="s">
        <v>4677</v>
      </c>
      <c r="J516">
        <v>100311448</v>
      </c>
      <c r="K516" t="s">
        <v>4676</v>
      </c>
      <c r="L516" t="s">
        <v>282</v>
      </c>
      <c r="M516" t="s">
        <v>3</v>
      </c>
      <c r="N516">
        <v>1</v>
      </c>
      <c r="O516" t="s">
        <v>4675</v>
      </c>
      <c r="P516">
        <v>7402186402</v>
      </c>
      <c r="Q516">
        <v>100311448</v>
      </c>
      <c r="R516" s="7">
        <v>37135</v>
      </c>
      <c r="S516" s="8">
        <f t="shared" si="64"/>
        <v>2001</v>
      </c>
      <c r="T516" s="8">
        <v>2001</v>
      </c>
      <c r="U516" s="8">
        <f t="shared" si="65"/>
        <v>21</v>
      </c>
      <c r="V516" s="7">
        <v>37135</v>
      </c>
      <c r="W516" t="s">
        <v>4674</v>
      </c>
      <c r="X516" s="2" t="s">
        <v>7</v>
      </c>
      <c r="Y516" s="6" t="e">
        <f t="shared" si="70"/>
        <v>#VALUE!</v>
      </c>
      <c r="AA516">
        <v>911062</v>
      </c>
      <c r="AB516">
        <v>17916</v>
      </c>
      <c r="AD516" t="s">
        <v>1</v>
      </c>
      <c r="AE516">
        <v>37</v>
      </c>
      <c r="AF516">
        <v>5</v>
      </c>
      <c r="AH516" t="s">
        <v>571</v>
      </c>
      <c r="AI516" t="s">
        <v>4673</v>
      </c>
      <c r="AK516" t="s">
        <v>4672</v>
      </c>
      <c r="AL516">
        <v>10</v>
      </c>
      <c r="AM516" s="5">
        <f t="shared" si="66"/>
        <v>0.47619047619047616</v>
      </c>
      <c r="AN516" s="4">
        <f t="shared" si="71"/>
        <v>7.2122752925479164E-4</v>
      </c>
      <c r="AO516" s="3"/>
      <c r="AP516">
        <v>0</v>
      </c>
      <c r="AR516" t="s">
        <v>0</v>
      </c>
      <c r="AT516" s="2">
        <v>0.182</v>
      </c>
      <c r="AU516" s="1" t="e">
        <f t="shared" si="67"/>
        <v>#VALUE!</v>
      </c>
      <c r="AV516" s="1" t="e">
        <f t="shared" si="68"/>
        <v>#VALUE!</v>
      </c>
      <c r="AW516" s="1" t="e">
        <f t="shared" si="69"/>
        <v>#VALUE!</v>
      </c>
    </row>
    <row r="517" spans="1:49" x14ac:dyDescent="0.2">
      <c r="A517">
        <v>515</v>
      </c>
      <c r="B517" t="s">
        <v>4671</v>
      </c>
      <c r="C517" t="s">
        <v>4670</v>
      </c>
      <c r="D517" t="s">
        <v>4669</v>
      </c>
      <c r="F517" t="s">
        <v>4668</v>
      </c>
      <c r="G517" t="s">
        <v>6</v>
      </c>
      <c r="H517" t="s">
        <v>5</v>
      </c>
      <c r="I517" t="s">
        <v>4667</v>
      </c>
      <c r="J517" t="s">
        <v>4666</v>
      </c>
      <c r="K517" t="s">
        <v>4665</v>
      </c>
      <c r="L517" t="s">
        <v>4664</v>
      </c>
      <c r="M517" t="s">
        <v>4663</v>
      </c>
      <c r="N517">
        <v>9</v>
      </c>
      <c r="O517" t="s">
        <v>4662</v>
      </c>
      <c r="P517" t="s">
        <v>4661</v>
      </c>
      <c r="Q517" t="s">
        <v>4660</v>
      </c>
      <c r="R517" s="7">
        <v>37135</v>
      </c>
      <c r="S517" s="8">
        <f t="shared" si="64"/>
        <v>2001</v>
      </c>
      <c r="T517" s="8">
        <v>2001</v>
      </c>
      <c r="U517" s="8">
        <f t="shared" si="65"/>
        <v>21</v>
      </c>
      <c r="V517" s="7">
        <v>37135</v>
      </c>
      <c r="W517" t="s">
        <v>4659</v>
      </c>
      <c r="X517" s="2">
        <v>1.319</v>
      </c>
      <c r="Y517" s="6">
        <f t="shared" si="70"/>
        <v>3.5209951683083739E-2</v>
      </c>
      <c r="AA517">
        <v>104655</v>
      </c>
      <c r="AB517">
        <v>13184</v>
      </c>
      <c r="AD517" t="s">
        <v>1</v>
      </c>
      <c r="AE517">
        <v>139</v>
      </c>
      <c r="AF517">
        <v>1</v>
      </c>
      <c r="AH517" t="s">
        <v>4658</v>
      </c>
      <c r="AI517" t="s">
        <v>4657</v>
      </c>
      <c r="AJ517" t="s">
        <v>4656</v>
      </c>
      <c r="AK517" t="s">
        <v>4655</v>
      </c>
      <c r="AL517">
        <v>11</v>
      </c>
      <c r="AM517" s="5">
        <f t="shared" si="66"/>
        <v>0.52380952380952384</v>
      </c>
      <c r="AN517" s="4">
        <f t="shared" si="71"/>
        <v>7.9335028218027086E-4</v>
      </c>
      <c r="AO517" s="3"/>
      <c r="AP517">
        <v>0</v>
      </c>
      <c r="AR517" t="s">
        <v>0</v>
      </c>
      <c r="AT517" s="2">
        <v>4.3899999999999997</v>
      </c>
      <c r="AU517" s="1">
        <f t="shared" si="67"/>
        <v>2.4884971262812696</v>
      </c>
      <c r="AV517" s="1">
        <f t="shared" si="68"/>
        <v>1.8001650982632005</v>
      </c>
      <c r="AW517" s="1">
        <f t="shared" si="69"/>
        <v>1.1118330702451311</v>
      </c>
    </row>
    <row r="518" spans="1:49" x14ac:dyDescent="0.2">
      <c r="A518">
        <v>516</v>
      </c>
      <c r="B518" t="s">
        <v>4654</v>
      </c>
      <c r="C518" t="s">
        <v>4653</v>
      </c>
      <c r="F518" t="s">
        <v>4652</v>
      </c>
      <c r="G518" t="s">
        <v>6</v>
      </c>
      <c r="H518" t="s">
        <v>5</v>
      </c>
      <c r="I518" t="s">
        <v>4651</v>
      </c>
      <c r="J518" t="s">
        <v>4650</v>
      </c>
      <c r="K518" t="s">
        <v>4649</v>
      </c>
      <c r="L518" t="s">
        <v>4648</v>
      </c>
      <c r="M518" t="s">
        <v>14</v>
      </c>
      <c r="N518">
        <v>6</v>
      </c>
      <c r="O518" t="s">
        <v>4647</v>
      </c>
      <c r="P518" t="s">
        <v>4646</v>
      </c>
      <c r="Q518" t="s">
        <v>4645</v>
      </c>
      <c r="R518" s="7">
        <v>37135</v>
      </c>
      <c r="S518" s="8">
        <f t="shared" si="64"/>
        <v>2001</v>
      </c>
      <c r="T518" s="8">
        <v>2001</v>
      </c>
      <c r="U518" s="8">
        <f t="shared" si="65"/>
        <v>21</v>
      </c>
      <c r="V518" s="7">
        <v>37135</v>
      </c>
      <c r="W518" t="s">
        <v>520</v>
      </c>
      <c r="X518" s="2">
        <v>0.33500000000000002</v>
      </c>
      <c r="Y518" s="6">
        <f t="shared" si="70"/>
        <v>8.94263367235258E-3</v>
      </c>
      <c r="AA518">
        <v>10964290</v>
      </c>
      <c r="AB518">
        <v>18201</v>
      </c>
      <c r="AD518" t="s">
        <v>1</v>
      </c>
      <c r="AE518">
        <v>11</v>
      </c>
      <c r="AF518">
        <v>5</v>
      </c>
      <c r="AH518" t="s">
        <v>4644</v>
      </c>
      <c r="AI518" t="s">
        <v>4643</v>
      </c>
      <c r="AJ518" t="s">
        <v>4642</v>
      </c>
      <c r="AK518" t="s">
        <v>4641</v>
      </c>
      <c r="AL518">
        <v>14</v>
      </c>
      <c r="AM518" s="5">
        <f t="shared" si="66"/>
        <v>0.66666666666666663</v>
      </c>
      <c r="AN518" s="4">
        <f t="shared" si="71"/>
        <v>1.0097185409567082E-3</v>
      </c>
      <c r="AO518" s="3"/>
      <c r="AP518">
        <v>0</v>
      </c>
      <c r="AR518" t="s">
        <v>0</v>
      </c>
      <c r="AT518" s="2">
        <v>1.694</v>
      </c>
      <c r="AU518" s="1">
        <f t="shared" si="67"/>
        <v>0.65627591329338175</v>
      </c>
      <c r="AV518" s="1">
        <f t="shared" si="68"/>
        <v>0.49761761066546439</v>
      </c>
      <c r="AW518" s="1">
        <f t="shared" si="69"/>
        <v>0.33895930803754698</v>
      </c>
    </row>
    <row r="519" spans="1:49" x14ac:dyDescent="0.2">
      <c r="A519">
        <v>517</v>
      </c>
      <c r="B519" t="s">
        <v>4640</v>
      </c>
      <c r="C519" t="s">
        <v>4639</v>
      </c>
      <c r="D519" t="s">
        <v>4638</v>
      </c>
      <c r="F519" t="s">
        <v>4637</v>
      </c>
      <c r="G519" t="s">
        <v>6</v>
      </c>
      <c r="H519" t="s">
        <v>5</v>
      </c>
      <c r="I519" t="s">
        <v>4636</v>
      </c>
      <c r="J519" t="s">
        <v>450</v>
      </c>
      <c r="K519" t="s">
        <v>449</v>
      </c>
      <c r="L519" t="s">
        <v>448</v>
      </c>
      <c r="M519" t="s">
        <v>45</v>
      </c>
      <c r="N519">
        <v>4</v>
      </c>
      <c r="O519" t="s">
        <v>4635</v>
      </c>
      <c r="P519" t="s">
        <v>4634</v>
      </c>
      <c r="Q519" t="s">
        <v>4633</v>
      </c>
      <c r="R519" s="7">
        <v>37135</v>
      </c>
      <c r="S519" s="8">
        <f t="shared" si="64"/>
        <v>2001</v>
      </c>
      <c r="T519" s="8">
        <v>2001</v>
      </c>
      <c r="U519" s="8">
        <f t="shared" si="65"/>
        <v>21</v>
      </c>
      <c r="V519" s="7">
        <v>37135</v>
      </c>
      <c r="W519" t="s">
        <v>532</v>
      </c>
      <c r="X519" s="2">
        <v>0.372</v>
      </c>
      <c r="Y519" s="6">
        <f t="shared" si="70"/>
        <v>9.930327540642268E-3</v>
      </c>
      <c r="AA519">
        <v>9214534</v>
      </c>
      <c r="AB519">
        <v>29119</v>
      </c>
      <c r="AD519" t="s">
        <v>1</v>
      </c>
      <c r="AE519">
        <v>362</v>
      </c>
      <c r="AF519" s="10">
        <v>44287</v>
      </c>
      <c r="AH519" t="s">
        <v>4632</v>
      </c>
      <c r="AI519" t="s">
        <v>4631</v>
      </c>
      <c r="AJ519" t="s">
        <v>4630</v>
      </c>
      <c r="AK519" t="s">
        <v>4629</v>
      </c>
      <c r="AL519">
        <v>6</v>
      </c>
      <c r="AM519" s="5">
        <f t="shared" si="66"/>
        <v>0.2857142857142857</v>
      </c>
      <c r="AN519" s="4">
        <f t="shared" si="71"/>
        <v>4.3273651755287499E-4</v>
      </c>
      <c r="AO519" s="3"/>
      <c r="AP519">
        <v>0</v>
      </c>
      <c r="AQ519" t="s">
        <v>534</v>
      </c>
      <c r="AR519" t="s">
        <v>0</v>
      </c>
      <c r="AS519" t="s">
        <v>533</v>
      </c>
      <c r="AT519" s="2" t="s">
        <v>7</v>
      </c>
      <c r="AU519" s="1">
        <f t="shared" si="67"/>
        <v>0.70810502337154491</v>
      </c>
      <c r="AV519" s="1">
        <f t="shared" si="68"/>
        <v>0.51815320290975719</v>
      </c>
      <c r="AW519" s="1">
        <f t="shared" si="69"/>
        <v>0.32820138244796926</v>
      </c>
    </row>
    <row r="520" spans="1:49" x14ac:dyDescent="0.2">
      <c r="A520">
        <v>518</v>
      </c>
      <c r="B520" t="s">
        <v>4628</v>
      </c>
      <c r="C520" t="s">
        <v>4627</v>
      </c>
      <c r="F520" t="s">
        <v>4626</v>
      </c>
      <c r="G520" t="s">
        <v>6</v>
      </c>
      <c r="H520" t="s">
        <v>5</v>
      </c>
      <c r="I520" t="s">
        <v>4625</v>
      </c>
      <c r="J520" t="s">
        <v>4624</v>
      </c>
      <c r="K520" t="s">
        <v>4623</v>
      </c>
      <c r="L520" t="s">
        <v>4622</v>
      </c>
      <c r="M520" t="s">
        <v>9</v>
      </c>
      <c r="N520">
        <v>2</v>
      </c>
      <c r="O520" t="s">
        <v>4621</v>
      </c>
      <c r="P520" t="s">
        <v>4620</v>
      </c>
      <c r="Q520" t="s">
        <v>4619</v>
      </c>
      <c r="R520" s="7">
        <v>37135</v>
      </c>
      <c r="S520" s="8">
        <f t="shared" si="64"/>
        <v>2001</v>
      </c>
      <c r="T520" s="8">
        <v>2001</v>
      </c>
      <c r="U520" s="8">
        <f t="shared" si="65"/>
        <v>21</v>
      </c>
      <c r="V520" s="7">
        <v>37135</v>
      </c>
      <c r="W520" t="s">
        <v>4618</v>
      </c>
      <c r="X520" s="2">
        <v>1.294</v>
      </c>
      <c r="Y520" s="6">
        <f t="shared" si="70"/>
        <v>3.4542590961266384E-2</v>
      </c>
      <c r="AA520">
        <v>1979337</v>
      </c>
      <c r="AB520">
        <v>25751</v>
      </c>
      <c r="AD520" t="s">
        <v>1</v>
      </c>
      <c r="AE520">
        <v>26</v>
      </c>
      <c r="AF520">
        <v>10</v>
      </c>
      <c r="AH520" t="s">
        <v>4617</v>
      </c>
      <c r="AI520" t="s">
        <v>4616</v>
      </c>
      <c r="AJ520" t="s">
        <v>4615</v>
      </c>
      <c r="AK520" t="s">
        <v>4614</v>
      </c>
      <c r="AL520">
        <v>70</v>
      </c>
      <c r="AM520" s="5">
        <f t="shared" si="66"/>
        <v>3.3333333333333335</v>
      </c>
      <c r="AN520" s="4">
        <f t="shared" si="71"/>
        <v>5.0485927047835416E-3</v>
      </c>
      <c r="AO520" s="3"/>
      <c r="AP520">
        <v>0</v>
      </c>
      <c r="AR520" t="s">
        <v>0</v>
      </c>
      <c r="AT520" s="2">
        <v>4.133</v>
      </c>
      <c r="AU520" s="1">
        <f t="shared" si="67"/>
        <v>2.5694391484321528</v>
      </c>
      <c r="AV520" s="1">
        <f t="shared" si="68"/>
        <v>1.9795591833024964</v>
      </c>
      <c r="AW520" s="1">
        <f t="shared" si="69"/>
        <v>1.3896792181728395</v>
      </c>
    </row>
    <row r="521" spans="1:49" x14ac:dyDescent="0.2">
      <c r="A521">
        <v>519</v>
      </c>
      <c r="B521" t="s">
        <v>4613</v>
      </c>
      <c r="C521" t="s">
        <v>4612</v>
      </c>
      <c r="F521" t="s">
        <v>4611</v>
      </c>
      <c r="G521" t="s">
        <v>6</v>
      </c>
      <c r="H521" t="s">
        <v>5</v>
      </c>
      <c r="I521" t="s">
        <v>4610</v>
      </c>
      <c r="J521" t="s">
        <v>4609</v>
      </c>
      <c r="K521" t="s">
        <v>4608</v>
      </c>
      <c r="L521" t="s">
        <v>4607</v>
      </c>
      <c r="M521" t="s">
        <v>275</v>
      </c>
      <c r="N521">
        <v>2</v>
      </c>
      <c r="O521" t="s">
        <v>4606</v>
      </c>
      <c r="P521" t="s">
        <v>4605</v>
      </c>
      <c r="Q521" t="s">
        <v>4604</v>
      </c>
      <c r="R521" s="7">
        <v>37135</v>
      </c>
      <c r="S521" s="8">
        <f t="shared" si="64"/>
        <v>2001</v>
      </c>
      <c r="T521" s="8">
        <v>2001</v>
      </c>
      <c r="U521" s="8">
        <f t="shared" si="65"/>
        <v>21</v>
      </c>
      <c r="V521" s="7">
        <v>37135</v>
      </c>
      <c r="W521" t="s">
        <v>4603</v>
      </c>
      <c r="X521" s="2">
        <v>0.437</v>
      </c>
      <c r="Y521" s="6">
        <f t="shared" si="70"/>
        <v>1.1665465417367396E-2</v>
      </c>
      <c r="AA521">
        <v>13811231</v>
      </c>
      <c r="AB521">
        <v>24358</v>
      </c>
      <c r="AD521" t="s">
        <v>1</v>
      </c>
      <c r="AE521">
        <v>7</v>
      </c>
      <c r="AF521">
        <v>5</v>
      </c>
      <c r="AH521" t="s">
        <v>4602</v>
      </c>
      <c r="AI521" t="s">
        <v>4601</v>
      </c>
      <c r="AJ521" t="s">
        <v>4600</v>
      </c>
      <c r="AK521" t="s">
        <v>4599</v>
      </c>
      <c r="AL521">
        <v>71</v>
      </c>
      <c r="AM521" s="5">
        <f t="shared" si="66"/>
        <v>3.3809523809523809</v>
      </c>
      <c r="AN521" s="4">
        <f t="shared" si="71"/>
        <v>5.1207154577090205E-3</v>
      </c>
      <c r="AO521" s="3"/>
      <c r="AP521">
        <v>0</v>
      </c>
      <c r="AR521">
        <v>23243</v>
      </c>
      <c r="AT521" s="2">
        <v>1.6819999999999999</v>
      </c>
      <c r="AU521" s="1">
        <f t="shared" si="67"/>
        <v>0.97020404294698814</v>
      </c>
      <c r="AV521" s="1">
        <f t="shared" si="68"/>
        <v>0.83930904375382076</v>
      </c>
      <c r="AW521" s="1">
        <f t="shared" si="69"/>
        <v>0.70841404456065338</v>
      </c>
    </row>
    <row r="522" spans="1:49" x14ac:dyDescent="0.2">
      <c r="A522">
        <v>520</v>
      </c>
      <c r="B522" t="s">
        <v>4598</v>
      </c>
      <c r="C522" t="s">
        <v>4597</v>
      </c>
      <c r="D522" t="s">
        <v>4596</v>
      </c>
      <c r="F522" t="s">
        <v>4595</v>
      </c>
      <c r="G522" t="s">
        <v>6</v>
      </c>
      <c r="H522" t="s">
        <v>5</v>
      </c>
      <c r="I522" t="s">
        <v>4594</v>
      </c>
      <c r="J522" t="s">
        <v>4593</v>
      </c>
      <c r="K522" t="s">
        <v>4592</v>
      </c>
      <c r="L522" t="s">
        <v>4591</v>
      </c>
      <c r="M522" t="s">
        <v>4590</v>
      </c>
      <c r="N522">
        <v>3</v>
      </c>
      <c r="O522" t="s">
        <v>4589</v>
      </c>
      <c r="P522" t="s">
        <v>4588</v>
      </c>
      <c r="Q522" t="s">
        <v>4587</v>
      </c>
      <c r="R522" s="7">
        <v>37135</v>
      </c>
      <c r="S522" s="8">
        <f t="shared" si="64"/>
        <v>2001</v>
      </c>
      <c r="T522" s="8">
        <v>2001</v>
      </c>
      <c r="U522" s="8">
        <f t="shared" si="65"/>
        <v>21</v>
      </c>
      <c r="V522" s="7">
        <v>37135</v>
      </c>
      <c r="W522" t="s">
        <v>294</v>
      </c>
      <c r="X522" s="2">
        <v>1.6379999999999999</v>
      </c>
      <c r="Y522" s="6">
        <f t="shared" si="70"/>
        <v>4.3725474493473214E-2</v>
      </c>
      <c r="AA522" t="s">
        <v>293</v>
      </c>
      <c r="AB522">
        <v>17391</v>
      </c>
      <c r="AD522" t="s">
        <v>1</v>
      </c>
      <c r="AE522">
        <v>49</v>
      </c>
      <c r="AF522">
        <v>9</v>
      </c>
      <c r="AH522" t="s">
        <v>4586</v>
      </c>
      <c r="AI522" t="s">
        <v>4585</v>
      </c>
      <c r="AJ522" t="s">
        <v>4584</v>
      </c>
      <c r="AK522" t="s">
        <v>4583</v>
      </c>
      <c r="AL522">
        <v>72</v>
      </c>
      <c r="AM522" s="5">
        <f t="shared" si="66"/>
        <v>3.4285714285714284</v>
      </c>
      <c r="AN522" s="4">
        <f t="shared" si="71"/>
        <v>5.1928382106344994E-3</v>
      </c>
      <c r="AO522" s="3"/>
      <c r="AP522">
        <v>0</v>
      </c>
      <c r="AR522" t="s">
        <v>0</v>
      </c>
      <c r="AS522" t="s">
        <v>2670</v>
      </c>
      <c r="AT522" s="2">
        <v>4.931</v>
      </c>
      <c r="AU522" s="1">
        <f t="shared" si="67"/>
        <v>3.2165683608621598</v>
      </c>
      <c r="AV522" s="1">
        <f t="shared" si="68"/>
        <v>2.4459156352053859</v>
      </c>
      <c r="AW522" s="1">
        <f t="shared" si="69"/>
        <v>1.6752629095486113</v>
      </c>
    </row>
    <row r="523" spans="1:49" x14ac:dyDescent="0.2">
      <c r="A523">
        <v>521</v>
      </c>
      <c r="B523" t="s">
        <v>4582</v>
      </c>
      <c r="C523" t="s">
        <v>4581</v>
      </c>
      <c r="D523" t="s">
        <v>4580</v>
      </c>
      <c r="F523" t="s">
        <v>4579</v>
      </c>
      <c r="G523" t="s">
        <v>6</v>
      </c>
      <c r="H523" t="s">
        <v>5</v>
      </c>
      <c r="I523" t="s">
        <v>4578</v>
      </c>
      <c r="J523" t="s">
        <v>991</v>
      </c>
      <c r="K523" t="s">
        <v>990</v>
      </c>
      <c r="L523" t="s">
        <v>989</v>
      </c>
      <c r="M523" t="s">
        <v>44</v>
      </c>
      <c r="N523">
        <v>2</v>
      </c>
      <c r="O523" t="s">
        <v>4577</v>
      </c>
      <c r="P523" t="s">
        <v>4576</v>
      </c>
      <c r="Q523" t="s">
        <v>988</v>
      </c>
      <c r="R523" s="7">
        <v>37135</v>
      </c>
      <c r="S523" s="8">
        <f t="shared" si="64"/>
        <v>2001</v>
      </c>
      <c r="T523" s="8">
        <v>2001</v>
      </c>
      <c r="U523" s="8">
        <f t="shared" si="65"/>
        <v>21</v>
      </c>
      <c r="V523" s="7">
        <v>37135</v>
      </c>
      <c r="W523" t="s">
        <v>294</v>
      </c>
      <c r="X523" s="2">
        <v>1.6379999999999999</v>
      </c>
      <c r="Y523" s="6">
        <f t="shared" si="70"/>
        <v>4.3725474493473214E-2</v>
      </c>
      <c r="AA523" t="s">
        <v>293</v>
      </c>
      <c r="AB523">
        <v>17391</v>
      </c>
      <c r="AD523" t="s">
        <v>1</v>
      </c>
      <c r="AE523">
        <v>49</v>
      </c>
      <c r="AF523">
        <v>9</v>
      </c>
      <c r="AH523" t="s">
        <v>4575</v>
      </c>
      <c r="AI523" t="s">
        <v>4574</v>
      </c>
      <c r="AJ523" t="s">
        <v>4573</v>
      </c>
      <c r="AK523" t="s">
        <v>4572</v>
      </c>
      <c r="AL523">
        <v>140</v>
      </c>
      <c r="AM523" s="5">
        <f t="shared" si="66"/>
        <v>6.666666666666667</v>
      </c>
      <c r="AN523" s="4">
        <f t="shared" si="71"/>
        <v>1.0097185409567083E-2</v>
      </c>
      <c r="AO523" s="3"/>
      <c r="AP523">
        <v>0</v>
      </c>
      <c r="AQ523" t="s">
        <v>21</v>
      </c>
      <c r="AR523">
        <v>96164</v>
      </c>
      <c r="AS523" t="s">
        <v>20</v>
      </c>
      <c r="AT523" s="2">
        <v>4.931</v>
      </c>
      <c r="AU523" s="1">
        <f t="shared" si="67"/>
        <v>3.3636987768301374</v>
      </c>
      <c r="AV523" s="1">
        <f t="shared" si="68"/>
        <v>2.6911329951520147</v>
      </c>
      <c r="AW523" s="1">
        <f t="shared" si="69"/>
        <v>2.0185672134738923</v>
      </c>
    </row>
    <row r="524" spans="1:49" x14ac:dyDescent="0.2">
      <c r="A524">
        <v>522</v>
      </c>
      <c r="B524" t="s">
        <v>4571</v>
      </c>
      <c r="C524" t="s">
        <v>4570</v>
      </c>
      <c r="D524" t="s">
        <v>4569</v>
      </c>
      <c r="F524" t="s">
        <v>4568</v>
      </c>
      <c r="G524" t="s">
        <v>6</v>
      </c>
      <c r="H524" t="s">
        <v>5</v>
      </c>
      <c r="I524" t="s">
        <v>4567</v>
      </c>
      <c r="J524" t="s">
        <v>450</v>
      </c>
      <c r="K524" t="s">
        <v>449</v>
      </c>
      <c r="L524" t="s">
        <v>448</v>
      </c>
      <c r="M524" t="s">
        <v>45</v>
      </c>
      <c r="N524">
        <v>3</v>
      </c>
      <c r="O524" t="s">
        <v>4566</v>
      </c>
      <c r="P524" t="s">
        <v>4565</v>
      </c>
      <c r="Q524" t="s">
        <v>4564</v>
      </c>
      <c r="R524" s="7">
        <v>37135</v>
      </c>
      <c r="S524" s="8">
        <f t="shared" si="64"/>
        <v>2001</v>
      </c>
      <c r="T524" s="8">
        <v>2001</v>
      </c>
      <c r="U524" s="8">
        <f t="shared" si="65"/>
        <v>21</v>
      </c>
      <c r="V524" s="7">
        <v>37135</v>
      </c>
      <c r="W524" t="s">
        <v>532</v>
      </c>
      <c r="X524" s="2">
        <v>0.372</v>
      </c>
      <c r="Y524" s="6">
        <f t="shared" si="70"/>
        <v>9.930327540642268E-3</v>
      </c>
      <c r="AA524">
        <v>9214534</v>
      </c>
      <c r="AB524">
        <v>29119</v>
      </c>
      <c r="AD524" t="s">
        <v>1</v>
      </c>
      <c r="AE524">
        <v>362</v>
      </c>
      <c r="AF524" s="10">
        <v>44287</v>
      </c>
      <c r="AH524" t="s">
        <v>4563</v>
      </c>
      <c r="AI524" t="s">
        <v>4562</v>
      </c>
      <c r="AJ524" t="s">
        <v>4561</v>
      </c>
      <c r="AK524" t="s">
        <v>4560</v>
      </c>
      <c r="AL524">
        <v>3</v>
      </c>
      <c r="AM524" s="5">
        <f t="shared" si="66"/>
        <v>0.14285714285714285</v>
      </c>
      <c r="AN524" s="4">
        <f t="shared" si="71"/>
        <v>2.1636825877643749E-4</v>
      </c>
      <c r="AO524" s="3"/>
      <c r="AP524">
        <v>0</v>
      </c>
      <c r="AQ524" t="s">
        <v>534</v>
      </c>
      <c r="AR524" t="s">
        <v>0</v>
      </c>
      <c r="AS524" t="s">
        <v>533</v>
      </c>
      <c r="AT524" s="2" t="s">
        <v>7</v>
      </c>
      <c r="AU524" s="1">
        <f t="shared" si="67"/>
        <v>0.70161397560825178</v>
      </c>
      <c r="AV524" s="1">
        <f t="shared" si="68"/>
        <v>0.50733478997093528</v>
      </c>
      <c r="AW524" s="1">
        <f t="shared" si="69"/>
        <v>0.31305560433361868</v>
      </c>
    </row>
    <row r="525" spans="1:49" x14ac:dyDescent="0.2">
      <c r="A525">
        <v>523</v>
      </c>
      <c r="B525" t="s">
        <v>4559</v>
      </c>
      <c r="C525" t="s">
        <v>4558</v>
      </c>
      <c r="D525" t="s">
        <v>4557</v>
      </c>
      <c r="F525" t="s">
        <v>4556</v>
      </c>
      <c r="G525" t="s">
        <v>6</v>
      </c>
      <c r="H525" t="s">
        <v>5</v>
      </c>
      <c r="I525" t="s">
        <v>4555</v>
      </c>
      <c r="J525">
        <v>60027550</v>
      </c>
      <c r="K525" t="s">
        <v>144</v>
      </c>
      <c r="L525" t="s">
        <v>65</v>
      </c>
      <c r="M525" t="s">
        <v>3</v>
      </c>
      <c r="N525">
        <v>3</v>
      </c>
      <c r="O525" t="s">
        <v>4554</v>
      </c>
      <c r="P525" t="s">
        <v>4553</v>
      </c>
      <c r="Q525" t="s">
        <v>4552</v>
      </c>
      <c r="R525" s="7">
        <v>37135</v>
      </c>
      <c r="S525" s="8">
        <f t="shared" si="64"/>
        <v>2001</v>
      </c>
      <c r="T525" s="8">
        <v>2001</v>
      </c>
      <c r="U525" s="8">
        <f t="shared" si="65"/>
        <v>21</v>
      </c>
      <c r="V525" s="7">
        <v>37135</v>
      </c>
      <c r="W525" t="s">
        <v>103</v>
      </c>
      <c r="X525" s="2">
        <v>1.3720000000000001</v>
      </c>
      <c r="Y525" s="6">
        <f t="shared" si="70"/>
        <v>3.662475641333654E-2</v>
      </c>
      <c r="AA525">
        <v>189480</v>
      </c>
      <c r="AB525">
        <v>17366</v>
      </c>
      <c r="AD525" t="s">
        <v>1</v>
      </c>
      <c r="AE525">
        <v>49</v>
      </c>
      <c r="AF525">
        <v>9</v>
      </c>
      <c r="AH525" t="s">
        <v>4551</v>
      </c>
      <c r="AI525" t="s">
        <v>4550</v>
      </c>
      <c r="AJ525" t="s">
        <v>4549</v>
      </c>
      <c r="AK525" t="s">
        <v>4548</v>
      </c>
      <c r="AL525">
        <v>45</v>
      </c>
      <c r="AM525" s="5">
        <f t="shared" si="66"/>
        <v>2.1428571428571428</v>
      </c>
      <c r="AN525" s="4">
        <f t="shared" si="71"/>
        <v>3.2455238816465623E-3</v>
      </c>
      <c r="AO525" s="3"/>
      <c r="AP525">
        <v>0</v>
      </c>
      <c r="AQ525" t="s">
        <v>823</v>
      </c>
      <c r="AR525" t="s">
        <v>4547</v>
      </c>
      <c r="AS525" t="s">
        <v>822</v>
      </c>
      <c r="AT525" s="2" t="s">
        <v>7</v>
      </c>
      <c r="AU525" s="1">
        <f t="shared" si="67"/>
        <v>2.6610986653829545</v>
      </c>
      <c r="AV525" s="1">
        <f t="shared" si="68"/>
        <v>1.993514014749155</v>
      </c>
      <c r="AW525" s="1">
        <f t="shared" si="69"/>
        <v>1.3259293641153556</v>
      </c>
    </row>
    <row r="526" spans="1:49" x14ac:dyDescent="0.2">
      <c r="A526">
        <v>524</v>
      </c>
      <c r="B526" t="s">
        <v>4546</v>
      </c>
      <c r="C526" t="s">
        <v>4545</v>
      </c>
      <c r="D526" t="s">
        <v>4544</v>
      </c>
      <c r="F526" t="s">
        <v>4543</v>
      </c>
      <c r="G526" t="s">
        <v>6</v>
      </c>
      <c r="H526" t="s">
        <v>5</v>
      </c>
      <c r="I526" t="s">
        <v>4542</v>
      </c>
      <c r="J526" t="s">
        <v>4541</v>
      </c>
      <c r="K526" t="s">
        <v>4540</v>
      </c>
      <c r="L526" t="s">
        <v>4539</v>
      </c>
      <c r="M526" t="s">
        <v>4538</v>
      </c>
      <c r="N526">
        <v>6</v>
      </c>
      <c r="O526" t="s">
        <v>4537</v>
      </c>
      <c r="P526" t="s">
        <v>4536</v>
      </c>
      <c r="Q526" t="s">
        <v>4535</v>
      </c>
      <c r="R526" s="7">
        <v>37135</v>
      </c>
      <c r="S526" s="8">
        <f t="shared" si="64"/>
        <v>2001</v>
      </c>
      <c r="T526" s="8">
        <v>2001</v>
      </c>
      <c r="U526" s="8">
        <f t="shared" si="65"/>
        <v>21</v>
      </c>
      <c r="V526" s="7">
        <v>37135</v>
      </c>
      <c r="W526" t="s">
        <v>283</v>
      </c>
      <c r="X526" s="2">
        <v>2.141</v>
      </c>
      <c r="Y526" s="6">
        <f t="shared" si="70"/>
        <v>5.7152772216438434E-2</v>
      </c>
      <c r="AA526">
        <v>1962892</v>
      </c>
      <c r="AB526">
        <v>17360</v>
      </c>
      <c r="AD526" t="s">
        <v>1</v>
      </c>
      <c r="AE526">
        <v>39</v>
      </c>
      <c r="AF526">
        <v>8</v>
      </c>
      <c r="AH526" t="s">
        <v>4534</v>
      </c>
      <c r="AI526" t="s">
        <v>4533</v>
      </c>
      <c r="AJ526" t="s">
        <v>4532</v>
      </c>
      <c r="AK526" t="s">
        <v>4531</v>
      </c>
      <c r="AL526">
        <v>1164</v>
      </c>
      <c r="AM526" s="5">
        <f t="shared" si="66"/>
        <v>55.428571428571431</v>
      </c>
      <c r="AN526" s="4">
        <f t="shared" si="71"/>
        <v>8.3950884405257747E-2</v>
      </c>
      <c r="AO526" s="3"/>
      <c r="AP526">
        <v>0</v>
      </c>
      <c r="AR526" t="s">
        <v>0</v>
      </c>
      <c r="AT526" s="2" t="s">
        <v>7</v>
      </c>
      <c r="AU526" s="1">
        <f t="shared" si="67"/>
        <v>6.5192205873084221</v>
      </c>
      <c r="AV526" s="1">
        <f t="shared" si="68"/>
        <v>7.0551828310848093</v>
      </c>
      <c r="AW526" s="1">
        <f t="shared" si="69"/>
        <v>7.5911450748611955</v>
      </c>
    </row>
    <row r="527" spans="1:49" x14ac:dyDescent="0.2">
      <c r="A527">
        <v>525</v>
      </c>
      <c r="B527" t="s">
        <v>4530</v>
      </c>
      <c r="C527" t="s">
        <v>4529</v>
      </c>
      <c r="D527" t="s">
        <v>4528</v>
      </c>
      <c r="F527" t="s">
        <v>4527</v>
      </c>
      <c r="G527" t="s">
        <v>6</v>
      </c>
      <c r="H527" t="s">
        <v>5</v>
      </c>
      <c r="I527" t="s">
        <v>4526</v>
      </c>
      <c r="J527" t="s">
        <v>4525</v>
      </c>
      <c r="K527" t="s">
        <v>4524</v>
      </c>
      <c r="L527" t="s">
        <v>4523</v>
      </c>
      <c r="M527" t="s">
        <v>30</v>
      </c>
      <c r="N527">
        <v>3</v>
      </c>
      <c r="O527" t="s">
        <v>4522</v>
      </c>
      <c r="P527" t="s">
        <v>4521</v>
      </c>
      <c r="Q527" t="s">
        <v>4520</v>
      </c>
      <c r="R527" s="7">
        <v>37135</v>
      </c>
      <c r="S527" s="8">
        <f t="shared" si="64"/>
        <v>2001</v>
      </c>
      <c r="T527" s="8">
        <v>2001</v>
      </c>
      <c r="U527" s="8">
        <f t="shared" si="65"/>
        <v>21</v>
      </c>
      <c r="V527" s="7">
        <v>37135</v>
      </c>
      <c r="W527" t="s">
        <v>283</v>
      </c>
      <c r="X527" s="2">
        <v>2.141</v>
      </c>
      <c r="Y527" s="6">
        <f t="shared" si="70"/>
        <v>5.7152772216438434E-2</v>
      </c>
      <c r="AA527">
        <v>1962892</v>
      </c>
      <c r="AB527">
        <v>17360</v>
      </c>
      <c r="AD527" t="s">
        <v>1</v>
      </c>
      <c r="AE527">
        <v>39</v>
      </c>
      <c r="AF527">
        <v>8</v>
      </c>
      <c r="AH527" t="s">
        <v>4519</v>
      </c>
      <c r="AI527" t="s">
        <v>4518</v>
      </c>
      <c r="AJ527" t="s">
        <v>4517</v>
      </c>
      <c r="AK527" t="s">
        <v>4516</v>
      </c>
      <c r="AL527">
        <v>69</v>
      </c>
      <c r="AM527" s="5">
        <f t="shared" si="66"/>
        <v>3.2857142857142856</v>
      </c>
      <c r="AN527" s="4">
        <f t="shared" si="71"/>
        <v>4.9764699518580618E-3</v>
      </c>
      <c r="AO527" s="3"/>
      <c r="AP527">
        <v>0</v>
      </c>
      <c r="AQ527" t="s">
        <v>549</v>
      </c>
      <c r="AR527" t="s">
        <v>4515</v>
      </c>
      <c r="AS527" t="s">
        <v>548</v>
      </c>
      <c r="AT527" s="2" t="s">
        <v>7</v>
      </c>
      <c r="AU527" s="1">
        <f t="shared" si="67"/>
        <v>4.149988153706432</v>
      </c>
      <c r="AV527" s="1">
        <f t="shared" si="68"/>
        <v>3.1064621084148247</v>
      </c>
      <c r="AW527" s="1">
        <f t="shared" si="69"/>
        <v>2.0629360631232174</v>
      </c>
    </row>
    <row r="528" spans="1:49" x14ac:dyDescent="0.2">
      <c r="A528">
        <v>526</v>
      </c>
      <c r="B528" t="s">
        <v>4514</v>
      </c>
      <c r="C528" t="s">
        <v>4513</v>
      </c>
      <c r="D528" t="s">
        <v>4512</v>
      </c>
      <c r="F528" t="s">
        <v>4511</v>
      </c>
      <c r="G528" t="s">
        <v>6</v>
      </c>
      <c r="H528" t="s">
        <v>5</v>
      </c>
      <c r="I528" t="s">
        <v>4510</v>
      </c>
      <c r="J528" t="s">
        <v>4509</v>
      </c>
      <c r="K528" t="s">
        <v>4508</v>
      </c>
      <c r="L528" t="s">
        <v>4507</v>
      </c>
      <c r="M528" t="s">
        <v>128</v>
      </c>
      <c r="N528">
        <v>4</v>
      </c>
      <c r="O528" t="s">
        <v>4506</v>
      </c>
      <c r="P528" t="s">
        <v>4505</v>
      </c>
      <c r="Q528" t="s">
        <v>4504</v>
      </c>
      <c r="R528" s="7">
        <v>37135</v>
      </c>
      <c r="S528" s="8">
        <f t="shared" si="64"/>
        <v>2001</v>
      </c>
      <c r="T528" s="8">
        <v>2001</v>
      </c>
      <c r="U528" s="8">
        <f t="shared" si="65"/>
        <v>21</v>
      </c>
      <c r="V528" s="7">
        <v>37135</v>
      </c>
      <c r="W528" t="s">
        <v>264</v>
      </c>
      <c r="X528" s="2">
        <v>1.218</v>
      </c>
      <c r="Y528" s="6">
        <f t="shared" si="70"/>
        <v>3.2513814366941618E-2</v>
      </c>
      <c r="AA528">
        <v>189448</v>
      </c>
      <c r="AB528">
        <v>15107</v>
      </c>
      <c r="AD528" t="s">
        <v>1</v>
      </c>
      <c r="AE528">
        <v>47</v>
      </c>
      <c r="AF528">
        <v>6</v>
      </c>
      <c r="AH528" t="s">
        <v>4503</v>
      </c>
      <c r="AI528" t="s">
        <v>4502</v>
      </c>
      <c r="AJ528" t="s">
        <v>4501</v>
      </c>
      <c r="AK528" t="s">
        <v>4500</v>
      </c>
      <c r="AL528">
        <v>260</v>
      </c>
      <c r="AM528" s="5">
        <f t="shared" si="66"/>
        <v>12.380952380952381</v>
      </c>
      <c r="AN528" s="4">
        <f t="shared" si="71"/>
        <v>1.8751915760624585E-2</v>
      </c>
      <c r="AO528" s="3"/>
      <c r="AP528">
        <v>0</v>
      </c>
      <c r="AR528" t="s">
        <v>0</v>
      </c>
      <c r="AT528" s="2" t="s">
        <v>7</v>
      </c>
      <c r="AU528" s="1">
        <f t="shared" si="67"/>
        <v>2.8385244785046506</v>
      </c>
      <c r="AV528" s="1">
        <f t="shared" si="68"/>
        <v>2.5632865063783101</v>
      </c>
      <c r="AW528" s="1">
        <f t="shared" si="69"/>
        <v>2.2880485342519692</v>
      </c>
    </row>
    <row r="529" spans="1:49" x14ac:dyDescent="0.2">
      <c r="A529">
        <v>527</v>
      </c>
      <c r="B529" t="s">
        <v>4499</v>
      </c>
      <c r="C529" t="s">
        <v>4498</v>
      </c>
      <c r="D529" t="s">
        <v>4497</v>
      </c>
      <c r="F529" t="s">
        <v>4496</v>
      </c>
      <c r="G529" t="s">
        <v>6</v>
      </c>
      <c r="H529" t="s">
        <v>5</v>
      </c>
      <c r="I529" t="s">
        <v>4495</v>
      </c>
      <c r="J529" t="s">
        <v>4494</v>
      </c>
      <c r="K529" t="s">
        <v>4493</v>
      </c>
      <c r="L529" t="s">
        <v>4492</v>
      </c>
      <c r="M529" t="s">
        <v>44</v>
      </c>
      <c r="N529">
        <v>2</v>
      </c>
      <c r="O529" t="s">
        <v>4491</v>
      </c>
      <c r="P529" t="s">
        <v>4490</v>
      </c>
      <c r="Q529" t="s">
        <v>4489</v>
      </c>
      <c r="R529" s="7">
        <v>37135</v>
      </c>
      <c r="S529" s="8">
        <f t="shared" si="64"/>
        <v>2001</v>
      </c>
      <c r="T529" s="8">
        <v>2001</v>
      </c>
      <c r="U529" s="8">
        <f t="shared" si="65"/>
        <v>21</v>
      </c>
      <c r="V529" s="7">
        <v>37135</v>
      </c>
      <c r="W529" t="s">
        <v>264</v>
      </c>
      <c r="X529" s="2">
        <v>1.218</v>
      </c>
      <c r="Y529" s="6">
        <f t="shared" si="70"/>
        <v>3.2513814366941618E-2</v>
      </c>
      <c r="AA529">
        <v>189448</v>
      </c>
      <c r="AB529">
        <v>15107</v>
      </c>
      <c r="AD529" t="s">
        <v>1</v>
      </c>
      <c r="AE529">
        <v>47</v>
      </c>
      <c r="AF529">
        <v>6</v>
      </c>
      <c r="AH529" t="s">
        <v>4488</v>
      </c>
      <c r="AI529" t="s">
        <v>4487</v>
      </c>
      <c r="AJ529" t="s">
        <v>4486</v>
      </c>
      <c r="AK529" t="s">
        <v>4485</v>
      </c>
      <c r="AL529">
        <v>166</v>
      </c>
      <c r="AM529" s="5">
        <f t="shared" si="66"/>
        <v>7.9047619047619051</v>
      </c>
      <c r="AN529" s="4">
        <f t="shared" si="71"/>
        <v>1.1972376985629541E-2</v>
      </c>
      <c r="AO529" s="3"/>
      <c r="AP529">
        <v>0</v>
      </c>
      <c r="AQ529" t="s">
        <v>21</v>
      </c>
      <c r="AR529" t="s">
        <v>4484</v>
      </c>
      <c r="AS529" t="s">
        <v>20</v>
      </c>
      <c r="AT529" s="2" t="s">
        <v>7</v>
      </c>
      <c r="AU529" s="1">
        <f t="shared" si="67"/>
        <v>2.6351383152547996</v>
      </c>
      <c r="AV529" s="1">
        <f t="shared" si="68"/>
        <v>2.2243095676285582</v>
      </c>
      <c r="AW529" s="1">
        <f t="shared" si="69"/>
        <v>1.8134808200023163</v>
      </c>
    </row>
    <row r="530" spans="1:49" x14ac:dyDescent="0.2">
      <c r="A530">
        <v>528</v>
      </c>
      <c r="B530" t="s">
        <v>4483</v>
      </c>
      <c r="C530" t="s">
        <v>4482</v>
      </c>
      <c r="D530" t="s">
        <v>4481</v>
      </c>
      <c r="F530" t="s">
        <v>4480</v>
      </c>
      <c r="G530" t="s">
        <v>6</v>
      </c>
      <c r="H530" t="s">
        <v>5</v>
      </c>
      <c r="I530" t="s">
        <v>4479</v>
      </c>
      <c r="J530" t="s">
        <v>4478</v>
      </c>
      <c r="K530" t="s">
        <v>4477</v>
      </c>
      <c r="L530" t="s">
        <v>4476</v>
      </c>
      <c r="M530" t="s">
        <v>128</v>
      </c>
      <c r="N530">
        <v>2</v>
      </c>
      <c r="O530" t="s">
        <v>4475</v>
      </c>
      <c r="P530" t="s">
        <v>4474</v>
      </c>
      <c r="Q530" t="s">
        <v>4473</v>
      </c>
      <c r="R530" s="7">
        <v>37135</v>
      </c>
      <c r="S530" s="8">
        <f t="shared" si="64"/>
        <v>2001</v>
      </c>
      <c r="T530" s="8">
        <v>2001</v>
      </c>
      <c r="U530" s="8">
        <f t="shared" si="65"/>
        <v>21</v>
      </c>
      <c r="V530" s="7">
        <v>37135</v>
      </c>
      <c r="W530" t="s">
        <v>264</v>
      </c>
      <c r="X530" s="2">
        <v>1.218</v>
      </c>
      <c r="Y530" s="6">
        <f t="shared" si="70"/>
        <v>3.2513814366941618E-2</v>
      </c>
      <c r="AA530">
        <v>189448</v>
      </c>
      <c r="AB530">
        <v>15107</v>
      </c>
      <c r="AD530" t="s">
        <v>1</v>
      </c>
      <c r="AE530">
        <v>47</v>
      </c>
      <c r="AF530">
        <v>6</v>
      </c>
      <c r="AH530" t="s">
        <v>4472</v>
      </c>
      <c r="AI530" t="s">
        <v>4471</v>
      </c>
      <c r="AJ530" t="s">
        <v>4470</v>
      </c>
      <c r="AK530" t="s">
        <v>4469</v>
      </c>
      <c r="AL530">
        <v>39</v>
      </c>
      <c r="AM530" s="5">
        <f t="shared" si="66"/>
        <v>1.8571428571428572</v>
      </c>
      <c r="AN530" s="4">
        <f t="shared" si="71"/>
        <v>2.8127873640936877E-3</v>
      </c>
      <c r="AO530" s="3"/>
      <c r="AP530">
        <v>0</v>
      </c>
      <c r="AQ530" t="s">
        <v>823</v>
      </c>
      <c r="AR530" t="s">
        <v>4468</v>
      </c>
      <c r="AS530" t="s">
        <v>822</v>
      </c>
      <c r="AT530" s="2" t="s">
        <v>7</v>
      </c>
      <c r="AU530" s="1">
        <f t="shared" si="67"/>
        <v>2.360350626608724</v>
      </c>
      <c r="AV530" s="1">
        <f t="shared" si="68"/>
        <v>1.7663300865517655</v>
      </c>
      <c r="AW530" s="1">
        <f t="shared" si="69"/>
        <v>1.1723095464948066</v>
      </c>
    </row>
    <row r="531" spans="1:49" x14ac:dyDescent="0.2">
      <c r="A531">
        <v>529</v>
      </c>
      <c r="B531" t="s">
        <v>4467</v>
      </c>
      <c r="C531" t="s">
        <v>4466</v>
      </c>
      <c r="F531" t="s">
        <v>4465</v>
      </c>
      <c r="G531" t="s">
        <v>6</v>
      </c>
      <c r="H531" t="s">
        <v>5</v>
      </c>
      <c r="I531" t="s">
        <v>4464</v>
      </c>
      <c r="J531">
        <v>60026638</v>
      </c>
      <c r="K531" t="s">
        <v>147</v>
      </c>
      <c r="L531" t="s">
        <v>146</v>
      </c>
      <c r="M531" t="s">
        <v>145</v>
      </c>
      <c r="N531">
        <v>3</v>
      </c>
      <c r="O531" t="s">
        <v>4463</v>
      </c>
      <c r="P531" t="s">
        <v>4462</v>
      </c>
      <c r="Q531" t="s">
        <v>281</v>
      </c>
      <c r="R531" s="7">
        <v>37135</v>
      </c>
      <c r="S531" s="8">
        <f t="shared" si="64"/>
        <v>2001</v>
      </c>
      <c r="T531" s="8">
        <v>2001</v>
      </c>
      <c r="U531" s="8">
        <f t="shared" si="65"/>
        <v>21</v>
      </c>
      <c r="V531" s="7">
        <v>37135</v>
      </c>
      <c r="W531" t="s">
        <v>280</v>
      </c>
      <c r="X531" s="2">
        <v>2.823</v>
      </c>
      <c r="Y531" s="6">
        <f t="shared" si="70"/>
        <v>7.5358372707615917E-2</v>
      </c>
      <c r="AA531">
        <v>1636804</v>
      </c>
      <c r="AB531">
        <v>17249</v>
      </c>
      <c r="AD531" t="s">
        <v>1</v>
      </c>
      <c r="AE531">
        <v>39</v>
      </c>
      <c r="AF531">
        <v>9</v>
      </c>
      <c r="AH531" t="s">
        <v>4461</v>
      </c>
      <c r="AI531" t="s">
        <v>4460</v>
      </c>
      <c r="AK531" t="s">
        <v>4459</v>
      </c>
      <c r="AL531">
        <v>74</v>
      </c>
      <c r="AM531" s="5">
        <f t="shared" si="66"/>
        <v>3.5238095238095237</v>
      </c>
      <c r="AN531" s="4">
        <f t="shared" si="71"/>
        <v>5.337083716485458E-3</v>
      </c>
      <c r="AO531" s="3"/>
      <c r="AP531">
        <v>0</v>
      </c>
      <c r="AR531" t="s">
        <v>0</v>
      </c>
      <c r="AT531" s="2">
        <v>9.6189999999999998</v>
      </c>
      <c r="AU531" s="1">
        <f t="shared" si="67"/>
        <v>5.435198601027678</v>
      </c>
      <c r="AV531" s="1">
        <f t="shared" si="68"/>
        <v>4.0347728212050686</v>
      </c>
      <c r="AW531" s="1">
        <f t="shared" si="69"/>
        <v>2.6343470413824592</v>
      </c>
    </row>
    <row r="532" spans="1:49" x14ac:dyDescent="0.2">
      <c r="A532">
        <v>530</v>
      </c>
      <c r="B532" t="s">
        <v>4458</v>
      </c>
      <c r="C532" t="s">
        <v>4457</v>
      </c>
      <c r="F532" t="s">
        <v>4456</v>
      </c>
      <c r="G532" t="s">
        <v>6</v>
      </c>
      <c r="H532" t="s">
        <v>5</v>
      </c>
      <c r="I532" t="s">
        <v>4455</v>
      </c>
      <c r="J532" t="s">
        <v>4454</v>
      </c>
      <c r="K532" t="s">
        <v>4453</v>
      </c>
      <c r="L532" t="s">
        <v>4452</v>
      </c>
      <c r="M532" t="s">
        <v>45</v>
      </c>
      <c r="N532">
        <v>5</v>
      </c>
      <c r="O532" t="s">
        <v>4451</v>
      </c>
      <c r="P532" t="s">
        <v>4450</v>
      </c>
      <c r="Q532" t="s">
        <v>4449</v>
      </c>
      <c r="R532" s="7">
        <v>37135</v>
      </c>
      <c r="S532" s="8">
        <f t="shared" si="64"/>
        <v>2001</v>
      </c>
      <c r="T532" s="8">
        <v>2001</v>
      </c>
      <c r="U532" s="8">
        <f t="shared" si="65"/>
        <v>21</v>
      </c>
      <c r="V532" s="7">
        <v>37135</v>
      </c>
      <c r="W532" t="s">
        <v>550</v>
      </c>
      <c r="X532" s="2" t="s">
        <v>7</v>
      </c>
      <c r="Y532" s="6" t="e">
        <f t="shared" si="70"/>
        <v>#VALUE!</v>
      </c>
      <c r="AA532">
        <v>7342101</v>
      </c>
      <c r="AB532">
        <v>28596</v>
      </c>
      <c r="AD532" t="s">
        <v>1</v>
      </c>
      <c r="AE532">
        <v>19</v>
      </c>
      <c r="AF532">
        <v>5</v>
      </c>
      <c r="AH532" t="s">
        <v>4448</v>
      </c>
      <c r="AI532" t="s">
        <v>4447</v>
      </c>
      <c r="AK532" t="s">
        <v>4446</v>
      </c>
      <c r="AL532">
        <v>17</v>
      </c>
      <c r="AM532" s="5">
        <f t="shared" si="66"/>
        <v>0.80952380952380953</v>
      </c>
      <c r="AN532" s="4">
        <f t="shared" si="71"/>
        <v>1.2260867997331457E-3</v>
      </c>
      <c r="AO532" s="3"/>
      <c r="AP532">
        <v>0</v>
      </c>
      <c r="AR532" t="s">
        <v>0</v>
      </c>
      <c r="AT532" s="2" t="s">
        <v>7</v>
      </c>
      <c r="AU532" s="1" t="e">
        <f t="shared" si="67"/>
        <v>#VALUE!</v>
      </c>
      <c r="AV532" s="1" t="e">
        <f t="shared" si="68"/>
        <v>#VALUE!</v>
      </c>
      <c r="AW532" s="1" t="e">
        <f t="shared" si="69"/>
        <v>#VALUE!</v>
      </c>
    </row>
    <row r="533" spans="1:49" x14ac:dyDescent="0.2">
      <c r="A533">
        <v>531</v>
      </c>
      <c r="B533" t="s">
        <v>4445</v>
      </c>
      <c r="C533" t="s">
        <v>4444</v>
      </c>
      <c r="D533" t="s">
        <v>4443</v>
      </c>
      <c r="F533" t="s">
        <v>4442</v>
      </c>
      <c r="G533" t="s">
        <v>6</v>
      </c>
      <c r="H533" t="s">
        <v>5</v>
      </c>
      <c r="I533" t="s">
        <v>4441</v>
      </c>
      <c r="J533" t="s">
        <v>4440</v>
      </c>
      <c r="K533" t="s">
        <v>4439</v>
      </c>
      <c r="L533" t="s">
        <v>4438</v>
      </c>
      <c r="M533" t="s">
        <v>128</v>
      </c>
      <c r="N533">
        <v>2</v>
      </c>
      <c r="O533" t="s">
        <v>4437</v>
      </c>
      <c r="P533" t="s">
        <v>4436</v>
      </c>
      <c r="Q533" t="s">
        <v>4435</v>
      </c>
      <c r="R533" s="7">
        <v>37135</v>
      </c>
      <c r="S533" s="8">
        <f t="shared" si="64"/>
        <v>2001</v>
      </c>
      <c r="T533" s="8">
        <v>2001</v>
      </c>
      <c r="U533" s="8">
        <f t="shared" si="65"/>
        <v>21</v>
      </c>
      <c r="V533" s="7">
        <v>37135</v>
      </c>
      <c r="W533" t="s">
        <v>264</v>
      </c>
      <c r="X533" s="2">
        <v>1.218</v>
      </c>
      <c r="Y533" s="6">
        <f t="shared" si="70"/>
        <v>3.2513814366941618E-2</v>
      </c>
      <c r="AA533">
        <v>189448</v>
      </c>
      <c r="AB533">
        <v>15107</v>
      </c>
      <c r="AD533" t="s">
        <v>1</v>
      </c>
      <c r="AE533">
        <v>47</v>
      </c>
      <c r="AF533">
        <v>6</v>
      </c>
      <c r="AH533" t="s">
        <v>4434</v>
      </c>
      <c r="AI533" t="s">
        <v>4433</v>
      </c>
      <c r="AJ533" t="s">
        <v>4432</v>
      </c>
      <c r="AK533" t="s">
        <v>4431</v>
      </c>
      <c r="AL533">
        <v>178</v>
      </c>
      <c r="AM533" s="5">
        <f t="shared" si="66"/>
        <v>8.4761904761904763</v>
      </c>
      <c r="AN533" s="4">
        <f t="shared" si="71"/>
        <v>1.2837850020735292E-2</v>
      </c>
      <c r="AO533" s="3"/>
      <c r="AP533">
        <v>0</v>
      </c>
      <c r="AR533" t="s">
        <v>0</v>
      </c>
      <c r="AT533" s="2" t="s">
        <v>7</v>
      </c>
      <c r="AU533" s="1">
        <f t="shared" si="67"/>
        <v>2.6611025063079721</v>
      </c>
      <c r="AV533" s="1">
        <f t="shared" si="68"/>
        <v>2.2675832193838454</v>
      </c>
      <c r="AW533" s="1">
        <f t="shared" si="69"/>
        <v>1.874063932459719</v>
      </c>
    </row>
    <row r="534" spans="1:49" x14ac:dyDescent="0.2">
      <c r="A534">
        <v>532</v>
      </c>
      <c r="B534" t="s">
        <v>4430</v>
      </c>
      <c r="C534" t="s">
        <v>4429</v>
      </c>
      <c r="D534" t="s">
        <v>4428</v>
      </c>
      <c r="F534" t="s">
        <v>4427</v>
      </c>
      <c r="G534" t="s">
        <v>6</v>
      </c>
      <c r="H534" t="s">
        <v>5</v>
      </c>
      <c r="I534" t="s">
        <v>186</v>
      </c>
      <c r="J534" t="s">
        <v>4426</v>
      </c>
      <c r="K534" t="s">
        <v>4425</v>
      </c>
      <c r="L534" t="s">
        <v>4424</v>
      </c>
      <c r="M534" t="s">
        <v>4423</v>
      </c>
      <c r="N534">
        <v>9</v>
      </c>
      <c r="O534" t="s">
        <v>4422</v>
      </c>
      <c r="P534" t="s">
        <v>4421</v>
      </c>
      <c r="Q534" t="s">
        <v>4420</v>
      </c>
      <c r="R534" s="7">
        <v>37135</v>
      </c>
      <c r="S534" s="8">
        <f t="shared" si="64"/>
        <v>2001</v>
      </c>
      <c r="T534" s="8">
        <v>2001</v>
      </c>
      <c r="U534" s="8">
        <f t="shared" si="65"/>
        <v>21</v>
      </c>
      <c r="V534" s="7">
        <v>37135</v>
      </c>
      <c r="W534" t="s">
        <v>684</v>
      </c>
      <c r="X534" s="2">
        <v>1.3280000000000001</v>
      </c>
      <c r="Y534" s="6">
        <f t="shared" si="70"/>
        <v>3.5450201542937994E-2</v>
      </c>
      <c r="AA534">
        <v>7413335</v>
      </c>
      <c r="AB534">
        <v>29251</v>
      </c>
      <c r="AD534" t="s">
        <v>1</v>
      </c>
      <c r="AE534">
        <v>43</v>
      </c>
      <c r="AF534">
        <v>9</v>
      </c>
      <c r="AH534" t="s">
        <v>4419</v>
      </c>
      <c r="AI534" t="s">
        <v>4418</v>
      </c>
      <c r="AK534" t="s">
        <v>4417</v>
      </c>
      <c r="AL534">
        <v>13</v>
      </c>
      <c r="AM534" s="5">
        <f t="shared" si="66"/>
        <v>0.61904761904761907</v>
      </c>
      <c r="AN534" s="4">
        <f t="shared" si="71"/>
        <v>9.3759578803122919E-4</v>
      </c>
      <c r="AO534" s="3"/>
      <c r="AP534">
        <v>0</v>
      </c>
      <c r="AR534" t="s">
        <v>0</v>
      </c>
      <c r="AT534" s="2">
        <v>2.4580000000000002</v>
      </c>
      <c r="AU534" s="1">
        <f t="shared" si="67"/>
        <v>2.5096419816465967</v>
      </c>
      <c r="AV534" s="1">
        <f t="shared" si="68"/>
        <v>1.8193898665484611</v>
      </c>
      <c r="AW534" s="1">
        <f t="shared" si="69"/>
        <v>1.1291377514503258</v>
      </c>
    </row>
    <row r="535" spans="1:49" x14ac:dyDescent="0.2">
      <c r="A535">
        <v>533</v>
      </c>
      <c r="B535" t="s">
        <v>4416</v>
      </c>
      <c r="F535" t="s">
        <v>4415</v>
      </c>
      <c r="G535" t="s">
        <v>6</v>
      </c>
      <c r="H535" t="s">
        <v>5</v>
      </c>
      <c r="I535" t="s">
        <v>4414</v>
      </c>
      <c r="N535">
        <v>2</v>
      </c>
      <c r="O535" t="s">
        <v>4413</v>
      </c>
      <c r="P535" t="s">
        <v>4412</v>
      </c>
      <c r="Q535" t="s">
        <v>582</v>
      </c>
      <c r="R535" s="7">
        <v>37135</v>
      </c>
      <c r="S535" s="8">
        <f t="shared" si="64"/>
        <v>2001</v>
      </c>
      <c r="T535" s="8">
        <v>2001</v>
      </c>
      <c r="U535" s="8">
        <f t="shared" si="65"/>
        <v>21</v>
      </c>
      <c r="V535" s="7">
        <v>37135</v>
      </c>
      <c r="W535" t="s">
        <v>4411</v>
      </c>
      <c r="X535" s="2">
        <v>0.128</v>
      </c>
      <c r="Y535" s="6">
        <f t="shared" si="70"/>
        <v>3.4168868957048667E-3</v>
      </c>
      <c r="AA535">
        <v>10750207</v>
      </c>
      <c r="AB535">
        <v>18722</v>
      </c>
      <c r="AD535" t="s">
        <v>1</v>
      </c>
      <c r="AE535">
        <v>13</v>
      </c>
      <c r="AF535">
        <v>9</v>
      </c>
      <c r="AI535" t="s">
        <v>4410</v>
      </c>
      <c r="AK535" t="s">
        <v>4409</v>
      </c>
      <c r="AL535">
        <v>2</v>
      </c>
      <c r="AM535" s="5">
        <f t="shared" si="66"/>
        <v>9.5238095238095233E-2</v>
      </c>
      <c r="AN535" s="4">
        <f t="shared" si="71"/>
        <v>1.4424550585095833E-4</v>
      </c>
      <c r="AO535" s="3"/>
      <c r="AP535">
        <v>0</v>
      </c>
      <c r="AR535" t="s">
        <v>0</v>
      </c>
      <c r="AT535" s="2" t="s">
        <v>7</v>
      </c>
      <c r="AU535" s="1">
        <f t="shared" si="67"/>
        <v>0.24350944787486944</v>
      </c>
      <c r="AV535" s="1">
        <f t="shared" si="68"/>
        <v>0.17805662007779124</v>
      </c>
      <c r="AW535" s="1">
        <f t="shared" si="69"/>
        <v>0.11260379228071307</v>
      </c>
    </row>
    <row r="536" spans="1:49" x14ac:dyDescent="0.2">
      <c r="A536">
        <v>534</v>
      </c>
      <c r="B536" t="s">
        <v>4408</v>
      </c>
      <c r="C536" t="s">
        <v>4407</v>
      </c>
      <c r="F536" t="s">
        <v>4406</v>
      </c>
      <c r="G536" t="s">
        <v>6</v>
      </c>
      <c r="H536" t="s">
        <v>5</v>
      </c>
      <c r="I536" t="s">
        <v>4405</v>
      </c>
      <c r="J536">
        <v>60024590</v>
      </c>
      <c r="K536" t="s">
        <v>465</v>
      </c>
      <c r="L536" t="s">
        <v>464</v>
      </c>
      <c r="M536" t="s">
        <v>3</v>
      </c>
      <c r="N536">
        <v>1</v>
      </c>
      <c r="O536" t="s">
        <v>4404</v>
      </c>
      <c r="P536">
        <v>14018693100</v>
      </c>
      <c r="Q536">
        <v>60024590</v>
      </c>
      <c r="R536" s="7">
        <v>37135</v>
      </c>
      <c r="S536" s="8">
        <f t="shared" si="64"/>
        <v>2001</v>
      </c>
      <c r="T536" s="8">
        <v>2001</v>
      </c>
      <c r="U536" s="8">
        <f t="shared" si="65"/>
        <v>21</v>
      </c>
      <c r="V536" s="7">
        <v>37135</v>
      </c>
      <c r="W536" t="s">
        <v>280</v>
      </c>
      <c r="X536" s="2">
        <v>2.823</v>
      </c>
      <c r="Y536" s="6">
        <f t="shared" si="70"/>
        <v>7.5358372707615917E-2</v>
      </c>
      <c r="AA536">
        <v>1636804</v>
      </c>
      <c r="AB536">
        <v>17249</v>
      </c>
      <c r="AD536" t="s">
        <v>1</v>
      </c>
      <c r="AE536">
        <v>39</v>
      </c>
      <c r="AF536">
        <v>9</v>
      </c>
      <c r="AH536" t="s">
        <v>4403</v>
      </c>
      <c r="AI536" t="s">
        <v>4402</v>
      </c>
      <c r="AK536" t="s">
        <v>4401</v>
      </c>
      <c r="AL536">
        <v>52</v>
      </c>
      <c r="AM536" s="5">
        <f t="shared" si="66"/>
        <v>2.4761904761904763</v>
      </c>
      <c r="AN536" s="4">
        <f t="shared" si="71"/>
        <v>3.7503831521249168E-3</v>
      </c>
      <c r="AO536" s="3"/>
      <c r="AP536">
        <v>0</v>
      </c>
      <c r="AR536" t="s">
        <v>0</v>
      </c>
      <c r="AT536" s="2">
        <v>9.6189999999999998</v>
      </c>
      <c r="AU536" s="1">
        <f t="shared" si="67"/>
        <v>5.3875975840968611</v>
      </c>
      <c r="AV536" s="1">
        <f t="shared" si="68"/>
        <v>3.9554377929870417</v>
      </c>
      <c r="AW536" s="1">
        <f t="shared" si="69"/>
        <v>2.5232780018772214</v>
      </c>
    </row>
    <row r="537" spans="1:49" x14ac:dyDescent="0.2">
      <c r="A537">
        <v>535</v>
      </c>
      <c r="B537" t="s">
        <v>4400</v>
      </c>
      <c r="C537" t="s">
        <v>4399</v>
      </c>
      <c r="D537" t="s">
        <v>4398</v>
      </c>
      <c r="F537" t="s">
        <v>4397</v>
      </c>
      <c r="G537" t="s">
        <v>6</v>
      </c>
      <c r="H537" t="s">
        <v>5</v>
      </c>
      <c r="I537" t="s">
        <v>4396</v>
      </c>
      <c r="J537" t="s">
        <v>4395</v>
      </c>
      <c r="K537" t="s">
        <v>4394</v>
      </c>
      <c r="L537" t="s">
        <v>4393</v>
      </c>
      <c r="M537" t="s">
        <v>29</v>
      </c>
      <c r="N537">
        <v>2</v>
      </c>
      <c r="O537" t="s">
        <v>4392</v>
      </c>
      <c r="P537" t="s">
        <v>4391</v>
      </c>
      <c r="Q537" t="s">
        <v>4390</v>
      </c>
      <c r="R537" s="7">
        <v>37135</v>
      </c>
      <c r="S537" s="8">
        <f t="shared" si="64"/>
        <v>2001</v>
      </c>
      <c r="T537" s="8">
        <v>2001</v>
      </c>
      <c r="U537" s="8">
        <f t="shared" si="65"/>
        <v>21</v>
      </c>
      <c r="V537" s="7">
        <v>37135</v>
      </c>
      <c r="W537" t="s">
        <v>204</v>
      </c>
      <c r="X537" s="2">
        <v>1.365</v>
      </c>
      <c r="Y537" s="6">
        <f t="shared" si="70"/>
        <v>3.6437895411227675E-2</v>
      </c>
      <c r="AA537">
        <v>189545</v>
      </c>
      <c r="AB537">
        <v>17393</v>
      </c>
      <c r="AD537" t="s">
        <v>1</v>
      </c>
      <c r="AE537">
        <v>50</v>
      </c>
      <c r="AF537">
        <v>5</v>
      </c>
      <c r="AH537" t="s">
        <v>4389</v>
      </c>
      <c r="AI537" t="s">
        <v>4388</v>
      </c>
      <c r="AJ537" t="s">
        <v>4387</v>
      </c>
      <c r="AK537" t="s">
        <v>4386</v>
      </c>
      <c r="AL537">
        <v>6</v>
      </c>
      <c r="AM537" s="5">
        <f t="shared" si="66"/>
        <v>0.2857142857142857</v>
      </c>
      <c r="AN537" s="4">
        <f t="shared" si="71"/>
        <v>4.3273651755287499E-4</v>
      </c>
      <c r="AO537" s="3"/>
      <c r="AP537">
        <v>0</v>
      </c>
      <c r="AR537" t="s">
        <v>0</v>
      </c>
      <c r="AT537" s="2" t="s">
        <v>7</v>
      </c>
      <c r="AU537" s="1">
        <f t="shared" si="67"/>
        <v>2.563634774312523</v>
      </c>
      <c r="AV537" s="1">
        <f t="shared" si="68"/>
        <v>1.8435315964390273</v>
      </c>
      <c r="AW537" s="1">
        <f t="shared" si="69"/>
        <v>1.1234284185655314</v>
      </c>
    </row>
    <row r="538" spans="1:49" x14ac:dyDescent="0.2">
      <c r="A538">
        <v>536</v>
      </c>
      <c r="B538" t="s">
        <v>4385</v>
      </c>
      <c r="C538" t="s">
        <v>4384</v>
      </c>
      <c r="D538" t="s">
        <v>4383</v>
      </c>
      <c r="F538" t="s">
        <v>4382</v>
      </c>
      <c r="G538" t="s">
        <v>6</v>
      </c>
      <c r="H538" t="s">
        <v>5</v>
      </c>
      <c r="I538" t="s">
        <v>4381</v>
      </c>
      <c r="J538">
        <v>60007951</v>
      </c>
      <c r="K538" t="s">
        <v>134</v>
      </c>
      <c r="L538" t="s">
        <v>133</v>
      </c>
      <c r="M538" t="s">
        <v>26</v>
      </c>
      <c r="N538">
        <v>1</v>
      </c>
      <c r="O538" t="s">
        <v>4380</v>
      </c>
      <c r="P538">
        <v>36929067900</v>
      </c>
      <c r="Q538">
        <v>60007951</v>
      </c>
      <c r="R538" s="7">
        <v>37135</v>
      </c>
      <c r="S538" s="8">
        <f t="shared" si="64"/>
        <v>2001</v>
      </c>
      <c r="T538" s="8">
        <v>2001</v>
      </c>
      <c r="U538" s="8">
        <f t="shared" si="65"/>
        <v>21</v>
      </c>
      <c r="V538" s="7">
        <v>37135</v>
      </c>
      <c r="W538" t="s">
        <v>226</v>
      </c>
      <c r="X538" s="2">
        <v>1.6519999999999999</v>
      </c>
      <c r="Y538" s="6">
        <f t="shared" si="70"/>
        <v>4.409919649769093E-2</v>
      </c>
      <c r="AA538" t="s">
        <v>225</v>
      </c>
      <c r="AB538">
        <v>17337</v>
      </c>
      <c r="AD538" t="s">
        <v>1</v>
      </c>
      <c r="AE538">
        <v>49</v>
      </c>
      <c r="AF538">
        <v>9</v>
      </c>
      <c r="AH538" t="s">
        <v>4379</v>
      </c>
      <c r="AI538" t="s">
        <v>4378</v>
      </c>
      <c r="AJ538" t="s">
        <v>4377</v>
      </c>
      <c r="AK538" t="s">
        <v>4376</v>
      </c>
      <c r="AL538">
        <v>4</v>
      </c>
      <c r="AM538" s="5">
        <f t="shared" si="66"/>
        <v>0.19047619047619047</v>
      </c>
      <c r="AN538" s="4">
        <f t="shared" si="71"/>
        <v>2.8849101170191666E-4</v>
      </c>
      <c r="AO538" s="3"/>
      <c r="AP538">
        <v>0</v>
      </c>
      <c r="AR538" t="s">
        <v>0</v>
      </c>
      <c r="AT538" s="2" t="s">
        <v>7</v>
      </c>
      <c r="AU538" s="1">
        <f t="shared" si="67"/>
        <v>3.0955984851894223</v>
      </c>
      <c r="AV538" s="1">
        <f t="shared" si="68"/>
        <v>2.2193843754696423</v>
      </c>
      <c r="AW538" s="1">
        <f t="shared" si="69"/>
        <v>1.3431702657498621</v>
      </c>
    </row>
    <row r="539" spans="1:49" x14ac:dyDescent="0.2">
      <c r="A539">
        <v>537</v>
      </c>
      <c r="B539" t="s">
        <v>4375</v>
      </c>
      <c r="C539" t="s">
        <v>4374</v>
      </c>
      <c r="D539" t="s">
        <v>4373</v>
      </c>
      <c r="F539" t="s">
        <v>4372</v>
      </c>
      <c r="G539" t="s">
        <v>6</v>
      </c>
      <c r="H539" t="s">
        <v>5</v>
      </c>
      <c r="I539" t="s">
        <v>4371</v>
      </c>
      <c r="J539" t="s">
        <v>392</v>
      </c>
      <c r="K539" t="s">
        <v>391</v>
      </c>
      <c r="L539" t="s">
        <v>390</v>
      </c>
      <c r="M539" t="s">
        <v>44</v>
      </c>
      <c r="N539">
        <v>2</v>
      </c>
      <c r="O539" t="s">
        <v>4370</v>
      </c>
      <c r="P539" t="s">
        <v>4369</v>
      </c>
      <c r="Q539" t="s">
        <v>4368</v>
      </c>
      <c r="R539" s="7">
        <v>37135</v>
      </c>
      <c r="S539" s="8">
        <f t="shared" si="64"/>
        <v>2001</v>
      </c>
      <c r="T539" s="8">
        <v>2001</v>
      </c>
      <c r="U539" s="8">
        <f t="shared" si="65"/>
        <v>21</v>
      </c>
      <c r="V539" s="7">
        <v>37135</v>
      </c>
      <c r="W539" t="s">
        <v>226</v>
      </c>
      <c r="X539" s="2">
        <v>1.6519999999999999</v>
      </c>
      <c r="Y539" s="6">
        <f t="shared" si="70"/>
        <v>4.409919649769093E-2</v>
      </c>
      <c r="AA539" t="s">
        <v>225</v>
      </c>
      <c r="AB539">
        <v>17337</v>
      </c>
      <c r="AD539" t="s">
        <v>1</v>
      </c>
      <c r="AE539">
        <v>49</v>
      </c>
      <c r="AF539">
        <v>9</v>
      </c>
      <c r="AH539" t="s">
        <v>4367</v>
      </c>
      <c r="AI539" t="s">
        <v>4366</v>
      </c>
      <c r="AJ539" t="s">
        <v>4365</v>
      </c>
      <c r="AK539" t="s">
        <v>4364</v>
      </c>
      <c r="AL539">
        <v>38</v>
      </c>
      <c r="AM539" s="5">
        <f t="shared" si="66"/>
        <v>1.8095238095238095</v>
      </c>
      <c r="AN539" s="4">
        <f t="shared" si="71"/>
        <v>2.7406646111682084E-3</v>
      </c>
      <c r="AO539" s="3"/>
      <c r="AP539">
        <v>0</v>
      </c>
      <c r="AQ539" t="s">
        <v>21</v>
      </c>
      <c r="AR539" t="s">
        <v>0</v>
      </c>
      <c r="AS539" t="s">
        <v>20</v>
      </c>
      <c r="AT539" s="2" t="s">
        <v>7</v>
      </c>
      <c r="AU539" s="1">
        <f t="shared" si="67"/>
        <v>3.1691636931734117</v>
      </c>
      <c r="AV539" s="1">
        <f t="shared" si="68"/>
        <v>2.3419930554429569</v>
      </c>
      <c r="AW539" s="1">
        <f t="shared" si="69"/>
        <v>1.5148224177125023</v>
      </c>
    </row>
    <row r="540" spans="1:49" x14ac:dyDescent="0.2">
      <c r="A540">
        <v>538</v>
      </c>
      <c r="B540" t="s">
        <v>4363</v>
      </c>
      <c r="C540" t="s">
        <v>4362</v>
      </c>
      <c r="D540" t="s">
        <v>4361</v>
      </c>
      <c r="F540" t="s">
        <v>4360</v>
      </c>
      <c r="G540" t="s">
        <v>6</v>
      </c>
      <c r="H540" t="s">
        <v>5</v>
      </c>
      <c r="I540" t="s">
        <v>4359</v>
      </c>
      <c r="J540" t="s">
        <v>4358</v>
      </c>
      <c r="K540" t="s">
        <v>4357</v>
      </c>
      <c r="L540" t="s">
        <v>4356</v>
      </c>
      <c r="M540" t="s">
        <v>4355</v>
      </c>
      <c r="N540">
        <v>2</v>
      </c>
      <c r="O540" t="s">
        <v>4354</v>
      </c>
      <c r="P540" t="s">
        <v>4353</v>
      </c>
      <c r="Q540" t="s">
        <v>4352</v>
      </c>
      <c r="R540" s="7">
        <v>37135</v>
      </c>
      <c r="S540" s="8">
        <f t="shared" si="64"/>
        <v>2001</v>
      </c>
      <c r="T540" s="8">
        <v>2001</v>
      </c>
      <c r="U540" s="8">
        <f t="shared" si="65"/>
        <v>21</v>
      </c>
      <c r="V540" s="7">
        <v>37135</v>
      </c>
      <c r="W540" t="s">
        <v>226</v>
      </c>
      <c r="X540" s="2">
        <v>1.6519999999999999</v>
      </c>
      <c r="Y540" s="6">
        <f t="shared" si="70"/>
        <v>4.409919649769093E-2</v>
      </c>
      <c r="AA540" t="s">
        <v>225</v>
      </c>
      <c r="AB540">
        <v>17337</v>
      </c>
      <c r="AD540" t="s">
        <v>1</v>
      </c>
      <c r="AE540">
        <v>49</v>
      </c>
      <c r="AF540">
        <v>9</v>
      </c>
      <c r="AH540" t="s">
        <v>4351</v>
      </c>
      <c r="AI540" t="s">
        <v>4350</v>
      </c>
      <c r="AJ540" t="s">
        <v>4349</v>
      </c>
      <c r="AK540" t="s">
        <v>4348</v>
      </c>
      <c r="AL540">
        <v>72</v>
      </c>
      <c r="AM540" s="5">
        <f t="shared" si="66"/>
        <v>3.4285714285714284</v>
      </c>
      <c r="AN540" s="4">
        <f t="shared" si="71"/>
        <v>5.1928382106344994E-3</v>
      </c>
      <c r="AO540" s="3"/>
      <c r="AP540">
        <v>0</v>
      </c>
      <c r="AQ540" t="s">
        <v>21</v>
      </c>
      <c r="AR540" t="s">
        <v>4347</v>
      </c>
      <c r="AS540" t="s">
        <v>20</v>
      </c>
      <c r="AT540" s="2" t="s">
        <v>7</v>
      </c>
      <c r="AU540" s="1">
        <f t="shared" si="67"/>
        <v>3.2427289011574003</v>
      </c>
      <c r="AV540" s="1">
        <f t="shared" si="68"/>
        <v>2.4646017354162715</v>
      </c>
      <c r="AW540" s="1">
        <f t="shared" si="69"/>
        <v>1.6864745696751429</v>
      </c>
    </row>
    <row r="541" spans="1:49" x14ac:dyDescent="0.2">
      <c r="A541">
        <v>539</v>
      </c>
      <c r="B541" t="s">
        <v>4346</v>
      </c>
      <c r="C541" t="s">
        <v>4345</v>
      </c>
      <c r="D541" t="s">
        <v>4344</v>
      </c>
      <c r="F541" t="s">
        <v>4343</v>
      </c>
      <c r="G541" t="s">
        <v>6</v>
      </c>
      <c r="H541" t="s">
        <v>5</v>
      </c>
      <c r="I541" t="s">
        <v>4342</v>
      </c>
      <c r="J541" t="s">
        <v>4341</v>
      </c>
      <c r="K541" t="s">
        <v>4340</v>
      </c>
      <c r="L541" t="s">
        <v>4339</v>
      </c>
      <c r="M541" t="s">
        <v>44</v>
      </c>
      <c r="N541">
        <v>2</v>
      </c>
      <c r="O541" t="s">
        <v>4338</v>
      </c>
      <c r="P541" t="s">
        <v>4337</v>
      </c>
      <c r="Q541" t="s">
        <v>4336</v>
      </c>
      <c r="R541" s="7">
        <v>37135</v>
      </c>
      <c r="S541" s="8">
        <f t="shared" si="64"/>
        <v>2001</v>
      </c>
      <c r="T541" s="8">
        <v>2001</v>
      </c>
      <c r="U541" s="8">
        <f t="shared" si="65"/>
        <v>21</v>
      </c>
      <c r="V541" s="7">
        <v>37135</v>
      </c>
      <c r="W541" t="s">
        <v>226</v>
      </c>
      <c r="X541" s="2">
        <v>1.6519999999999999</v>
      </c>
      <c r="Y541" s="6">
        <f t="shared" si="70"/>
        <v>4.409919649769093E-2</v>
      </c>
      <c r="AA541" t="s">
        <v>225</v>
      </c>
      <c r="AB541">
        <v>17337</v>
      </c>
      <c r="AD541" t="s">
        <v>1</v>
      </c>
      <c r="AE541">
        <v>49</v>
      </c>
      <c r="AF541">
        <v>9</v>
      </c>
      <c r="AH541" t="s">
        <v>4335</v>
      </c>
      <c r="AI541" t="s">
        <v>4334</v>
      </c>
      <c r="AJ541" t="s">
        <v>4333</v>
      </c>
      <c r="AK541" t="s">
        <v>4332</v>
      </c>
      <c r="AL541">
        <v>2</v>
      </c>
      <c r="AM541" s="5">
        <f t="shared" si="66"/>
        <v>9.5238095238095233E-2</v>
      </c>
      <c r="AN541" s="4">
        <f t="shared" si="71"/>
        <v>1.4424550585095833E-4</v>
      </c>
      <c r="AO541" s="3"/>
      <c r="AP541">
        <v>0</v>
      </c>
      <c r="AQ541" t="s">
        <v>639</v>
      </c>
      <c r="AR541" t="s">
        <v>4331</v>
      </c>
      <c r="AS541" t="s">
        <v>638</v>
      </c>
      <c r="AT541" s="2" t="s">
        <v>7</v>
      </c>
      <c r="AU541" s="1">
        <f t="shared" si="67"/>
        <v>3.0912711200138938</v>
      </c>
      <c r="AV541" s="1">
        <f t="shared" si="68"/>
        <v>2.2121721001770944</v>
      </c>
      <c r="AW541" s="1">
        <f t="shared" si="69"/>
        <v>1.3330730803402948</v>
      </c>
    </row>
    <row r="542" spans="1:49" x14ac:dyDescent="0.2">
      <c r="A542">
        <v>540</v>
      </c>
      <c r="B542" t="s">
        <v>4330</v>
      </c>
      <c r="C542" t="s">
        <v>4329</v>
      </c>
      <c r="D542" t="s">
        <v>4328</v>
      </c>
      <c r="F542" t="s">
        <v>4327</v>
      </c>
      <c r="G542" t="s">
        <v>6</v>
      </c>
      <c r="H542" t="s">
        <v>5</v>
      </c>
      <c r="I542" t="s">
        <v>4326</v>
      </c>
      <c r="J542" t="s">
        <v>4325</v>
      </c>
      <c r="K542" t="s">
        <v>4324</v>
      </c>
      <c r="L542" t="s">
        <v>4323</v>
      </c>
      <c r="M542" t="s">
        <v>836</v>
      </c>
      <c r="N542">
        <v>5</v>
      </c>
      <c r="O542" t="s">
        <v>4322</v>
      </c>
      <c r="P542" t="s">
        <v>4321</v>
      </c>
      <c r="Q542" t="s">
        <v>4320</v>
      </c>
      <c r="R542" s="7">
        <v>37135</v>
      </c>
      <c r="S542" s="8">
        <f t="shared" si="64"/>
        <v>2001</v>
      </c>
      <c r="T542" s="8">
        <v>2001</v>
      </c>
      <c r="U542" s="8">
        <f t="shared" si="65"/>
        <v>21</v>
      </c>
      <c r="V542" s="7">
        <v>37135</v>
      </c>
      <c r="W542" t="s">
        <v>283</v>
      </c>
      <c r="X542" s="2">
        <v>2.141</v>
      </c>
      <c r="Y542" s="6">
        <f t="shared" si="70"/>
        <v>5.7152772216438434E-2</v>
      </c>
      <c r="AA542">
        <v>1962892</v>
      </c>
      <c r="AB542">
        <v>17360</v>
      </c>
      <c r="AD542" t="s">
        <v>1</v>
      </c>
      <c r="AE542">
        <v>39</v>
      </c>
      <c r="AF542">
        <v>9</v>
      </c>
      <c r="AH542" t="s">
        <v>4319</v>
      </c>
      <c r="AI542" t="s">
        <v>4318</v>
      </c>
      <c r="AJ542" t="s">
        <v>4317</v>
      </c>
      <c r="AK542" t="s">
        <v>4316</v>
      </c>
      <c r="AL542">
        <v>10</v>
      </c>
      <c r="AM542" s="5">
        <f t="shared" si="66"/>
        <v>0.47619047619047616</v>
      </c>
      <c r="AN542" s="4">
        <f t="shared" si="71"/>
        <v>7.2122752925479164E-4</v>
      </c>
      <c r="AO542" s="3"/>
      <c r="AP542">
        <v>0</v>
      </c>
      <c r="AQ542" t="s">
        <v>549</v>
      </c>
      <c r="AR542" t="s">
        <v>0</v>
      </c>
      <c r="AS542" t="s">
        <v>548</v>
      </c>
      <c r="AT542" s="2" t="s">
        <v>7</v>
      </c>
      <c r="AU542" s="1">
        <f t="shared" si="67"/>
        <v>4.022330881028334</v>
      </c>
      <c r="AV542" s="1">
        <f t="shared" si="68"/>
        <v>2.8936999872846614</v>
      </c>
      <c r="AW542" s="1">
        <f t="shared" si="69"/>
        <v>1.7650690935409885</v>
      </c>
    </row>
    <row r="543" spans="1:49" x14ac:dyDescent="0.2">
      <c r="A543">
        <v>541</v>
      </c>
      <c r="B543" t="s">
        <v>4315</v>
      </c>
      <c r="C543" t="s">
        <v>4314</v>
      </c>
      <c r="D543" t="s">
        <v>4313</v>
      </c>
      <c r="F543" t="s">
        <v>4312</v>
      </c>
      <c r="G543" t="s">
        <v>6</v>
      </c>
      <c r="H543" t="s">
        <v>5</v>
      </c>
      <c r="I543" t="s">
        <v>4311</v>
      </c>
      <c r="J543" t="s">
        <v>4310</v>
      </c>
      <c r="K543" t="s">
        <v>4309</v>
      </c>
      <c r="L543" t="s">
        <v>4308</v>
      </c>
      <c r="M543" t="s">
        <v>884</v>
      </c>
      <c r="N543">
        <v>3</v>
      </c>
      <c r="O543" t="s">
        <v>4307</v>
      </c>
      <c r="P543" t="s">
        <v>4306</v>
      </c>
      <c r="Q543" t="s">
        <v>4305</v>
      </c>
      <c r="R543" s="7">
        <v>37135</v>
      </c>
      <c r="S543" s="8">
        <f t="shared" si="64"/>
        <v>2001</v>
      </c>
      <c r="T543" s="8">
        <v>2001</v>
      </c>
      <c r="U543" s="8">
        <f t="shared" si="65"/>
        <v>21</v>
      </c>
      <c r="V543" s="7">
        <v>37135</v>
      </c>
      <c r="W543" t="s">
        <v>226</v>
      </c>
      <c r="X543" s="2">
        <v>1.6519999999999999</v>
      </c>
      <c r="Y543" s="6">
        <f t="shared" si="70"/>
        <v>4.409919649769093E-2</v>
      </c>
      <c r="AA543" t="s">
        <v>225</v>
      </c>
      <c r="AB543">
        <v>17337</v>
      </c>
      <c r="AD543" t="s">
        <v>1</v>
      </c>
      <c r="AE543">
        <v>49</v>
      </c>
      <c r="AF543">
        <v>9</v>
      </c>
      <c r="AH543" t="s">
        <v>4304</v>
      </c>
      <c r="AI543" t="s">
        <v>4303</v>
      </c>
      <c r="AJ543" t="s">
        <v>4302</v>
      </c>
      <c r="AK543" t="s">
        <v>4301</v>
      </c>
      <c r="AL543">
        <v>16</v>
      </c>
      <c r="AM543" s="5">
        <f t="shared" si="66"/>
        <v>0.76190476190476186</v>
      </c>
      <c r="AN543" s="4">
        <f t="shared" si="71"/>
        <v>1.1539640468076666E-3</v>
      </c>
      <c r="AO543" s="3"/>
      <c r="AP543">
        <v>0</v>
      </c>
      <c r="AQ543" t="s">
        <v>21</v>
      </c>
      <c r="AR543">
        <v>9900448</v>
      </c>
      <c r="AS543" t="s">
        <v>20</v>
      </c>
      <c r="AT543" s="2" t="s">
        <v>7</v>
      </c>
      <c r="AU543" s="1">
        <f t="shared" si="67"/>
        <v>3.1215626762425952</v>
      </c>
      <c r="AV543" s="1">
        <f t="shared" si="68"/>
        <v>2.2626580272249299</v>
      </c>
      <c r="AW543" s="1">
        <f t="shared" si="69"/>
        <v>1.4037533782072644</v>
      </c>
    </row>
    <row r="544" spans="1:49" x14ac:dyDescent="0.2">
      <c r="A544">
        <v>542</v>
      </c>
      <c r="B544" t="s">
        <v>4300</v>
      </c>
      <c r="C544" t="s">
        <v>4299</v>
      </c>
      <c r="D544" t="s">
        <v>4298</v>
      </c>
      <c r="F544" t="s">
        <v>4297</v>
      </c>
      <c r="G544" t="s">
        <v>6</v>
      </c>
      <c r="H544" t="s">
        <v>5</v>
      </c>
      <c r="I544" t="s">
        <v>4296</v>
      </c>
      <c r="J544">
        <v>60015272</v>
      </c>
      <c r="K544" t="s">
        <v>4295</v>
      </c>
      <c r="L544" t="s">
        <v>1037</v>
      </c>
      <c r="M544" t="s">
        <v>3</v>
      </c>
      <c r="N544">
        <v>4</v>
      </c>
      <c r="O544" t="s">
        <v>4294</v>
      </c>
      <c r="P544" t="s">
        <v>4293</v>
      </c>
      <c r="Q544" t="s">
        <v>4292</v>
      </c>
      <c r="R544" s="7">
        <v>37135</v>
      </c>
      <c r="S544" s="8">
        <f t="shared" si="64"/>
        <v>2001</v>
      </c>
      <c r="T544" s="8">
        <v>2001</v>
      </c>
      <c r="U544" s="8">
        <f t="shared" si="65"/>
        <v>21</v>
      </c>
      <c r="V544" s="7">
        <v>37135</v>
      </c>
      <c r="W544" t="s">
        <v>284</v>
      </c>
      <c r="X544" s="2">
        <v>1.468</v>
      </c>
      <c r="Y544" s="6">
        <f t="shared" si="70"/>
        <v>3.9187421585115186E-2</v>
      </c>
      <c r="AA544">
        <v>906778</v>
      </c>
      <c r="AB544">
        <v>18931</v>
      </c>
      <c r="AD544" t="s">
        <v>1</v>
      </c>
      <c r="AE544">
        <v>49</v>
      </c>
      <c r="AF544">
        <v>9</v>
      </c>
      <c r="AH544" t="s">
        <v>4291</v>
      </c>
      <c r="AI544" t="s">
        <v>4290</v>
      </c>
      <c r="AJ544" t="s">
        <v>4289</v>
      </c>
      <c r="AK544" t="s">
        <v>4288</v>
      </c>
      <c r="AL544">
        <v>102</v>
      </c>
      <c r="AM544" s="5">
        <f t="shared" si="66"/>
        <v>4.8571428571428568</v>
      </c>
      <c r="AN544" s="4">
        <f t="shared" si="71"/>
        <v>7.356520798398874E-3</v>
      </c>
      <c r="AO544" s="3"/>
      <c r="AP544">
        <v>0</v>
      </c>
      <c r="AQ544" t="s">
        <v>21</v>
      </c>
      <c r="AR544" t="s">
        <v>4287</v>
      </c>
      <c r="AS544" t="s">
        <v>20</v>
      </c>
      <c r="AT544" s="2">
        <v>5.0830000000000002</v>
      </c>
      <c r="AU544" s="1">
        <f t="shared" si="67"/>
        <v>2.9638151349100292</v>
      </c>
      <c r="AV544" s="1">
        <f t="shared" si="68"/>
        <v>2.327197119175703</v>
      </c>
      <c r="AW544" s="1">
        <f t="shared" si="69"/>
        <v>1.6905791034413766</v>
      </c>
    </row>
    <row r="545" spans="1:49" x14ac:dyDescent="0.2">
      <c r="A545">
        <v>543</v>
      </c>
      <c r="B545" t="s">
        <v>4286</v>
      </c>
      <c r="C545" t="s">
        <v>4285</v>
      </c>
      <c r="D545" t="s">
        <v>4284</v>
      </c>
      <c r="F545" t="s">
        <v>4283</v>
      </c>
      <c r="G545" t="s">
        <v>6</v>
      </c>
      <c r="H545" t="s">
        <v>5</v>
      </c>
      <c r="I545" t="s">
        <v>4282</v>
      </c>
      <c r="J545" t="s">
        <v>4281</v>
      </c>
      <c r="K545" t="s">
        <v>4280</v>
      </c>
      <c r="L545" t="s">
        <v>4279</v>
      </c>
      <c r="M545" t="s">
        <v>4278</v>
      </c>
      <c r="N545">
        <v>2</v>
      </c>
      <c r="O545" t="s">
        <v>4277</v>
      </c>
      <c r="P545" t="s">
        <v>4276</v>
      </c>
      <c r="Q545" t="s">
        <v>4275</v>
      </c>
      <c r="R545" s="7">
        <v>37135</v>
      </c>
      <c r="S545" s="8">
        <f t="shared" si="64"/>
        <v>2001</v>
      </c>
      <c r="T545" s="8">
        <v>2001</v>
      </c>
      <c r="U545" s="8">
        <f t="shared" si="65"/>
        <v>21</v>
      </c>
      <c r="V545" s="7">
        <v>37135</v>
      </c>
      <c r="W545" t="s">
        <v>204</v>
      </c>
      <c r="X545" s="2">
        <v>1.365</v>
      </c>
      <c r="Y545" s="6">
        <f t="shared" si="70"/>
        <v>3.6437895411227675E-2</v>
      </c>
      <c r="AA545">
        <v>189545</v>
      </c>
      <c r="AB545">
        <v>17393</v>
      </c>
      <c r="AD545" t="s">
        <v>1</v>
      </c>
      <c r="AE545">
        <v>50</v>
      </c>
      <c r="AF545">
        <v>5</v>
      </c>
      <c r="AH545" t="s">
        <v>4274</v>
      </c>
      <c r="AI545" t="s">
        <v>4273</v>
      </c>
      <c r="AJ545" t="s">
        <v>4272</v>
      </c>
      <c r="AK545" t="s">
        <v>4271</v>
      </c>
      <c r="AL545">
        <v>23</v>
      </c>
      <c r="AM545" s="5">
        <f t="shared" si="66"/>
        <v>1.0952380952380953</v>
      </c>
      <c r="AN545" s="4">
        <f t="shared" si="71"/>
        <v>1.658823317286021E-3</v>
      </c>
      <c r="AO545" s="3"/>
      <c r="AP545">
        <v>0</v>
      </c>
      <c r="AQ545" t="s">
        <v>4270</v>
      </c>
      <c r="AR545" t="s">
        <v>0</v>
      </c>
      <c r="AS545" t="s">
        <v>4269</v>
      </c>
      <c r="AT545" s="2" t="s">
        <v>7</v>
      </c>
      <c r="AU545" s="1">
        <f t="shared" si="67"/>
        <v>2.6004173783045177</v>
      </c>
      <c r="AV545" s="1">
        <f t="shared" si="68"/>
        <v>1.9048359364256848</v>
      </c>
      <c r="AW545" s="1">
        <f t="shared" si="69"/>
        <v>1.2092544945468515</v>
      </c>
    </row>
    <row r="546" spans="1:49" x14ac:dyDescent="0.2">
      <c r="A546">
        <v>544</v>
      </c>
      <c r="B546" t="s">
        <v>4268</v>
      </c>
      <c r="C546" t="s">
        <v>4267</v>
      </c>
      <c r="F546" t="s">
        <v>4266</v>
      </c>
      <c r="G546" t="s">
        <v>6</v>
      </c>
      <c r="H546" t="s">
        <v>5</v>
      </c>
      <c r="I546" t="s">
        <v>4265</v>
      </c>
      <c r="J546" t="s">
        <v>4264</v>
      </c>
      <c r="K546" t="s">
        <v>4263</v>
      </c>
      <c r="L546" t="s">
        <v>4262</v>
      </c>
      <c r="M546" t="s">
        <v>45</v>
      </c>
      <c r="N546">
        <v>4</v>
      </c>
      <c r="O546" t="s">
        <v>4261</v>
      </c>
      <c r="P546" t="s">
        <v>4260</v>
      </c>
      <c r="Q546" t="s">
        <v>4259</v>
      </c>
      <c r="R546" s="7">
        <v>37135</v>
      </c>
      <c r="S546" s="8">
        <f t="shared" si="64"/>
        <v>2001</v>
      </c>
      <c r="T546" s="8">
        <v>2001</v>
      </c>
      <c r="U546" s="8">
        <f t="shared" si="65"/>
        <v>21</v>
      </c>
      <c r="V546" s="7">
        <v>37135</v>
      </c>
      <c r="W546" t="s">
        <v>550</v>
      </c>
      <c r="X546" s="2" t="s">
        <v>7</v>
      </c>
      <c r="Y546" s="6" t="e">
        <f t="shared" si="70"/>
        <v>#VALUE!</v>
      </c>
      <c r="AA546">
        <v>7342101</v>
      </c>
      <c r="AB546">
        <v>28596</v>
      </c>
      <c r="AD546" t="s">
        <v>1</v>
      </c>
      <c r="AE546">
        <v>19</v>
      </c>
      <c r="AF546">
        <v>5</v>
      </c>
      <c r="AH546" t="s">
        <v>4258</v>
      </c>
      <c r="AI546" t="s">
        <v>4257</v>
      </c>
      <c r="AK546" t="s">
        <v>4256</v>
      </c>
      <c r="AL546">
        <v>10</v>
      </c>
      <c r="AM546" s="5">
        <f t="shared" si="66"/>
        <v>0.47619047619047616</v>
      </c>
      <c r="AN546" s="4">
        <f t="shared" si="71"/>
        <v>7.2122752925479164E-4</v>
      </c>
      <c r="AO546" s="3"/>
      <c r="AP546">
        <v>0</v>
      </c>
      <c r="AR546" t="s">
        <v>0</v>
      </c>
      <c r="AT546" s="2" t="s">
        <v>7</v>
      </c>
      <c r="AU546" s="1" t="e">
        <f t="shared" si="67"/>
        <v>#VALUE!</v>
      </c>
      <c r="AV546" s="1" t="e">
        <f t="shared" si="68"/>
        <v>#VALUE!</v>
      </c>
      <c r="AW546" s="1" t="e">
        <f t="shared" si="69"/>
        <v>#VALUE!</v>
      </c>
    </row>
    <row r="547" spans="1:49" x14ac:dyDescent="0.2">
      <c r="A547">
        <v>545</v>
      </c>
      <c r="B547" t="s">
        <v>4255</v>
      </c>
      <c r="C547" t="s">
        <v>4254</v>
      </c>
      <c r="D547" t="s">
        <v>4253</v>
      </c>
      <c r="F547" t="s">
        <v>4252</v>
      </c>
      <c r="G547" t="s">
        <v>6</v>
      </c>
      <c r="H547" t="s">
        <v>5</v>
      </c>
      <c r="I547" t="s">
        <v>4251</v>
      </c>
      <c r="J547" t="s">
        <v>4250</v>
      </c>
      <c r="K547" t="s">
        <v>4249</v>
      </c>
      <c r="L547" t="s">
        <v>4248</v>
      </c>
      <c r="M547" t="s">
        <v>4247</v>
      </c>
      <c r="N547">
        <v>7</v>
      </c>
      <c r="O547" t="s">
        <v>4246</v>
      </c>
      <c r="P547" t="s">
        <v>4245</v>
      </c>
      <c r="Q547" t="s">
        <v>4244</v>
      </c>
      <c r="R547" s="7">
        <v>37135</v>
      </c>
      <c r="S547" s="8">
        <f t="shared" si="64"/>
        <v>2001</v>
      </c>
      <c r="T547" s="8">
        <v>2001</v>
      </c>
      <c r="U547" s="8">
        <f t="shared" si="65"/>
        <v>21</v>
      </c>
      <c r="V547" s="7">
        <v>37135</v>
      </c>
      <c r="W547" t="s">
        <v>226</v>
      </c>
      <c r="X547" s="2">
        <v>1.6519999999999999</v>
      </c>
      <c r="Y547" s="6">
        <f t="shared" si="70"/>
        <v>4.409919649769093E-2</v>
      </c>
      <c r="AA547" t="s">
        <v>225</v>
      </c>
      <c r="AB547">
        <v>17337</v>
      </c>
      <c r="AD547" t="s">
        <v>1</v>
      </c>
      <c r="AE547">
        <v>49</v>
      </c>
      <c r="AF547">
        <v>9</v>
      </c>
      <c r="AH547" t="s">
        <v>4243</v>
      </c>
      <c r="AI547" t="s">
        <v>4242</v>
      </c>
      <c r="AJ547" t="s">
        <v>4241</v>
      </c>
      <c r="AK547" t="s">
        <v>4240</v>
      </c>
      <c r="AL547">
        <v>43</v>
      </c>
      <c r="AM547" s="5">
        <f t="shared" si="66"/>
        <v>2.0476190476190474</v>
      </c>
      <c r="AN547" s="4">
        <f t="shared" si="71"/>
        <v>3.1012783757956037E-3</v>
      </c>
      <c r="AO547" s="3"/>
      <c r="AP547">
        <v>0</v>
      </c>
      <c r="AR547" t="s">
        <v>0</v>
      </c>
      <c r="AT547" s="2" t="s">
        <v>7</v>
      </c>
      <c r="AU547" s="1">
        <f t="shared" si="67"/>
        <v>3.1799821061122326</v>
      </c>
      <c r="AV547" s="1">
        <f t="shared" si="68"/>
        <v>2.3600237436743265</v>
      </c>
      <c r="AW547" s="1">
        <f t="shared" si="69"/>
        <v>1.54006538123642</v>
      </c>
    </row>
    <row r="548" spans="1:49" x14ac:dyDescent="0.2">
      <c r="A548">
        <v>546</v>
      </c>
      <c r="B548" t="s">
        <v>4239</v>
      </c>
      <c r="C548" t="s">
        <v>4238</v>
      </c>
      <c r="D548" t="s">
        <v>4237</v>
      </c>
      <c r="F548" t="s">
        <v>4236</v>
      </c>
      <c r="G548" t="s">
        <v>6</v>
      </c>
      <c r="H548" t="s">
        <v>5</v>
      </c>
      <c r="I548" t="s">
        <v>4235</v>
      </c>
      <c r="J548" t="s">
        <v>4234</v>
      </c>
      <c r="K548" t="s">
        <v>4233</v>
      </c>
      <c r="L548" t="s">
        <v>4232</v>
      </c>
      <c r="M548" t="s">
        <v>694</v>
      </c>
      <c r="N548">
        <v>2</v>
      </c>
      <c r="O548" t="s">
        <v>4231</v>
      </c>
      <c r="P548" t="s">
        <v>4230</v>
      </c>
      <c r="Q548" t="s">
        <v>4229</v>
      </c>
      <c r="R548" s="7">
        <v>37135</v>
      </c>
      <c r="S548" s="8">
        <f t="shared" si="64"/>
        <v>2001</v>
      </c>
      <c r="T548" s="8">
        <v>2001</v>
      </c>
      <c r="U548" s="8">
        <f t="shared" si="65"/>
        <v>21</v>
      </c>
      <c r="V548" s="7">
        <v>37135</v>
      </c>
      <c r="W548" t="s">
        <v>226</v>
      </c>
      <c r="X548" s="2">
        <v>1.6519999999999999</v>
      </c>
      <c r="Y548" s="6">
        <f t="shared" si="70"/>
        <v>4.409919649769093E-2</v>
      </c>
      <c r="AA548" t="s">
        <v>225</v>
      </c>
      <c r="AB548">
        <v>17337</v>
      </c>
      <c r="AD548" t="s">
        <v>1</v>
      </c>
      <c r="AE548">
        <v>49</v>
      </c>
      <c r="AF548">
        <v>9</v>
      </c>
      <c r="AH548" t="s">
        <v>4228</v>
      </c>
      <c r="AI548" t="s">
        <v>4227</v>
      </c>
      <c r="AJ548" t="s">
        <v>4226</v>
      </c>
      <c r="AK548" t="s">
        <v>4225</v>
      </c>
      <c r="AL548">
        <v>21</v>
      </c>
      <c r="AM548" s="5">
        <f t="shared" si="66"/>
        <v>1</v>
      </c>
      <c r="AN548" s="4">
        <f t="shared" si="71"/>
        <v>1.5145778114350624E-3</v>
      </c>
      <c r="AO548" s="3"/>
      <c r="AP548">
        <v>0</v>
      </c>
      <c r="AR548" t="s">
        <v>0</v>
      </c>
      <c r="AT548" s="2" t="s">
        <v>7</v>
      </c>
      <c r="AU548" s="1">
        <f t="shared" si="67"/>
        <v>3.132381089181417</v>
      </c>
      <c r="AV548" s="1">
        <f t="shared" si="68"/>
        <v>2.2806887154562996</v>
      </c>
      <c r="AW548" s="1">
        <f t="shared" si="69"/>
        <v>1.4289963417311822</v>
      </c>
    </row>
    <row r="549" spans="1:49" x14ac:dyDescent="0.2">
      <c r="A549">
        <v>547</v>
      </c>
      <c r="B549" t="s">
        <v>4224</v>
      </c>
      <c r="C549" t="s">
        <v>4223</v>
      </c>
      <c r="D549" t="s">
        <v>4222</v>
      </c>
      <c r="F549" t="s">
        <v>4221</v>
      </c>
      <c r="G549" t="s">
        <v>6</v>
      </c>
      <c r="H549" t="s">
        <v>5</v>
      </c>
      <c r="I549" t="s">
        <v>4220</v>
      </c>
      <c r="J549" t="s">
        <v>2738</v>
      </c>
      <c r="K549" t="s">
        <v>2737</v>
      </c>
      <c r="L549" t="s">
        <v>2736</v>
      </c>
      <c r="M549" t="s">
        <v>44</v>
      </c>
      <c r="N549">
        <v>4</v>
      </c>
      <c r="O549" t="s">
        <v>4219</v>
      </c>
      <c r="P549" t="s">
        <v>4218</v>
      </c>
      <c r="Q549" t="s">
        <v>4217</v>
      </c>
      <c r="R549" s="7">
        <v>37135</v>
      </c>
      <c r="S549" s="8">
        <f t="shared" si="64"/>
        <v>2001</v>
      </c>
      <c r="T549" s="8">
        <v>2001</v>
      </c>
      <c r="U549" s="8">
        <f t="shared" si="65"/>
        <v>21</v>
      </c>
      <c r="V549" s="7">
        <v>37135</v>
      </c>
      <c r="W549" t="s">
        <v>226</v>
      </c>
      <c r="X549" s="2">
        <v>1.6519999999999999</v>
      </c>
      <c r="Y549" s="6">
        <f t="shared" si="70"/>
        <v>4.409919649769093E-2</v>
      </c>
      <c r="AA549" t="s">
        <v>225</v>
      </c>
      <c r="AB549">
        <v>17337</v>
      </c>
      <c r="AD549" t="s">
        <v>1</v>
      </c>
      <c r="AE549">
        <v>49</v>
      </c>
      <c r="AF549">
        <v>9</v>
      </c>
      <c r="AH549" t="s">
        <v>4216</v>
      </c>
      <c r="AI549" t="s">
        <v>4215</v>
      </c>
      <c r="AJ549" t="s">
        <v>4214</v>
      </c>
      <c r="AK549" t="s">
        <v>4213</v>
      </c>
      <c r="AL549">
        <v>354</v>
      </c>
      <c r="AM549" s="5">
        <f t="shared" si="66"/>
        <v>16.857142857142858</v>
      </c>
      <c r="AN549" s="4">
        <f t="shared" si="71"/>
        <v>2.5531454535619627E-2</v>
      </c>
      <c r="AO549" s="3"/>
      <c r="AP549">
        <v>0</v>
      </c>
      <c r="AQ549" t="s">
        <v>245</v>
      </c>
      <c r="AR549" t="s">
        <v>0</v>
      </c>
      <c r="AS549" t="s">
        <v>244</v>
      </c>
      <c r="AT549" s="2" t="s">
        <v>7</v>
      </c>
      <c r="AU549" s="1">
        <f t="shared" si="67"/>
        <v>3.8528873909069539</v>
      </c>
      <c r="AV549" s="1">
        <f t="shared" si="68"/>
        <v>3.481532551665528</v>
      </c>
      <c r="AW549" s="1">
        <f t="shared" si="69"/>
        <v>3.1101777124241017</v>
      </c>
    </row>
    <row r="550" spans="1:49" x14ac:dyDescent="0.2">
      <c r="A550">
        <v>548</v>
      </c>
      <c r="B550" t="s">
        <v>4212</v>
      </c>
      <c r="C550" t="s">
        <v>4211</v>
      </c>
      <c r="D550" t="s">
        <v>4210</v>
      </c>
      <c r="F550" t="s">
        <v>4209</v>
      </c>
      <c r="G550" t="s">
        <v>6</v>
      </c>
      <c r="H550" t="s">
        <v>5</v>
      </c>
      <c r="I550" t="s">
        <v>992</v>
      </c>
      <c r="J550" t="s">
        <v>4208</v>
      </c>
      <c r="K550" t="s">
        <v>4207</v>
      </c>
      <c r="L550" t="s">
        <v>4206</v>
      </c>
      <c r="M550" t="s">
        <v>128</v>
      </c>
      <c r="N550">
        <v>3</v>
      </c>
      <c r="O550" t="s">
        <v>4205</v>
      </c>
      <c r="P550" t="s">
        <v>4204</v>
      </c>
      <c r="Q550" t="s">
        <v>4203</v>
      </c>
      <c r="R550" s="7">
        <v>37135</v>
      </c>
      <c r="S550" s="8">
        <f t="shared" si="64"/>
        <v>2001</v>
      </c>
      <c r="T550" s="8">
        <v>2001</v>
      </c>
      <c r="U550" s="8">
        <f t="shared" si="65"/>
        <v>21</v>
      </c>
      <c r="V550" s="7">
        <v>37135</v>
      </c>
      <c r="W550" t="s">
        <v>284</v>
      </c>
      <c r="X550" s="2">
        <v>1.468</v>
      </c>
      <c r="Y550" s="6">
        <f t="shared" si="70"/>
        <v>3.9187421585115186E-2</v>
      </c>
      <c r="AA550">
        <v>906778</v>
      </c>
      <c r="AB550">
        <v>18931</v>
      </c>
      <c r="AD550" t="s">
        <v>1</v>
      </c>
      <c r="AE550">
        <v>49</v>
      </c>
      <c r="AF550">
        <v>9</v>
      </c>
      <c r="AH550" t="s">
        <v>4202</v>
      </c>
      <c r="AI550" t="s">
        <v>4201</v>
      </c>
      <c r="AJ550" t="s">
        <v>4200</v>
      </c>
      <c r="AK550" t="s">
        <v>4199</v>
      </c>
      <c r="AL550">
        <v>104</v>
      </c>
      <c r="AM550" s="5">
        <f t="shared" si="66"/>
        <v>4.9523809523809526</v>
      </c>
      <c r="AN550" s="4">
        <f t="shared" si="71"/>
        <v>7.5007663042498335E-3</v>
      </c>
      <c r="AO550" s="3"/>
      <c r="AP550">
        <v>0</v>
      </c>
      <c r="AQ550" t="s">
        <v>21</v>
      </c>
      <c r="AR550" t="s">
        <v>4198</v>
      </c>
      <c r="AS550" t="s">
        <v>20</v>
      </c>
      <c r="AT550" s="2">
        <v>5.0830000000000002</v>
      </c>
      <c r="AU550" s="1">
        <f t="shared" si="67"/>
        <v>2.9681425000855577</v>
      </c>
      <c r="AV550" s="1">
        <f t="shared" si="68"/>
        <v>2.3344093944682509</v>
      </c>
      <c r="AW550" s="1">
        <f t="shared" si="69"/>
        <v>1.7006762888509441</v>
      </c>
    </row>
    <row r="551" spans="1:49" x14ac:dyDescent="0.2">
      <c r="A551">
        <v>549</v>
      </c>
      <c r="B551" t="s">
        <v>4197</v>
      </c>
      <c r="C551" t="s">
        <v>4196</v>
      </c>
      <c r="D551" t="s">
        <v>4195</v>
      </c>
      <c r="F551" t="s">
        <v>4194</v>
      </c>
      <c r="G551" t="s">
        <v>6</v>
      </c>
      <c r="H551" t="s">
        <v>5</v>
      </c>
      <c r="I551" t="s">
        <v>4193</v>
      </c>
      <c r="J551" t="s">
        <v>4192</v>
      </c>
      <c r="K551" t="s">
        <v>4191</v>
      </c>
      <c r="L551" t="s">
        <v>4190</v>
      </c>
      <c r="M551" t="s">
        <v>44</v>
      </c>
      <c r="N551">
        <v>2</v>
      </c>
      <c r="O551" t="s">
        <v>4189</v>
      </c>
      <c r="P551" t="s">
        <v>4188</v>
      </c>
      <c r="Q551" t="s">
        <v>4187</v>
      </c>
      <c r="R551" s="7">
        <v>37135</v>
      </c>
      <c r="S551" s="8">
        <f t="shared" si="64"/>
        <v>2001</v>
      </c>
      <c r="T551" s="8">
        <v>2001</v>
      </c>
      <c r="U551" s="8">
        <f t="shared" si="65"/>
        <v>21</v>
      </c>
      <c r="V551" s="7">
        <v>37135</v>
      </c>
      <c r="W551" t="s">
        <v>258</v>
      </c>
      <c r="X551" s="2">
        <v>0.92900000000000005</v>
      </c>
      <c r="Y551" s="6">
        <f t="shared" si="70"/>
        <v>2.4799124422732979E-2</v>
      </c>
      <c r="AA551">
        <v>10897798</v>
      </c>
      <c r="AB551">
        <v>18896</v>
      </c>
      <c r="AD551" t="s">
        <v>1</v>
      </c>
      <c r="AE551">
        <v>5</v>
      </c>
      <c r="AF551">
        <v>9</v>
      </c>
      <c r="AH551" t="s">
        <v>4186</v>
      </c>
      <c r="AI551" t="s">
        <v>4185</v>
      </c>
      <c r="AJ551" t="s">
        <v>4184</v>
      </c>
      <c r="AK551" t="s">
        <v>4183</v>
      </c>
      <c r="AL551">
        <v>146</v>
      </c>
      <c r="AM551" s="5">
        <f t="shared" si="66"/>
        <v>6.9523809523809526</v>
      </c>
      <c r="AN551" s="4">
        <f t="shared" si="71"/>
        <v>1.0529921927119958E-2</v>
      </c>
      <c r="AO551" s="3"/>
      <c r="AP551">
        <v>0</v>
      </c>
      <c r="AR551" t="s">
        <v>0</v>
      </c>
      <c r="AS551" t="s">
        <v>625</v>
      </c>
      <c r="AT551" s="2">
        <v>3.4359999999999999</v>
      </c>
      <c r="AU551" s="1">
        <f t="shared" si="67"/>
        <v>2.0518363674049072</v>
      </c>
      <c r="AV551" s="1">
        <f t="shared" si="68"/>
        <v>1.766452317492647</v>
      </c>
      <c r="AW551" s="1">
        <f t="shared" si="69"/>
        <v>1.4810682675803863</v>
      </c>
    </row>
    <row r="552" spans="1:49" x14ac:dyDescent="0.2">
      <c r="A552">
        <v>550</v>
      </c>
      <c r="B552" t="s">
        <v>4182</v>
      </c>
      <c r="C552" t="s">
        <v>4181</v>
      </c>
      <c r="D552" t="s">
        <v>4180</v>
      </c>
      <c r="F552" t="s">
        <v>4179</v>
      </c>
      <c r="G552" t="s">
        <v>6</v>
      </c>
      <c r="H552" t="s">
        <v>5</v>
      </c>
      <c r="I552" t="s">
        <v>4178</v>
      </c>
      <c r="J552" t="s">
        <v>4177</v>
      </c>
      <c r="K552" t="s">
        <v>4176</v>
      </c>
      <c r="L552" t="s">
        <v>4175</v>
      </c>
      <c r="M552" t="s">
        <v>334</v>
      </c>
      <c r="N552">
        <v>1</v>
      </c>
      <c r="O552" t="s">
        <v>4174</v>
      </c>
      <c r="P552">
        <v>15623757700</v>
      </c>
      <c r="Q552" t="s">
        <v>4173</v>
      </c>
      <c r="R552" s="7">
        <v>37135</v>
      </c>
      <c r="S552" s="8">
        <f t="shared" si="64"/>
        <v>2001</v>
      </c>
      <c r="T552" s="8">
        <v>2001</v>
      </c>
      <c r="U552" s="8">
        <f t="shared" si="65"/>
        <v>21</v>
      </c>
      <c r="V552" s="7">
        <v>37135</v>
      </c>
      <c r="W552" t="s">
        <v>258</v>
      </c>
      <c r="X552" s="2">
        <v>0.92900000000000005</v>
      </c>
      <c r="Y552" s="6">
        <f t="shared" si="70"/>
        <v>2.4799124422732979E-2</v>
      </c>
      <c r="AA552">
        <v>10897798</v>
      </c>
      <c r="AB552">
        <v>18896</v>
      </c>
      <c r="AD552" t="s">
        <v>1</v>
      </c>
      <c r="AE552">
        <v>5</v>
      </c>
      <c r="AF552">
        <v>9</v>
      </c>
      <c r="AH552" t="s">
        <v>4172</v>
      </c>
      <c r="AI552" t="s">
        <v>4171</v>
      </c>
      <c r="AJ552" t="s">
        <v>4170</v>
      </c>
      <c r="AK552" t="s">
        <v>4169</v>
      </c>
      <c r="AL552">
        <v>578</v>
      </c>
      <c r="AM552" s="5">
        <f t="shared" si="66"/>
        <v>27.523809523809526</v>
      </c>
      <c r="AN552" s="4">
        <f t="shared" si="71"/>
        <v>4.1686951190926962E-2</v>
      </c>
      <c r="AO552" s="3"/>
      <c r="AP552">
        <v>0</v>
      </c>
      <c r="AR552" t="s">
        <v>0</v>
      </c>
      <c r="AT552" s="2">
        <v>3.4359999999999999</v>
      </c>
      <c r="AU552" s="1">
        <f t="shared" si="67"/>
        <v>2.9865472453191169</v>
      </c>
      <c r="AV552" s="1">
        <f t="shared" si="68"/>
        <v>3.3243037806829969</v>
      </c>
      <c r="AW552" s="1">
        <f t="shared" si="69"/>
        <v>3.6620603160468765</v>
      </c>
    </row>
    <row r="553" spans="1:49" x14ac:dyDescent="0.2">
      <c r="A553">
        <v>551</v>
      </c>
      <c r="B553" t="s">
        <v>4168</v>
      </c>
      <c r="C553" t="s">
        <v>4167</v>
      </c>
      <c r="F553" t="s">
        <v>4166</v>
      </c>
      <c r="G553" t="s">
        <v>6</v>
      </c>
      <c r="H553" t="s">
        <v>5</v>
      </c>
      <c r="I553" t="s">
        <v>530</v>
      </c>
      <c r="J553" t="s">
        <v>4165</v>
      </c>
      <c r="K553" t="s">
        <v>4164</v>
      </c>
      <c r="L553" t="s">
        <v>4163</v>
      </c>
      <c r="M553" t="s">
        <v>579</v>
      </c>
      <c r="N553">
        <v>5</v>
      </c>
      <c r="O553" t="s">
        <v>4162</v>
      </c>
      <c r="P553" t="s">
        <v>4161</v>
      </c>
      <c r="Q553" t="s">
        <v>4160</v>
      </c>
      <c r="R553" s="7">
        <v>37135</v>
      </c>
      <c r="S553" s="8">
        <f t="shared" si="64"/>
        <v>2001</v>
      </c>
      <c r="T553" s="8">
        <v>2001</v>
      </c>
      <c r="U553" s="8">
        <f t="shared" si="65"/>
        <v>21</v>
      </c>
      <c r="V553" s="7">
        <v>37135</v>
      </c>
      <c r="W553" t="s">
        <v>4159</v>
      </c>
      <c r="X553" s="2">
        <v>0.63700000000000001</v>
      </c>
      <c r="Y553" s="6">
        <f t="shared" si="70"/>
        <v>1.7004351191906249E-2</v>
      </c>
      <c r="AA553">
        <v>8837554</v>
      </c>
      <c r="AB553">
        <v>17258</v>
      </c>
      <c r="AD553" t="s">
        <v>1</v>
      </c>
      <c r="AE553">
        <v>17</v>
      </c>
      <c r="AF553">
        <v>5</v>
      </c>
      <c r="AH553" t="s">
        <v>4158</v>
      </c>
      <c r="AI553" t="s">
        <v>4157</v>
      </c>
      <c r="AJ553" t="s">
        <v>4156</v>
      </c>
      <c r="AK553" t="s">
        <v>4155</v>
      </c>
      <c r="AL553">
        <v>5</v>
      </c>
      <c r="AM553" s="5">
        <f t="shared" si="66"/>
        <v>0.23809523809523808</v>
      </c>
      <c r="AN553" s="4">
        <f t="shared" si="71"/>
        <v>3.6061376462739582E-4</v>
      </c>
      <c r="AO553" s="3"/>
      <c r="AP553">
        <v>0</v>
      </c>
      <c r="AQ553" t="s">
        <v>61</v>
      </c>
      <c r="AR553">
        <v>59877019</v>
      </c>
      <c r="AS553" t="s">
        <v>60</v>
      </c>
      <c r="AT553" s="2">
        <v>3.2170000000000001</v>
      </c>
      <c r="AU553" s="1">
        <f t="shared" si="67"/>
        <v>1.2011229963722592</v>
      </c>
      <c r="AV553" s="1">
        <f t="shared" si="68"/>
        <v>0.8682482478266822</v>
      </c>
      <c r="AW553" s="1">
        <f t="shared" si="69"/>
        <v>0.53537349928110523</v>
      </c>
    </row>
    <row r="554" spans="1:49" x14ac:dyDescent="0.2">
      <c r="A554">
        <v>552</v>
      </c>
      <c r="B554" t="s">
        <v>4154</v>
      </c>
      <c r="C554" t="s">
        <v>4153</v>
      </c>
      <c r="E554">
        <v>11570770</v>
      </c>
      <c r="F554" t="s">
        <v>4152</v>
      </c>
      <c r="G554" t="s">
        <v>6</v>
      </c>
      <c r="H554" t="s">
        <v>5</v>
      </c>
      <c r="I554" t="s">
        <v>4151</v>
      </c>
      <c r="J554">
        <v>60025278</v>
      </c>
      <c r="K554" t="s">
        <v>201</v>
      </c>
      <c r="L554" t="s">
        <v>63</v>
      </c>
      <c r="M554" t="s">
        <v>62</v>
      </c>
      <c r="N554">
        <v>3</v>
      </c>
      <c r="O554" t="s">
        <v>4150</v>
      </c>
      <c r="P554" t="s">
        <v>4149</v>
      </c>
      <c r="Q554" t="s">
        <v>517</v>
      </c>
      <c r="R554" s="7">
        <v>37135</v>
      </c>
      <c r="S554" s="8">
        <f t="shared" si="64"/>
        <v>2001</v>
      </c>
      <c r="T554" s="8">
        <v>2001</v>
      </c>
      <c r="U554" s="8">
        <f t="shared" si="65"/>
        <v>21</v>
      </c>
      <c r="V554" s="7">
        <v>37135</v>
      </c>
      <c r="W554" t="s">
        <v>929</v>
      </c>
      <c r="X554" s="2">
        <v>1.159</v>
      </c>
      <c r="Y554" s="6">
        <f t="shared" si="70"/>
        <v>3.093884306345266E-2</v>
      </c>
      <c r="AA554">
        <v>8853010</v>
      </c>
      <c r="AB554">
        <v>12998</v>
      </c>
      <c r="AD554" t="s">
        <v>1</v>
      </c>
      <c r="AE554">
        <v>48</v>
      </c>
      <c r="AF554">
        <v>5</v>
      </c>
      <c r="AH554" t="s">
        <v>4148</v>
      </c>
      <c r="AI554" t="s">
        <v>4147</v>
      </c>
      <c r="AK554" t="s">
        <v>4146</v>
      </c>
      <c r="AL554">
        <v>5</v>
      </c>
      <c r="AM554" s="5">
        <f t="shared" si="66"/>
        <v>0.23809523809523808</v>
      </c>
      <c r="AN554" s="4">
        <f t="shared" si="71"/>
        <v>3.6061376462739582E-4</v>
      </c>
      <c r="AO554" s="3"/>
      <c r="AP554">
        <v>0</v>
      </c>
      <c r="AR554" t="s">
        <v>0</v>
      </c>
      <c r="AT554" s="2" t="s">
        <v>7</v>
      </c>
      <c r="AU554" s="1">
        <f t="shared" si="67"/>
        <v>2.176537427380508</v>
      </c>
      <c r="AV554" s="1">
        <f t="shared" si="68"/>
        <v>1.5649728414040029</v>
      </c>
      <c r="AW554" s="1">
        <f t="shared" si="69"/>
        <v>0.95340825542749763</v>
      </c>
    </row>
    <row r="555" spans="1:49" x14ac:dyDescent="0.2">
      <c r="A555">
        <v>553</v>
      </c>
      <c r="B555" t="s">
        <v>4145</v>
      </c>
      <c r="C555" t="s">
        <v>4144</v>
      </c>
      <c r="D555" t="s">
        <v>4143</v>
      </c>
      <c r="F555" t="s">
        <v>4142</v>
      </c>
      <c r="G555" t="s">
        <v>6</v>
      </c>
      <c r="H555" t="s">
        <v>5</v>
      </c>
      <c r="I555" t="s">
        <v>4141</v>
      </c>
      <c r="J555" t="s">
        <v>4140</v>
      </c>
      <c r="K555" t="s">
        <v>4139</v>
      </c>
      <c r="L555" t="s">
        <v>4138</v>
      </c>
      <c r="M555" t="s">
        <v>9</v>
      </c>
      <c r="N555">
        <v>6</v>
      </c>
      <c r="O555" t="s">
        <v>4137</v>
      </c>
      <c r="P555" t="s">
        <v>4136</v>
      </c>
      <c r="Q555" t="s">
        <v>4135</v>
      </c>
      <c r="R555" s="7">
        <v>37134</v>
      </c>
      <c r="S555" s="8">
        <f t="shared" si="64"/>
        <v>2001</v>
      </c>
      <c r="T555" s="8">
        <v>2001</v>
      </c>
      <c r="U555" s="8">
        <f t="shared" si="65"/>
        <v>21</v>
      </c>
      <c r="V555" s="7">
        <v>2001</v>
      </c>
      <c r="W555" t="s">
        <v>439</v>
      </c>
      <c r="X555" s="2">
        <v>1.204</v>
      </c>
      <c r="Y555" s="6">
        <f t="shared" si="70"/>
        <v>3.2140092362723902E-2</v>
      </c>
      <c r="AA555">
        <v>9552219</v>
      </c>
      <c r="AB555">
        <v>21548</v>
      </c>
      <c r="AD555" t="s">
        <v>1</v>
      </c>
      <c r="AE555">
        <v>21</v>
      </c>
      <c r="AF555" s="10">
        <v>44510</v>
      </c>
      <c r="AH555" t="s">
        <v>4134</v>
      </c>
      <c r="AI555" t="s">
        <v>4133</v>
      </c>
      <c r="AJ555" t="s">
        <v>4132</v>
      </c>
      <c r="AK555" t="s">
        <v>4131</v>
      </c>
      <c r="AL555">
        <v>195</v>
      </c>
      <c r="AM555" s="5">
        <f t="shared" si="66"/>
        <v>9.2857142857142865</v>
      </c>
      <c r="AN555" s="4">
        <f t="shared" si="71"/>
        <v>1.4063936820468439E-2</v>
      </c>
      <c r="AO555" s="3"/>
      <c r="AP555">
        <v>0</v>
      </c>
      <c r="AQ555" t="s">
        <v>4106</v>
      </c>
      <c r="AR555" t="s">
        <v>0</v>
      </c>
      <c r="AS555" t="s">
        <v>4105</v>
      </c>
      <c r="AT555" s="2" t="s">
        <v>7</v>
      </c>
      <c r="AU555" s="1">
        <f t="shared" si="67"/>
        <v>2.6717245700047259</v>
      </c>
      <c r="AV555" s="1">
        <f t="shared" si="68"/>
        <v>2.3102014591596172</v>
      </c>
      <c r="AW555" s="1">
        <f t="shared" si="69"/>
        <v>1.9486783483145076</v>
      </c>
    </row>
    <row r="556" spans="1:49" x14ac:dyDescent="0.2">
      <c r="A556">
        <v>554</v>
      </c>
      <c r="B556" t="s">
        <v>4130</v>
      </c>
      <c r="C556" t="s">
        <v>4129</v>
      </c>
      <c r="F556" t="s">
        <v>4128</v>
      </c>
      <c r="G556" t="s">
        <v>6</v>
      </c>
      <c r="H556" t="s">
        <v>5</v>
      </c>
      <c r="I556" t="s">
        <v>4127</v>
      </c>
      <c r="J556">
        <v>60000745</v>
      </c>
      <c r="K556" t="s">
        <v>179</v>
      </c>
      <c r="L556" t="s">
        <v>178</v>
      </c>
      <c r="M556" t="s">
        <v>3</v>
      </c>
      <c r="N556">
        <v>3</v>
      </c>
      <c r="O556" t="s">
        <v>4126</v>
      </c>
      <c r="P556" t="s">
        <v>4125</v>
      </c>
      <c r="Q556" t="s">
        <v>254</v>
      </c>
      <c r="R556" s="7">
        <v>37133</v>
      </c>
      <c r="S556" s="8">
        <f t="shared" si="64"/>
        <v>2001</v>
      </c>
      <c r="T556" s="8">
        <v>2001</v>
      </c>
      <c r="U556" s="8">
        <f t="shared" si="65"/>
        <v>21</v>
      </c>
      <c r="V556" s="7">
        <v>37133</v>
      </c>
      <c r="W556" t="s">
        <v>835</v>
      </c>
      <c r="X556" s="2">
        <v>0.86399999999999999</v>
      </c>
      <c r="Y556" s="6">
        <f t="shared" si="70"/>
        <v>2.3063986546007848E-2</v>
      </c>
      <c r="AA556">
        <v>10895647</v>
      </c>
      <c r="AB556">
        <v>26970</v>
      </c>
      <c r="AD556" t="s">
        <v>1</v>
      </c>
      <c r="AE556">
        <v>105</v>
      </c>
      <c r="AF556">
        <v>34</v>
      </c>
      <c r="AH556" t="s">
        <v>4124</v>
      </c>
      <c r="AI556" t="s">
        <v>4123</v>
      </c>
      <c r="AK556" t="s">
        <v>4122</v>
      </c>
      <c r="AL556">
        <v>121</v>
      </c>
      <c r="AM556" s="5">
        <f t="shared" si="66"/>
        <v>5.7619047619047619</v>
      </c>
      <c r="AN556" s="4">
        <f t="shared" si="71"/>
        <v>8.7268531039829782E-3</v>
      </c>
      <c r="AO556" s="3"/>
      <c r="AP556">
        <v>0</v>
      </c>
      <c r="AR556" t="s">
        <v>0</v>
      </c>
      <c r="AT556" s="2">
        <v>2.9910000000000001</v>
      </c>
      <c r="AU556" s="1">
        <f t="shared" si="67"/>
        <v>1.8762846513400384</v>
      </c>
      <c r="AV556" s="1">
        <f t="shared" si="68"/>
        <v>1.5895419824995414</v>
      </c>
      <c r="AW556" s="1">
        <f t="shared" si="69"/>
        <v>1.3027993136590439</v>
      </c>
    </row>
    <row r="557" spans="1:49" x14ac:dyDescent="0.2">
      <c r="A557">
        <v>555</v>
      </c>
      <c r="B557" t="s">
        <v>4121</v>
      </c>
      <c r="C557" t="s">
        <v>4120</v>
      </c>
      <c r="D557" t="s">
        <v>4119</v>
      </c>
      <c r="F557" t="s">
        <v>4118</v>
      </c>
      <c r="G557" t="s">
        <v>6</v>
      </c>
      <c r="H557" t="s">
        <v>5</v>
      </c>
      <c r="I557" t="s">
        <v>4117</v>
      </c>
      <c r="J557" t="s">
        <v>4116</v>
      </c>
      <c r="K557" t="s">
        <v>4115</v>
      </c>
      <c r="L557" t="s">
        <v>4114</v>
      </c>
      <c r="M557" t="s">
        <v>379</v>
      </c>
      <c r="N557">
        <v>6</v>
      </c>
      <c r="O557" t="s">
        <v>4113</v>
      </c>
      <c r="P557" t="s">
        <v>4112</v>
      </c>
      <c r="Q557" t="s">
        <v>4111</v>
      </c>
      <c r="R557" s="7">
        <v>37133</v>
      </c>
      <c r="S557" s="8">
        <f t="shared" si="64"/>
        <v>2001</v>
      </c>
      <c r="T557" s="8">
        <v>2001</v>
      </c>
      <c r="U557" s="8">
        <f t="shared" si="65"/>
        <v>21</v>
      </c>
      <c r="V557" s="7">
        <v>37133</v>
      </c>
      <c r="W557" t="s">
        <v>4110</v>
      </c>
      <c r="X557" s="2">
        <v>1.601</v>
      </c>
      <c r="Y557" s="6">
        <f t="shared" si="70"/>
        <v>4.2737780625183526E-2</v>
      </c>
      <c r="AA557">
        <v>9254005</v>
      </c>
      <c r="AB557">
        <v>25236</v>
      </c>
      <c r="AD557" t="s">
        <v>1</v>
      </c>
      <c r="AE557">
        <v>78</v>
      </c>
      <c r="AF557" s="10">
        <v>44256</v>
      </c>
      <c r="AH557" s="10">
        <v>44317</v>
      </c>
      <c r="AI557" t="s">
        <v>4109</v>
      </c>
      <c r="AJ557" t="s">
        <v>4108</v>
      </c>
      <c r="AK557" t="s">
        <v>4107</v>
      </c>
      <c r="AL557">
        <v>20</v>
      </c>
      <c r="AM557" s="5">
        <f t="shared" si="66"/>
        <v>0.95238095238095233</v>
      </c>
      <c r="AN557" s="4">
        <f t="shared" si="71"/>
        <v>1.4424550585095833E-3</v>
      </c>
      <c r="AO557" s="3"/>
      <c r="AP557">
        <v>0</v>
      </c>
      <c r="AQ557" t="s">
        <v>4106</v>
      </c>
      <c r="AR557" t="s">
        <v>0</v>
      </c>
      <c r="AS557" t="s">
        <v>4105</v>
      </c>
      <c r="AT557" s="2" t="s">
        <v>7</v>
      </c>
      <c r="AU557" s="1">
        <f t="shared" si="67"/>
        <v>3.0349182955181342</v>
      </c>
      <c r="AV557" s="1">
        <f t="shared" si="68"/>
        <v>2.2090117841846553</v>
      </c>
      <c r="AW557" s="1">
        <f t="shared" si="69"/>
        <v>1.3831052728511766</v>
      </c>
    </row>
    <row r="558" spans="1:49" x14ac:dyDescent="0.2">
      <c r="A558">
        <v>556</v>
      </c>
      <c r="B558" t="s">
        <v>4104</v>
      </c>
      <c r="C558" t="s">
        <v>4103</v>
      </c>
      <c r="F558" t="s">
        <v>4102</v>
      </c>
      <c r="G558" t="s">
        <v>6</v>
      </c>
      <c r="H558" t="s">
        <v>5</v>
      </c>
      <c r="I558" t="s">
        <v>4101</v>
      </c>
      <c r="J558" t="s">
        <v>4100</v>
      </c>
      <c r="K558" t="s">
        <v>4099</v>
      </c>
      <c r="L558" t="s">
        <v>4098</v>
      </c>
      <c r="M558" t="s">
        <v>77</v>
      </c>
      <c r="N558">
        <v>4</v>
      </c>
      <c r="O558" t="s">
        <v>4097</v>
      </c>
      <c r="P558" t="s">
        <v>4096</v>
      </c>
      <c r="Q558" t="s">
        <v>4095</v>
      </c>
      <c r="R558" s="7">
        <v>37133</v>
      </c>
      <c r="S558" s="8">
        <f t="shared" si="64"/>
        <v>2001</v>
      </c>
      <c r="T558" s="8">
        <v>2001</v>
      </c>
      <c r="U558" s="8">
        <f t="shared" si="65"/>
        <v>21</v>
      </c>
      <c r="V558" s="7">
        <v>37133</v>
      </c>
      <c r="W558" t="s">
        <v>698</v>
      </c>
      <c r="X558" s="2">
        <v>0.375</v>
      </c>
      <c r="Y558" s="6">
        <f t="shared" si="70"/>
        <v>1.0010410827260351E-2</v>
      </c>
      <c r="AA558">
        <v>135194</v>
      </c>
      <c r="AB558">
        <v>24918</v>
      </c>
      <c r="AD558" t="s">
        <v>1</v>
      </c>
      <c r="AE558">
        <v>37</v>
      </c>
      <c r="AF558">
        <v>18</v>
      </c>
      <c r="AH558" t="s">
        <v>4094</v>
      </c>
      <c r="AI558" t="s">
        <v>4093</v>
      </c>
      <c r="AK558" t="s">
        <v>4092</v>
      </c>
      <c r="AL558">
        <v>6</v>
      </c>
      <c r="AM558" s="5">
        <f t="shared" si="66"/>
        <v>0.2857142857142857</v>
      </c>
      <c r="AN558" s="4">
        <f t="shared" si="71"/>
        <v>4.3273651755287499E-4</v>
      </c>
      <c r="AO558" s="3"/>
      <c r="AP558">
        <v>0</v>
      </c>
      <c r="AR558" t="s">
        <v>0</v>
      </c>
      <c r="AT558" s="2">
        <v>1.3140000000000001</v>
      </c>
      <c r="AU558" s="1">
        <f t="shared" si="67"/>
        <v>0.71371085343481078</v>
      </c>
      <c r="AV558" s="1">
        <f t="shared" si="68"/>
        <v>0.52215736724066131</v>
      </c>
      <c r="AW558" s="1">
        <f t="shared" si="69"/>
        <v>0.33060388104651178</v>
      </c>
    </row>
    <row r="559" spans="1:49" x14ac:dyDescent="0.2">
      <c r="A559">
        <v>557</v>
      </c>
      <c r="B559" t="s">
        <v>4091</v>
      </c>
      <c r="C559" t="s">
        <v>4090</v>
      </c>
      <c r="F559" t="s">
        <v>4089</v>
      </c>
      <c r="G559" t="s">
        <v>6</v>
      </c>
      <c r="H559" t="s">
        <v>5</v>
      </c>
      <c r="I559" t="s">
        <v>4088</v>
      </c>
      <c r="J559">
        <v>60025555</v>
      </c>
      <c r="K559" t="s">
        <v>93</v>
      </c>
      <c r="L559" t="s">
        <v>92</v>
      </c>
      <c r="M559" t="s">
        <v>26</v>
      </c>
      <c r="N559">
        <v>3</v>
      </c>
      <c r="O559" t="s">
        <v>4087</v>
      </c>
      <c r="P559" t="s">
        <v>4086</v>
      </c>
      <c r="Q559" t="s">
        <v>516</v>
      </c>
      <c r="R559" s="7">
        <v>37133</v>
      </c>
      <c r="S559" s="8">
        <f t="shared" si="64"/>
        <v>2001</v>
      </c>
      <c r="T559" s="8">
        <v>2001</v>
      </c>
      <c r="U559" s="8">
        <f t="shared" si="65"/>
        <v>21</v>
      </c>
      <c r="V559" s="7">
        <v>37133</v>
      </c>
      <c r="W559" t="s">
        <v>698</v>
      </c>
      <c r="X559" s="2">
        <v>0.375</v>
      </c>
      <c r="Y559" s="6">
        <f t="shared" si="70"/>
        <v>1.0010410827260351E-2</v>
      </c>
      <c r="AA559">
        <v>135194</v>
      </c>
      <c r="AB559">
        <v>24918</v>
      </c>
      <c r="AD559" t="s">
        <v>1</v>
      </c>
      <c r="AE559">
        <v>37</v>
      </c>
      <c r="AF559">
        <v>18</v>
      </c>
      <c r="AH559" t="s">
        <v>4085</v>
      </c>
      <c r="AI559" t="s">
        <v>4084</v>
      </c>
      <c r="AK559" t="s">
        <v>4083</v>
      </c>
      <c r="AL559">
        <v>8</v>
      </c>
      <c r="AM559" s="5">
        <f t="shared" si="66"/>
        <v>0.38095238095238093</v>
      </c>
      <c r="AN559" s="4">
        <f t="shared" si="71"/>
        <v>5.7698202340383331E-4</v>
      </c>
      <c r="AO559" s="3"/>
      <c r="AP559">
        <v>0</v>
      </c>
      <c r="AR559" t="s">
        <v>0</v>
      </c>
      <c r="AT559" s="2">
        <v>1.3140000000000001</v>
      </c>
      <c r="AU559" s="1">
        <f t="shared" si="67"/>
        <v>0.71803821861033956</v>
      </c>
      <c r="AV559" s="1">
        <f t="shared" si="68"/>
        <v>0.52936964253320917</v>
      </c>
      <c r="AW559" s="1">
        <f t="shared" si="69"/>
        <v>0.34070106645607884</v>
      </c>
    </row>
    <row r="560" spans="1:49" x14ac:dyDescent="0.2">
      <c r="A560">
        <v>558</v>
      </c>
      <c r="B560" t="s">
        <v>4082</v>
      </c>
      <c r="C560" t="s">
        <v>4081</v>
      </c>
      <c r="F560" t="s">
        <v>4080</v>
      </c>
      <c r="G560" t="s">
        <v>6</v>
      </c>
      <c r="H560" t="s">
        <v>5</v>
      </c>
      <c r="I560" t="s">
        <v>4079</v>
      </c>
      <c r="J560">
        <v>60109826</v>
      </c>
      <c r="K560" t="s">
        <v>4078</v>
      </c>
      <c r="L560" t="s">
        <v>667</v>
      </c>
      <c r="M560" t="s">
        <v>46</v>
      </c>
      <c r="N560">
        <v>2</v>
      </c>
      <c r="O560" t="s">
        <v>4077</v>
      </c>
      <c r="P560" t="s">
        <v>4076</v>
      </c>
      <c r="Q560" t="s">
        <v>4075</v>
      </c>
      <c r="R560" s="7">
        <v>37133</v>
      </c>
      <c r="S560" s="8">
        <f t="shared" si="64"/>
        <v>2001</v>
      </c>
      <c r="T560" s="8">
        <v>2001</v>
      </c>
      <c r="U560" s="8">
        <f t="shared" si="65"/>
        <v>21</v>
      </c>
      <c r="V560" s="7">
        <v>37133</v>
      </c>
      <c r="W560" t="s">
        <v>698</v>
      </c>
      <c r="X560" s="2">
        <v>0.375</v>
      </c>
      <c r="Y560" s="6">
        <f t="shared" si="70"/>
        <v>1.0010410827260351E-2</v>
      </c>
      <c r="AA560">
        <v>135194</v>
      </c>
      <c r="AB560">
        <v>24918</v>
      </c>
      <c r="AD560" t="s">
        <v>1</v>
      </c>
      <c r="AE560">
        <v>37</v>
      </c>
      <c r="AF560">
        <v>18</v>
      </c>
      <c r="AH560" t="s">
        <v>4074</v>
      </c>
      <c r="AI560" t="s">
        <v>4073</v>
      </c>
      <c r="AK560" t="s">
        <v>4072</v>
      </c>
      <c r="AL560">
        <v>21</v>
      </c>
      <c r="AM560" s="5">
        <f t="shared" si="66"/>
        <v>1</v>
      </c>
      <c r="AN560" s="4">
        <f t="shared" si="71"/>
        <v>1.5145778114350624E-3</v>
      </c>
      <c r="AO560" s="3"/>
      <c r="AP560">
        <v>0</v>
      </c>
      <c r="AR560" t="s">
        <v>0</v>
      </c>
      <c r="AT560" s="2">
        <v>1.3140000000000001</v>
      </c>
      <c r="AU560" s="1">
        <f t="shared" si="67"/>
        <v>0.74616609225127639</v>
      </c>
      <c r="AV560" s="1">
        <f t="shared" si="68"/>
        <v>0.57624943193477074</v>
      </c>
      <c r="AW560" s="1">
        <f t="shared" si="69"/>
        <v>0.40633277161826492</v>
      </c>
    </row>
    <row r="561" spans="1:49" x14ac:dyDescent="0.2">
      <c r="A561">
        <v>559</v>
      </c>
      <c r="B561" t="s">
        <v>4071</v>
      </c>
      <c r="C561" t="s">
        <v>4070</v>
      </c>
      <c r="F561" t="s">
        <v>4069</v>
      </c>
      <c r="G561" t="s">
        <v>6</v>
      </c>
      <c r="H561" t="s">
        <v>5</v>
      </c>
      <c r="I561" t="s">
        <v>388</v>
      </c>
      <c r="J561" t="s">
        <v>387</v>
      </c>
      <c r="K561" t="s">
        <v>386</v>
      </c>
      <c r="L561" t="s">
        <v>385</v>
      </c>
      <c r="M561" t="s">
        <v>384</v>
      </c>
      <c r="N561">
        <v>4</v>
      </c>
      <c r="O561" t="s">
        <v>4068</v>
      </c>
      <c r="P561" t="s">
        <v>383</v>
      </c>
      <c r="Q561" t="s">
        <v>382</v>
      </c>
      <c r="R561" s="7">
        <v>37133</v>
      </c>
      <c r="S561" s="8">
        <f t="shared" si="64"/>
        <v>2001</v>
      </c>
      <c r="T561" s="8">
        <v>2001</v>
      </c>
      <c r="U561" s="8">
        <f t="shared" si="65"/>
        <v>21</v>
      </c>
      <c r="V561" s="7">
        <v>37133</v>
      </c>
      <c r="W561" t="s">
        <v>698</v>
      </c>
      <c r="X561" s="2">
        <v>0.375</v>
      </c>
      <c r="Y561" s="6">
        <f t="shared" si="70"/>
        <v>1.0010410827260351E-2</v>
      </c>
      <c r="AA561">
        <v>135194</v>
      </c>
      <c r="AB561">
        <v>24918</v>
      </c>
      <c r="AD561" t="s">
        <v>1</v>
      </c>
      <c r="AE561">
        <v>37</v>
      </c>
      <c r="AF561">
        <v>18</v>
      </c>
      <c r="AH561" t="s">
        <v>4067</v>
      </c>
      <c r="AI561" t="s">
        <v>4066</v>
      </c>
      <c r="AK561" t="s">
        <v>4065</v>
      </c>
      <c r="AL561">
        <v>5</v>
      </c>
      <c r="AM561" s="5">
        <f t="shared" si="66"/>
        <v>0.23809523809523808</v>
      </c>
      <c r="AN561" s="4">
        <f t="shared" si="71"/>
        <v>3.6061376462739582E-4</v>
      </c>
      <c r="AO561" s="3"/>
      <c r="AP561">
        <v>0</v>
      </c>
      <c r="AR561" t="s">
        <v>0</v>
      </c>
      <c r="AT561" s="2">
        <v>1.3140000000000001</v>
      </c>
      <c r="AU561" s="1">
        <f t="shared" si="67"/>
        <v>0.71154717084704644</v>
      </c>
      <c r="AV561" s="1">
        <f t="shared" si="68"/>
        <v>0.51855122959438738</v>
      </c>
      <c r="AW561" s="1">
        <f t="shared" si="69"/>
        <v>0.3255552883417282</v>
      </c>
    </row>
    <row r="562" spans="1:49" x14ac:dyDescent="0.2">
      <c r="A562">
        <v>560</v>
      </c>
      <c r="B562" t="s">
        <v>4064</v>
      </c>
      <c r="C562" t="s">
        <v>4063</v>
      </c>
      <c r="F562" t="s">
        <v>4062</v>
      </c>
      <c r="G562" t="s">
        <v>6</v>
      </c>
      <c r="H562" t="s">
        <v>5</v>
      </c>
      <c r="I562" t="s">
        <v>4061</v>
      </c>
      <c r="J562">
        <v>60159855</v>
      </c>
      <c r="K562" t="s">
        <v>4060</v>
      </c>
      <c r="L562" t="s">
        <v>2516</v>
      </c>
      <c r="M562" t="s">
        <v>2515</v>
      </c>
      <c r="N562">
        <v>3</v>
      </c>
      <c r="O562" t="s">
        <v>4059</v>
      </c>
      <c r="P562" t="s">
        <v>4058</v>
      </c>
      <c r="Q562" t="s">
        <v>4057</v>
      </c>
      <c r="R562" s="7">
        <v>37133</v>
      </c>
      <c r="S562" s="8">
        <f t="shared" si="64"/>
        <v>2001</v>
      </c>
      <c r="T562" s="8">
        <v>2001</v>
      </c>
      <c r="U562" s="8">
        <f t="shared" si="65"/>
        <v>21</v>
      </c>
      <c r="V562" s="7">
        <v>37133</v>
      </c>
      <c r="W562" t="s">
        <v>698</v>
      </c>
      <c r="X562" s="2">
        <v>0.375</v>
      </c>
      <c r="Y562" s="6">
        <f t="shared" si="70"/>
        <v>1.0010410827260351E-2</v>
      </c>
      <c r="AA562">
        <v>135194</v>
      </c>
      <c r="AB562">
        <v>24918</v>
      </c>
      <c r="AD562" t="s">
        <v>1</v>
      </c>
      <c r="AE562">
        <v>37</v>
      </c>
      <c r="AF562">
        <v>18</v>
      </c>
      <c r="AH562" t="s">
        <v>4056</v>
      </c>
      <c r="AI562" t="s">
        <v>4055</v>
      </c>
      <c r="AK562" t="s">
        <v>4054</v>
      </c>
      <c r="AL562">
        <v>15</v>
      </c>
      <c r="AM562" s="5">
        <f t="shared" si="66"/>
        <v>0.7142857142857143</v>
      </c>
      <c r="AN562" s="4">
        <f t="shared" si="71"/>
        <v>1.0818412938821875E-3</v>
      </c>
      <c r="AO562" s="3"/>
      <c r="AP562">
        <v>0</v>
      </c>
      <c r="AR562" t="s">
        <v>0</v>
      </c>
      <c r="AT562" s="2">
        <v>1.3140000000000001</v>
      </c>
      <c r="AU562" s="1">
        <f t="shared" si="67"/>
        <v>0.73318399672469026</v>
      </c>
      <c r="AV562" s="1">
        <f t="shared" si="68"/>
        <v>0.55461260605712692</v>
      </c>
      <c r="AW562" s="1">
        <f t="shared" si="69"/>
        <v>0.37604121538956359</v>
      </c>
    </row>
    <row r="563" spans="1:49" x14ac:dyDescent="0.2">
      <c r="A563">
        <v>561</v>
      </c>
      <c r="B563" t="s">
        <v>4053</v>
      </c>
      <c r="C563" t="s">
        <v>4052</v>
      </c>
      <c r="F563" t="s">
        <v>4051</v>
      </c>
      <c r="G563" t="s">
        <v>6</v>
      </c>
      <c r="H563" t="s">
        <v>5</v>
      </c>
      <c r="I563" t="s">
        <v>4050</v>
      </c>
      <c r="J563">
        <v>60023345</v>
      </c>
      <c r="K563" t="s">
        <v>234</v>
      </c>
      <c r="L563" t="s">
        <v>233</v>
      </c>
      <c r="M563" t="s">
        <v>80</v>
      </c>
      <c r="N563">
        <v>2</v>
      </c>
      <c r="O563" t="s">
        <v>4049</v>
      </c>
      <c r="P563" t="s">
        <v>4048</v>
      </c>
      <c r="Q563" t="s">
        <v>4047</v>
      </c>
      <c r="R563" s="7">
        <v>37133</v>
      </c>
      <c r="S563" s="8">
        <f t="shared" si="64"/>
        <v>2001</v>
      </c>
      <c r="T563" s="8">
        <v>2001</v>
      </c>
      <c r="U563" s="8">
        <f t="shared" si="65"/>
        <v>21</v>
      </c>
      <c r="V563" s="7">
        <v>37133</v>
      </c>
      <c r="W563" t="s">
        <v>698</v>
      </c>
      <c r="X563" s="2">
        <v>0.375</v>
      </c>
      <c r="Y563" s="6">
        <f t="shared" si="70"/>
        <v>1.0010410827260351E-2</v>
      </c>
      <c r="AA563">
        <v>135194</v>
      </c>
      <c r="AB563">
        <v>24918</v>
      </c>
      <c r="AD563" t="s">
        <v>1</v>
      </c>
      <c r="AE563">
        <v>37</v>
      </c>
      <c r="AF563">
        <v>18</v>
      </c>
      <c r="AH563" t="s">
        <v>4046</v>
      </c>
      <c r="AI563" t="s">
        <v>4045</v>
      </c>
      <c r="AK563" t="s">
        <v>4044</v>
      </c>
      <c r="AL563">
        <v>2</v>
      </c>
      <c r="AM563" s="5">
        <f t="shared" si="66"/>
        <v>9.5238095238095233E-2</v>
      </c>
      <c r="AN563" s="4">
        <f t="shared" si="71"/>
        <v>1.4424550585095833E-4</v>
      </c>
      <c r="AO563" s="3"/>
      <c r="AP563">
        <v>0</v>
      </c>
      <c r="AR563" t="s">
        <v>0</v>
      </c>
      <c r="AT563" s="2">
        <v>1.3140000000000001</v>
      </c>
      <c r="AU563" s="1">
        <f t="shared" si="67"/>
        <v>0.70505612308375332</v>
      </c>
      <c r="AV563" s="1">
        <f t="shared" si="68"/>
        <v>0.50773281665556547</v>
      </c>
      <c r="AW563" s="1">
        <f t="shared" si="69"/>
        <v>0.31040951022737762</v>
      </c>
    </row>
    <row r="564" spans="1:49" x14ac:dyDescent="0.2">
      <c r="A564">
        <v>562</v>
      </c>
      <c r="B564" t="s">
        <v>4043</v>
      </c>
      <c r="C564" t="s">
        <v>4042</v>
      </c>
      <c r="F564" t="s">
        <v>4041</v>
      </c>
      <c r="G564" t="s">
        <v>6</v>
      </c>
      <c r="H564" t="s">
        <v>5</v>
      </c>
      <c r="I564" t="s">
        <v>401</v>
      </c>
      <c r="J564" t="s">
        <v>4040</v>
      </c>
      <c r="K564" t="s">
        <v>4039</v>
      </c>
      <c r="L564" t="s">
        <v>4038</v>
      </c>
      <c r="M564" t="s">
        <v>4037</v>
      </c>
      <c r="N564">
        <v>4</v>
      </c>
      <c r="O564" t="s">
        <v>4036</v>
      </c>
      <c r="P564" t="s">
        <v>4035</v>
      </c>
      <c r="Q564" t="s">
        <v>4034</v>
      </c>
      <c r="R564" s="7">
        <v>37133</v>
      </c>
      <c r="S564" s="8">
        <f t="shared" si="64"/>
        <v>2001</v>
      </c>
      <c r="T564" s="8">
        <v>2001</v>
      </c>
      <c r="U564" s="8">
        <f t="shared" si="65"/>
        <v>21</v>
      </c>
      <c r="V564" s="7">
        <v>37133</v>
      </c>
      <c r="W564" t="s">
        <v>698</v>
      </c>
      <c r="X564" s="2">
        <v>0.375</v>
      </c>
      <c r="Y564" s="6">
        <f t="shared" si="70"/>
        <v>1.0010410827260351E-2</v>
      </c>
      <c r="AA564">
        <v>135194</v>
      </c>
      <c r="AB564">
        <v>24918</v>
      </c>
      <c r="AD564" t="s">
        <v>1</v>
      </c>
      <c r="AE564">
        <v>37</v>
      </c>
      <c r="AF564">
        <v>18</v>
      </c>
      <c r="AH564" t="s">
        <v>4033</v>
      </c>
      <c r="AI564" t="s">
        <v>4032</v>
      </c>
      <c r="AK564" t="s">
        <v>4031</v>
      </c>
      <c r="AL564">
        <v>16</v>
      </c>
      <c r="AM564" s="5">
        <f t="shared" si="66"/>
        <v>0.76190476190476186</v>
      </c>
      <c r="AN564" s="4">
        <f t="shared" si="71"/>
        <v>1.1539640468076666E-3</v>
      </c>
      <c r="AO564" s="3"/>
      <c r="AP564">
        <v>0</v>
      </c>
      <c r="AR564" t="s">
        <v>0</v>
      </c>
      <c r="AT564" s="2">
        <v>1.3140000000000001</v>
      </c>
      <c r="AU564" s="1">
        <f t="shared" si="67"/>
        <v>0.73534767931245459</v>
      </c>
      <c r="AV564" s="1">
        <f t="shared" si="68"/>
        <v>0.55821874370340085</v>
      </c>
      <c r="AW564" s="1">
        <f t="shared" si="69"/>
        <v>0.38108980809434717</v>
      </c>
    </row>
    <row r="565" spans="1:49" x14ac:dyDescent="0.2">
      <c r="A565">
        <v>563</v>
      </c>
      <c r="B565" t="s">
        <v>4030</v>
      </c>
      <c r="C565" t="s">
        <v>4029</v>
      </c>
      <c r="E565">
        <v>11509824</v>
      </c>
      <c r="F565" t="s">
        <v>4028</v>
      </c>
      <c r="G565" t="s">
        <v>6</v>
      </c>
      <c r="H565" t="s">
        <v>5</v>
      </c>
      <c r="I565" t="s">
        <v>4027</v>
      </c>
      <c r="J565" t="s">
        <v>4026</v>
      </c>
      <c r="K565" t="s">
        <v>4025</v>
      </c>
      <c r="L565" t="s">
        <v>4024</v>
      </c>
      <c r="M565" t="s">
        <v>44</v>
      </c>
      <c r="N565">
        <v>3</v>
      </c>
      <c r="O565" t="s">
        <v>4023</v>
      </c>
      <c r="P565" t="s">
        <v>4022</v>
      </c>
      <c r="Q565" t="s">
        <v>4021</v>
      </c>
      <c r="R565" s="7">
        <v>37132</v>
      </c>
      <c r="S565" s="8">
        <f t="shared" si="64"/>
        <v>2001</v>
      </c>
      <c r="T565" s="8">
        <v>2001</v>
      </c>
      <c r="U565" s="8">
        <f t="shared" si="65"/>
        <v>21</v>
      </c>
      <c r="V565" s="7">
        <v>2001</v>
      </c>
      <c r="W565" t="s">
        <v>1007</v>
      </c>
      <c r="X565" s="2">
        <v>1.05</v>
      </c>
      <c r="Y565" s="6">
        <f t="shared" si="70"/>
        <v>2.8029150316328983E-2</v>
      </c>
      <c r="AA565">
        <v>68977</v>
      </c>
      <c r="AB565">
        <v>14323</v>
      </c>
      <c r="AD565" t="s">
        <v>1</v>
      </c>
      <c r="AE565">
        <v>57</v>
      </c>
      <c r="AF565">
        <v>3</v>
      </c>
      <c r="AH565" t="s">
        <v>4020</v>
      </c>
      <c r="AI565" t="s">
        <v>4019</v>
      </c>
      <c r="AJ565" t="s">
        <v>4018</v>
      </c>
      <c r="AK565" t="s">
        <v>4017</v>
      </c>
      <c r="AL565">
        <v>30</v>
      </c>
      <c r="AM565" s="5">
        <f t="shared" si="66"/>
        <v>1.4285714285714286</v>
      </c>
      <c r="AN565" s="4">
        <f t="shared" si="71"/>
        <v>2.163682587764375E-3</v>
      </c>
      <c r="AO565" s="3"/>
      <c r="AP565">
        <v>0</v>
      </c>
      <c r="AQ565" t="s">
        <v>4016</v>
      </c>
      <c r="AR565" t="s">
        <v>4015</v>
      </c>
      <c r="AS565" t="s">
        <v>4014</v>
      </c>
      <c r="AT565" s="2" t="s">
        <v>7</v>
      </c>
      <c r="AU565" s="1">
        <f t="shared" si="67"/>
        <v>2.02695099977596</v>
      </c>
      <c r="AV565" s="1">
        <f t="shared" si="68"/>
        <v>1.5096416452046679</v>
      </c>
      <c r="AW565" s="1">
        <f t="shared" si="69"/>
        <v>0.9923322906333758</v>
      </c>
    </row>
    <row r="566" spans="1:49" x14ac:dyDescent="0.2">
      <c r="A566">
        <v>564</v>
      </c>
      <c r="B566" t="s">
        <v>4013</v>
      </c>
      <c r="C566" t="s">
        <v>4012</v>
      </c>
      <c r="D566" t="s">
        <v>4011</v>
      </c>
      <c r="F566" t="s">
        <v>4010</v>
      </c>
      <c r="G566" t="s">
        <v>6</v>
      </c>
      <c r="H566" t="s">
        <v>5</v>
      </c>
      <c r="I566" t="s">
        <v>4009</v>
      </c>
      <c r="J566" t="s">
        <v>4004</v>
      </c>
      <c r="K566" t="s">
        <v>4008</v>
      </c>
      <c r="L566" t="s">
        <v>4007</v>
      </c>
      <c r="M566" t="s">
        <v>45</v>
      </c>
      <c r="N566">
        <v>2</v>
      </c>
      <c r="O566" t="s">
        <v>4006</v>
      </c>
      <c r="P566" t="s">
        <v>4005</v>
      </c>
      <c r="Q566" t="s">
        <v>4004</v>
      </c>
      <c r="R566" s="7">
        <v>37131</v>
      </c>
      <c r="S566" s="8">
        <f t="shared" si="64"/>
        <v>2001</v>
      </c>
      <c r="T566" s="8">
        <v>2001</v>
      </c>
      <c r="U566" s="8">
        <f t="shared" si="65"/>
        <v>21</v>
      </c>
      <c r="V566" s="7">
        <v>37131</v>
      </c>
      <c r="W566" t="s">
        <v>4003</v>
      </c>
      <c r="X566" s="2">
        <v>0.90700000000000003</v>
      </c>
      <c r="Y566" s="6">
        <f t="shared" si="70"/>
        <v>2.4211846987533703E-2</v>
      </c>
      <c r="AA566">
        <v>323861</v>
      </c>
      <c r="AB566">
        <v>21444</v>
      </c>
      <c r="AD566" t="s">
        <v>1</v>
      </c>
      <c r="AE566">
        <v>42</v>
      </c>
      <c r="AF566">
        <v>24</v>
      </c>
      <c r="AH566" t="s">
        <v>4002</v>
      </c>
      <c r="AI566" t="s">
        <v>4001</v>
      </c>
      <c r="AJ566" t="s">
        <v>4000</v>
      </c>
      <c r="AK566" t="s">
        <v>3999</v>
      </c>
      <c r="AL566">
        <v>13</v>
      </c>
      <c r="AM566" s="5">
        <f t="shared" si="66"/>
        <v>0.61904761904761907</v>
      </c>
      <c r="AN566" s="4">
        <f t="shared" si="71"/>
        <v>9.3759578803122919E-4</v>
      </c>
      <c r="AO566" s="3"/>
      <c r="AP566">
        <v>0</v>
      </c>
      <c r="AR566" t="s">
        <v>0</v>
      </c>
      <c r="AT566" s="2">
        <v>4.43</v>
      </c>
      <c r="AU566" s="1">
        <f t="shared" si="67"/>
        <v>1.722957162768296</v>
      </c>
      <c r="AV566" s="1">
        <f t="shared" si="68"/>
        <v>1.2574721387782466</v>
      </c>
      <c r="AW566" s="1">
        <f t="shared" si="69"/>
        <v>0.79198711478819706</v>
      </c>
    </row>
    <row r="567" spans="1:49" x14ac:dyDescent="0.2">
      <c r="A567">
        <v>565</v>
      </c>
      <c r="B567" t="s">
        <v>3998</v>
      </c>
      <c r="C567" t="s">
        <v>3997</v>
      </c>
      <c r="F567" t="s">
        <v>3996</v>
      </c>
      <c r="G567" t="s">
        <v>6</v>
      </c>
      <c r="H567" t="s">
        <v>5</v>
      </c>
      <c r="I567" t="s">
        <v>566</v>
      </c>
      <c r="J567" t="s">
        <v>3995</v>
      </c>
      <c r="K567" t="s">
        <v>3994</v>
      </c>
      <c r="L567" t="s">
        <v>3993</v>
      </c>
      <c r="M567" t="s">
        <v>128</v>
      </c>
      <c r="N567">
        <v>3</v>
      </c>
      <c r="O567" t="s">
        <v>565</v>
      </c>
      <c r="P567" t="s">
        <v>564</v>
      </c>
      <c r="Q567" t="s">
        <v>3992</v>
      </c>
      <c r="R567" s="7">
        <v>37131</v>
      </c>
      <c r="S567" s="8">
        <f t="shared" si="64"/>
        <v>2001</v>
      </c>
      <c r="T567" s="8">
        <v>2001</v>
      </c>
      <c r="U567" s="8">
        <f t="shared" si="65"/>
        <v>21</v>
      </c>
      <c r="V567" s="7">
        <v>37131</v>
      </c>
      <c r="W567" t="s">
        <v>150</v>
      </c>
      <c r="X567" s="2">
        <v>0.192</v>
      </c>
      <c r="Y567" s="6">
        <f t="shared" si="70"/>
        <v>5.1253303435572998E-3</v>
      </c>
      <c r="AA567" t="s">
        <v>127</v>
      </c>
      <c r="AB567">
        <v>40067</v>
      </c>
      <c r="AD567" t="s">
        <v>1</v>
      </c>
      <c r="AE567">
        <v>4395</v>
      </c>
      <c r="AF567">
        <v>1</v>
      </c>
      <c r="AH567" t="s">
        <v>3991</v>
      </c>
      <c r="AI567" t="s">
        <v>3990</v>
      </c>
      <c r="AJ567" t="s">
        <v>3989</v>
      </c>
      <c r="AK567" t="s">
        <v>3988</v>
      </c>
      <c r="AL567">
        <v>2</v>
      </c>
      <c r="AM567" s="5">
        <f t="shared" si="66"/>
        <v>9.5238095238095233E-2</v>
      </c>
      <c r="AN567" s="4">
        <f t="shared" si="71"/>
        <v>1.4424550585095833E-4</v>
      </c>
      <c r="AO567" s="3"/>
      <c r="AP567">
        <v>0</v>
      </c>
      <c r="AR567" t="s">
        <v>0</v>
      </c>
      <c r="AT567" s="2" t="s">
        <v>7</v>
      </c>
      <c r="AU567" s="1">
        <f t="shared" si="67"/>
        <v>0.36310048922453969</v>
      </c>
      <c r="AV567" s="1">
        <f t="shared" si="68"/>
        <v>0.26347879247041295</v>
      </c>
      <c r="AW567" s="1">
        <f t="shared" si="69"/>
        <v>0.16385709571628607</v>
      </c>
    </row>
    <row r="568" spans="1:49" x14ac:dyDescent="0.2">
      <c r="A568">
        <v>566</v>
      </c>
      <c r="B568" t="s">
        <v>3987</v>
      </c>
      <c r="C568" t="s">
        <v>3986</v>
      </c>
      <c r="F568" t="s">
        <v>3985</v>
      </c>
      <c r="G568" t="s">
        <v>6</v>
      </c>
      <c r="H568" t="s">
        <v>5</v>
      </c>
      <c r="I568" t="s">
        <v>3984</v>
      </c>
      <c r="J568" t="s">
        <v>3983</v>
      </c>
      <c r="K568" t="s">
        <v>3982</v>
      </c>
      <c r="L568" t="s">
        <v>3981</v>
      </c>
      <c r="M568" t="s">
        <v>273</v>
      </c>
      <c r="N568">
        <v>4</v>
      </c>
      <c r="O568" t="s">
        <v>3980</v>
      </c>
      <c r="P568" t="s">
        <v>3979</v>
      </c>
      <c r="Q568" t="s">
        <v>3978</v>
      </c>
      <c r="R568" s="7">
        <v>37131</v>
      </c>
      <c r="S568" s="8">
        <f t="shared" si="64"/>
        <v>2001</v>
      </c>
      <c r="T568" s="8">
        <v>2001</v>
      </c>
      <c r="U568" s="8">
        <f t="shared" si="65"/>
        <v>21</v>
      </c>
      <c r="V568" s="7">
        <v>37131</v>
      </c>
      <c r="W568" t="s">
        <v>150</v>
      </c>
      <c r="X568" s="2">
        <v>0.192</v>
      </c>
      <c r="Y568" s="6">
        <f t="shared" si="70"/>
        <v>5.1253303435572998E-3</v>
      </c>
      <c r="AA568" t="s">
        <v>127</v>
      </c>
      <c r="AB568">
        <v>40067</v>
      </c>
      <c r="AD568" t="s">
        <v>1</v>
      </c>
      <c r="AE568">
        <v>4395</v>
      </c>
      <c r="AF568">
        <v>1</v>
      </c>
      <c r="AH568" t="s">
        <v>3977</v>
      </c>
      <c r="AI568" t="s">
        <v>3976</v>
      </c>
      <c r="AJ568" t="s">
        <v>3975</v>
      </c>
      <c r="AK568" t="s">
        <v>3974</v>
      </c>
      <c r="AL568">
        <v>1</v>
      </c>
      <c r="AM568" s="5">
        <f t="shared" si="66"/>
        <v>4.7619047619047616E-2</v>
      </c>
      <c r="AN568" s="4">
        <f t="shared" si="71"/>
        <v>7.2122752925479164E-5</v>
      </c>
      <c r="AO568" s="3"/>
      <c r="AP568">
        <v>0</v>
      </c>
      <c r="AR568" t="s">
        <v>0</v>
      </c>
      <c r="AT568" s="2" t="s">
        <v>7</v>
      </c>
      <c r="AU568" s="1">
        <f t="shared" si="67"/>
        <v>0.3609368066367753</v>
      </c>
      <c r="AV568" s="1">
        <f t="shared" si="68"/>
        <v>0.25987265482413896</v>
      </c>
      <c r="AW568" s="1">
        <f t="shared" si="69"/>
        <v>0.15880850301150254</v>
      </c>
    </row>
    <row r="569" spans="1:49" x14ac:dyDescent="0.2">
      <c r="A569">
        <v>567</v>
      </c>
      <c r="B569" t="s">
        <v>3973</v>
      </c>
      <c r="C569" t="s">
        <v>3972</v>
      </c>
      <c r="F569" t="s">
        <v>3971</v>
      </c>
      <c r="G569" t="s">
        <v>6</v>
      </c>
      <c r="H569" t="s">
        <v>5</v>
      </c>
      <c r="I569" t="s">
        <v>3970</v>
      </c>
      <c r="J569" t="s">
        <v>3965</v>
      </c>
      <c r="K569" t="s">
        <v>3969</v>
      </c>
      <c r="L569" t="s">
        <v>3968</v>
      </c>
      <c r="M569" t="s">
        <v>44</v>
      </c>
      <c r="N569">
        <v>2</v>
      </c>
      <c r="O569" t="s">
        <v>3967</v>
      </c>
      <c r="P569" t="s">
        <v>3966</v>
      </c>
      <c r="Q569" t="s">
        <v>3965</v>
      </c>
      <c r="R569" s="7">
        <v>37131</v>
      </c>
      <c r="S569" s="8">
        <f t="shared" si="64"/>
        <v>2001</v>
      </c>
      <c r="T569" s="8">
        <v>2001</v>
      </c>
      <c r="U569" s="8">
        <f t="shared" si="65"/>
        <v>21</v>
      </c>
      <c r="V569" s="7">
        <v>37131</v>
      </c>
      <c r="W569" t="s">
        <v>150</v>
      </c>
      <c r="X569" s="2">
        <v>0.192</v>
      </c>
      <c r="Y569" s="6">
        <f t="shared" si="70"/>
        <v>5.1253303435572998E-3</v>
      </c>
      <c r="AA569" t="s">
        <v>127</v>
      </c>
      <c r="AB569">
        <v>40067</v>
      </c>
      <c r="AD569" t="s">
        <v>1</v>
      </c>
      <c r="AE569">
        <v>4395</v>
      </c>
      <c r="AF569">
        <v>1</v>
      </c>
      <c r="AH569" t="s">
        <v>3964</v>
      </c>
      <c r="AI569" t="s">
        <v>3963</v>
      </c>
      <c r="AJ569" t="s">
        <v>3962</v>
      </c>
      <c r="AK569" t="s">
        <v>3961</v>
      </c>
      <c r="AL569">
        <v>2</v>
      </c>
      <c r="AM569" s="5">
        <f t="shared" si="66"/>
        <v>9.5238095238095233E-2</v>
      </c>
      <c r="AN569" s="4">
        <f t="shared" si="71"/>
        <v>1.4424550585095833E-4</v>
      </c>
      <c r="AO569" s="3"/>
      <c r="AP569">
        <v>0</v>
      </c>
      <c r="AR569" t="s">
        <v>0</v>
      </c>
      <c r="AT569" s="2" t="s">
        <v>7</v>
      </c>
      <c r="AU569" s="1">
        <f t="shared" si="67"/>
        <v>0.36310048922453969</v>
      </c>
      <c r="AV569" s="1">
        <f t="shared" si="68"/>
        <v>0.26347879247041295</v>
      </c>
      <c r="AW569" s="1">
        <f t="shared" si="69"/>
        <v>0.16385709571628607</v>
      </c>
    </row>
    <row r="570" spans="1:49" x14ac:dyDescent="0.2">
      <c r="A570">
        <v>568</v>
      </c>
      <c r="B570" t="s">
        <v>3960</v>
      </c>
      <c r="C570" t="s">
        <v>3959</v>
      </c>
      <c r="F570" t="s">
        <v>3958</v>
      </c>
      <c r="G570" t="s">
        <v>6</v>
      </c>
      <c r="H570" t="s">
        <v>5</v>
      </c>
      <c r="I570" t="s">
        <v>3957</v>
      </c>
      <c r="J570">
        <v>60002286</v>
      </c>
      <c r="K570" t="s">
        <v>3956</v>
      </c>
      <c r="L570" t="s">
        <v>3955</v>
      </c>
      <c r="M570" t="s">
        <v>86</v>
      </c>
      <c r="N570">
        <v>2</v>
      </c>
      <c r="O570" t="s">
        <v>3954</v>
      </c>
      <c r="P570" t="s">
        <v>3953</v>
      </c>
      <c r="Q570" t="s">
        <v>3952</v>
      </c>
      <c r="R570" s="7">
        <v>37131</v>
      </c>
      <c r="S570" s="8">
        <f t="shared" si="64"/>
        <v>2001</v>
      </c>
      <c r="T570" s="8">
        <v>2001</v>
      </c>
      <c r="U570" s="8">
        <f t="shared" si="65"/>
        <v>21</v>
      </c>
      <c r="V570" s="7">
        <v>37131</v>
      </c>
      <c r="W570" t="s">
        <v>150</v>
      </c>
      <c r="X570" s="2">
        <v>0.192</v>
      </c>
      <c r="Y570" s="6">
        <f t="shared" si="70"/>
        <v>5.1253303435572998E-3</v>
      </c>
      <c r="AA570" t="s">
        <v>127</v>
      </c>
      <c r="AB570">
        <v>40067</v>
      </c>
      <c r="AD570" t="s">
        <v>1</v>
      </c>
      <c r="AE570">
        <v>4363</v>
      </c>
      <c r="AF570">
        <v>1</v>
      </c>
      <c r="AH570" s="10">
        <v>44409</v>
      </c>
      <c r="AI570" t="s">
        <v>3951</v>
      </c>
      <c r="AJ570" t="s">
        <v>3950</v>
      </c>
      <c r="AK570" t="s">
        <v>3949</v>
      </c>
      <c r="AL570">
        <v>1</v>
      </c>
      <c r="AM570" s="5">
        <f t="shared" si="66"/>
        <v>4.7619047619047616E-2</v>
      </c>
      <c r="AN570" s="4">
        <f t="shared" si="71"/>
        <v>7.2122752925479164E-5</v>
      </c>
      <c r="AO570" s="3"/>
      <c r="AP570">
        <v>0</v>
      </c>
      <c r="AR570" t="s">
        <v>0</v>
      </c>
      <c r="AT570" s="2" t="s">
        <v>7</v>
      </c>
      <c r="AU570" s="1">
        <f t="shared" si="67"/>
        <v>0.3609368066367753</v>
      </c>
      <c r="AV570" s="1">
        <f t="shared" si="68"/>
        <v>0.25987265482413896</v>
      </c>
      <c r="AW570" s="1">
        <f t="shared" si="69"/>
        <v>0.15880850301150254</v>
      </c>
    </row>
    <row r="571" spans="1:49" x14ac:dyDescent="0.2">
      <c r="A571">
        <v>569</v>
      </c>
      <c r="B571" t="s">
        <v>3948</v>
      </c>
      <c r="C571" t="s">
        <v>3947</v>
      </c>
      <c r="E571">
        <v>11536197</v>
      </c>
      <c r="F571" t="s">
        <v>3946</v>
      </c>
      <c r="G571" t="s">
        <v>6</v>
      </c>
      <c r="H571" t="s">
        <v>5</v>
      </c>
      <c r="I571" t="s">
        <v>913</v>
      </c>
      <c r="J571" t="s">
        <v>3945</v>
      </c>
      <c r="K571" t="s">
        <v>3944</v>
      </c>
      <c r="L571" t="s">
        <v>3943</v>
      </c>
      <c r="M571" t="s">
        <v>3942</v>
      </c>
      <c r="N571">
        <v>3</v>
      </c>
      <c r="O571" t="s">
        <v>3941</v>
      </c>
      <c r="P571" t="s">
        <v>3940</v>
      </c>
      <c r="Q571" t="s">
        <v>3939</v>
      </c>
      <c r="R571" s="7">
        <v>37131</v>
      </c>
      <c r="S571" s="8">
        <f t="shared" si="64"/>
        <v>2001</v>
      </c>
      <c r="T571" s="8">
        <v>2001</v>
      </c>
      <c r="U571" s="8">
        <f t="shared" si="65"/>
        <v>21</v>
      </c>
      <c r="V571" s="7">
        <v>37131</v>
      </c>
      <c r="W571" t="s">
        <v>261</v>
      </c>
      <c r="X571" s="2" t="s">
        <v>7</v>
      </c>
      <c r="Y571" s="6" t="e">
        <f t="shared" si="70"/>
        <v>#VALUE!</v>
      </c>
      <c r="AA571">
        <v>223034</v>
      </c>
      <c r="AB571">
        <v>23463</v>
      </c>
      <c r="AD571" t="s">
        <v>1</v>
      </c>
      <c r="AE571">
        <v>49</v>
      </c>
      <c r="AF571">
        <v>1</v>
      </c>
      <c r="AH571" t="s">
        <v>3938</v>
      </c>
      <c r="AI571" t="s">
        <v>3937</v>
      </c>
      <c r="AJ571" t="s">
        <v>3936</v>
      </c>
      <c r="AK571" t="s">
        <v>3935</v>
      </c>
      <c r="AL571">
        <v>134</v>
      </c>
      <c r="AM571" s="5">
        <f t="shared" si="66"/>
        <v>6.3809523809523814</v>
      </c>
      <c r="AN571" s="4">
        <f t="shared" si="71"/>
        <v>9.6644488920142081E-3</v>
      </c>
      <c r="AO571" s="3"/>
      <c r="AP571">
        <v>0</v>
      </c>
      <c r="AQ571" t="s">
        <v>787</v>
      </c>
      <c r="AR571" t="s">
        <v>3934</v>
      </c>
      <c r="AS571" t="s">
        <v>786</v>
      </c>
      <c r="AT571" s="2" t="s">
        <v>7</v>
      </c>
      <c r="AU571" s="1" t="e">
        <f t="shared" si="67"/>
        <v>#VALUE!</v>
      </c>
      <c r="AV571" s="1" t="e">
        <f t="shared" si="68"/>
        <v>#VALUE!</v>
      </c>
      <c r="AW571" s="1" t="e">
        <f t="shared" si="69"/>
        <v>#VALUE!</v>
      </c>
    </row>
    <row r="572" spans="1:49" x14ac:dyDescent="0.2">
      <c r="A572">
        <v>570</v>
      </c>
      <c r="B572" t="s">
        <v>3933</v>
      </c>
      <c r="C572" t="s">
        <v>3932</v>
      </c>
      <c r="E572">
        <v>11494262</v>
      </c>
      <c r="F572" t="s">
        <v>3931</v>
      </c>
      <c r="G572" t="s">
        <v>6</v>
      </c>
      <c r="H572" t="s">
        <v>5</v>
      </c>
      <c r="I572" t="s">
        <v>3930</v>
      </c>
      <c r="J572">
        <v>60030718</v>
      </c>
      <c r="K572" t="s">
        <v>3929</v>
      </c>
      <c r="L572" t="s">
        <v>172</v>
      </c>
      <c r="M572" t="s">
        <v>46</v>
      </c>
      <c r="N572">
        <v>3</v>
      </c>
      <c r="O572" t="s">
        <v>3928</v>
      </c>
      <c r="P572" t="s">
        <v>3927</v>
      </c>
      <c r="Q572" t="s">
        <v>3926</v>
      </c>
      <c r="R572" s="7">
        <v>37130</v>
      </c>
      <c r="S572" s="8">
        <f t="shared" si="64"/>
        <v>2001</v>
      </c>
      <c r="T572" s="8">
        <v>2001</v>
      </c>
      <c r="U572" s="8">
        <f t="shared" si="65"/>
        <v>21</v>
      </c>
      <c r="V572" s="7">
        <v>37130</v>
      </c>
      <c r="W572" t="s">
        <v>795</v>
      </c>
      <c r="X572" s="2">
        <v>1.855</v>
      </c>
      <c r="Y572" s="6">
        <f t="shared" si="70"/>
        <v>4.9518165558847867E-2</v>
      </c>
      <c r="AA572">
        <v>219967</v>
      </c>
      <c r="AB572">
        <v>16689</v>
      </c>
      <c r="AD572" t="s">
        <v>1</v>
      </c>
      <c r="AE572">
        <v>437</v>
      </c>
      <c r="AF572">
        <v>3</v>
      </c>
      <c r="AH572" t="s">
        <v>3925</v>
      </c>
      <c r="AI572" t="s">
        <v>3924</v>
      </c>
      <c r="AJ572" t="s">
        <v>3923</v>
      </c>
      <c r="AK572" t="s">
        <v>3922</v>
      </c>
      <c r="AL572">
        <v>176</v>
      </c>
      <c r="AM572" s="5">
        <f t="shared" si="66"/>
        <v>8.3809523809523814</v>
      </c>
      <c r="AN572" s="4">
        <f t="shared" si="71"/>
        <v>1.2693604514884334E-2</v>
      </c>
      <c r="AO572" s="3"/>
      <c r="AP572">
        <v>0</v>
      </c>
      <c r="AR572" t="s">
        <v>0</v>
      </c>
      <c r="AT572" s="2">
        <v>3.2149999999999999</v>
      </c>
      <c r="AU572" s="1">
        <f t="shared" si="67"/>
        <v>3.8470797245658805</v>
      </c>
      <c r="AV572" s="1">
        <f t="shared" si="68"/>
        <v>3.1105885036866101</v>
      </c>
      <c r="AW572" s="1">
        <f t="shared" si="69"/>
        <v>2.3740972828073392</v>
      </c>
    </row>
    <row r="573" spans="1:49" x14ac:dyDescent="0.2">
      <c r="A573">
        <v>571</v>
      </c>
      <c r="B573" t="s">
        <v>3921</v>
      </c>
      <c r="C573" t="s">
        <v>3920</v>
      </c>
      <c r="F573" t="s">
        <v>3919</v>
      </c>
      <c r="G573" t="s">
        <v>6</v>
      </c>
      <c r="H573" t="s">
        <v>5</v>
      </c>
      <c r="I573" t="s">
        <v>3918</v>
      </c>
      <c r="J573" t="s">
        <v>3917</v>
      </c>
      <c r="K573" t="s">
        <v>3916</v>
      </c>
      <c r="L573" t="s">
        <v>3915</v>
      </c>
      <c r="M573" t="s">
        <v>122</v>
      </c>
      <c r="N573">
        <v>4</v>
      </c>
      <c r="O573" t="s">
        <v>3914</v>
      </c>
      <c r="P573" t="s">
        <v>3913</v>
      </c>
      <c r="Q573" t="s">
        <v>3912</v>
      </c>
      <c r="R573" s="7">
        <v>37130</v>
      </c>
      <c r="S573" s="8">
        <f t="shared" si="64"/>
        <v>2001</v>
      </c>
      <c r="T573" s="8">
        <v>2001</v>
      </c>
      <c r="U573" s="8">
        <f t="shared" si="65"/>
        <v>21</v>
      </c>
      <c r="V573" s="7">
        <v>37130</v>
      </c>
      <c r="W573" t="s">
        <v>150</v>
      </c>
      <c r="X573" s="2">
        <v>0.192</v>
      </c>
      <c r="Y573" s="6">
        <f t="shared" si="70"/>
        <v>5.1253303435572998E-3</v>
      </c>
      <c r="AA573" t="s">
        <v>127</v>
      </c>
      <c r="AB573">
        <v>40067</v>
      </c>
      <c r="AD573" t="s">
        <v>1</v>
      </c>
      <c r="AE573">
        <v>4382</v>
      </c>
      <c r="AF573">
        <v>1</v>
      </c>
      <c r="AH573" t="s">
        <v>3911</v>
      </c>
      <c r="AI573" t="s">
        <v>3910</v>
      </c>
      <c r="AJ573" t="s">
        <v>3909</v>
      </c>
      <c r="AK573" t="s">
        <v>3908</v>
      </c>
      <c r="AL573">
        <v>0</v>
      </c>
      <c r="AM573" s="5">
        <f t="shared" si="66"/>
        <v>0</v>
      </c>
      <c r="AN573" s="4">
        <f t="shared" si="71"/>
        <v>0</v>
      </c>
      <c r="AO573" s="3"/>
      <c r="AP573">
        <v>0</v>
      </c>
      <c r="AR573" t="s">
        <v>0</v>
      </c>
      <c r="AT573" s="2" t="s">
        <v>7</v>
      </c>
      <c r="AU573" s="1">
        <f t="shared" si="67"/>
        <v>0.35877312404901096</v>
      </c>
      <c r="AV573" s="1">
        <f t="shared" si="68"/>
        <v>0.25626651717786497</v>
      </c>
      <c r="AW573" s="1">
        <f t="shared" si="69"/>
        <v>0.15375991030671898</v>
      </c>
    </row>
    <row r="574" spans="1:49" x14ac:dyDescent="0.2">
      <c r="A574">
        <v>572</v>
      </c>
      <c r="B574" t="s">
        <v>3907</v>
      </c>
      <c r="C574" t="s">
        <v>3906</v>
      </c>
      <c r="D574" t="s">
        <v>3905</v>
      </c>
      <c r="F574" t="s">
        <v>3904</v>
      </c>
      <c r="G574" t="s">
        <v>6</v>
      </c>
      <c r="H574" t="s">
        <v>5</v>
      </c>
      <c r="I574" t="s">
        <v>1035</v>
      </c>
      <c r="J574">
        <v>60001439</v>
      </c>
      <c r="K574" t="s">
        <v>24</v>
      </c>
      <c r="L574" t="s">
        <v>23</v>
      </c>
      <c r="M574" t="s">
        <v>3</v>
      </c>
      <c r="N574">
        <v>4</v>
      </c>
      <c r="O574" t="s">
        <v>3903</v>
      </c>
      <c r="P574" t="s">
        <v>3902</v>
      </c>
      <c r="Q574" t="s">
        <v>797</v>
      </c>
      <c r="R574" s="7">
        <v>37128</v>
      </c>
      <c r="S574" s="8">
        <f t="shared" si="64"/>
        <v>2001</v>
      </c>
      <c r="T574" s="8">
        <v>2001</v>
      </c>
      <c r="U574" s="8">
        <f t="shared" si="65"/>
        <v>21</v>
      </c>
      <c r="V574" s="7">
        <v>37128</v>
      </c>
      <c r="W574" t="s">
        <v>791</v>
      </c>
      <c r="X574" s="2">
        <v>0.69899999999999995</v>
      </c>
      <c r="Y574" s="6">
        <f t="shared" si="70"/>
        <v>1.8659405782013295E-2</v>
      </c>
      <c r="AA574">
        <v>9244247</v>
      </c>
      <c r="AB574">
        <v>13660</v>
      </c>
      <c r="AD574" t="s">
        <v>1</v>
      </c>
      <c r="AE574">
        <v>93</v>
      </c>
      <c r="AF574">
        <v>1</v>
      </c>
      <c r="AH574" t="s">
        <v>562</v>
      </c>
      <c r="AI574" t="s">
        <v>3901</v>
      </c>
      <c r="AJ574" t="s">
        <v>3900</v>
      </c>
      <c r="AK574" t="s">
        <v>3899</v>
      </c>
      <c r="AL574">
        <v>164</v>
      </c>
      <c r="AM574" s="5">
        <f t="shared" si="66"/>
        <v>7.8095238095238093</v>
      </c>
      <c r="AN574" s="4">
        <f t="shared" si="71"/>
        <v>1.1828131479778584E-2</v>
      </c>
      <c r="AO574" s="3"/>
      <c r="AP574">
        <v>0</v>
      </c>
      <c r="AQ574" t="s">
        <v>21</v>
      </c>
      <c r="AR574" t="s">
        <v>1034</v>
      </c>
      <c r="AS574" t="s">
        <v>20</v>
      </c>
      <c r="AT574" s="2" t="s">
        <v>7</v>
      </c>
      <c r="AU574" s="1">
        <f t="shared" si="67"/>
        <v>1.661002349134288</v>
      </c>
      <c r="AV574" s="1">
        <f t="shared" si="68"/>
        <v>1.524376863089594</v>
      </c>
      <c r="AW574" s="1">
        <f t="shared" si="69"/>
        <v>1.3877513770448995</v>
      </c>
    </row>
    <row r="575" spans="1:49" x14ac:dyDescent="0.2">
      <c r="A575">
        <v>573</v>
      </c>
      <c r="B575" t="s">
        <v>3898</v>
      </c>
      <c r="C575" t="s">
        <v>3897</v>
      </c>
      <c r="E575">
        <v>11520984</v>
      </c>
      <c r="F575" t="s">
        <v>3896</v>
      </c>
      <c r="G575" t="s">
        <v>6</v>
      </c>
      <c r="H575" t="s">
        <v>5</v>
      </c>
      <c r="I575" t="s">
        <v>3895</v>
      </c>
      <c r="J575">
        <v>60004346</v>
      </c>
      <c r="K575" t="s">
        <v>3894</v>
      </c>
      <c r="L575" t="s">
        <v>3893</v>
      </c>
      <c r="M575" t="s">
        <v>11</v>
      </c>
      <c r="N575">
        <v>2</v>
      </c>
      <c r="O575" t="s">
        <v>3892</v>
      </c>
      <c r="P575" t="s">
        <v>3891</v>
      </c>
      <c r="Q575" t="s">
        <v>3890</v>
      </c>
      <c r="R575" s="7">
        <v>37127</v>
      </c>
      <c r="S575" s="8">
        <f t="shared" si="64"/>
        <v>2001</v>
      </c>
      <c r="T575" s="8">
        <v>2001</v>
      </c>
      <c r="U575" s="8">
        <f t="shared" si="65"/>
        <v>21</v>
      </c>
      <c r="V575" s="7">
        <v>37127</v>
      </c>
      <c r="W575" t="s">
        <v>802</v>
      </c>
      <c r="X575" s="2">
        <v>12.555999999999999</v>
      </c>
      <c r="Y575" s="6">
        <f t="shared" si="70"/>
        <v>0.33517524892554923</v>
      </c>
      <c r="AA575">
        <v>368075</v>
      </c>
      <c r="AB575">
        <v>23571</v>
      </c>
      <c r="AD575" t="s">
        <v>1</v>
      </c>
      <c r="AE575">
        <v>293</v>
      </c>
      <c r="AF575">
        <v>5534</v>
      </c>
      <c r="AH575" t="s">
        <v>3889</v>
      </c>
      <c r="AI575" t="s">
        <v>3888</v>
      </c>
      <c r="AK575" t="s">
        <v>3887</v>
      </c>
      <c r="AL575">
        <v>77</v>
      </c>
      <c r="AM575" s="5">
        <f t="shared" si="66"/>
        <v>3.6666666666666665</v>
      </c>
      <c r="AN575" s="4">
        <f t="shared" si="71"/>
        <v>5.5534519752618956E-3</v>
      </c>
      <c r="AO575" s="3"/>
      <c r="AP575">
        <v>0</v>
      </c>
      <c r="AQ575" t="s">
        <v>783</v>
      </c>
      <c r="AR575" t="s">
        <v>3886</v>
      </c>
      <c r="AS575" t="s">
        <v>782</v>
      </c>
      <c r="AT575" s="2">
        <v>47.728000000000002</v>
      </c>
      <c r="AU575" s="1">
        <f t="shared" si="67"/>
        <v>23.628870984046301</v>
      </c>
      <c r="AV575" s="1">
        <f t="shared" si="68"/>
        <v>17.036435045040559</v>
      </c>
      <c r="AW575" s="1">
        <f t="shared" si="69"/>
        <v>10.443999106034809</v>
      </c>
    </row>
    <row r="576" spans="1:49" x14ac:dyDescent="0.2">
      <c r="A576">
        <v>574</v>
      </c>
      <c r="B576" t="s">
        <v>3885</v>
      </c>
      <c r="C576" t="s">
        <v>3884</v>
      </c>
      <c r="D576" t="s">
        <v>3883</v>
      </c>
      <c r="F576" t="s">
        <v>3882</v>
      </c>
      <c r="G576" t="s">
        <v>6</v>
      </c>
      <c r="H576" t="s">
        <v>5</v>
      </c>
      <c r="I576" t="s">
        <v>3881</v>
      </c>
      <c r="J576" t="s">
        <v>3880</v>
      </c>
      <c r="K576" t="s">
        <v>3879</v>
      </c>
      <c r="L576" t="s">
        <v>3878</v>
      </c>
      <c r="M576" t="s">
        <v>369</v>
      </c>
      <c r="N576">
        <v>4</v>
      </c>
      <c r="O576" t="s">
        <v>3877</v>
      </c>
      <c r="P576" t="s">
        <v>3876</v>
      </c>
      <c r="Q576" t="s">
        <v>3875</v>
      </c>
      <c r="R576" s="7">
        <v>37125</v>
      </c>
      <c r="S576" s="8">
        <f t="shared" si="64"/>
        <v>2001</v>
      </c>
      <c r="T576" s="8">
        <v>2001</v>
      </c>
      <c r="U576" s="8">
        <f t="shared" si="65"/>
        <v>21</v>
      </c>
      <c r="V576" s="7">
        <v>2001</v>
      </c>
      <c r="W576" t="s">
        <v>446</v>
      </c>
      <c r="X576" s="2">
        <v>0.89900000000000002</v>
      </c>
      <c r="Y576" s="6">
        <f t="shared" si="70"/>
        <v>2.399829155655215E-2</v>
      </c>
      <c r="AA576">
        <v>221910</v>
      </c>
      <c r="AB576">
        <v>20487</v>
      </c>
      <c r="AD576" t="s">
        <v>1</v>
      </c>
      <c r="AE576">
        <v>47</v>
      </c>
      <c r="AF576">
        <v>9</v>
      </c>
      <c r="AH576" t="s">
        <v>3874</v>
      </c>
      <c r="AI576" t="s">
        <v>3873</v>
      </c>
      <c r="AJ576" t="s">
        <v>3872</v>
      </c>
      <c r="AK576" t="s">
        <v>3871</v>
      </c>
      <c r="AL576">
        <v>36</v>
      </c>
      <c r="AM576" s="5">
        <f t="shared" si="66"/>
        <v>1.7142857142857142</v>
      </c>
      <c r="AN576" s="4">
        <f t="shared" si="71"/>
        <v>2.5964191053172497E-3</v>
      </c>
      <c r="AO576" s="3"/>
      <c r="AP576">
        <v>0</v>
      </c>
      <c r="AR576" t="s">
        <v>0</v>
      </c>
      <c r="AT576" s="2">
        <v>2.3540000000000001</v>
      </c>
      <c r="AU576" s="1">
        <f t="shared" si="67"/>
        <v>1.7577729821181678</v>
      </c>
      <c r="AV576" s="1">
        <f t="shared" si="68"/>
        <v>1.3297355330934699</v>
      </c>
      <c r="AW576" s="1">
        <f t="shared" si="69"/>
        <v>0.90169808406877183</v>
      </c>
    </row>
    <row r="577" spans="1:49" x14ac:dyDescent="0.2">
      <c r="A577">
        <v>575</v>
      </c>
      <c r="B577" t="s">
        <v>3870</v>
      </c>
      <c r="C577" t="s">
        <v>3869</v>
      </c>
      <c r="E577">
        <v>11502183</v>
      </c>
      <c r="F577" t="s">
        <v>3868</v>
      </c>
      <c r="G577" t="s">
        <v>6</v>
      </c>
      <c r="H577" t="s">
        <v>5</v>
      </c>
      <c r="I577" t="s">
        <v>3867</v>
      </c>
      <c r="J577">
        <v>60001881</v>
      </c>
      <c r="K577" t="s">
        <v>39</v>
      </c>
      <c r="L577" t="s">
        <v>38</v>
      </c>
      <c r="M577" t="s">
        <v>37</v>
      </c>
      <c r="N577">
        <v>3</v>
      </c>
      <c r="O577" t="s">
        <v>3866</v>
      </c>
      <c r="P577" t="s">
        <v>3865</v>
      </c>
      <c r="Q577" t="s">
        <v>3864</v>
      </c>
      <c r="R577" s="7">
        <v>37124</v>
      </c>
      <c r="S577" s="8">
        <f t="shared" si="64"/>
        <v>2001</v>
      </c>
      <c r="T577" s="8">
        <v>2001</v>
      </c>
      <c r="U577" s="8">
        <f t="shared" si="65"/>
        <v>21</v>
      </c>
      <c r="V577" s="7">
        <v>37124</v>
      </c>
      <c r="W577" t="s">
        <v>711</v>
      </c>
      <c r="X577" s="2">
        <v>1.43</v>
      </c>
      <c r="Y577" s="6">
        <f t="shared" si="70"/>
        <v>3.8173033287952803E-2</v>
      </c>
      <c r="AA577">
        <v>62960</v>
      </c>
      <c r="AB577">
        <v>16867</v>
      </c>
      <c r="AD577" t="s">
        <v>1</v>
      </c>
      <c r="AE577">
        <v>40</v>
      </c>
      <c r="AF577">
        <v>33</v>
      </c>
      <c r="AH577" t="s">
        <v>3863</v>
      </c>
      <c r="AI577" t="s">
        <v>3862</v>
      </c>
      <c r="AK577" t="s">
        <v>3861</v>
      </c>
      <c r="AL577">
        <v>27</v>
      </c>
      <c r="AM577" s="5">
        <f t="shared" si="66"/>
        <v>1.2857142857142858</v>
      </c>
      <c r="AN577" s="4">
        <f t="shared" si="71"/>
        <v>1.9473143289879377E-3</v>
      </c>
      <c r="AO577" s="3"/>
      <c r="AP577">
        <v>0</v>
      </c>
      <c r="AR577" t="s">
        <v>0</v>
      </c>
      <c r="AT577" s="2">
        <v>3.1619999999999999</v>
      </c>
      <c r="AU577" s="1">
        <f t="shared" si="67"/>
        <v>2.7305317600263344</v>
      </c>
      <c r="AV577" s="1">
        <f t="shared" si="68"/>
        <v>2.006017380847037</v>
      </c>
      <c r="AW577" s="1">
        <f t="shared" si="69"/>
        <v>1.2815030016677398</v>
      </c>
    </row>
    <row r="578" spans="1:49" x14ac:dyDescent="0.2">
      <c r="A578">
        <v>576</v>
      </c>
      <c r="B578" t="s">
        <v>3860</v>
      </c>
      <c r="C578" t="s">
        <v>3859</v>
      </c>
      <c r="F578" t="s">
        <v>3858</v>
      </c>
      <c r="G578" t="s">
        <v>6</v>
      </c>
      <c r="H578" t="s">
        <v>5</v>
      </c>
      <c r="I578" t="s">
        <v>3857</v>
      </c>
      <c r="J578" t="s">
        <v>3856</v>
      </c>
      <c r="K578" t="s">
        <v>3855</v>
      </c>
      <c r="L578" t="s">
        <v>142</v>
      </c>
      <c r="M578" t="s">
        <v>44</v>
      </c>
      <c r="N578">
        <v>4</v>
      </c>
      <c r="O578" t="s">
        <v>3854</v>
      </c>
      <c r="P578" t="s">
        <v>3853</v>
      </c>
      <c r="Q578" t="s">
        <v>3852</v>
      </c>
      <c r="R578" s="7">
        <v>37124</v>
      </c>
      <c r="S578" s="8">
        <f t="shared" ref="S578:S641" si="72">YEAR(R578)</f>
        <v>2001</v>
      </c>
      <c r="T578" s="8">
        <v>2001</v>
      </c>
      <c r="U578" s="8">
        <f t="shared" ref="U578:U641" si="73">2022-T578</f>
        <v>21</v>
      </c>
      <c r="V578" s="7">
        <v>37124</v>
      </c>
      <c r="W578" t="s">
        <v>150</v>
      </c>
      <c r="X578" s="2">
        <v>0.192</v>
      </c>
      <c r="Y578" s="6">
        <f t="shared" si="70"/>
        <v>5.1253303435572998E-3</v>
      </c>
      <c r="AA578" t="s">
        <v>127</v>
      </c>
      <c r="AB578">
        <v>40067</v>
      </c>
      <c r="AD578" t="s">
        <v>1</v>
      </c>
      <c r="AE578">
        <v>4373</v>
      </c>
      <c r="AF578">
        <v>1</v>
      </c>
      <c r="AH578" t="s">
        <v>3851</v>
      </c>
      <c r="AI578" t="s">
        <v>3850</v>
      </c>
      <c r="AJ578" t="s">
        <v>3849</v>
      </c>
      <c r="AK578" t="s">
        <v>3848</v>
      </c>
      <c r="AL578">
        <v>2</v>
      </c>
      <c r="AM578" s="5">
        <f t="shared" ref="AM578:AM641" si="74">AL578/U578</f>
        <v>9.5238095238095233E-2</v>
      </c>
      <c r="AN578" s="4">
        <f t="shared" si="71"/>
        <v>1.4424550585095833E-4</v>
      </c>
      <c r="AO578" s="3"/>
      <c r="AP578">
        <v>0</v>
      </c>
      <c r="AR578" t="s">
        <v>0</v>
      </c>
      <c r="AT578" s="2" t="s">
        <v>7</v>
      </c>
      <c r="AU578" s="1">
        <f t="shared" ref="AU578:AU641" si="75">(Y578*0.7+AN578*0.3)*100</f>
        <v>0.36310048922453969</v>
      </c>
      <c r="AV578" s="1">
        <f t="shared" ref="AV578:AV641" si="76">(Y578*0.5+AN578*0.5)*100</f>
        <v>0.26347879247041295</v>
      </c>
      <c r="AW578" s="1">
        <f t="shared" ref="AW578:AW641" si="77">(Y578*0.3+AN578*0.7)*100</f>
        <v>0.16385709571628607</v>
      </c>
    </row>
    <row r="579" spans="1:49" x14ac:dyDescent="0.2">
      <c r="A579">
        <v>577</v>
      </c>
      <c r="B579" t="s">
        <v>3847</v>
      </c>
      <c r="C579" t="s">
        <v>3846</v>
      </c>
      <c r="F579" t="s">
        <v>3845</v>
      </c>
      <c r="G579" t="s">
        <v>6</v>
      </c>
      <c r="H579" t="s">
        <v>5</v>
      </c>
      <c r="I579" t="s">
        <v>3844</v>
      </c>
      <c r="J579">
        <v>60023053</v>
      </c>
      <c r="K579" t="s">
        <v>925</v>
      </c>
      <c r="L579" t="s">
        <v>924</v>
      </c>
      <c r="M579" t="s">
        <v>3</v>
      </c>
      <c r="N579">
        <v>4</v>
      </c>
      <c r="O579" t="s">
        <v>3843</v>
      </c>
      <c r="P579" t="s">
        <v>3842</v>
      </c>
      <c r="Q579" t="s">
        <v>923</v>
      </c>
      <c r="R579" s="7">
        <v>37124</v>
      </c>
      <c r="S579" s="8">
        <f t="shared" si="72"/>
        <v>2001</v>
      </c>
      <c r="T579" s="8">
        <v>2001</v>
      </c>
      <c r="U579" s="8">
        <f t="shared" si="73"/>
        <v>21</v>
      </c>
      <c r="V579" s="7">
        <v>37124</v>
      </c>
      <c r="W579" t="s">
        <v>150</v>
      </c>
      <c r="X579" s="2">
        <v>0.192</v>
      </c>
      <c r="Y579" s="6">
        <f t="shared" ref="Y579:Y642" si="78">(X579-$Z$3)/($Z$2-$Z$3)</f>
        <v>5.1253303435572998E-3</v>
      </c>
      <c r="AA579" t="s">
        <v>127</v>
      </c>
      <c r="AB579">
        <v>40067</v>
      </c>
      <c r="AD579" t="s">
        <v>1</v>
      </c>
      <c r="AE579">
        <v>4373</v>
      </c>
      <c r="AF579">
        <v>1</v>
      </c>
      <c r="AH579" s="9">
        <v>42186</v>
      </c>
      <c r="AI579" t="s">
        <v>3841</v>
      </c>
      <c r="AJ579" t="s">
        <v>3840</v>
      </c>
      <c r="AK579" t="s">
        <v>3839</v>
      </c>
      <c r="AL579">
        <v>8</v>
      </c>
      <c r="AM579" s="5">
        <f t="shared" si="74"/>
        <v>0.38095238095238093</v>
      </c>
      <c r="AN579" s="4">
        <f t="shared" ref="AN579:AN642" si="79">(AM579-$AO$3)/($AO$2-$AO$3)</f>
        <v>5.7698202340383331E-4</v>
      </c>
      <c r="AO579" s="3"/>
      <c r="AP579">
        <v>0</v>
      </c>
      <c r="AR579" t="s">
        <v>0</v>
      </c>
      <c r="AT579" s="2" t="s">
        <v>7</v>
      </c>
      <c r="AU579" s="1">
        <f t="shared" si="75"/>
        <v>0.37608258475112594</v>
      </c>
      <c r="AV579" s="1">
        <f t="shared" si="76"/>
        <v>0.28511561834805665</v>
      </c>
      <c r="AW579" s="1">
        <f t="shared" si="77"/>
        <v>0.19414865194498732</v>
      </c>
    </row>
    <row r="580" spans="1:49" x14ac:dyDescent="0.2">
      <c r="A580">
        <v>578</v>
      </c>
      <c r="B580" t="s">
        <v>3838</v>
      </c>
      <c r="C580" t="s">
        <v>3837</v>
      </c>
      <c r="E580">
        <v>11521395</v>
      </c>
      <c r="F580" t="s">
        <v>3836</v>
      </c>
      <c r="G580" t="s">
        <v>6</v>
      </c>
      <c r="H580" t="s">
        <v>5</v>
      </c>
      <c r="I580" t="s">
        <v>3835</v>
      </c>
      <c r="J580">
        <v>60018491</v>
      </c>
      <c r="K580" t="s">
        <v>1006</v>
      </c>
      <c r="L580" t="s">
        <v>1005</v>
      </c>
      <c r="M580" t="s">
        <v>126</v>
      </c>
      <c r="N580">
        <v>3</v>
      </c>
      <c r="O580" t="s">
        <v>3834</v>
      </c>
      <c r="P580" t="s">
        <v>3833</v>
      </c>
      <c r="Q580" t="s">
        <v>3832</v>
      </c>
      <c r="R580" s="7">
        <v>37124</v>
      </c>
      <c r="S580" s="8">
        <f t="shared" si="72"/>
        <v>2001</v>
      </c>
      <c r="T580" s="8">
        <v>2001</v>
      </c>
      <c r="U580" s="8">
        <f t="shared" si="73"/>
        <v>21</v>
      </c>
      <c r="V580" s="7">
        <v>2001</v>
      </c>
      <c r="W580" t="s">
        <v>1003</v>
      </c>
      <c r="X580" s="2">
        <v>0.85499999999999998</v>
      </c>
      <c r="Y580" s="6">
        <f t="shared" si="78"/>
        <v>2.28237366861536E-2</v>
      </c>
      <c r="AA580">
        <v>980331</v>
      </c>
      <c r="AB580">
        <v>23342</v>
      </c>
      <c r="AD580" t="s">
        <v>1</v>
      </c>
      <c r="AE580">
        <v>27</v>
      </c>
      <c r="AF580">
        <v>8</v>
      </c>
      <c r="AH580" t="s">
        <v>3831</v>
      </c>
      <c r="AI580" t="s">
        <v>3830</v>
      </c>
      <c r="AJ580" t="s">
        <v>3829</v>
      </c>
      <c r="AK580" t="s">
        <v>3828</v>
      </c>
      <c r="AL580">
        <v>7</v>
      </c>
      <c r="AM580" s="5">
        <f t="shared" si="74"/>
        <v>0.33333333333333331</v>
      </c>
      <c r="AN580" s="4">
        <f t="shared" si="79"/>
        <v>5.048592704783541E-4</v>
      </c>
      <c r="AO580" s="3"/>
      <c r="AP580">
        <v>0</v>
      </c>
      <c r="AQ580" t="s">
        <v>747</v>
      </c>
      <c r="AR580" t="s">
        <v>0</v>
      </c>
      <c r="AS580" t="s">
        <v>746</v>
      </c>
      <c r="AT580" s="2">
        <v>2.6259999999999999</v>
      </c>
      <c r="AU580" s="1">
        <f t="shared" si="75"/>
        <v>1.6128073461451022</v>
      </c>
      <c r="AV580" s="1">
        <f t="shared" si="76"/>
        <v>1.1664297978315978</v>
      </c>
      <c r="AW580" s="1">
        <f t="shared" si="77"/>
        <v>0.72005224951809277</v>
      </c>
    </row>
    <row r="581" spans="1:49" x14ac:dyDescent="0.2">
      <c r="A581">
        <v>579</v>
      </c>
      <c r="B581" t="s">
        <v>3827</v>
      </c>
      <c r="C581" t="s">
        <v>3826</v>
      </c>
      <c r="E581">
        <v>11529480</v>
      </c>
      <c r="F581" t="s">
        <v>3825</v>
      </c>
      <c r="G581" t="s">
        <v>6</v>
      </c>
      <c r="H581" t="s">
        <v>5</v>
      </c>
      <c r="I581" t="s">
        <v>3824</v>
      </c>
      <c r="J581">
        <v>60004623</v>
      </c>
      <c r="K581" t="s">
        <v>3823</v>
      </c>
      <c r="L581" t="s">
        <v>3822</v>
      </c>
      <c r="M581" t="s">
        <v>194</v>
      </c>
      <c r="N581">
        <v>3</v>
      </c>
      <c r="O581" t="s">
        <v>3821</v>
      </c>
      <c r="P581" t="s">
        <v>3820</v>
      </c>
      <c r="Q581" t="s">
        <v>3819</v>
      </c>
      <c r="R581" s="7">
        <v>37124</v>
      </c>
      <c r="S581" s="8">
        <f t="shared" si="72"/>
        <v>2001</v>
      </c>
      <c r="T581" s="8">
        <v>2001</v>
      </c>
      <c r="U581" s="8">
        <f t="shared" si="73"/>
        <v>21</v>
      </c>
      <c r="V581" s="7">
        <v>2001</v>
      </c>
      <c r="W581" t="s">
        <v>54</v>
      </c>
      <c r="X581" s="2">
        <v>0.8</v>
      </c>
      <c r="Y581" s="6">
        <f t="shared" si="78"/>
        <v>2.1355543098155415E-2</v>
      </c>
      <c r="AA581">
        <v>3407594</v>
      </c>
      <c r="AB581">
        <v>23456</v>
      </c>
      <c r="AD581" t="s">
        <v>1</v>
      </c>
      <c r="AE581">
        <v>187</v>
      </c>
      <c r="AF581">
        <v>5</v>
      </c>
      <c r="AH581" t="s">
        <v>3818</v>
      </c>
      <c r="AI581" t="s">
        <v>3817</v>
      </c>
      <c r="AJ581" t="s">
        <v>3816</v>
      </c>
      <c r="AK581" t="s">
        <v>3815</v>
      </c>
      <c r="AL581">
        <v>27</v>
      </c>
      <c r="AM581" s="5">
        <f t="shared" si="74"/>
        <v>1.2857142857142858</v>
      </c>
      <c r="AN581" s="4">
        <f t="shared" si="79"/>
        <v>1.9473143289879377E-3</v>
      </c>
      <c r="AO581" s="3"/>
      <c r="AP581">
        <v>0</v>
      </c>
      <c r="AQ581" t="s">
        <v>3814</v>
      </c>
      <c r="AR581" t="s">
        <v>3813</v>
      </c>
      <c r="AS581" t="s">
        <v>3812</v>
      </c>
      <c r="AT581" s="2" t="s">
        <v>7</v>
      </c>
      <c r="AU581" s="1">
        <f t="shared" si="75"/>
        <v>1.553307446740517</v>
      </c>
      <c r="AV581" s="1">
        <f t="shared" si="76"/>
        <v>1.1651428713571677</v>
      </c>
      <c r="AW581" s="1">
        <f t="shared" si="77"/>
        <v>0.77697829597381807</v>
      </c>
    </row>
    <row r="582" spans="1:49" x14ac:dyDescent="0.2">
      <c r="A582">
        <v>580</v>
      </c>
      <c r="B582" t="s">
        <v>3811</v>
      </c>
      <c r="C582" t="s">
        <v>3810</v>
      </c>
      <c r="D582" t="s">
        <v>3809</v>
      </c>
      <c r="F582" t="s">
        <v>3808</v>
      </c>
      <c r="G582" t="s">
        <v>6</v>
      </c>
      <c r="H582" t="s">
        <v>5</v>
      </c>
      <c r="I582" t="s">
        <v>3807</v>
      </c>
      <c r="J582" t="s">
        <v>3806</v>
      </c>
      <c r="K582" t="s">
        <v>3805</v>
      </c>
      <c r="L582" t="s">
        <v>3804</v>
      </c>
      <c r="M582" t="s">
        <v>3803</v>
      </c>
      <c r="N582">
        <v>3</v>
      </c>
      <c r="O582" t="s">
        <v>3802</v>
      </c>
      <c r="P582" t="s">
        <v>3801</v>
      </c>
      <c r="Q582" t="s">
        <v>3800</v>
      </c>
      <c r="R582" s="7">
        <v>37124</v>
      </c>
      <c r="S582" s="8">
        <f t="shared" si="72"/>
        <v>2001</v>
      </c>
      <c r="T582" s="8">
        <v>2001</v>
      </c>
      <c r="U582" s="8">
        <f t="shared" si="73"/>
        <v>21</v>
      </c>
      <c r="V582" s="7">
        <v>2001</v>
      </c>
      <c r="W582" t="s">
        <v>3799</v>
      </c>
      <c r="X582" s="2">
        <v>1.508</v>
      </c>
      <c r="Y582" s="6">
        <f t="shared" si="78"/>
        <v>4.0255198740022959E-2</v>
      </c>
      <c r="AA582">
        <v>1689452</v>
      </c>
      <c r="AB582">
        <v>16620</v>
      </c>
      <c r="AD582" t="s">
        <v>1</v>
      </c>
      <c r="AE582">
        <v>161</v>
      </c>
      <c r="AF582">
        <v>2</v>
      </c>
      <c r="AH582" t="s">
        <v>3798</v>
      </c>
      <c r="AI582" t="s">
        <v>3797</v>
      </c>
      <c r="AJ582" t="s">
        <v>3796</v>
      </c>
      <c r="AK582" t="s">
        <v>3795</v>
      </c>
      <c r="AL582">
        <v>24</v>
      </c>
      <c r="AM582" s="5">
        <f t="shared" si="74"/>
        <v>1.1428571428571428</v>
      </c>
      <c r="AN582" s="4">
        <f t="shared" si="79"/>
        <v>1.7309460702114999E-3</v>
      </c>
      <c r="AO582" s="3"/>
      <c r="AP582">
        <v>0</v>
      </c>
      <c r="AR582" t="s">
        <v>0</v>
      </c>
      <c r="AT582" s="2">
        <v>4.7290000000000001</v>
      </c>
      <c r="AU582" s="1">
        <f t="shared" si="75"/>
        <v>2.8697922939079517</v>
      </c>
      <c r="AV582" s="1">
        <f t="shared" si="76"/>
        <v>2.099307240511723</v>
      </c>
      <c r="AW582" s="1">
        <f t="shared" si="77"/>
        <v>1.3288221871154937</v>
      </c>
    </row>
    <row r="583" spans="1:49" x14ac:dyDescent="0.2">
      <c r="A583">
        <v>581</v>
      </c>
      <c r="B583" t="s">
        <v>3794</v>
      </c>
      <c r="C583" t="s">
        <v>3793</v>
      </c>
      <c r="E583">
        <v>11529478</v>
      </c>
      <c r="F583" t="s">
        <v>3792</v>
      </c>
      <c r="G583" t="s">
        <v>6</v>
      </c>
      <c r="H583" t="s">
        <v>5</v>
      </c>
      <c r="I583" t="s">
        <v>3791</v>
      </c>
      <c r="J583" t="s">
        <v>3790</v>
      </c>
      <c r="K583" t="s">
        <v>3789</v>
      </c>
      <c r="L583" t="s">
        <v>3788</v>
      </c>
      <c r="M583" t="s">
        <v>122</v>
      </c>
      <c r="N583">
        <v>2</v>
      </c>
      <c r="O583" t="s">
        <v>3787</v>
      </c>
      <c r="P583" t="s">
        <v>3786</v>
      </c>
      <c r="Q583" t="s">
        <v>3785</v>
      </c>
      <c r="R583" s="7">
        <v>37124</v>
      </c>
      <c r="S583" s="8">
        <f t="shared" si="72"/>
        <v>2001</v>
      </c>
      <c r="T583" s="8">
        <v>2001</v>
      </c>
      <c r="U583" s="8">
        <f t="shared" si="73"/>
        <v>21</v>
      </c>
      <c r="V583" s="7">
        <v>2001</v>
      </c>
      <c r="W583" t="s">
        <v>54</v>
      </c>
      <c r="X583" s="2">
        <v>0.8</v>
      </c>
      <c r="Y583" s="6">
        <f t="shared" si="78"/>
        <v>2.1355543098155415E-2</v>
      </c>
      <c r="AA583">
        <v>3407594</v>
      </c>
      <c r="AB583">
        <v>23456</v>
      </c>
      <c r="AD583" t="s">
        <v>1</v>
      </c>
      <c r="AE583">
        <v>187</v>
      </c>
      <c r="AF583">
        <v>5</v>
      </c>
      <c r="AH583" t="s">
        <v>752</v>
      </c>
      <c r="AI583" t="s">
        <v>3784</v>
      </c>
      <c r="AJ583" t="s">
        <v>3783</v>
      </c>
      <c r="AK583" t="s">
        <v>3782</v>
      </c>
      <c r="AL583">
        <v>30</v>
      </c>
      <c r="AM583" s="5">
        <f t="shared" si="74"/>
        <v>1.4285714285714286</v>
      </c>
      <c r="AN583" s="4">
        <f t="shared" si="79"/>
        <v>2.163682587764375E-3</v>
      </c>
      <c r="AO583" s="3"/>
      <c r="AP583">
        <v>0</v>
      </c>
      <c r="AR583" t="s">
        <v>0</v>
      </c>
      <c r="AS583" t="s">
        <v>3781</v>
      </c>
      <c r="AT583" s="2" t="s">
        <v>7</v>
      </c>
      <c r="AU583" s="1">
        <f t="shared" si="75"/>
        <v>1.5597984945038101</v>
      </c>
      <c r="AV583" s="1">
        <f t="shared" si="76"/>
        <v>1.1759612842959895</v>
      </c>
      <c r="AW583" s="1">
        <f t="shared" si="77"/>
        <v>0.79212407408816876</v>
      </c>
    </row>
    <row r="584" spans="1:49" x14ac:dyDescent="0.2">
      <c r="A584">
        <v>582</v>
      </c>
      <c r="B584" t="s">
        <v>3780</v>
      </c>
      <c r="C584" t="s">
        <v>3779</v>
      </c>
      <c r="F584" t="s">
        <v>3778</v>
      </c>
      <c r="G584" t="s">
        <v>6</v>
      </c>
      <c r="H584" t="s">
        <v>5</v>
      </c>
      <c r="I584" t="s">
        <v>796</v>
      </c>
      <c r="J584">
        <v>60012873</v>
      </c>
      <c r="K584" t="s">
        <v>3777</v>
      </c>
      <c r="L584" t="s">
        <v>3776</v>
      </c>
      <c r="M584" t="s">
        <v>3775</v>
      </c>
      <c r="N584">
        <v>1</v>
      </c>
      <c r="O584" t="s">
        <v>3774</v>
      </c>
      <c r="P584">
        <v>7005794256</v>
      </c>
      <c r="Q584">
        <v>60012873</v>
      </c>
      <c r="R584" s="7">
        <v>37123</v>
      </c>
      <c r="S584" s="8">
        <f t="shared" si="72"/>
        <v>2001</v>
      </c>
      <c r="T584" s="8">
        <v>2001</v>
      </c>
      <c r="U584" s="8">
        <f t="shared" si="73"/>
        <v>21</v>
      </c>
      <c r="V584" s="7">
        <v>37123</v>
      </c>
      <c r="W584" t="s">
        <v>290</v>
      </c>
      <c r="X584" s="2">
        <v>0.30399999999999999</v>
      </c>
      <c r="Y584" s="6">
        <f t="shared" si="78"/>
        <v>8.115106377299057E-3</v>
      </c>
      <c r="AA584">
        <v>8952477</v>
      </c>
      <c r="AB584">
        <v>12250</v>
      </c>
      <c r="AD584" t="s">
        <v>1</v>
      </c>
      <c r="AE584">
        <v>30</v>
      </c>
      <c r="AF584">
        <v>4</v>
      </c>
      <c r="AH584" t="s">
        <v>274</v>
      </c>
      <c r="AI584" t="s">
        <v>3773</v>
      </c>
      <c r="AJ584" t="s">
        <v>3772</v>
      </c>
      <c r="AK584" t="s">
        <v>3771</v>
      </c>
      <c r="AL584">
        <v>138</v>
      </c>
      <c r="AM584" s="5">
        <f t="shared" si="74"/>
        <v>6.5714285714285712</v>
      </c>
      <c r="AN584" s="4">
        <f t="shared" si="79"/>
        <v>9.9529399037161237E-3</v>
      </c>
      <c r="AO584" s="3"/>
      <c r="AP584">
        <v>0</v>
      </c>
      <c r="AR584" t="s">
        <v>0</v>
      </c>
      <c r="AT584" s="2" t="s">
        <v>7</v>
      </c>
      <c r="AU584" s="1">
        <f t="shared" si="75"/>
        <v>0.86664564352241757</v>
      </c>
      <c r="AV584" s="1">
        <f t="shared" si="76"/>
        <v>0.90340231405075899</v>
      </c>
      <c r="AW584" s="1">
        <f t="shared" si="77"/>
        <v>0.9401589845791003</v>
      </c>
    </row>
    <row r="585" spans="1:49" x14ac:dyDescent="0.2">
      <c r="A585">
        <v>583</v>
      </c>
      <c r="B585" t="s">
        <v>3770</v>
      </c>
      <c r="C585" t="s">
        <v>3769</v>
      </c>
      <c r="F585" t="s">
        <v>3768</v>
      </c>
      <c r="G585" t="s">
        <v>6</v>
      </c>
      <c r="H585" t="s">
        <v>5</v>
      </c>
      <c r="I585" t="s">
        <v>919</v>
      </c>
      <c r="J585">
        <v>60011362</v>
      </c>
      <c r="K585" t="s">
        <v>918</v>
      </c>
      <c r="L585" t="s">
        <v>917</v>
      </c>
      <c r="M585" t="s">
        <v>223</v>
      </c>
      <c r="N585">
        <v>2</v>
      </c>
      <c r="O585" t="s">
        <v>916</v>
      </c>
      <c r="P585" t="s">
        <v>915</v>
      </c>
      <c r="Q585" t="s">
        <v>914</v>
      </c>
      <c r="R585" s="7">
        <v>37123</v>
      </c>
      <c r="S585" s="8">
        <f t="shared" si="72"/>
        <v>2001</v>
      </c>
      <c r="T585" s="8">
        <v>2001</v>
      </c>
      <c r="U585" s="8">
        <f t="shared" si="73"/>
        <v>21</v>
      </c>
      <c r="V585" s="7">
        <v>37123</v>
      </c>
      <c r="W585" t="s">
        <v>290</v>
      </c>
      <c r="X585" s="2">
        <v>0.30399999999999999</v>
      </c>
      <c r="Y585" s="6">
        <f t="shared" si="78"/>
        <v>8.115106377299057E-3</v>
      </c>
      <c r="AA585">
        <v>8952477</v>
      </c>
      <c r="AB585">
        <v>12250</v>
      </c>
      <c r="AD585" t="s">
        <v>1</v>
      </c>
      <c r="AE585">
        <v>30</v>
      </c>
      <c r="AF585">
        <v>4</v>
      </c>
      <c r="AH585" t="s">
        <v>3767</v>
      </c>
      <c r="AI585" t="s">
        <v>3766</v>
      </c>
      <c r="AJ585" t="s">
        <v>3765</v>
      </c>
      <c r="AK585" t="s">
        <v>3764</v>
      </c>
      <c r="AL585">
        <v>8</v>
      </c>
      <c r="AM585" s="5">
        <f t="shared" si="74"/>
        <v>0.38095238095238093</v>
      </c>
      <c r="AN585" s="4">
        <f t="shared" si="79"/>
        <v>5.7698202340383331E-4</v>
      </c>
      <c r="AO585" s="3"/>
      <c r="AP585">
        <v>0</v>
      </c>
      <c r="AR585" t="s">
        <v>0</v>
      </c>
      <c r="AT585" s="2" t="s">
        <v>7</v>
      </c>
      <c r="AU585" s="1">
        <f t="shared" si="75"/>
        <v>0.58536690711304895</v>
      </c>
      <c r="AV585" s="1">
        <f t="shared" si="76"/>
        <v>0.43460442003514449</v>
      </c>
      <c r="AW585" s="1">
        <f t="shared" si="77"/>
        <v>0.28384193295724008</v>
      </c>
    </row>
    <row r="586" spans="1:49" x14ac:dyDescent="0.2">
      <c r="A586">
        <v>584</v>
      </c>
      <c r="B586" t="s">
        <v>3763</v>
      </c>
      <c r="C586" t="s">
        <v>3762</v>
      </c>
      <c r="F586" t="s">
        <v>3761</v>
      </c>
      <c r="G586" t="s">
        <v>6</v>
      </c>
      <c r="H586" t="s">
        <v>5</v>
      </c>
      <c r="I586" t="s">
        <v>3760</v>
      </c>
      <c r="J586">
        <v>60020650</v>
      </c>
      <c r="K586" t="s">
        <v>871</v>
      </c>
      <c r="L586" t="s">
        <v>870</v>
      </c>
      <c r="M586" t="s">
        <v>37</v>
      </c>
      <c r="N586">
        <v>4</v>
      </c>
      <c r="O586" t="s">
        <v>3759</v>
      </c>
      <c r="P586" t="s">
        <v>3758</v>
      </c>
      <c r="Q586" t="s">
        <v>3757</v>
      </c>
      <c r="R586" s="7">
        <v>37123</v>
      </c>
      <c r="S586" s="8">
        <f t="shared" si="72"/>
        <v>2001</v>
      </c>
      <c r="T586" s="8">
        <v>2001</v>
      </c>
      <c r="U586" s="8">
        <f t="shared" si="73"/>
        <v>21</v>
      </c>
      <c r="V586" s="7">
        <v>37123</v>
      </c>
      <c r="W586" t="s">
        <v>290</v>
      </c>
      <c r="X586" s="2">
        <v>0.30399999999999999</v>
      </c>
      <c r="Y586" s="6">
        <f t="shared" si="78"/>
        <v>8.115106377299057E-3</v>
      </c>
      <c r="AA586">
        <v>8952477</v>
      </c>
      <c r="AB586">
        <v>12250</v>
      </c>
      <c r="AD586" t="s">
        <v>1</v>
      </c>
      <c r="AE586">
        <v>30</v>
      </c>
      <c r="AF586">
        <v>4</v>
      </c>
      <c r="AH586" t="s">
        <v>3756</v>
      </c>
      <c r="AI586" t="s">
        <v>3755</v>
      </c>
      <c r="AJ586" t="s">
        <v>3754</v>
      </c>
      <c r="AK586" t="s">
        <v>3753</v>
      </c>
      <c r="AL586">
        <v>3</v>
      </c>
      <c r="AM586" s="5">
        <f t="shared" si="74"/>
        <v>0.14285714285714285</v>
      </c>
      <c r="AN586" s="4">
        <f t="shared" si="79"/>
        <v>2.1636825877643749E-4</v>
      </c>
      <c r="AO586" s="3"/>
      <c r="AP586">
        <v>0</v>
      </c>
      <c r="AR586" t="s">
        <v>0</v>
      </c>
      <c r="AT586" s="2" t="s">
        <v>7</v>
      </c>
      <c r="AU586" s="1">
        <f t="shared" si="75"/>
        <v>0.57454849417422704</v>
      </c>
      <c r="AV586" s="1">
        <f t="shared" si="76"/>
        <v>0.41657373180377472</v>
      </c>
      <c r="AW586" s="1">
        <f t="shared" si="77"/>
        <v>0.25859896943332233</v>
      </c>
    </row>
    <row r="587" spans="1:49" x14ac:dyDescent="0.2">
      <c r="A587">
        <v>585</v>
      </c>
      <c r="B587" t="s">
        <v>3752</v>
      </c>
      <c r="C587" t="s">
        <v>3751</v>
      </c>
      <c r="F587" t="s">
        <v>3750</v>
      </c>
      <c r="G587" t="s">
        <v>6</v>
      </c>
      <c r="H587" t="s">
        <v>5</v>
      </c>
      <c r="I587" t="s">
        <v>685</v>
      </c>
      <c r="J587" t="s">
        <v>3749</v>
      </c>
      <c r="K587" t="s">
        <v>3748</v>
      </c>
      <c r="L587" t="s">
        <v>368</v>
      </c>
      <c r="M587" t="s">
        <v>49</v>
      </c>
      <c r="N587">
        <v>3</v>
      </c>
      <c r="O587" t="s">
        <v>3747</v>
      </c>
      <c r="P587" t="s">
        <v>3746</v>
      </c>
      <c r="Q587" t="s">
        <v>3745</v>
      </c>
      <c r="R587" s="7">
        <v>37123</v>
      </c>
      <c r="S587" s="8">
        <f t="shared" si="72"/>
        <v>2001</v>
      </c>
      <c r="T587" s="8">
        <v>2001</v>
      </c>
      <c r="U587" s="8">
        <f t="shared" si="73"/>
        <v>21</v>
      </c>
      <c r="V587" s="7">
        <v>37123</v>
      </c>
      <c r="W587" t="s">
        <v>290</v>
      </c>
      <c r="X587" s="2">
        <v>0.30399999999999999</v>
      </c>
      <c r="Y587" s="6">
        <f t="shared" si="78"/>
        <v>8.115106377299057E-3</v>
      </c>
      <c r="AA587">
        <v>8952477</v>
      </c>
      <c r="AB587">
        <v>12250</v>
      </c>
      <c r="AD587" t="s">
        <v>1</v>
      </c>
      <c r="AE587">
        <v>30</v>
      </c>
      <c r="AF587">
        <v>4</v>
      </c>
      <c r="AH587" t="s">
        <v>3744</v>
      </c>
      <c r="AI587" t="s">
        <v>3743</v>
      </c>
      <c r="AJ587" t="s">
        <v>3742</v>
      </c>
      <c r="AK587" t="s">
        <v>3741</v>
      </c>
      <c r="AL587">
        <v>4</v>
      </c>
      <c r="AM587" s="5">
        <f t="shared" si="74"/>
        <v>0.19047619047619047</v>
      </c>
      <c r="AN587" s="4">
        <f t="shared" si="79"/>
        <v>2.8849101170191666E-4</v>
      </c>
      <c r="AO587" s="3"/>
      <c r="AP587">
        <v>0</v>
      </c>
      <c r="AR587" t="s">
        <v>0</v>
      </c>
      <c r="AT587" s="2" t="s">
        <v>7</v>
      </c>
      <c r="AU587" s="1">
        <f t="shared" si="75"/>
        <v>0.57671217676199149</v>
      </c>
      <c r="AV587" s="1">
        <f t="shared" si="76"/>
        <v>0.4201798694500487</v>
      </c>
      <c r="AW587" s="1">
        <f t="shared" si="77"/>
        <v>0.26364756213810586</v>
      </c>
    </row>
    <row r="588" spans="1:49" x14ac:dyDescent="0.2">
      <c r="A588">
        <v>586</v>
      </c>
      <c r="B588" t="s">
        <v>3740</v>
      </c>
      <c r="C588" t="s">
        <v>3739</v>
      </c>
      <c r="F588" t="s">
        <v>3738</v>
      </c>
      <c r="G588" t="s">
        <v>6</v>
      </c>
      <c r="H588" t="s">
        <v>5</v>
      </c>
      <c r="I588" t="s">
        <v>3737</v>
      </c>
      <c r="J588">
        <v>60005510</v>
      </c>
      <c r="K588" t="s">
        <v>315</v>
      </c>
      <c r="L588" t="s">
        <v>131</v>
      </c>
      <c r="M588" t="s">
        <v>130</v>
      </c>
      <c r="N588">
        <v>3</v>
      </c>
      <c r="O588" t="s">
        <v>3736</v>
      </c>
      <c r="P588" t="s">
        <v>3735</v>
      </c>
      <c r="Q588" t="s">
        <v>418</v>
      </c>
      <c r="R588" s="7">
        <v>37123</v>
      </c>
      <c r="S588" s="8">
        <f t="shared" si="72"/>
        <v>2001</v>
      </c>
      <c r="T588" s="8">
        <v>2001</v>
      </c>
      <c r="U588" s="8">
        <f t="shared" si="73"/>
        <v>21</v>
      </c>
      <c r="V588" s="7">
        <v>37123</v>
      </c>
      <c r="W588" t="s">
        <v>290</v>
      </c>
      <c r="X588" s="2">
        <v>0.30399999999999999</v>
      </c>
      <c r="Y588" s="6">
        <f t="shared" si="78"/>
        <v>8.115106377299057E-3</v>
      </c>
      <c r="AA588">
        <v>8952477</v>
      </c>
      <c r="AB588">
        <v>12250</v>
      </c>
      <c r="AD588" t="s">
        <v>1</v>
      </c>
      <c r="AE588">
        <v>30</v>
      </c>
      <c r="AF588">
        <v>4</v>
      </c>
      <c r="AH588" t="s">
        <v>338</v>
      </c>
      <c r="AI588" t="s">
        <v>3734</v>
      </c>
      <c r="AJ588" t="s">
        <v>3733</v>
      </c>
      <c r="AK588" t="s">
        <v>3732</v>
      </c>
      <c r="AL588">
        <v>3</v>
      </c>
      <c r="AM588" s="5">
        <f t="shared" si="74"/>
        <v>0.14285714285714285</v>
      </c>
      <c r="AN588" s="4">
        <f t="shared" si="79"/>
        <v>2.1636825877643749E-4</v>
      </c>
      <c r="AO588" s="3"/>
      <c r="AP588">
        <v>0</v>
      </c>
      <c r="AR588" t="s">
        <v>0</v>
      </c>
      <c r="AT588" s="2" t="s">
        <v>7</v>
      </c>
      <c r="AU588" s="1">
        <f t="shared" si="75"/>
        <v>0.57454849417422704</v>
      </c>
      <c r="AV588" s="1">
        <f t="shared" si="76"/>
        <v>0.41657373180377472</v>
      </c>
      <c r="AW588" s="1">
        <f t="shared" si="77"/>
        <v>0.25859896943332233</v>
      </c>
    </row>
    <row r="589" spans="1:49" x14ac:dyDescent="0.2">
      <c r="A589">
        <v>587</v>
      </c>
      <c r="B589" t="s">
        <v>3731</v>
      </c>
      <c r="C589" t="s">
        <v>3730</v>
      </c>
      <c r="F589" t="s">
        <v>3729</v>
      </c>
      <c r="G589" t="s">
        <v>6</v>
      </c>
      <c r="H589" t="s">
        <v>5</v>
      </c>
      <c r="I589" t="s">
        <v>3728</v>
      </c>
      <c r="J589" t="s">
        <v>3727</v>
      </c>
      <c r="K589" t="s">
        <v>3726</v>
      </c>
      <c r="L589" t="s">
        <v>188</v>
      </c>
      <c r="M589" t="s">
        <v>187</v>
      </c>
      <c r="N589">
        <v>4</v>
      </c>
      <c r="O589" t="s">
        <v>3725</v>
      </c>
      <c r="P589" t="s">
        <v>3724</v>
      </c>
      <c r="Q589" t="s">
        <v>3723</v>
      </c>
      <c r="R589" s="7">
        <v>37123</v>
      </c>
      <c r="S589" s="8">
        <f t="shared" si="72"/>
        <v>2001</v>
      </c>
      <c r="T589" s="8">
        <v>2001</v>
      </c>
      <c r="U589" s="8">
        <f t="shared" si="73"/>
        <v>21</v>
      </c>
      <c r="V589" s="7">
        <v>37123</v>
      </c>
      <c r="W589" t="s">
        <v>290</v>
      </c>
      <c r="X589" s="2">
        <v>0.30399999999999999</v>
      </c>
      <c r="Y589" s="6">
        <f t="shared" si="78"/>
        <v>8.115106377299057E-3</v>
      </c>
      <c r="AA589">
        <v>8952477</v>
      </c>
      <c r="AB589">
        <v>12250</v>
      </c>
      <c r="AD589" t="s">
        <v>1</v>
      </c>
      <c r="AE589">
        <v>30</v>
      </c>
      <c r="AF589">
        <v>4</v>
      </c>
      <c r="AH589" t="s">
        <v>967</v>
      </c>
      <c r="AI589" t="s">
        <v>3722</v>
      </c>
      <c r="AJ589" t="s">
        <v>3721</v>
      </c>
      <c r="AK589" t="s">
        <v>3720</v>
      </c>
      <c r="AL589">
        <v>1</v>
      </c>
      <c r="AM589" s="5">
        <f t="shared" si="74"/>
        <v>4.7619047619047616E-2</v>
      </c>
      <c r="AN589" s="4">
        <f t="shared" si="79"/>
        <v>7.2122752925479164E-5</v>
      </c>
      <c r="AO589" s="3"/>
      <c r="AP589">
        <v>0</v>
      </c>
      <c r="AR589" t="s">
        <v>0</v>
      </c>
      <c r="AT589" s="2" t="s">
        <v>7</v>
      </c>
      <c r="AU589" s="1">
        <f t="shared" si="75"/>
        <v>0.57022112899869826</v>
      </c>
      <c r="AV589" s="1">
        <f t="shared" si="76"/>
        <v>0.40936145651122685</v>
      </c>
      <c r="AW589" s="1">
        <f t="shared" si="77"/>
        <v>0.24850178402375528</v>
      </c>
    </row>
    <row r="590" spans="1:49" x14ac:dyDescent="0.2">
      <c r="A590">
        <v>588</v>
      </c>
      <c r="B590" t="s">
        <v>3719</v>
      </c>
      <c r="C590" t="s">
        <v>3718</v>
      </c>
      <c r="F590" t="s">
        <v>3717</v>
      </c>
      <c r="G590" t="s">
        <v>6</v>
      </c>
      <c r="H590" t="s">
        <v>5</v>
      </c>
      <c r="I590" t="s">
        <v>3716</v>
      </c>
      <c r="J590">
        <v>60017161</v>
      </c>
      <c r="K590" t="s">
        <v>132</v>
      </c>
      <c r="L590" t="s">
        <v>131</v>
      </c>
      <c r="M590" t="s">
        <v>130</v>
      </c>
      <c r="N590">
        <v>1</v>
      </c>
      <c r="O590" t="s">
        <v>3715</v>
      </c>
      <c r="P590">
        <v>7202267270</v>
      </c>
      <c r="Q590">
        <v>60017161</v>
      </c>
      <c r="R590" s="7">
        <v>37123</v>
      </c>
      <c r="S590" s="8">
        <f t="shared" si="72"/>
        <v>2001</v>
      </c>
      <c r="T590" s="8">
        <v>2001</v>
      </c>
      <c r="U590" s="8">
        <f t="shared" si="73"/>
        <v>21</v>
      </c>
      <c r="V590" s="7">
        <v>37123</v>
      </c>
      <c r="W590" t="s">
        <v>290</v>
      </c>
      <c r="X590" s="2">
        <v>0.30399999999999999</v>
      </c>
      <c r="Y590" s="6">
        <f t="shared" si="78"/>
        <v>8.115106377299057E-3</v>
      </c>
      <c r="AA590">
        <v>8952477</v>
      </c>
      <c r="AB590">
        <v>12250</v>
      </c>
      <c r="AD590" t="s">
        <v>1</v>
      </c>
      <c r="AE590">
        <v>30</v>
      </c>
      <c r="AF590">
        <v>4</v>
      </c>
      <c r="AH590" t="s">
        <v>3714</v>
      </c>
      <c r="AI590" t="s">
        <v>3713</v>
      </c>
      <c r="AJ590" t="s">
        <v>3712</v>
      </c>
      <c r="AK590" t="s">
        <v>3711</v>
      </c>
      <c r="AL590">
        <v>0</v>
      </c>
      <c r="AM590" s="5">
        <f t="shared" si="74"/>
        <v>0</v>
      </c>
      <c r="AN590" s="4">
        <f t="shared" si="79"/>
        <v>0</v>
      </c>
      <c r="AO590" s="3"/>
      <c r="AP590">
        <v>0</v>
      </c>
      <c r="AR590" t="s">
        <v>0</v>
      </c>
      <c r="AT590" s="2" t="s">
        <v>7</v>
      </c>
      <c r="AU590" s="1">
        <f t="shared" si="75"/>
        <v>0.56805744641093392</v>
      </c>
      <c r="AV590" s="1">
        <f t="shared" si="76"/>
        <v>0.40575531886495286</v>
      </c>
      <c r="AW590" s="1">
        <f t="shared" si="77"/>
        <v>0.24345319131897172</v>
      </c>
    </row>
    <row r="591" spans="1:49" x14ac:dyDescent="0.2">
      <c r="A591">
        <v>589</v>
      </c>
      <c r="B591" t="s">
        <v>3710</v>
      </c>
      <c r="C591" t="s">
        <v>3709</v>
      </c>
      <c r="F591" t="s">
        <v>3708</v>
      </c>
      <c r="G591" t="s">
        <v>6</v>
      </c>
      <c r="H591" t="s">
        <v>5</v>
      </c>
      <c r="I591" t="s">
        <v>3707</v>
      </c>
      <c r="J591">
        <v>60011357</v>
      </c>
      <c r="K591" t="s">
        <v>342</v>
      </c>
      <c r="L591" t="s">
        <v>329</v>
      </c>
      <c r="M591" t="s">
        <v>105</v>
      </c>
      <c r="N591">
        <v>3</v>
      </c>
      <c r="O591" t="s">
        <v>3706</v>
      </c>
      <c r="P591" t="s">
        <v>3705</v>
      </c>
      <c r="Q591" t="s">
        <v>3704</v>
      </c>
      <c r="R591" s="7">
        <v>37123</v>
      </c>
      <c r="S591" s="8">
        <f t="shared" si="72"/>
        <v>2001</v>
      </c>
      <c r="T591" s="8">
        <v>2001</v>
      </c>
      <c r="U591" s="8">
        <f t="shared" si="73"/>
        <v>21</v>
      </c>
      <c r="V591" s="7">
        <v>37123</v>
      </c>
      <c r="W591" t="s">
        <v>290</v>
      </c>
      <c r="X591" s="2">
        <v>0.30399999999999999</v>
      </c>
      <c r="Y591" s="6">
        <f t="shared" si="78"/>
        <v>8.115106377299057E-3</v>
      </c>
      <c r="AA591">
        <v>8952477</v>
      </c>
      <c r="AB591">
        <v>12250</v>
      </c>
      <c r="AD591" t="s">
        <v>1</v>
      </c>
      <c r="AE591">
        <v>30</v>
      </c>
      <c r="AF591">
        <v>4</v>
      </c>
      <c r="AH591" t="s">
        <v>3703</v>
      </c>
      <c r="AI591" t="s">
        <v>3702</v>
      </c>
      <c r="AJ591" t="s">
        <v>3701</v>
      </c>
      <c r="AK591" t="s">
        <v>3700</v>
      </c>
      <c r="AL591">
        <v>8</v>
      </c>
      <c r="AM591" s="5">
        <f t="shared" si="74"/>
        <v>0.38095238095238093</v>
      </c>
      <c r="AN591" s="4">
        <f t="shared" si="79"/>
        <v>5.7698202340383331E-4</v>
      </c>
      <c r="AO591" s="3"/>
      <c r="AP591">
        <v>0</v>
      </c>
      <c r="AR591" t="s">
        <v>0</v>
      </c>
      <c r="AT591" s="2" t="s">
        <v>7</v>
      </c>
      <c r="AU591" s="1">
        <f t="shared" si="75"/>
        <v>0.58536690711304895</v>
      </c>
      <c r="AV591" s="1">
        <f t="shared" si="76"/>
        <v>0.43460442003514449</v>
      </c>
      <c r="AW591" s="1">
        <f t="shared" si="77"/>
        <v>0.28384193295724008</v>
      </c>
    </row>
    <row r="592" spans="1:49" x14ac:dyDescent="0.2">
      <c r="A592">
        <v>590</v>
      </c>
      <c r="B592" t="s">
        <v>3699</v>
      </c>
      <c r="C592" t="s">
        <v>3698</v>
      </c>
      <c r="E592">
        <v>11507643</v>
      </c>
      <c r="F592" t="s">
        <v>3697</v>
      </c>
      <c r="G592" t="s">
        <v>6</v>
      </c>
      <c r="H592" t="s">
        <v>5</v>
      </c>
      <c r="I592" t="s">
        <v>3696</v>
      </c>
      <c r="J592">
        <v>60015150</v>
      </c>
      <c r="K592" t="s">
        <v>623</v>
      </c>
      <c r="L592" t="s">
        <v>328</v>
      </c>
      <c r="M592" t="s">
        <v>37</v>
      </c>
      <c r="N592">
        <v>3</v>
      </c>
      <c r="O592" t="s">
        <v>3695</v>
      </c>
      <c r="P592" t="s">
        <v>3694</v>
      </c>
      <c r="Q592" t="s">
        <v>3693</v>
      </c>
      <c r="R592" s="7">
        <v>37119</v>
      </c>
      <c r="S592" s="8">
        <f t="shared" si="72"/>
        <v>2001</v>
      </c>
      <c r="T592" s="8">
        <v>2001</v>
      </c>
      <c r="U592" s="8">
        <f t="shared" si="73"/>
        <v>21</v>
      </c>
      <c r="V592" s="7">
        <v>37119</v>
      </c>
      <c r="W592" t="s">
        <v>706</v>
      </c>
      <c r="X592" s="2">
        <v>15.993</v>
      </c>
      <c r="Y592" s="6">
        <f t="shared" si="78"/>
        <v>0.42692400096099947</v>
      </c>
      <c r="AA592">
        <v>280836</v>
      </c>
      <c r="AB592">
        <v>21206</v>
      </c>
      <c r="AD592" t="s">
        <v>1</v>
      </c>
      <c r="AE592">
        <v>412</v>
      </c>
      <c r="AF592">
        <v>6848</v>
      </c>
      <c r="AH592" t="s">
        <v>3692</v>
      </c>
      <c r="AI592" t="s">
        <v>3691</v>
      </c>
      <c r="AK592" t="s">
        <v>3690</v>
      </c>
      <c r="AL592">
        <v>278</v>
      </c>
      <c r="AM592" s="5">
        <f t="shared" si="74"/>
        <v>13.238095238095237</v>
      </c>
      <c r="AN592" s="4">
        <f t="shared" si="79"/>
        <v>2.0050125313283207E-2</v>
      </c>
      <c r="AO592" s="3"/>
      <c r="AP592">
        <v>0</v>
      </c>
      <c r="AR592" t="s">
        <v>0</v>
      </c>
      <c r="AT592" s="2">
        <v>49.962000000000003</v>
      </c>
      <c r="AU592" s="1">
        <f t="shared" si="75"/>
        <v>30.486183826668455</v>
      </c>
      <c r="AV592" s="1">
        <f t="shared" si="76"/>
        <v>22.348706313714136</v>
      </c>
      <c r="AW592" s="1">
        <f t="shared" si="77"/>
        <v>14.211228800759807</v>
      </c>
    </row>
    <row r="593" spans="1:49" x14ac:dyDescent="0.2">
      <c r="A593">
        <v>591</v>
      </c>
      <c r="B593" t="s">
        <v>3689</v>
      </c>
      <c r="C593" t="s">
        <v>3688</v>
      </c>
      <c r="E593">
        <v>11507644</v>
      </c>
      <c r="F593" t="s">
        <v>3687</v>
      </c>
      <c r="G593" t="s">
        <v>6</v>
      </c>
      <c r="H593" t="s">
        <v>5</v>
      </c>
      <c r="I593" t="s">
        <v>3686</v>
      </c>
      <c r="J593" t="s">
        <v>3685</v>
      </c>
      <c r="K593" t="s">
        <v>3684</v>
      </c>
      <c r="L593" t="s">
        <v>3683</v>
      </c>
      <c r="M593" t="s">
        <v>3682</v>
      </c>
      <c r="N593">
        <v>9</v>
      </c>
      <c r="O593" t="s">
        <v>3681</v>
      </c>
      <c r="P593" t="s">
        <v>3680</v>
      </c>
      <c r="Q593" t="s">
        <v>3679</v>
      </c>
      <c r="R593" s="7">
        <v>37119</v>
      </c>
      <c r="S593" s="8">
        <f t="shared" si="72"/>
        <v>2001</v>
      </c>
      <c r="T593" s="8">
        <v>2001</v>
      </c>
      <c r="U593" s="8">
        <f t="shared" si="73"/>
        <v>21</v>
      </c>
      <c r="V593" s="7">
        <v>37119</v>
      </c>
      <c r="W593" t="s">
        <v>706</v>
      </c>
      <c r="X593" s="2">
        <v>15.993</v>
      </c>
      <c r="Y593" s="6">
        <f t="shared" si="78"/>
        <v>0.42692400096099947</v>
      </c>
      <c r="AA593">
        <v>280836</v>
      </c>
      <c r="AB593">
        <v>21206</v>
      </c>
      <c r="AD593" t="s">
        <v>1</v>
      </c>
      <c r="AE593">
        <v>412</v>
      </c>
      <c r="AF593">
        <v>6848</v>
      </c>
      <c r="AH593" t="s">
        <v>3678</v>
      </c>
      <c r="AI593" t="s">
        <v>3677</v>
      </c>
      <c r="AK593" t="s">
        <v>3676</v>
      </c>
      <c r="AL593">
        <v>261</v>
      </c>
      <c r="AM593" s="5">
        <f t="shared" si="74"/>
        <v>12.428571428571429</v>
      </c>
      <c r="AN593" s="4">
        <f t="shared" si="79"/>
        <v>1.8824038513550061E-2</v>
      </c>
      <c r="AO593" s="3"/>
      <c r="AP593">
        <v>0</v>
      </c>
      <c r="AR593" t="s">
        <v>0</v>
      </c>
      <c r="AT593" s="2">
        <v>49.962000000000003</v>
      </c>
      <c r="AU593" s="1">
        <f t="shared" si="75"/>
        <v>30.44940122267646</v>
      </c>
      <c r="AV593" s="1">
        <f t="shared" si="76"/>
        <v>22.287401973727476</v>
      </c>
      <c r="AW593" s="1">
        <f t="shared" si="77"/>
        <v>14.125402724778487</v>
      </c>
    </row>
    <row r="594" spans="1:49" x14ac:dyDescent="0.2">
      <c r="A594">
        <v>592</v>
      </c>
      <c r="B594" t="s">
        <v>3675</v>
      </c>
      <c r="C594" t="s">
        <v>3674</v>
      </c>
      <c r="F594" t="s">
        <v>3673</v>
      </c>
      <c r="G594" t="s">
        <v>6</v>
      </c>
      <c r="H594" t="s">
        <v>5</v>
      </c>
      <c r="I594" t="s">
        <v>668</v>
      </c>
      <c r="J594">
        <v>60010586</v>
      </c>
      <c r="K594" t="s">
        <v>3672</v>
      </c>
      <c r="L594" t="s">
        <v>3671</v>
      </c>
      <c r="M594" t="s">
        <v>46</v>
      </c>
      <c r="N594">
        <v>3</v>
      </c>
      <c r="O594" t="s">
        <v>3670</v>
      </c>
      <c r="P594" t="s">
        <v>3669</v>
      </c>
      <c r="Q594" t="s">
        <v>3668</v>
      </c>
      <c r="R594" s="7">
        <v>37119</v>
      </c>
      <c r="S594" s="8">
        <f t="shared" si="72"/>
        <v>2001</v>
      </c>
      <c r="T594" s="8">
        <v>2001</v>
      </c>
      <c r="U594" s="8">
        <f t="shared" si="73"/>
        <v>21</v>
      </c>
      <c r="V594" s="7">
        <v>37119</v>
      </c>
      <c r="W594" t="s">
        <v>698</v>
      </c>
      <c r="X594" s="2">
        <v>0.375</v>
      </c>
      <c r="Y594" s="6">
        <f t="shared" si="78"/>
        <v>1.0010410827260351E-2</v>
      </c>
      <c r="AA594">
        <v>135194</v>
      </c>
      <c r="AB594">
        <v>24918</v>
      </c>
      <c r="AD594" t="s">
        <v>1</v>
      </c>
      <c r="AE594">
        <v>37</v>
      </c>
      <c r="AF594">
        <v>17</v>
      </c>
      <c r="AH594" t="s">
        <v>3667</v>
      </c>
      <c r="AI594" t="s">
        <v>3666</v>
      </c>
      <c r="AK594" t="s">
        <v>3665</v>
      </c>
      <c r="AL594">
        <v>10</v>
      </c>
      <c r="AM594" s="5">
        <f t="shared" si="74"/>
        <v>0.47619047619047616</v>
      </c>
      <c r="AN594" s="4">
        <f t="shared" si="79"/>
        <v>7.2122752925479164E-4</v>
      </c>
      <c r="AO594" s="3"/>
      <c r="AP594">
        <v>0</v>
      </c>
      <c r="AR594" t="s">
        <v>0</v>
      </c>
      <c r="AT594" s="2">
        <v>1.3140000000000001</v>
      </c>
      <c r="AU594" s="1">
        <f t="shared" si="75"/>
        <v>0.72236558378586835</v>
      </c>
      <c r="AV594" s="1">
        <f t="shared" si="76"/>
        <v>0.53658191782575715</v>
      </c>
      <c r="AW594" s="1">
        <f t="shared" si="77"/>
        <v>0.35079825186564589</v>
      </c>
    </row>
    <row r="595" spans="1:49" x14ac:dyDescent="0.2">
      <c r="A595">
        <v>593</v>
      </c>
      <c r="B595" t="s">
        <v>3664</v>
      </c>
      <c r="C595" t="s">
        <v>3663</v>
      </c>
      <c r="F595" t="s">
        <v>3662</v>
      </c>
      <c r="G595" t="s">
        <v>6</v>
      </c>
      <c r="H595" t="s">
        <v>5</v>
      </c>
      <c r="I595" t="s">
        <v>939</v>
      </c>
      <c r="J595" t="s">
        <v>3657</v>
      </c>
      <c r="K595" t="s">
        <v>3661</v>
      </c>
      <c r="L595" t="s">
        <v>3660</v>
      </c>
      <c r="M595" t="s">
        <v>215</v>
      </c>
      <c r="N595">
        <v>2</v>
      </c>
      <c r="O595" t="s">
        <v>3659</v>
      </c>
      <c r="P595" t="s">
        <v>3658</v>
      </c>
      <c r="Q595" t="s">
        <v>3657</v>
      </c>
      <c r="R595" s="7">
        <v>37119</v>
      </c>
      <c r="S595" s="8">
        <f t="shared" si="72"/>
        <v>2001</v>
      </c>
      <c r="T595" s="8">
        <v>2001</v>
      </c>
      <c r="U595" s="8">
        <f t="shared" si="73"/>
        <v>21</v>
      </c>
      <c r="V595" s="7">
        <v>37119</v>
      </c>
      <c r="W595" t="s">
        <v>698</v>
      </c>
      <c r="X595" s="2">
        <v>0.375</v>
      </c>
      <c r="Y595" s="6">
        <f t="shared" si="78"/>
        <v>1.0010410827260351E-2</v>
      </c>
      <c r="AA595">
        <v>135194</v>
      </c>
      <c r="AB595">
        <v>24918</v>
      </c>
      <c r="AD595" t="s">
        <v>1</v>
      </c>
      <c r="AE595">
        <v>37</v>
      </c>
      <c r="AF595">
        <v>17</v>
      </c>
      <c r="AH595" t="s">
        <v>3656</v>
      </c>
      <c r="AI595" t="s">
        <v>3655</v>
      </c>
      <c r="AK595" t="s">
        <v>3654</v>
      </c>
      <c r="AL595">
        <v>7</v>
      </c>
      <c r="AM595" s="5">
        <f t="shared" si="74"/>
        <v>0.33333333333333331</v>
      </c>
      <c r="AN595" s="4">
        <f t="shared" si="79"/>
        <v>5.048592704783541E-4</v>
      </c>
      <c r="AO595" s="3"/>
      <c r="AP595">
        <v>0</v>
      </c>
      <c r="AR595" t="s">
        <v>0</v>
      </c>
      <c r="AT595" s="2">
        <v>1.3140000000000001</v>
      </c>
      <c r="AU595" s="1">
        <f t="shared" si="75"/>
        <v>0.71587453602257523</v>
      </c>
      <c r="AV595" s="1">
        <f t="shared" si="76"/>
        <v>0.52576350488693535</v>
      </c>
      <c r="AW595" s="1">
        <f t="shared" si="77"/>
        <v>0.33565247375129531</v>
      </c>
    </row>
    <row r="596" spans="1:49" x14ac:dyDescent="0.2">
      <c r="A596">
        <v>594</v>
      </c>
      <c r="B596" t="s">
        <v>3653</v>
      </c>
      <c r="C596" t="s">
        <v>3652</v>
      </c>
      <c r="F596" t="s">
        <v>3651</v>
      </c>
      <c r="G596" t="s">
        <v>6</v>
      </c>
      <c r="H596" t="s">
        <v>5</v>
      </c>
      <c r="I596" t="s">
        <v>3650</v>
      </c>
      <c r="J596">
        <v>60026113</v>
      </c>
      <c r="K596" t="s">
        <v>598</v>
      </c>
      <c r="L596" t="s">
        <v>597</v>
      </c>
      <c r="M596" t="s">
        <v>87</v>
      </c>
      <c r="N596">
        <v>5</v>
      </c>
      <c r="O596" t="s">
        <v>3649</v>
      </c>
      <c r="P596" t="s">
        <v>3648</v>
      </c>
      <c r="Q596" t="s">
        <v>607</v>
      </c>
      <c r="R596" s="7">
        <v>37119</v>
      </c>
      <c r="S596" s="8">
        <f t="shared" si="72"/>
        <v>2001</v>
      </c>
      <c r="T596" s="8">
        <v>2001</v>
      </c>
      <c r="U596" s="8">
        <f t="shared" si="73"/>
        <v>21</v>
      </c>
      <c r="V596" s="7">
        <v>37119</v>
      </c>
      <c r="W596" t="s">
        <v>698</v>
      </c>
      <c r="X596" s="2">
        <v>0.375</v>
      </c>
      <c r="Y596" s="6">
        <f t="shared" si="78"/>
        <v>1.0010410827260351E-2</v>
      </c>
      <c r="AA596">
        <v>135194</v>
      </c>
      <c r="AB596">
        <v>24918</v>
      </c>
      <c r="AD596" t="s">
        <v>1</v>
      </c>
      <c r="AE596">
        <v>37</v>
      </c>
      <c r="AF596">
        <v>17</v>
      </c>
      <c r="AH596" t="s">
        <v>3647</v>
      </c>
      <c r="AI596" t="s">
        <v>3646</v>
      </c>
      <c r="AK596" t="s">
        <v>3645</v>
      </c>
      <c r="AL596">
        <v>43</v>
      </c>
      <c r="AM596" s="5">
        <f t="shared" si="74"/>
        <v>2.0476190476190474</v>
      </c>
      <c r="AN596" s="4">
        <f t="shared" si="79"/>
        <v>3.1012783757956037E-3</v>
      </c>
      <c r="AO596" s="3"/>
      <c r="AP596">
        <v>0</v>
      </c>
      <c r="AR596" t="s">
        <v>0</v>
      </c>
      <c r="AT596" s="2">
        <v>1.3140000000000001</v>
      </c>
      <c r="AU596" s="1">
        <f t="shared" si="75"/>
        <v>0.79376710918209259</v>
      </c>
      <c r="AV596" s="1">
        <f t="shared" si="76"/>
        <v>0.6555844601527977</v>
      </c>
      <c r="AW596" s="1">
        <f t="shared" si="77"/>
        <v>0.5174018111235027</v>
      </c>
    </row>
    <row r="597" spans="1:49" x14ac:dyDescent="0.2">
      <c r="A597">
        <v>595</v>
      </c>
      <c r="B597" t="s">
        <v>3644</v>
      </c>
      <c r="C597" t="s">
        <v>3643</v>
      </c>
      <c r="F597" t="s">
        <v>3642</v>
      </c>
      <c r="G597" t="s">
        <v>6</v>
      </c>
      <c r="H597" t="s">
        <v>5</v>
      </c>
      <c r="I597" t="s">
        <v>3641</v>
      </c>
      <c r="J597">
        <v>60021199</v>
      </c>
      <c r="K597" t="s">
        <v>3640</v>
      </c>
      <c r="L597" t="s">
        <v>67</v>
      </c>
      <c r="M597" t="s">
        <v>66</v>
      </c>
      <c r="N597">
        <v>3</v>
      </c>
      <c r="O597" t="s">
        <v>3639</v>
      </c>
      <c r="P597" t="s">
        <v>3638</v>
      </c>
      <c r="Q597" t="s">
        <v>3637</v>
      </c>
      <c r="R597" s="7">
        <v>37119</v>
      </c>
      <c r="S597" s="8">
        <f t="shared" si="72"/>
        <v>2001</v>
      </c>
      <c r="T597" s="8">
        <v>2001</v>
      </c>
      <c r="U597" s="8">
        <f t="shared" si="73"/>
        <v>21</v>
      </c>
      <c r="V597" s="7">
        <v>37119</v>
      </c>
      <c r="W597" t="s">
        <v>698</v>
      </c>
      <c r="X597" s="2">
        <v>0.375</v>
      </c>
      <c r="Y597" s="6">
        <f t="shared" si="78"/>
        <v>1.0010410827260351E-2</v>
      </c>
      <c r="AA597">
        <v>135194</v>
      </c>
      <c r="AB597">
        <v>24918</v>
      </c>
      <c r="AD597" t="s">
        <v>1</v>
      </c>
      <c r="AE597">
        <v>37</v>
      </c>
      <c r="AF597">
        <v>17</v>
      </c>
      <c r="AH597" t="s">
        <v>3636</v>
      </c>
      <c r="AI597" t="s">
        <v>3635</v>
      </c>
      <c r="AK597" t="s">
        <v>3634</v>
      </c>
      <c r="AL597">
        <v>2</v>
      </c>
      <c r="AM597" s="5">
        <f t="shared" si="74"/>
        <v>9.5238095238095233E-2</v>
      </c>
      <c r="AN597" s="4">
        <f t="shared" si="79"/>
        <v>1.4424550585095833E-4</v>
      </c>
      <c r="AO597" s="3"/>
      <c r="AP597">
        <v>0</v>
      </c>
      <c r="AR597" t="s">
        <v>0</v>
      </c>
      <c r="AT597" s="2">
        <v>1.3140000000000001</v>
      </c>
      <c r="AU597" s="1">
        <f t="shared" si="75"/>
        <v>0.70505612308375332</v>
      </c>
      <c r="AV597" s="1">
        <f t="shared" si="76"/>
        <v>0.50773281665556547</v>
      </c>
      <c r="AW597" s="1">
        <f t="shared" si="77"/>
        <v>0.31040951022737762</v>
      </c>
    </row>
    <row r="598" spans="1:49" x14ac:dyDescent="0.2">
      <c r="A598">
        <v>596</v>
      </c>
      <c r="B598" t="s">
        <v>3633</v>
      </c>
      <c r="C598" t="s">
        <v>3632</v>
      </c>
      <c r="F598" t="s">
        <v>3631</v>
      </c>
      <c r="G598" t="s">
        <v>6</v>
      </c>
      <c r="H598" t="s">
        <v>5</v>
      </c>
      <c r="I598" t="s">
        <v>346</v>
      </c>
      <c r="J598" t="s">
        <v>3630</v>
      </c>
      <c r="K598" t="s">
        <v>3629</v>
      </c>
      <c r="L598" t="s">
        <v>672</v>
      </c>
      <c r="M598" t="s">
        <v>44</v>
      </c>
      <c r="N598">
        <v>9</v>
      </c>
      <c r="O598" t="s">
        <v>3628</v>
      </c>
      <c r="P598" t="s">
        <v>3627</v>
      </c>
      <c r="Q598" t="s">
        <v>3626</v>
      </c>
      <c r="R598" s="7">
        <v>37119</v>
      </c>
      <c r="S598" s="8">
        <f t="shared" si="72"/>
        <v>2001</v>
      </c>
      <c r="T598" s="8">
        <v>2001</v>
      </c>
      <c r="U598" s="8">
        <f t="shared" si="73"/>
        <v>21</v>
      </c>
      <c r="V598" s="7">
        <v>37119</v>
      </c>
      <c r="W598" t="s">
        <v>150</v>
      </c>
      <c r="X598" s="2">
        <v>0.192</v>
      </c>
      <c r="Y598" s="6">
        <f t="shared" si="78"/>
        <v>5.1253303435572998E-3</v>
      </c>
      <c r="AA598" t="s">
        <v>127</v>
      </c>
      <c r="AB598">
        <v>40067</v>
      </c>
      <c r="AD598" t="s">
        <v>1</v>
      </c>
      <c r="AE598">
        <v>4334</v>
      </c>
      <c r="AF598">
        <v>1</v>
      </c>
      <c r="AH598" t="s">
        <v>778</v>
      </c>
      <c r="AI598" t="s">
        <v>3625</v>
      </c>
      <c r="AJ598" t="s">
        <v>3624</v>
      </c>
      <c r="AK598" t="s">
        <v>3623</v>
      </c>
      <c r="AL598">
        <v>3</v>
      </c>
      <c r="AM598" s="5">
        <f t="shared" si="74"/>
        <v>0.14285714285714285</v>
      </c>
      <c r="AN598" s="4">
        <f t="shared" si="79"/>
        <v>2.1636825877643749E-4</v>
      </c>
      <c r="AO598" s="3"/>
      <c r="AP598">
        <v>0</v>
      </c>
      <c r="AR598" t="s">
        <v>0</v>
      </c>
      <c r="AT598" s="2" t="s">
        <v>7</v>
      </c>
      <c r="AU598" s="1">
        <f t="shared" si="75"/>
        <v>0.36526417181230403</v>
      </c>
      <c r="AV598" s="1">
        <f t="shared" si="76"/>
        <v>0.26708493011668688</v>
      </c>
      <c r="AW598" s="1">
        <f t="shared" si="77"/>
        <v>0.16890568842106962</v>
      </c>
    </row>
    <row r="599" spans="1:49" x14ac:dyDescent="0.2">
      <c r="A599">
        <v>597</v>
      </c>
      <c r="B599" t="s">
        <v>3622</v>
      </c>
      <c r="C599" t="s">
        <v>3621</v>
      </c>
      <c r="F599" t="s">
        <v>3620</v>
      </c>
      <c r="G599" t="s">
        <v>6</v>
      </c>
      <c r="H599" t="s">
        <v>5</v>
      </c>
      <c r="I599" t="s">
        <v>3619</v>
      </c>
      <c r="J599" t="s">
        <v>3618</v>
      </c>
      <c r="K599" t="s">
        <v>3617</v>
      </c>
      <c r="L599" t="s">
        <v>3616</v>
      </c>
      <c r="M599" t="s">
        <v>44</v>
      </c>
      <c r="N599">
        <v>4</v>
      </c>
      <c r="O599" t="s">
        <v>3615</v>
      </c>
      <c r="P599" t="s">
        <v>3614</v>
      </c>
      <c r="Q599" t="s">
        <v>3613</v>
      </c>
      <c r="R599" s="7">
        <v>37119</v>
      </c>
      <c r="S599" s="8">
        <f t="shared" si="72"/>
        <v>2001</v>
      </c>
      <c r="T599" s="8">
        <v>2001</v>
      </c>
      <c r="U599" s="8">
        <f t="shared" si="73"/>
        <v>21</v>
      </c>
      <c r="V599" s="7">
        <v>37119</v>
      </c>
      <c r="W599" t="s">
        <v>150</v>
      </c>
      <c r="X599" s="2">
        <v>0.192</v>
      </c>
      <c r="Y599" s="6">
        <f t="shared" si="78"/>
        <v>5.1253303435572998E-3</v>
      </c>
      <c r="AA599" t="s">
        <v>127</v>
      </c>
      <c r="AB599">
        <v>40067</v>
      </c>
      <c r="AD599" t="s">
        <v>1</v>
      </c>
      <c r="AE599">
        <v>4334</v>
      </c>
      <c r="AF599">
        <v>1</v>
      </c>
      <c r="AH599" t="s">
        <v>3612</v>
      </c>
      <c r="AI599" t="s">
        <v>3611</v>
      </c>
      <c r="AJ599" t="s">
        <v>3610</v>
      </c>
      <c r="AK599" t="s">
        <v>3609</v>
      </c>
      <c r="AL599">
        <v>0</v>
      </c>
      <c r="AM599" s="5">
        <f t="shared" si="74"/>
        <v>0</v>
      </c>
      <c r="AN599" s="4">
        <f t="shared" si="79"/>
        <v>0</v>
      </c>
      <c r="AO599" s="3"/>
      <c r="AP599">
        <v>0</v>
      </c>
      <c r="AR599" t="s">
        <v>0</v>
      </c>
      <c r="AT599" s="2" t="s">
        <v>7</v>
      </c>
      <c r="AU599" s="1">
        <f t="shared" si="75"/>
        <v>0.35877312404901096</v>
      </c>
      <c r="AV599" s="1">
        <f t="shared" si="76"/>
        <v>0.25626651717786497</v>
      </c>
      <c r="AW599" s="1">
        <f t="shared" si="77"/>
        <v>0.15375991030671898</v>
      </c>
    </row>
    <row r="600" spans="1:49" x14ac:dyDescent="0.2">
      <c r="A600">
        <v>598</v>
      </c>
      <c r="B600" t="s">
        <v>3608</v>
      </c>
      <c r="C600" t="s">
        <v>3607</v>
      </c>
      <c r="F600" t="s">
        <v>3606</v>
      </c>
      <c r="G600" t="s">
        <v>6</v>
      </c>
      <c r="H600" t="s">
        <v>5</v>
      </c>
      <c r="I600" t="s">
        <v>3605</v>
      </c>
      <c r="J600" t="s">
        <v>3604</v>
      </c>
      <c r="K600" t="s">
        <v>3603</v>
      </c>
      <c r="L600" t="s">
        <v>3602</v>
      </c>
      <c r="M600" t="s">
        <v>44</v>
      </c>
      <c r="N600">
        <v>4</v>
      </c>
      <c r="O600" t="s">
        <v>3601</v>
      </c>
      <c r="P600" t="s">
        <v>3600</v>
      </c>
      <c r="Q600" t="s">
        <v>3599</v>
      </c>
      <c r="R600" s="7">
        <v>37119</v>
      </c>
      <c r="S600" s="8">
        <f t="shared" si="72"/>
        <v>2001</v>
      </c>
      <c r="T600" s="8">
        <v>2001</v>
      </c>
      <c r="U600" s="8">
        <f t="shared" si="73"/>
        <v>21</v>
      </c>
      <c r="V600" s="7">
        <v>37119</v>
      </c>
      <c r="W600" t="s">
        <v>150</v>
      </c>
      <c r="X600" s="2">
        <v>0.192</v>
      </c>
      <c r="Y600" s="6">
        <f t="shared" si="78"/>
        <v>5.1253303435572998E-3</v>
      </c>
      <c r="AA600" t="s">
        <v>127</v>
      </c>
      <c r="AB600">
        <v>40067</v>
      </c>
      <c r="AD600" t="s">
        <v>1</v>
      </c>
      <c r="AE600">
        <v>4334</v>
      </c>
      <c r="AF600">
        <v>1</v>
      </c>
      <c r="AH600" t="s">
        <v>3598</v>
      </c>
      <c r="AI600" t="s">
        <v>3597</v>
      </c>
      <c r="AJ600" t="s">
        <v>3596</v>
      </c>
      <c r="AK600" t="s">
        <v>3595</v>
      </c>
      <c r="AL600">
        <v>5</v>
      </c>
      <c r="AM600" s="5">
        <f t="shared" si="74"/>
        <v>0.23809523809523808</v>
      </c>
      <c r="AN600" s="4">
        <f t="shared" si="79"/>
        <v>3.6061376462739582E-4</v>
      </c>
      <c r="AO600" s="3"/>
      <c r="AP600">
        <v>0</v>
      </c>
      <c r="AR600" t="s">
        <v>0</v>
      </c>
      <c r="AT600" s="2" t="s">
        <v>7</v>
      </c>
      <c r="AU600" s="1">
        <f t="shared" si="75"/>
        <v>0.36959153698783281</v>
      </c>
      <c r="AV600" s="1">
        <f t="shared" si="76"/>
        <v>0.2742972054092348</v>
      </c>
      <c r="AW600" s="1">
        <f t="shared" si="77"/>
        <v>0.17900287383063671</v>
      </c>
    </row>
    <row r="601" spans="1:49" x14ac:dyDescent="0.2">
      <c r="A601">
        <v>599</v>
      </c>
      <c r="B601" t="s">
        <v>3594</v>
      </c>
      <c r="C601" t="s">
        <v>3593</v>
      </c>
      <c r="E601">
        <v>11487649</v>
      </c>
      <c r="F601" t="s">
        <v>3592</v>
      </c>
      <c r="G601" t="s">
        <v>6</v>
      </c>
      <c r="H601" t="s">
        <v>5</v>
      </c>
      <c r="I601" t="s">
        <v>3591</v>
      </c>
      <c r="J601">
        <v>60022146</v>
      </c>
      <c r="K601" t="s">
        <v>3590</v>
      </c>
      <c r="L601" t="s">
        <v>656</v>
      </c>
      <c r="M601" t="s">
        <v>194</v>
      </c>
      <c r="N601">
        <v>2</v>
      </c>
      <c r="O601" t="s">
        <v>3589</v>
      </c>
      <c r="P601" t="s">
        <v>3588</v>
      </c>
      <c r="Q601" t="s">
        <v>3587</v>
      </c>
      <c r="R601" s="7">
        <v>37118</v>
      </c>
      <c r="S601" s="8">
        <f t="shared" si="72"/>
        <v>2001</v>
      </c>
      <c r="T601" s="8">
        <v>2001</v>
      </c>
      <c r="U601" s="8">
        <f t="shared" si="73"/>
        <v>21</v>
      </c>
      <c r="V601" s="7">
        <v>37118</v>
      </c>
      <c r="W601" t="s">
        <v>3586</v>
      </c>
      <c r="X601" s="2">
        <v>3.4830000000000001</v>
      </c>
      <c r="Y601" s="6">
        <f t="shared" si="78"/>
        <v>9.2976695763594144E-2</v>
      </c>
      <c r="AA601">
        <v>2706474</v>
      </c>
      <c r="AB601">
        <v>16764</v>
      </c>
      <c r="AD601" t="s">
        <v>1</v>
      </c>
      <c r="AE601">
        <v>21</v>
      </c>
      <c r="AF601">
        <v>16</v>
      </c>
      <c r="AH601" t="s">
        <v>3585</v>
      </c>
      <c r="AI601" t="s">
        <v>3584</v>
      </c>
      <c r="AJ601" t="s">
        <v>3583</v>
      </c>
      <c r="AK601" t="s">
        <v>3582</v>
      </c>
      <c r="AL601">
        <v>50</v>
      </c>
      <c r="AM601" s="5">
        <f t="shared" si="74"/>
        <v>2.3809523809523809</v>
      </c>
      <c r="AN601" s="4">
        <f t="shared" si="79"/>
        <v>3.6061376462739581E-3</v>
      </c>
      <c r="AO601" s="3"/>
      <c r="AP601">
        <v>1</v>
      </c>
      <c r="AR601" t="s">
        <v>0</v>
      </c>
      <c r="AT601" s="2">
        <v>6.1669999999999998</v>
      </c>
      <c r="AU601" s="1">
        <f t="shared" si="75"/>
        <v>6.6165528328398073</v>
      </c>
      <c r="AV601" s="1">
        <f t="shared" si="76"/>
        <v>4.8291416704934056</v>
      </c>
      <c r="AW601" s="1">
        <f t="shared" si="77"/>
        <v>3.0417305081470012</v>
      </c>
    </row>
    <row r="602" spans="1:49" x14ac:dyDescent="0.2">
      <c r="A602">
        <v>600</v>
      </c>
      <c r="B602" t="s">
        <v>3581</v>
      </c>
      <c r="C602" t="s">
        <v>3580</v>
      </c>
      <c r="E602">
        <v>11504035</v>
      </c>
      <c r="F602" t="s">
        <v>3579</v>
      </c>
      <c r="G602" t="s">
        <v>6</v>
      </c>
      <c r="H602" t="s">
        <v>5</v>
      </c>
      <c r="I602" t="s">
        <v>3578</v>
      </c>
      <c r="J602" t="s">
        <v>3577</v>
      </c>
      <c r="K602" t="s">
        <v>3576</v>
      </c>
      <c r="L602" t="s">
        <v>3575</v>
      </c>
      <c r="M602" t="s">
        <v>3574</v>
      </c>
      <c r="N602">
        <v>8</v>
      </c>
      <c r="O602" t="s">
        <v>3573</v>
      </c>
      <c r="P602" t="s">
        <v>3572</v>
      </c>
      <c r="Q602" t="s">
        <v>3571</v>
      </c>
      <c r="R602" s="7">
        <v>37118</v>
      </c>
      <c r="S602" s="8">
        <f t="shared" si="72"/>
        <v>2001</v>
      </c>
      <c r="T602" s="8">
        <v>2001</v>
      </c>
      <c r="U602" s="8">
        <f t="shared" si="73"/>
        <v>21</v>
      </c>
      <c r="V602" s="7">
        <v>2001</v>
      </c>
      <c r="W602" t="s">
        <v>1003</v>
      </c>
      <c r="X602" s="2">
        <v>0.85499999999999998</v>
      </c>
      <c r="Y602" s="6">
        <f t="shared" si="78"/>
        <v>2.28237366861536E-2</v>
      </c>
      <c r="AA602">
        <v>980331</v>
      </c>
      <c r="AB602">
        <v>23342</v>
      </c>
      <c r="AD602" t="s">
        <v>1</v>
      </c>
      <c r="AE602">
        <v>27</v>
      </c>
      <c r="AF602">
        <v>7</v>
      </c>
      <c r="AH602" t="s">
        <v>3570</v>
      </c>
      <c r="AI602" t="s">
        <v>3569</v>
      </c>
      <c r="AJ602" t="s">
        <v>3568</v>
      </c>
      <c r="AK602" t="s">
        <v>3567</v>
      </c>
      <c r="AL602">
        <v>20</v>
      </c>
      <c r="AM602" s="5">
        <f t="shared" si="74"/>
        <v>0.95238095238095233</v>
      </c>
      <c r="AN602" s="4">
        <f t="shared" si="79"/>
        <v>1.4424550585095833E-3</v>
      </c>
      <c r="AO602" s="3"/>
      <c r="AP602">
        <v>0</v>
      </c>
      <c r="AQ602" t="s">
        <v>3566</v>
      </c>
      <c r="AR602" t="s">
        <v>0</v>
      </c>
      <c r="AS602" t="s">
        <v>3565</v>
      </c>
      <c r="AT602" s="2">
        <v>2.6259999999999999</v>
      </c>
      <c r="AU602" s="1">
        <f t="shared" si="75"/>
        <v>1.6409352197860394</v>
      </c>
      <c r="AV602" s="1">
        <f t="shared" si="76"/>
        <v>1.2133095872331592</v>
      </c>
      <c r="AW602" s="1">
        <f t="shared" si="77"/>
        <v>0.78568395468027874</v>
      </c>
    </row>
    <row r="603" spans="1:49" x14ac:dyDescent="0.2">
      <c r="A603">
        <v>601</v>
      </c>
      <c r="B603" t="s">
        <v>3564</v>
      </c>
      <c r="C603" t="s">
        <v>3563</v>
      </c>
      <c r="F603" t="s">
        <v>3562</v>
      </c>
      <c r="G603" t="s">
        <v>6</v>
      </c>
      <c r="H603" t="s">
        <v>5</v>
      </c>
      <c r="I603" t="s">
        <v>3561</v>
      </c>
      <c r="J603" t="s">
        <v>3560</v>
      </c>
      <c r="K603" t="s">
        <v>3559</v>
      </c>
      <c r="L603" t="s">
        <v>3558</v>
      </c>
      <c r="M603" t="s">
        <v>44</v>
      </c>
      <c r="N603">
        <v>3</v>
      </c>
      <c r="O603" t="s">
        <v>3557</v>
      </c>
      <c r="P603" t="s">
        <v>3556</v>
      </c>
      <c r="Q603" t="s">
        <v>3555</v>
      </c>
      <c r="R603" s="7">
        <v>37118</v>
      </c>
      <c r="S603" s="8">
        <f t="shared" si="72"/>
        <v>2001</v>
      </c>
      <c r="T603" s="8">
        <v>2001</v>
      </c>
      <c r="U603" s="8">
        <f t="shared" si="73"/>
        <v>21</v>
      </c>
      <c r="V603" s="7">
        <v>37118</v>
      </c>
      <c r="W603" t="s">
        <v>150</v>
      </c>
      <c r="X603" s="2">
        <v>0.192</v>
      </c>
      <c r="Y603" s="6">
        <f t="shared" si="78"/>
        <v>5.1253303435572998E-3</v>
      </c>
      <c r="AA603" t="s">
        <v>127</v>
      </c>
      <c r="AB603">
        <v>40067</v>
      </c>
      <c r="AD603" t="s">
        <v>1</v>
      </c>
      <c r="AE603">
        <v>4371</v>
      </c>
      <c r="AF603">
        <v>1</v>
      </c>
      <c r="AH603" s="10">
        <v>44470</v>
      </c>
      <c r="AI603" t="s">
        <v>3554</v>
      </c>
      <c r="AJ603" t="s">
        <v>3553</v>
      </c>
      <c r="AK603" t="s">
        <v>3552</v>
      </c>
      <c r="AL603">
        <v>2</v>
      </c>
      <c r="AM603" s="5">
        <f t="shared" si="74"/>
        <v>9.5238095238095233E-2</v>
      </c>
      <c r="AN603" s="4">
        <f t="shared" si="79"/>
        <v>1.4424550585095833E-4</v>
      </c>
      <c r="AO603" s="3"/>
      <c r="AP603">
        <v>0</v>
      </c>
      <c r="AR603" t="s">
        <v>0</v>
      </c>
      <c r="AT603" s="2" t="s">
        <v>7</v>
      </c>
      <c r="AU603" s="1">
        <f t="shared" si="75"/>
        <v>0.36310048922453969</v>
      </c>
      <c r="AV603" s="1">
        <f t="shared" si="76"/>
        <v>0.26347879247041295</v>
      </c>
      <c r="AW603" s="1">
        <f t="shared" si="77"/>
        <v>0.16385709571628607</v>
      </c>
    </row>
    <row r="604" spans="1:49" x14ac:dyDescent="0.2">
      <c r="A604">
        <v>602</v>
      </c>
      <c r="B604" t="s">
        <v>3551</v>
      </c>
      <c r="C604" t="s">
        <v>3550</v>
      </c>
      <c r="F604" t="s">
        <v>3549</v>
      </c>
      <c r="G604" t="s">
        <v>6</v>
      </c>
      <c r="H604" t="s">
        <v>5</v>
      </c>
      <c r="I604" t="s">
        <v>876</v>
      </c>
      <c r="J604" t="s">
        <v>3548</v>
      </c>
      <c r="K604" t="s">
        <v>3547</v>
      </c>
      <c r="L604" t="s">
        <v>3546</v>
      </c>
      <c r="M604" t="s">
        <v>128</v>
      </c>
      <c r="N604">
        <v>5</v>
      </c>
      <c r="O604" t="s">
        <v>3545</v>
      </c>
      <c r="P604" t="s">
        <v>3544</v>
      </c>
      <c r="Q604" t="s">
        <v>3543</v>
      </c>
      <c r="R604" s="7">
        <v>37118</v>
      </c>
      <c r="S604" s="8">
        <f t="shared" si="72"/>
        <v>2001</v>
      </c>
      <c r="T604" s="8">
        <v>2001</v>
      </c>
      <c r="U604" s="8">
        <f t="shared" si="73"/>
        <v>21</v>
      </c>
      <c r="V604" s="7">
        <v>37118</v>
      </c>
      <c r="W604" t="s">
        <v>150</v>
      </c>
      <c r="X604" s="2">
        <v>0.192</v>
      </c>
      <c r="Y604" s="6">
        <f t="shared" si="78"/>
        <v>5.1253303435572998E-3</v>
      </c>
      <c r="AA604" t="s">
        <v>127</v>
      </c>
      <c r="AB604">
        <v>40067</v>
      </c>
      <c r="AD604" t="s">
        <v>1</v>
      </c>
      <c r="AE604">
        <v>4371</v>
      </c>
      <c r="AF604">
        <v>1</v>
      </c>
      <c r="AH604" t="s">
        <v>445</v>
      </c>
      <c r="AI604" t="s">
        <v>3542</v>
      </c>
      <c r="AJ604" t="s">
        <v>3541</v>
      </c>
      <c r="AK604" t="s">
        <v>3540</v>
      </c>
      <c r="AL604">
        <v>1</v>
      </c>
      <c r="AM604" s="5">
        <f t="shared" si="74"/>
        <v>4.7619047619047616E-2</v>
      </c>
      <c r="AN604" s="4">
        <f t="shared" si="79"/>
        <v>7.2122752925479164E-5</v>
      </c>
      <c r="AO604" s="3"/>
      <c r="AP604">
        <v>0</v>
      </c>
      <c r="AR604" t="s">
        <v>0</v>
      </c>
      <c r="AT604" s="2" t="s">
        <v>7</v>
      </c>
      <c r="AU604" s="1">
        <f t="shared" si="75"/>
        <v>0.3609368066367753</v>
      </c>
      <c r="AV604" s="1">
        <f t="shared" si="76"/>
        <v>0.25987265482413896</v>
      </c>
      <c r="AW604" s="1">
        <f t="shared" si="77"/>
        <v>0.15880850301150254</v>
      </c>
    </row>
    <row r="605" spans="1:49" x14ac:dyDescent="0.2">
      <c r="A605">
        <v>603</v>
      </c>
      <c r="B605" t="s">
        <v>3539</v>
      </c>
      <c r="E605">
        <v>11526085</v>
      </c>
      <c r="F605" t="s">
        <v>3538</v>
      </c>
      <c r="G605" t="s">
        <v>6</v>
      </c>
      <c r="H605" t="s">
        <v>5</v>
      </c>
      <c r="I605" t="s">
        <v>3537</v>
      </c>
      <c r="J605">
        <v>60021121</v>
      </c>
      <c r="K605" t="s">
        <v>3536</v>
      </c>
      <c r="L605" t="s">
        <v>3535</v>
      </c>
      <c r="M605" t="s">
        <v>3</v>
      </c>
      <c r="N605">
        <v>3</v>
      </c>
      <c r="O605" t="s">
        <v>3534</v>
      </c>
      <c r="P605" t="s">
        <v>3533</v>
      </c>
      <c r="Q605" t="s">
        <v>3532</v>
      </c>
      <c r="R605" s="7">
        <v>37117</v>
      </c>
      <c r="S605" s="8">
        <f t="shared" si="72"/>
        <v>2001</v>
      </c>
      <c r="T605" s="8">
        <v>2001</v>
      </c>
      <c r="U605" s="8">
        <f t="shared" si="73"/>
        <v>21</v>
      </c>
      <c r="V605" s="7">
        <v>2001</v>
      </c>
      <c r="W605" t="s">
        <v>793</v>
      </c>
      <c r="X605" s="2">
        <v>0.15</v>
      </c>
      <c r="Y605" s="6">
        <f t="shared" si="78"/>
        <v>4.0041643309041402E-3</v>
      </c>
      <c r="AA605">
        <v>9501991</v>
      </c>
      <c r="AB605">
        <v>14531</v>
      </c>
      <c r="AD605" t="s">
        <v>1</v>
      </c>
      <c r="AE605">
        <v>128</v>
      </c>
      <c r="AF605">
        <v>14</v>
      </c>
      <c r="AH605" t="s">
        <v>3531</v>
      </c>
      <c r="AI605" t="s">
        <v>3530</v>
      </c>
      <c r="AJ605" t="s">
        <v>3529</v>
      </c>
      <c r="AK605" t="s">
        <v>3528</v>
      </c>
      <c r="AL605">
        <v>44</v>
      </c>
      <c r="AM605" s="5">
        <f t="shared" si="74"/>
        <v>2.0952380952380953</v>
      </c>
      <c r="AN605" s="4">
        <f t="shared" si="79"/>
        <v>3.1734011287210834E-3</v>
      </c>
      <c r="AO605" s="3"/>
      <c r="AP605">
        <v>0</v>
      </c>
      <c r="AR605" t="s">
        <v>0</v>
      </c>
      <c r="AT605" s="2">
        <v>6.8680000000000003</v>
      </c>
      <c r="AU605" s="1">
        <f t="shared" si="75"/>
        <v>0.37549353702492233</v>
      </c>
      <c r="AV605" s="1">
        <f t="shared" si="76"/>
        <v>0.35887827298126118</v>
      </c>
      <c r="AW605" s="1">
        <f t="shared" si="77"/>
        <v>0.34226300893760003</v>
      </c>
    </row>
    <row r="606" spans="1:49" x14ac:dyDescent="0.2">
      <c r="A606">
        <v>604</v>
      </c>
      <c r="B606" t="s">
        <v>3527</v>
      </c>
      <c r="C606" t="s">
        <v>3526</v>
      </c>
      <c r="F606" t="s">
        <v>3525</v>
      </c>
      <c r="G606" t="s">
        <v>6</v>
      </c>
      <c r="H606" t="s">
        <v>5</v>
      </c>
      <c r="I606" t="s">
        <v>3524</v>
      </c>
      <c r="J606" t="s">
        <v>3523</v>
      </c>
      <c r="K606" t="s">
        <v>3522</v>
      </c>
      <c r="L606" t="s">
        <v>3521</v>
      </c>
      <c r="M606" t="s">
        <v>45</v>
      </c>
      <c r="N606">
        <v>3</v>
      </c>
      <c r="O606" t="s">
        <v>3520</v>
      </c>
      <c r="P606" t="s">
        <v>3519</v>
      </c>
      <c r="Q606" t="s">
        <v>3518</v>
      </c>
      <c r="R606" s="7">
        <v>37116</v>
      </c>
      <c r="S606" s="8">
        <f t="shared" si="72"/>
        <v>2001</v>
      </c>
      <c r="T606" s="8">
        <v>2001</v>
      </c>
      <c r="U606" s="8">
        <f t="shared" si="73"/>
        <v>21</v>
      </c>
      <c r="V606" s="7">
        <v>37116</v>
      </c>
      <c r="W606" t="s">
        <v>1026</v>
      </c>
      <c r="X606" s="2">
        <v>1.1819999999999999</v>
      </c>
      <c r="Y606" s="6">
        <f t="shared" si="78"/>
        <v>3.1552814927524625E-2</v>
      </c>
      <c r="AA606">
        <v>36951</v>
      </c>
      <c r="AB606">
        <v>27030</v>
      </c>
      <c r="AD606" t="s">
        <v>1</v>
      </c>
      <c r="AE606">
        <v>79</v>
      </c>
      <c r="AF606">
        <v>7</v>
      </c>
      <c r="AH606" t="s">
        <v>3517</v>
      </c>
      <c r="AI606" t="s">
        <v>3516</v>
      </c>
      <c r="AK606" t="s">
        <v>3515</v>
      </c>
      <c r="AL606">
        <v>107</v>
      </c>
      <c r="AM606" s="5">
        <f t="shared" si="74"/>
        <v>5.0952380952380949</v>
      </c>
      <c r="AN606" s="4">
        <f t="shared" si="79"/>
        <v>7.7171345630262702E-3</v>
      </c>
      <c r="AO606" s="3"/>
      <c r="AP606">
        <v>0</v>
      </c>
      <c r="AR606" t="s">
        <v>0</v>
      </c>
      <c r="AT606" s="2">
        <v>3.7909999999999999</v>
      </c>
      <c r="AU606" s="1">
        <f t="shared" si="75"/>
        <v>2.4402110818175116</v>
      </c>
      <c r="AV606" s="1">
        <f t="shared" si="76"/>
        <v>1.9634974745275449</v>
      </c>
      <c r="AW606" s="1">
        <f t="shared" si="77"/>
        <v>1.4867838672375777</v>
      </c>
    </row>
    <row r="607" spans="1:49" x14ac:dyDescent="0.2">
      <c r="A607">
        <v>605</v>
      </c>
      <c r="B607" t="s">
        <v>3514</v>
      </c>
      <c r="C607" t="s">
        <v>3513</v>
      </c>
      <c r="F607" t="s">
        <v>3512</v>
      </c>
      <c r="G607" t="s">
        <v>6</v>
      </c>
      <c r="H607" t="s">
        <v>5</v>
      </c>
      <c r="I607" t="s">
        <v>3499</v>
      </c>
      <c r="J607" t="s">
        <v>3511</v>
      </c>
      <c r="K607" t="s">
        <v>3510</v>
      </c>
      <c r="L607" t="s">
        <v>3509</v>
      </c>
      <c r="M607" t="s">
        <v>50</v>
      </c>
      <c r="N607">
        <v>4</v>
      </c>
      <c r="O607" t="s">
        <v>3508</v>
      </c>
      <c r="P607" t="s">
        <v>3507</v>
      </c>
      <c r="Q607" t="s">
        <v>3506</v>
      </c>
      <c r="R607" s="7">
        <v>37112</v>
      </c>
      <c r="S607" s="8">
        <f t="shared" si="72"/>
        <v>2001</v>
      </c>
      <c r="T607" s="8">
        <v>2001</v>
      </c>
      <c r="U607" s="8">
        <f t="shared" si="73"/>
        <v>21</v>
      </c>
      <c r="V607" s="7">
        <v>2001</v>
      </c>
      <c r="W607" t="s">
        <v>192</v>
      </c>
      <c r="X607" s="2">
        <v>0.111</v>
      </c>
      <c r="Y607" s="6">
        <f t="shared" si="78"/>
        <v>2.9630816048690639E-3</v>
      </c>
      <c r="AA607">
        <v>87566621</v>
      </c>
      <c r="AB607">
        <v>24890</v>
      </c>
      <c r="AD607" t="s">
        <v>1</v>
      </c>
      <c r="AE607">
        <v>84</v>
      </c>
      <c r="AF607">
        <v>12</v>
      </c>
      <c r="AH607" s="10">
        <v>44531</v>
      </c>
      <c r="AI607" t="s">
        <v>3505</v>
      </c>
      <c r="AJ607" t="s">
        <v>3504</v>
      </c>
      <c r="AK607" t="s">
        <v>3503</v>
      </c>
      <c r="AL607">
        <v>0</v>
      </c>
      <c r="AM607" s="5">
        <f t="shared" si="74"/>
        <v>0</v>
      </c>
      <c r="AN607" s="4">
        <f t="shared" si="79"/>
        <v>0</v>
      </c>
      <c r="AO607" s="3"/>
      <c r="AP607">
        <v>0</v>
      </c>
      <c r="AR607" t="s">
        <v>0</v>
      </c>
      <c r="AT607" s="2" t="s">
        <v>7</v>
      </c>
      <c r="AU607" s="1">
        <f t="shared" si="75"/>
        <v>0.20741571234083445</v>
      </c>
      <c r="AV607" s="1">
        <f t="shared" si="76"/>
        <v>0.1481540802434532</v>
      </c>
      <c r="AW607" s="1">
        <f t="shared" si="77"/>
        <v>8.8892448146071903E-2</v>
      </c>
    </row>
    <row r="608" spans="1:49" x14ac:dyDescent="0.2">
      <c r="A608">
        <v>606</v>
      </c>
      <c r="B608" t="s">
        <v>3502</v>
      </c>
      <c r="C608" t="s">
        <v>3501</v>
      </c>
      <c r="F608" t="s">
        <v>3500</v>
      </c>
      <c r="G608" t="s">
        <v>6</v>
      </c>
      <c r="H608" t="s">
        <v>5</v>
      </c>
      <c r="I608" t="s">
        <v>3499</v>
      </c>
      <c r="J608">
        <v>60025555</v>
      </c>
      <c r="K608" t="s">
        <v>93</v>
      </c>
      <c r="L608" t="s">
        <v>92</v>
      </c>
      <c r="M608" t="s">
        <v>26</v>
      </c>
      <c r="N608">
        <v>2</v>
      </c>
      <c r="O608" t="s">
        <v>3498</v>
      </c>
      <c r="P608" t="s">
        <v>3497</v>
      </c>
      <c r="Q608" t="s">
        <v>527</v>
      </c>
      <c r="R608" s="7">
        <v>37112</v>
      </c>
      <c r="S608" s="8">
        <f t="shared" si="72"/>
        <v>2001</v>
      </c>
      <c r="T608" s="8">
        <v>2001</v>
      </c>
      <c r="U608" s="8">
        <f t="shared" si="73"/>
        <v>21</v>
      </c>
      <c r="V608" s="7">
        <v>2001</v>
      </c>
      <c r="W608" t="s">
        <v>192</v>
      </c>
      <c r="X608" s="2">
        <v>0.111</v>
      </c>
      <c r="Y608" s="6">
        <f t="shared" si="78"/>
        <v>2.9630816048690639E-3</v>
      </c>
      <c r="AA608">
        <v>87566621</v>
      </c>
      <c r="AB608">
        <v>24890</v>
      </c>
      <c r="AD608" t="s">
        <v>1</v>
      </c>
      <c r="AE608">
        <v>84</v>
      </c>
      <c r="AF608">
        <v>12</v>
      </c>
      <c r="AH608" t="s">
        <v>3496</v>
      </c>
      <c r="AI608" t="s">
        <v>3495</v>
      </c>
      <c r="AJ608" t="s">
        <v>3494</v>
      </c>
      <c r="AK608" t="s">
        <v>3493</v>
      </c>
      <c r="AL608">
        <v>0</v>
      </c>
      <c r="AM608" s="5">
        <f t="shared" si="74"/>
        <v>0</v>
      </c>
      <c r="AN608" s="4">
        <f t="shared" si="79"/>
        <v>0</v>
      </c>
      <c r="AO608" s="3"/>
      <c r="AP608">
        <v>0</v>
      </c>
      <c r="AR608" t="s">
        <v>0</v>
      </c>
      <c r="AT608" s="2" t="s">
        <v>7</v>
      </c>
      <c r="AU608" s="1">
        <f t="shared" si="75"/>
        <v>0.20741571234083445</v>
      </c>
      <c r="AV608" s="1">
        <f t="shared" si="76"/>
        <v>0.1481540802434532</v>
      </c>
      <c r="AW608" s="1">
        <f t="shared" si="77"/>
        <v>8.8892448146071903E-2</v>
      </c>
    </row>
    <row r="609" spans="1:49" x14ac:dyDescent="0.2">
      <c r="A609">
        <v>607</v>
      </c>
      <c r="B609" t="s">
        <v>3492</v>
      </c>
      <c r="C609" t="s">
        <v>3491</v>
      </c>
      <c r="F609" t="s">
        <v>3490</v>
      </c>
      <c r="G609" t="s">
        <v>6</v>
      </c>
      <c r="H609" t="s">
        <v>5</v>
      </c>
      <c r="I609" t="s">
        <v>3489</v>
      </c>
      <c r="J609">
        <v>60101699</v>
      </c>
      <c r="K609" t="s">
        <v>444</v>
      </c>
      <c r="L609" t="s">
        <v>92</v>
      </c>
      <c r="M609" t="s">
        <v>26</v>
      </c>
      <c r="N609">
        <v>4</v>
      </c>
      <c r="O609" t="s">
        <v>3488</v>
      </c>
      <c r="P609" t="s">
        <v>3487</v>
      </c>
      <c r="Q609" t="s">
        <v>443</v>
      </c>
      <c r="R609" s="7">
        <v>37112</v>
      </c>
      <c r="S609" s="8">
        <f t="shared" si="72"/>
        <v>2001</v>
      </c>
      <c r="T609" s="8">
        <v>2001</v>
      </c>
      <c r="U609" s="8">
        <f t="shared" si="73"/>
        <v>21</v>
      </c>
      <c r="V609" s="7">
        <v>2001</v>
      </c>
      <c r="W609" t="s">
        <v>192</v>
      </c>
      <c r="X609" s="2">
        <v>0.111</v>
      </c>
      <c r="Y609" s="6">
        <f t="shared" si="78"/>
        <v>2.9630816048690639E-3</v>
      </c>
      <c r="AA609">
        <v>87566621</v>
      </c>
      <c r="AB609">
        <v>24890</v>
      </c>
      <c r="AD609" t="s">
        <v>1</v>
      </c>
      <c r="AE609">
        <v>84</v>
      </c>
      <c r="AF609">
        <v>12</v>
      </c>
      <c r="AH609" t="s">
        <v>922</v>
      </c>
      <c r="AI609" t="s">
        <v>3486</v>
      </c>
      <c r="AJ609" t="s">
        <v>3485</v>
      </c>
      <c r="AK609" t="s">
        <v>3484</v>
      </c>
      <c r="AL609">
        <v>3</v>
      </c>
      <c r="AM609" s="5">
        <f t="shared" si="74"/>
        <v>0.14285714285714285</v>
      </c>
      <c r="AN609" s="4">
        <f t="shared" si="79"/>
        <v>2.1636825877643749E-4</v>
      </c>
      <c r="AO609" s="3"/>
      <c r="AP609">
        <v>0</v>
      </c>
      <c r="AR609" t="s">
        <v>0</v>
      </c>
      <c r="AT609" s="2" t="s">
        <v>7</v>
      </c>
      <c r="AU609" s="1">
        <f t="shared" si="75"/>
        <v>0.21390676010412754</v>
      </c>
      <c r="AV609" s="1">
        <f t="shared" si="76"/>
        <v>0.15897249318227508</v>
      </c>
      <c r="AW609" s="1">
        <f t="shared" si="77"/>
        <v>0.10403822626042253</v>
      </c>
    </row>
    <row r="610" spans="1:49" x14ac:dyDescent="0.2">
      <c r="A610">
        <v>608</v>
      </c>
      <c r="B610" t="s">
        <v>3483</v>
      </c>
      <c r="C610" t="s">
        <v>3482</v>
      </c>
      <c r="E610">
        <v>11478895</v>
      </c>
      <c r="F610" t="s">
        <v>3481</v>
      </c>
      <c r="G610" t="s">
        <v>6</v>
      </c>
      <c r="H610" t="s">
        <v>5</v>
      </c>
      <c r="I610" t="s">
        <v>619</v>
      </c>
      <c r="J610" t="s">
        <v>618</v>
      </c>
      <c r="K610" t="s">
        <v>617</v>
      </c>
      <c r="L610" t="s">
        <v>616</v>
      </c>
      <c r="M610" t="s">
        <v>44</v>
      </c>
      <c r="N610">
        <v>5</v>
      </c>
      <c r="O610" t="s">
        <v>3480</v>
      </c>
      <c r="P610" t="s">
        <v>3479</v>
      </c>
      <c r="Q610" t="s">
        <v>3478</v>
      </c>
      <c r="R610" s="7">
        <v>37110</v>
      </c>
      <c r="S610" s="8">
        <f t="shared" si="72"/>
        <v>2001</v>
      </c>
      <c r="T610" s="8">
        <v>2001</v>
      </c>
      <c r="U610" s="8">
        <f t="shared" si="73"/>
        <v>21</v>
      </c>
      <c r="V610" s="7">
        <v>37110</v>
      </c>
      <c r="W610" t="s">
        <v>711</v>
      </c>
      <c r="X610" s="2">
        <v>1.43</v>
      </c>
      <c r="Y610" s="6">
        <f t="shared" si="78"/>
        <v>3.8173033287952803E-2</v>
      </c>
      <c r="AA610">
        <v>62960</v>
      </c>
      <c r="AB610">
        <v>16867</v>
      </c>
      <c r="AD610" t="s">
        <v>1</v>
      </c>
      <c r="AE610">
        <v>40</v>
      </c>
      <c r="AF610">
        <v>31</v>
      </c>
      <c r="AH610" t="s">
        <v>3477</v>
      </c>
      <c r="AI610" t="s">
        <v>3476</v>
      </c>
      <c r="AK610" t="s">
        <v>3475</v>
      </c>
      <c r="AL610">
        <v>56</v>
      </c>
      <c r="AM610" s="5">
        <f t="shared" si="74"/>
        <v>2.6666666666666665</v>
      </c>
      <c r="AN610" s="4">
        <f t="shared" si="79"/>
        <v>4.0388741638268328E-3</v>
      </c>
      <c r="AO610" s="3"/>
      <c r="AP610">
        <v>0</v>
      </c>
      <c r="AR610" t="s">
        <v>0</v>
      </c>
      <c r="AT610" s="2">
        <v>3.1619999999999999</v>
      </c>
      <c r="AU610" s="1">
        <f t="shared" si="75"/>
        <v>2.7932785550715011</v>
      </c>
      <c r="AV610" s="1">
        <f t="shared" si="76"/>
        <v>2.1105953725889819</v>
      </c>
      <c r="AW610" s="1">
        <f t="shared" si="77"/>
        <v>1.4279121901064624</v>
      </c>
    </row>
    <row r="611" spans="1:49" x14ac:dyDescent="0.2">
      <c r="A611">
        <v>609</v>
      </c>
      <c r="B611" t="s">
        <v>3474</v>
      </c>
      <c r="C611" t="s">
        <v>3473</v>
      </c>
      <c r="F611" t="s">
        <v>3472</v>
      </c>
      <c r="G611" t="s">
        <v>6</v>
      </c>
      <c r="H611" t="s">
        <v>5</v>
      </c>
      <c r="I611" t="s">
        <v>3471</v>
      </c>
      <c r="J611" t="s">
        <v>3470</v>
      </c>
      <c r="K611" t="s">
        <v>3469</v>
      </c>
      <c r="L611" t="s">
        <v>3468</v>
      </c>
      <c r="M611" t="s">
        <v>3467</v>
      </c>
      <c r="N611">
        <v>3</v>
      </c>
      <c r="O611" t="s">
        <v>3466</v>
      </c>
      <c r="P611" t="s">
        <v>3465</v>
      </c>
      <c r="Q611" t="s">
        <v>3464</v>
      </c>
      <c r="R611" s="7">
        <v>37109</v>
      </c>
      <c r="S611" s="8">
        <f t="shared" si="72"/>
        <v>2001</v>
      </c>
      <c r="T611" s="8">
        <v>2001</v>
      </c>
      <c r="U611" s="8">
        <f t="shared" si="73"/>
        <v>21</v>
      </c>
      <c r="V611" s="7">
        <v>2001</v>
      </c>
      <c r="W611" t="s">
        <v>3463</v>
      </c>
      <c r="X611" s="2">
        <v>1.351</v>
      </c>
      <c r="Y611" s="6">
        <f t="shared" si="78"/>
        <v>3.6064173407009958E-2</v>
      </c>
      <c r="AA611">
        <v>319317</v>
      </c>
      <c r="AB611">
        <v>16530</v>
      </c>
      <c r="AD611" t="s">
        <v>1</v>
      </c>
      <c r="AE611">
        <v>112</v>
      </c>
      <c r="AF611">
        <v>4</v>
      </c>
      <c r="AH611" t="s">
        <v>3462</v>
      </c>
      <c r="AI611" t="s">
        <v>3461</v>
      </c>
      <c r="AK611" t="s">
        <v>3460</v>
      </c>
      <c r="AL611">
        <v>15</v>
      </c>
      <c r="AM611" s="5">
        <f t="shared" si="74"/>
        <v>0.7142857142857143</v>
      </c>
      <c r="AN611" s="4">
        <f t="shared" si="79"/>
        <v>1.0818412938821875E-3</v>
      </c>
      <c r="AO611" s="3"/>
      <c r="AP611">
        <v>0</v>
      </c>
      <c r="AR611" t="s">
        <v>0</v>
      </c>
      <c r="AT611" s="2">
        <v>4.5</v>
      </c>
      <c r="AU611" s="1">
        <f t="shared" si="75"/>
        <v>2.5569473773071625</v>
      </c>
      <c r="AV611" s="1">
        <f t="shared" si="76"/>
        <v>1.8573007350446074</v>
      </c>
      <c r="AW611" s="1">
        <f t="shared" si="77"/>
        <v>1.1576540927820518</v>
      </c>
    </row>
    <row r="612" spans="1:49" x14ac:dyDescent="0.2">
      <c r="A612">
        <v>610</v>
      </c>
      <c r="B612" t="s">
        <v>3459</v>
      </c>
      <c r="C612" t="s">
        <v>3458</v>
      </c>
      <c r="E612">
        <v>11474933</v>
      </c>
      <c r="F612" t="s">
        <v>3457</v>
      </c>
      <c r="G612" t="s">
        <v>6</v>
      </c>
      <c r="H612" t="s">
        <v>5</v>
      </c>
      <c r="I612" t="s">
        <v>3456</v>
      </c>
      <c r="J612" t="s">
        <v>3455</v>
      </c>
      <c r="K612" t="s">
        <v>3454</v>
      </c>
      <c r="L612" t="s">
        <v>3453</v>
      </c>
      <c r="M612" t="s">
        <v>334</v>
      </c>
      <c r="N612">
        <v>5</v>
      </c>
      <c r="O612" t="s">
        <v>3452</v>
      </c>
      <c r="P612" t="s">
        <v>3451</v>
      </c>
      <c r="Q612" t="s">
        <v>3450</v>
      </c>
      <c r="R612" s="7">
        <v>37109</v>
      </c>
      <c r="S612" s="8">
        <f t="shared" si="72"/>
        <v>2001</v>
      </c>
      <c r="T612" s="8">
        <v>2001</v>
      </c>
      <c r="U612" s="8">
        <f t="shared" si="73"/>
        <v>21</v>
      </c>
      <c r="V612" s="7">
        <v>2001</v>
      </c>
      <c r="W612" t="s">
        <v>799</v>
      </c>
      <c r="X612" s="2">
        <v>1.3120000000000001</v>
      </c>
      <c r="Y612" s="6">
        <f t="shared" si="78"/>
        <v>3.502309068097488E-2</v>
      </c>
      <c r="AA612">
        <v>319155</v>
      </c>
      <c r="AB612">
        <v>29203</v>
      </c>
      <c r="AD612" t="s">
        <v>1</v>
      </c>
      <c r="AE612">
        <v>46</v>
      </c>
      <c r="AF612">
        <v>7</v>
      </c>
      <c r="AH612" t="s">
        <v>3449</v>
      </c>
      <c r="AI612" t="s">
        <v>3448</v>
      </c>
      <c r="AK612" t="s">
        <v>3447</v>
      </c>
      <c r="AL612">
        <v>32</v>
      </c>
      <c r="AM612" s="5">
        <f t="shared" si="74"/>
        <v>1.5238095238095237</v>
      </c>
      <c r="AN612" s="4">
        <f t="shared" si="79"/>
        <v>2.3079280936153333E-3</v>
      </c>
      <c r="AO612" s="3"/>
      <c r="AP612">
        <v>0</v>
      </c>
      <c r="AR612" t="s">
        <v>0</v>
      </c>
      <c r="AT612" s="2">
        <v>3.609</v>
      </c>
      <c r="AU612" s="1">
        <f t="shared" si="75"/>
        <v>2.5208541904767015</v>
      </c>
      <c r="AV612" s="1">
        <f t="shared" si="76"/>
        <v>1.8665509387295105</v>
      </c>
      <c r="AW612" s="1">
        <f t="shared" si="77"/>
        <v>1.2122476869823198</v>
      </c>
    </row>
    <row r="613" spans="1:49" x14ac:dyDescent="0.2">
      <c r="A613">
        <v>611</v>
      </c>
      <c r="B613" t="s">
        <v>3446</v>
      </c>
      <c r="C613" t="s">
        <v>3445</v>
      </c>
      <c r="E613">
        <v>11474934</v>
      </c>
      <c r="F613" t="s">
        <v>3444</v>
      </c>
      <c r="G613" t="s">
        <v>6</v>
      </c>
      <c r="H613" t="s">
        <v>5</v>
      </c>
      <c r="I613" t="s">
        <v>3443</v>
      </c>
      <c r="J613">
        <v>60032724</v>
      </c>
      <c r="K613" t="s">
        <v>3442</v>
      </c>
      <c r="L613" t="s">
        <v>3441</v>
      </c>
      <c r="M613" t="s">
        <v>86</v>
      </c>
      <c r="N613">
        <v>4</v>
      </c>
      <c r="O613" t="s">
        <v>3440</v>
      </c>
      <c r="P613" t="s">
        <v>3439</v>
      </c>
      <c r="Q613" t="s">
        <v>3438</v>
      </c>
      <c r="R613" s="7">
        <v>37109</v>
      </c>
      <c r="S613" s="8">
        <f t="shared" si="72"/>
        <v>2001</v>
      </c>
      <c r="T613" s="8">
        <v>2001</v>
      </c>
      <c r="U613" s="8">
        <f t="shared" si="73"/>
        <v>21</v>
      </c>
      <c r="V613" s="7">
        <v>2001</v>
      </c>
      <c r="W613" t="s">
        <v>799</v>
      </c>
      <c r="X613" s="2">
        <v>1.3120000000000001</v>
      </c>
      <c r="Y613" s="6">
        <f t="shared" si="78"/>
        <v>3.502309068097488E-2</v>
      </c>
      <c r="AA613">
        <v>319155</v>
      </c>
      <c r="AB613">
        <v>29203</v>
      </c>
      <c r="AD613" t="s">
        <v>1</v>
      </c>
      <c r="AE613">
        <v>46</v>
      </c>
      <c r="AF613">
        <v>7</v>
      </c>
      <c r="AH613" t="s">
        <v>3437</v>
      </c>
      <c r="AI613" t="s">
        <v>3436</v>
      </c>
      <c r="AK613" t="s">
        <v>3435</v>
      </c>
      <c r="AL613">
        <v>43</v>
      </c>
      <c r="AM613" s="5">
        <f t="shared" si="74"/>
        <v>2.0476190476190474</v>
      </c>
      <c r="AN613" s="4">
        <f t="shared" si="79"/>
        <v>3.1012783757956037E-3</v>
      </c>
      <c r="AO613" s="3"/>
      <c r="AP613">
        <v>0</v>
      </c>
      <c r="AR613" t="s">
        <v>0</v>
      </c>
      <c r="AT613" s="2">
        <v>3.609</v>
      </c>
      <c r="AU613" s="1">
        <f t="shared" si="75"/>
        <v>2.5446546989421099</v>
      </c>
      <c r="AV613" s="1">
        <f t="shared" si="76"/>
        <v>1.9062184528385242</v>
      </c>
      <c r="AW613" s="1">
        <f t="shared" si="77"/>
        <v>1.2677822067349387</v>
      </c>
    </row>
    <row r="614" spans="1:49" x14ac:dyDescent="0.2">
      <c r="A614">
        <v>612</v>
      </c>
      <c r="B614" t="s">
        <v>3434</v>
      </c>
      <c r="C614" t="s">
        <v>3433</v>
      </c>
      <c r="F614" t="s">
        <v>3432</v>
      </c>
      <c r="G614" t="s">
        <v>6</v>
      </c>
      <c r="H614" t="s">
        <v>5</v>
      </c>
      <c r="I614" t="s">
        <v>3431</v>
      </c>
      <c r="J614" t="s">
        <v>3426</v>
      </c>
      <c r="K614" t="s">
        <v>3430</v>
      </c>
      <c r="L614" t="s">
        <v>3429</v>
      </c>
      <c r="M614" t="s">
        <v>45</v>
      </c>
      <c r="N614">
        <v>2</v>
      </c>
      <c r="O614" t="s">
        <v>3428</v>
      </c>
      <c r="P614" t="s">
        <v>3427</v>
      </c>
      <c r="Q614" t="s">
        <v>3426</v>
      </c>
      <c r="R614" s="7">
        <v>37109</v>
      </c>
      <c r="S614" s="8">
        <f t="shared" si="72"/>
        <v>2001</v>
      </c>
      <c r="T614" s="8">
        <v>2001</v>
      </c>
      <c r="U614" s="8">
        <f t="shared" si="73"/>
        <v>21</v>
      </c>
      <c r="V614" s="7">
        <v>2001</v>
      </c>
      <c r="W614" t="s">
        <v>192</v>
      </c>
      <c r="X614" s="2">
        <v>0.111</v>
      </c>
      <c r="Y614" s="6">
        <f t="shared" si="78"/>
        <v>2.9630816048690639E-3</v>
      </c>
      <c r="AA614">
        <v>87566621</v>
      </c>
      <c r="AB614">
        <v>24890</v>
      </c>
      <c r="AD614" t="s">
        <v>1</v>
      </c>
      <c r="AE614">
        <v>84</v>
      </c>
      <c r="AF614">
        <v>11</v>
      </c>
      <c r="AH614" t="s">
        <v>3425</v>
      </c>
      <c r="AI614" t="s">
        <v>3424</v>
      </c>
      <c r="AJ614" t="s">
        <v>3423</v>
      </c>
      <c r="AK614" t="s">
        <v>3422</v>
      </c>
      <c r="AL614">
        <v>0</v>
      </c>
      <c r="AM614" s="5">
        <f t="shared" si="74"/>
        <v>0</v>
      </c>
      <c r="AN614" s="4">
        <f t="shared" si="79"/>
        <v>0</v>
      </c>
      <c r="AO614" s="3"/>
      <c r="AP614">
        <v>0</v>
      </c>
      <c r="AR614" t="s">
        <v>0</v>
      </c>
      <c r="AT614" s="2" t="s">
        <v>7</v>
      </c>
      <c r="AU614" s="1">
        <f t="shared" si="75"/>
        <v>0.20741571234083445</v>
      </c>
      <c r="AV614" s="1">
        <f t="shared" si="76"/>
        <v>0.1481540802434532</v>
      </c>
      <c r="AW614" s="1">
        <f t="shared" si="77"/>
        <v>8.8892448146071903E-2</v>
      </c>
    </row>
    <row r="615" spans="1:49" x14ac:dyDescent="0.2">
      <c r="A615">
        <v>613</v>
      </c>
      <c r="B615" t="s">
        <v>3421</v>
      </c>
      <c r="C615" t="s">
        <v>3420</v>
      </c>
      <c r="F615" t="s">
        <v>3419</v>
      </c>
      <c r="G615" t="s">
        <v>6</v>
      </c>
      <c r="H615" t="s">
        <v>5</v>
      </c>
      <c r="I615" t="s">
        <v>3418</v>
      </c>
      <c r="J615" t="s">
        <v>3413</v>
      </c>
      <c r="K615" t="s">
        <v>3417</v>
      </c>
      <c r="L615" t="s">
        <v>3416</v>
      </c>
      <c r="M615" t="s">
        <v>50</v>
      </c>
      <c r="N615">
        <v>3</v>
      </c>
      <c r="O615" t="s">
        <v>3415</v>
      </c>
      <c r="P615" t="s">
        <v>3414</v>
      </c>
      <c r="Q615" t="s">
        <v>3413</v>
      </c>
      <c r="R615" s="7">
        <v>37109</v>
      </c>
      <c r="S615" s="8">
        <f t="shared" si="72"/>
        <v>2001</v>
      </c>
      <c r="T615" s="8">
        <v>2001</v>
      </c>
      <c r="U615" s="8">
        <f t="shared" si="73"/>
        <v>21</v>
      </c>
      <c r="V615" s="7">
        <v>2001</v>
      </c>
      <c r="W615" t="s">
        <v>192</v>
      </c>
      <c r="X615" s="2">
        <v>0.111</v>
      </c>
      <c r="Y615" s="6">
        <f t="shared" si="78"/>
        <v>2.9630816048690639E-3</v>
      </c>
      <c r="AA615">
        <v>87566621</v>
      </c>
      <c r="AB615">
        <v>24890</v>
      </c>
      <c r="AD615" t="s">
        <v>1</v>
      </c>
      <c r="AE615">
        <v>84</v>
      </c>
      <c r="AF615">
        <v>11</v>
      </c>
      <c r="AH615" t="s">
        <v>3412</v>
      </c>
      <c r="AI615" t="s">
        <v>3411</v>
      </c>
      <c r="AJ615" t="s">
        <v>3410</v>
      </c>
      <c r="AK615" t="s">
        <v>3409</v>
      </c>
      <c r="AL615">
        <v>0</v>
      </c>
      <c r="AM615" s="5">
        <f t="shared" si="74"/>
        <v>0</v>
      </c>
      <c r="AN615" s="4">
        <f t="shared" si="79"/>
        <v>0</v>
      </c>
      <c r="AO615" s="3"/>
      <c r="AP615">
        <v>0</v>
      </c>
      <c r="AR615" t="s">
        <v>0</v>
      </c>
      <c r="AT615" s="2" t="s">
        <v>7</v>
      </c>
      <c r="AU615" s="1">
        <f t="shared" si="75"/>
        <v>0.20741571234083445</v>
      </c>
      <c r="AV615" s="1">
        <f t="shared" si="76"/>
        <v>0.1481540802434532</v>
      </c>
      <c r="AW615" s="1">
        <f t="shared" si="77"/>
        <v>8.8892448146071903E-2</v>
      </c>
    </row>
    <row r="616" spans="1:49" x14ac:dyDescent="0.2">
      <c r="A616">
        <v>614</v>
      </c>
      <c r="B616" t="s">
        <v>3408</v>
      </c>
      <c r="C616" t="s">
        <v>3407</v>
      </c>
      <c r="E616">
        <v>11474932</v>
      </c>
      <c r="F616" t="s">
        <v>3406</v>
      </c>
      <c r="G616" t="s">
        <v>6</v>
      </c>
      <c r="H616" t="s">
        <v>5</v>
      </c>
      <c r="I616" t="s">
        <v>3405</v>
      </c>
      <c r="J616" t="s">
        <v>3404</v>
      </c>
      <c r="K616" t="s">
        <v>3403</v>
      </c>
      <c r="L616" t="s">
        <v>3402</v>
      </c>
      <c r="M616" t="s">
        <v>3401</v>
      </c>
      <c r="N616">
        <v>8</v>
      </c>
      <c r="O616" t="s">
        <v>3400</v>
      </c>
      <c r="P616" t="s">
        <v>3399</v>
      </c>
      <c r="Q616" t="s">
        <v>3398</v>
      </c>
      <c r="R616" s="7">
        <v>37109</v>
      </c>
      <c r="S616" s="8">
        <f t="shared" si="72"/>
        <v>2001</v>
      </c>
      <c r="T616" s="8">
        <v>2001</v>
      </c>
      <c r="U616" s="8">
        <f t="shared" si="73"/>
        <v>21</v>
      </c>
      <c r="V616" s="7">
        <v>2001</v>
      </c>
      <c r="W616" t="s">
        <v>799</v>
      </c>
      <c r="X616" s="2">
        <v>1.3120000000000001</v>
      </c>
      <c r="Y616" s="6">
        <f t="shared" si="78"/>
        <v>3.502309068097488E-2</v>
      </c>
      <c r="AA616">
        <v>319155</v>
      </c>
      <c r="AB616">
        <v>29203</v>
      </c>
      <c r="AD616" t="s">
        <v>1</v>
      </c>
      <c r="AE616">
        <v>46</v>
      </c>
      <c r="AF616">
        <v>7</v>
      </c>
      <c r="AH616" t="s">
        <v>3397</v>
      </c>
      <c r="AI616" t="s">
        <v>3396</v>
      </c>
      <c r="AK616" t="s">
        <v>3395</v>
      </c>
      <c r="AL616">
        <v>85</v>
      </c>
      <c r="AM616" s="5">
        <f t="shared" si="74"/>
        <v>4.0476190476190474</v>
      </c>
      <c r="AN616" s="4">
        <f t="shared" si="79"/>
        <v>6.1304339986657285E-3</v>
      </c>
      <c r="AO616" s="3"/>
      <c r="AP616">
        <v>0</v>
      </c>
      <c r="AR616" t="s">
        <v>0</v>
      </c>
      <c r="AT616" s="2">
        <v>3.609</v>
      </c>
      <c r="AU616" s="1">
        <f t="shared" si="75"/>
        <v>2.6355293676282137</v>
      </c>
      <c r="AV616" s="1">
        <f t="shared" si="76"/>
        <v>2.0576762339820305</v>
      </c>
      <c r="AW616" s="1">
        <f t="shared" si="77"/>
        <v>1.4798231003358473</v>
      </c>
    </row>
    <row r="617" spans="1:49" x14ac:dyDescent="0.2">
      <c r="A617">
        <v>615</v>
      </c>
      <c r="B617" t="s">
        <v>3394</v>
      </c>
      <c r="C617" t="s">
        <v>3393</v>
      </c>
      <c r="F617" t="s">
        <v>3392</v>
      </c>
      <c r="G617" t="s">
        <v>6</v>
      </c>
      <c r="H617" t="s">
        <v>5</v>
      </c>
      <c r="I617" t="s">
        <v>921</v>
      </c>
      <c r="J617" t="s">
        <v>3391</v>
      </c>
      <c r="K617" t="s">
        <v>3390</v>
      </c>
      <c r="L617" t="s">
        <v>378</v>
      </c>
      <c r="M617" t="s">
        <v>45</v>
      </c>
      <c r="N617">
        <v>4</v>
      </c>
      <c r="O617" t="s">
        <v>3389</v>
      </c>
      <c r="P617" t="s">
        <v>3388</v>
      </c>
      <c r="Q617" t="s">
        <v>3387</v>
      </c>
      <c r="R617" s="7">
        <v>37109</v>
      </c>
      <c r="S617" s="8">
        <f t="shared" si="72"/>
        <v>2001</v>
      </c>
      <c r="T617" s="8">
        <v>2001</v>
      </c>
      <c r="U617" s="8">
        <f t="shared" si="73"/>
        <v>21</v>
      </c>
      <c r="V617" s="7">
        <v>2001</v>
      </c>
      <c r="W617" t="s">
        <v>192</v>
      </c>
      <c r="X617" s="2">
        <v>0.111</v>
      </c>
      <c r="Y617" s="6">
        <f t="shared" si="78"/>
        <v>2.9630816048690639E-3</v>
      </c>
      <c r="AA617">
        <v>87566621</v>
      </c>
      <c r="AB617">
        <v>24890</v>
      </c>
      <c r="AD617" t="s">
        <v>1</v>
      </c>
      <c r="AE617">
        <v>84</v>
      </c>
      <c r="AF617">
        <v>11</v>
      </c>
      <c r="AH617" t="s">
        <v>3386</v>
      </c>
      <c r="AI617" t="s">
        <v>3385</v>
      </c>
      <c r="AJ617" t="s">
        <v>3384</v>
      </c>
      <c r="AK617" t="s">
        <v>3383</v>
      </c>
      <c r="AL617">
        <v>0</v>
      </c>
      <c r="AM617" s="5">
        <f t="shared" si="74"/>
        <v>0</v>
      </c>
      <c r="AN617" s="4">
        <f t="shared" si="79"/>
        <v>0</v>
      </c>
      <c r="AO617" s="3"/>
      <c r="AP617">
        <v>0</v>
      </c>
      <c r="AR617" t="s">
        <v>0</v>
      </c>
      <c r="AT617" s="2" t="s">
        <v>7</v>
      </c>
      <c r="AU617" s="1">
        <f t="shared" si="75"/>
        <v>0.20741571234083445</v>
      </c>
      <c r="AV617" s="1">
        <f t="shared" si="76"/>
        <v>0.1481540802434532</v>
      </c>
      <c r="AW617" s="1">
        <f t="shared" si="77"/>
        <v>8.8892448146071903E-2</v>
      </c>
    </row>
    <row r="618" spans="1:49" x14ac:dyDescent="0.2">
      <c r="A618">
        <v>616</v>
      </c>
      <c r="B618" t="s">
        <v>3382</v>
      </c>
      <c r="C618" t="s">
        <v>3381</v>
      </c>
      <c r="F618" t="s">
        <v>3380</v>
      </c>
      <c r="G618" t="s">
        <v>6</v>
      </c>
      <c r="H618" t="s">
        <v>5</v>
      </c>
      <c r="I618" t="s">
        <v>3379</v>
      </c>
      <c r="J618">
        <v>60006288</v>
      </c>
      <c r="K618" t="s">
        <v>614</v>
      </c>
      <c r="L618" t="s">
        <v>613</v>
      </c>
      <c r="M618" t="s">
        <v>86</v>
      </c>
      <c r="N618">
        <v>1</v>
      </c>
      <c r="O618" t="s">
        <v>3378</v>
      </c>
      <c r="P618">
        <v>7003507268</v>
      </c>
      <c r="Q618">
        <v>60006288</v>
      </c>
      <c r="R618" s="7">
        <v>37108</v>
      </c>
      <c r="S618" s="8">
        <f t="shared" si="72"/>
        <v>2001</v>
      </c>
      <c r="T618" s="8">
        <v>2001</v>
      </c>
      <c r="U618" s="8">
        <f t="shared" si="73"/>
        <v>21</v>
      </c>
      <c r="V618" s="7">
        <v>37108</v>
      </c>
      <c r="W618" t="s">
        <v>290</v>
      </c>
      <c r="X618" s="2">
        <v>0.30399999999999999</v>
      </c>
      <c r="Y618" s="6">
        <f t="shared" si="78"/>
        <v>8.115106377299057E-3</v>
      </c>
      <c r="AA618">
        <v>8952477</v>
      </c>
      <c r="AB618">
        <v>12250</v>
      </c>
      <c r="AD618" t="s">
        <v>1</v>
      </c>
      <c r="AE618">
        <v>30</v>
      </c>
      <c r="AF618">
        <v>3</v>
      </c>
      <c r="AH618" t="s">
        <v>497</v>
      </c>
      <c r="AI618" t="s">
        <v>3377</v>
      </c>
      <c r="AJ618" t="s">
        <v>3376</v>
      </c>
      <c r="AK618" t="s">
        <v>3375</v>
      </c>
      <c r="AL618">
        <v>1</v>
      </c>
      <c r="AM618" s="5">
        <f t="shared" si="74"/>
        <v>4.7619047619047616E-2</v>
      </c>
      <c r="AN618" s="4">
        <f t="shared" si="79"/>
        <v>7.2122752925479164E-5</v>
      </c>
      <c r="AO618" s="3"/>
      <c r="AP618">
        <v>0</v>
      </c>
      <c r="AR618" t="s">
        <v>0</v>
      </c>
      <c r="AT618" s="2" t="s">
        <v>7</v>
      </c>
      <c r="AU618" s="1">
        <f t="shared" si="75"/>
        <v>0.57022112899869826</v>
      </c>
      <c r="AV618" s="1">
        <f t="shared" si="76"/>
        <v>0.40936145651122685</v>
      </c>
      <c r="AW618" s="1">
        <f t="shared" si="77"/>
        <v>0.24850178402375528</v>
      </c>
    </row>
    <row r="619" spans="1:49" x14ac:dyDescent="0.2">
      <c r="A619">
        <v>617</v>
      </c>
      <c r="B619" t="s">
        <v>3374</v>
      </c>
      <c r="C619" t="s">
        <v>3373</v>
      </c>
      <c r="F619" t="s">
        <v>3372</v>
      </c>
      <c r="G619" t="s">
        <v>6</v>
      </c>
      <c r="H619" t="s">
        <v>5</v>
      </c>
      <c r="I619" t="s">
        <v>551</v>
      </c>
      <c r="J619">
        <v>60080744</v>
      </c>
      <c r="K619" t="s">
        <v>475</v>
      </c>
      <c r="L619" t="s">
        <v>474</v>
      </c>
      <c r="M619" t="s">
        <v>76</v>
      </c>
      <c r="N619">
        <v>1</v>
      </c>
      <c r="O619" t="s">
        <v>3371</v>
      </c>
      <c r="P619">
        <v>7201869206</v>
      </c>
      <c r="Q619">
        <v>60080744</v>
      </c>
      <c r="R619" s="7">
        <v>37108</v>
      </c>
      <c r="S619" s="8">
        <f t="shared" si="72"/>
        <v>2001</v>
      </c>
      <c r="T619" s="8">
        <v>2001</v>
      </c>
      <c r="U619" s="8">
        <f t="shared" si="73"/>
        <v>21</v>
      </c>
      <c r="V619" s="7">
        <v>37108</v>
      </c>
      <c r="W619" t="s">
        <v>290</v>
      </c>
      <c r="X619" s="2">
        <v>0.30399999999999999</v>
      </c>
      <c r="Y619" s="6">
        <f t="shared" si="78"/>
        <v>8.115106377299057E-3</v>
      </c>
      <c r="AA619">
        <v>8952477</v>
      </c>
      <c r="AB619">
        <v>12250</v>
      </c>
      <c r="AD619" t="s">
        <v>1</v>
      </c>
      <c r="AE619">
        <v>30</v>
      </c>
      <c r="AF619">
        <v>3</v>
      </c>
      <c r="AH619" t="s">
        <v>947</v>
      </c>
      <c r="AI619" t="s">
        <v>3370</v>
      </c>
      <c r="AJ619" t="s">
        <v>3369</v>
      </c>
      <c r="AK619" t="s">
        <v>3368</v>
      </c>
      <c r="AL619">
        <v>6</v>
      </c>
      <c r="AM619" s="5">
        <f t="shared" si="74"/>
        <v>0.2857142857142857</v>
      </c>
      <c r="AN619" s="4">
        <f t="shared" si="79"/>
        <v>4.3273651755287499E-4</v>
      </c>
      <c r="AO619" s="3"/>
      <c r="AP619">
        <v>0</v>
      </c>
      <c r="AR619" t="s">
        <v>0</v>
      </c>
      <c r="AT619" s="2" t="s">
        <v>7</v>
      </c>
      <c r="AU619" s="1">
        <f t="shared" si="75"/>
        <v>0.58103954193752017</v>
      </c>
      <c r="AV619" s="1">
        <f t="shared" si="76"/>
        <v>0.42739214474259662</v>
      </c>
      <c r="AW619" s="1">
        <f t="shared" si="77"/>
        <v>0.27374474754767297</v>
      </c>
    </row>
    <row r="620" spans="1:49" x14ac:dyDescent="0.2">
      <c r="A620">
        <v>618</v>
      </c>
      <c r="B620" t="s">
        <v>3367</v>
      </c>
      <c r="C620" t="s">
        <v>3366</v>
      </c>
      <c r="F620" t="s">
        <v>3365</v>
      </c>
      <c r="G620" t="s">
        <v>6</v>
      </c>
      <c r="H620" t="s">
        <v>5</v>
      </c>
      <c r="I620" t="s">
        <v>3364</v>
      </c>
      <c r="J620">
        <v>60013983</v>
      </c>
      <c r="K620" t="s">
        <v>351</v>
      </c>
      <c r="L620" t="s">
        <v>350</v>
      </c>
      <c r="M620" t="s">
        <v>285</v>
      </c>
      <c r="N620">
        <v>2</v>
      </c>
      <c r="O620" t="s">
        <v>3363</v>
      </c>
      <c r="P620" t="s">
        <v>3362</v>
      </c>
      <c r="Q620" t="s">
        <v>948</v>
      </c>
      <c r="R620" s="7">
        <v>37108</v>
      </c>
      <c r="S620" s="8">
        <f t="shared" si="72"/>
        <v>2001</v>
      </c>
      <c r="T620" s="8">
        <v>2001</v>
      </c>
      <c r="U620" s="8">
        <f t="shared" si="73"/>
        <v>21</v>
      </c>
      <c r="V620" s="7">
        <v>37108</v>
      </c>
      <c r="W620" t="s">
        <v>290</v>
      </c>
      <c r="X620" s="2">
        <v>0.30399999999999999</v>
      </c>
      <c r="Y620" s="6">
        <f t="shared" si="78"/>
        <v>8.115106377299057E-3</v>
      </c>
      <c r="AA620">
        <v>8952477</v>
      </c>
      <c r="AB620">
        <v>12250</v>
      </c>
      <c r="AD620" t="s">
        <v>1</v>
      </c>
      <c r="AE620">
        <v>30</v>
      </c>
      <c r="AF620">
        <v>3</v>
      </c>
      <c r="AH620" t="s">
        <v>3361</v>
      </c>
      <c r="AI620" t="s">
        <v>3360</v>
      </c>
      <c r="AJ620" t="s">
        <v>3359</v>
      </c>
      <c r="AK620" t="s">
        <v>3358</v>
      </c>
      <c r="AL620">
        <v>3</v>
      </c>
      <c r="AM620" s="5">
        <f t="shared" si="74"/>
        <v>0.14285714285714285</v>
      </c>
      <c r="AN620" s="4">
        <f t="shared" si="79"/>
        <v>2.1636825877643749E-4</v>
      </c>
      <c r="AO620" s="3"/>
      <c r="AP620">
        <v>0</v>
      </c>
      <c r="AR620" t="s">
        <v>0</v>
      </c>
      <c r="AT620" s="2" t="s">
        <v>7</v>
      </c>
      <c r="AU620" s="1">
        <f t="shared" si="75"/>
        <v>0.57454849417422704</v>
      </c>
      <c r="AV620" s="1">
        <f t="shared" si="76"/>
        <v>0.41657373180377472</v>
      </c>
      <c r="AW620" s="1">
        <f t="shared" si="77"/>
        <v>0.25859896943332233</v>
      </c>
    </row>
    <row r="621" spans="1:49" x14ac:dyDescent="0.2">
      <c r="A621">
        <v>619</v>
      </c>
      <c r="B621" t="s">
        <v>3357</v>
      </c>
      <c r="C621" t="s">
        <v>3356</v>
      </c>
      <c r="F621" t="s">
        <v>3355</v>
      </c>
      <c r="G621" t="s">
        <v>6</v>
      </c>
      <c r="H621" t="s">
        <v>5</v>
      </c>
      <c r="I621" t="s">
        <v>186</v>
      </c>
      <c r="J621">
        <v>60017161</v>
      </c>
      <c r="K621" t="s">
        <v>132</v>
      </c>
      <c r="L621" t="s">
        <v>131</v>
      </c>
      <c r="M621" t="s">
        <v>130</v>
      </c>
      <c r="N621">
        <v>5</v>
      </c>
      <c r="O621" t="s">
        <v>3354</v>
      </c>
      <c r="P621" t="s">
        <v>3353</v>
      </c>
      <c r="Q621" t="s">
        <v>838</v>
      </c>
      <c r="R621" s="7">
        <v>37108</v>
      </c>
      <c r="S621" s="8">
        <f t="shared" si="72"/>
        <v>2001</v>
      </c>
      <c r="T621" s="8">
        <v>2001</v>
      </c>
      <c r="U621" s="8">
        <f t="shared" si="73"/>
        <v>21</v>
      </c>
      <c r="V621" s="7">
        <v>37108</v>
      </c>
      <c r="W621" t="s">
        <v>290</v>
      </c>
      <c r="X621" s="2">
        <v>0.30399999999999999</v>
      </c>
      <c r="Y621" s="6">
        <f t="shared" si="78"/>
        <v>8.115106377299057E-3</v>
      </c>
      <c r="AA621">
        <v>8952477</v>
      </c>
      <c r="AB621">
        <v>12250</v>
      </c>
      <c r="AD621" t="s">
        <v>1</v>
      </c>
      <c r="AE621">
        <v>30</v>
      </c>
      <c r="AF621">
        <v>3</v>
      </c>
      <c r="AH621" t="s">
        <v>321</v>
      </c>
      <c r="AI621" t="s">
        <v>3352</v>
      </c>
      <c r="AJ621" t="s">
        <v>3351</v>
      </c>
      <c r="AK621" t="s">
        <v>3350</v>
      </c>
      <c r="AL621">
        <v>0</v>
      </c>
      <c r="AM621" s="5">
        <f t="shared" si="74"/>
        <v>0</v>
      </c>
      <c r="AN621" s="4">
        <f t="shared" si="79"/>
        <v>0</v>
      </c>
      <c r="AO621" s="3"/>
      <c r="AP621">
        <v>0</v>
      </c>
      <c r="AR621" t="s">
        <v>0</v>
      </c>
      <c r="AT621" s="2" t="s">
        <v>7</v>
      </c>
      <c r="AU621" s="1">
        <f t="shared" si="75"/>
        <v>0.56805744641093392</v>
      </c>
      <c r="AV621" s="1">
        <f t="shared" si="76"/>
        <v>0.40575531886495286</v>
      </c>
      <c r="AW621" s="1">
        <f t="shared" si="77"/>
        <v>0.24345319131897172</v>
      </c>
    </row>
    <row r="622" spans="1:49" x14ac:dyDescent="0.2">
      <c r="A622">
        <v>620</v>
      </c>
      <c r="B622" t="s">
        <v>3349</v>
      </c>
      <c r="C622" t="s">
        <v>3348</v>
      </c>
      <c r="F622" t="s">
        <v>3347</v>
      </c>
      <c r="G622" t="s">
        <v>6</v>
      </c>
      <c r="H622" t="s">
        <v>5</v>
      </c>
      <c r="I622" t="s">
        <v>3346</v>
      </c>
      <c r="J622" t="s">
        <v>3345</v>
      </c>
      <c r="K622" t="s">
        <v>3344</v>
      </c>
      <c r="L622" t="s">
        <v>3343</v>
      </c>
      <c r="M622" t="s">
        <v>658</v>
      </c>
      <c r="N622">
        <v>4</v>
      </c>
      <c r="O622" t="s">
        <v>3342</v>
      </c>
      <c r="P622" t="s">
        <v>3341</v>
      </c>
      <c r="Q622" t="s">
        <v>3340</v>
      </c>
      <c r="R622" s="7">
        <v>37108</v>
      </c>
      <c r="S622" s="8">
        <f t="shared" si="72"/>
        <v>2001</v>
      </c>
      <c r="T622" s="8">
        <v>2001</v>
      </c>
      <c r="U622" s="8">
        <f t="shared" si="73"/>
        <v>21</v>
      </c>
      <c r="V622" s="7">
        <v>37108</v>
      </c>
      <c r="W622" t="s">
        <v>290</v>
      </c>
      <c r="X622" s="2">
        <v>0.30399999999999999</v>
      </c>
      <c r="Y622" s="6">
        <f t="shared" si="78"/>
        <v>8.115106377299057E-3</v>
      </c>
      <c r="AA622">
        <v>8952477</v>
      </c>
      <c r="AB622">
        <v>12250</v>
      </c>
      <c r="AD622" t="s">
        <v>1</v>
      </c>
      <c r="AE622">
        <v>30</v>
      </c>
      <c r="AF622">
        <v>3</v>
      </c>
      <c r="AH622" t="s">
        <v>3339</v>
      </c>
      <c r="AI622" t="s">
        <v>3338</v>
      </c>
      <c r="AJ622" t="s">
        <v>3337</v>
      </c>
      <c r="AK622" t="s">
        <v>3336</v>
      </c>
      <c r="AL622">
        <v>5</v>
      </c>
      <c r="AM622" s="5">
        <f t="shared" si="74"/>
        <v>0.23809523809523808</v>
      </c>
      <c r="AN622" s="4">
        <f t="shared" si="79"/>
        <v>3.6061376462739582E-4</v>
      </c>
      <c r="AO622" s="3"/>
      <c r="AP622">
        <v>0</v>
      </c>
      <c r="AR622" t="s">
        <v>0</v>
      </c>
      <c r="AT622" s="2" t="s">
        <v>7</v>
      </c>
      <c r="AU622" s="1">
        <f t="shared" si="75"/>
        <v>0.57887585934975583</v>
      </c>
      <c r="AV622" s="1">
        <f t="shared" si="76"/>
        <v>0.42378600709632264</v>
      </c>
      <c r="AW622" s="1">
        <f t="shared" si="77"/>
        <v>0.26869615484288945</v>
      </c>
    </row>
    <row r="623" spans="1:49" x14ac:dyDescent="0.2">
      <c r="A623">
        <v>621</v>
      </c>
      <c r="B623" t="s">
        <v>3335</v>
      </c>
      <c r="C623" t="s">
        <v>3334</v>
      </c>
      <c r="F623" t="s">
        <v>3333</v>
      </c>
      <c r="G623" t="s">
        <v>6</v>
      </c>
      <c r="H623" t="s">
        <v>5</v>
      </c>
      <c r="I623" t="s">
        <v>454</v>
      </c>
      <c r="J623">
        <v>60011357</v>
      </c>
      <c r="K623" t="s">
        <v>342</v>
      </c>
      <c r="L623" t="s">
        <v>329</v>
      </c>
      <c r="M623" t="s">
        <v>105</v>
      </c>
      <c r="N623">
        <v>2</v>
      </c>
      <c r="O623" t="s">
        <v>453</v>
      </c>
      <c r="P623" t="s">
        <v>452</v>
      </c>
      <c r="Q623" t="s">
        <v>341</v>
      </c>
      <c r="R623" s="7">
        <v>37108</v>
      </c>
      <c r="S623" s="8">
        <f t="shared" si="72"/>
        <v>2001</v>
      </c>
      <c r="T623" s="8">
        <v>2001</v>
      </c>
      <c r="U623" s="8">
        <f t="shared" si="73"/>
        <v>21</v>
      </c>
      <c r="V623" s="7">
        <v>37108</v>
      </c>
      <c r="W623" t="s">
        <v>290</v>
      </c>
      <c r="X623" s="2">
        <v>0.30399999999999999</v>
      </c>
      <c r="Y623" s="6">
        <f t="shared" si="78"/>
        <v>8.115106377299057E-3</v>
      </c>
      <c r="AA623">
        <v>8952477</v>
      </c>
      <c r="AB623">
        <v>12250</v>
      </c>
      <c r="AD623" t="s">
        <v>1</v>
      </c>
      <c r="AE623">
        <v>30</v>
      </c>
      <c r="AF623">
        <v>3</v>
      </c>
      <c r="AH623" t="s">
        <v>3332</v>
      </c>
      <c r="AI623" t="s">
        <v>3331</v>
      </c>
      <c r="AJ623" t="s">
        <v>3330</v>
      </c>
      <c r="AK623" t="s">
        <v>3329</v>
      </c>
      <c r="AL623">
        <v>16</v>
      </c>
      <c r="AM623" s="5">
        <f t="shared" si="74"/>
        <v>0.76190476190476186</v>
      </c>
      <c r="AN623" s="4">
        <f t="shared" si="79"/>
        <v>1.1539640468076666E-3</v>
      </c>
      <c r="AO623" s="3"/>
      <c r="AP623">
        <v>0</v>
      </c>
      <c r="AR623" t="s">
        <v>0</v>
      </c>
      <c r="AT623" s="2" t="s">
        <v>7</v>
      </c>
      <c r="AU623" s="1">
        <f t="shared" si="75"/>
        <v>0.60267636781516387</v>
      </c>
      <c r="AV623" s="1">
        <f t="shared" si="76"/>
        <v>0.46345352120533612</v>
      </c>
      <c r="AW623" s="1">
        <f t="shared" si="77"/>
        <v>0.32423067459550836</v>
      </c>
    </row>
    <row r="624" spans="1:49" x14ac:dyDescent="0.2">
      <c r="A624">
        <v>622</v>
      </c>
      <c r="B624" t="s">
        <v>3328</v>
      </c>
      <c r="C624" t="s">
        <v>3327</v>
      </c>
      <c r="F624" t="s">
        <v>3326</v>
      </c>
      <c r="G624" t="s">
        <v>6</v>
      </c>
      <c r="H624" t="s">
        <v>5</v>
      </c>
      <c r="I624" t="s">
        <v>1019</v>
      </c>
      <c r="J624" t="s">
        <v>1018</v>
      </c>
      <c r="K624" t="s">
        <v>1017</v>
      </c>
      <c r="L624" t="s">
        <v>1016</v>
      </c>
      <c r="M624" t="s">
        <v>1015</v>
      </c>
      <c r="N624">
        <v>3</v>
      </c>
      <c r="O624" t="s">
        <v>1014</v>
      </c>
      <c r="P624" t="s">
        <v>242</v>
      </c>
      <c r="Q624" t="s">
        <v>1013</v>
      </c>
      <c r="R624" s="7">
        <v>37108</v>
      </c>
      <c r="S624" s="8">
        <f t="shared" si="72"/>
        <v>2001</v>
      </c>
      <c r="T624" s="8">
        <v>2001</v>
      </c>
      <c r="U624" s="8">
        <f t="shared" si="73"/>
        <v>21</v>
      </c>
      <c r="V624" s="7">
        <v>37108</v>
      </c>
      <c r="W624" t="s">
        <v>290</v>
      </c>
      <c r="X624" s="2">
        <v>0.30399999999999999</v>
      </c>
      <c r="Y624" s="6">
        <f t="shared" si="78"/>
        <v>8.115106377299057E-3</v>
      </c>
      <c r="AA624">
        <v>8952477</v>
      </c>
      <c r="AB624">
        <v>12250</v>
      </c>
      <c r="AD624" t="s">
        <v>1</v>
      </c>
      <c r="AE624">
        <v>30</v>
      </c>
      <c r="AF624">
        <v>3</v>
      </c>
      <c r="AH624" t="s">
        <v>974</v>
      </c>
      <c r="AI624" t="s">
        <v>3325</v>
      </c>
      <c r="AJ624" t="s">
        <v>3324</v>
      </c>
      <c r="AK624" t="s">
        <v>3323</v>
      </c>
      <c r="AL624">
        <v>5</v>
      </c>
      <c r="AM624" s="5">
        <f t="shared" si="74"/>
        <v>0.23809523809523808</v>
      </c>
      <c r="AN624" s="4">
        <f t="shared" si="79"/>
        <v>3.6061376462739582E-4</v>
      </c>
      <c r="AO624" s="3"/>
      <c r="AP624">
        <v>0</v>
      </c>
      <c r="AR624" t="s">
        <v>0</v>
      </c>
      <c r="AT624" s="2" t="s">
        <v>7</v>
      </c>
      <c r="AU624" s="1">
        <f t="shared" si="75"/>
        <v>0.57887585934975583</v>
      </c>
      <c r="AV624" s="1">
        <f t="shared" si="76"/>
        <v>0.42378600709632264</v>
      </c>
      <c r="AW624" s="1">
        <f t="shared" si="77"/>
        <v>0.26869615484288945</v>
      </c>
    </row>
    <row r="625" spans="1:49" x14ac:dyDescent="0.2">
      <c r="A625">
        <v>623</v>
      </c>
      <c r="B625" t="s">
        <v>3322</v>
      </c>
      <c r="C625" t="s">
        <v>3321</v>
      </c>
      <c r="F625" t="s">
        <v>3320</v>
      </c>
      <c r="G625" t="s">
        <v>6</v>
      </c>
      <c r="H625" t="s">
        <v>5</v>
      </c>
      <c r="I625" t="s">
        <v>336</v>
      </c>
      <c r="J625">
        <v>100646442</v>
      </c>
      <c r="K625" t="s">
        <v>335</v>
      </c>
      <c r="L625" t="s">
        <v>195</v>
      </c>
      <c r="M625" t="s">
        <v>194</v>
      </c>
      <c r="N625">
        <v>3</v>
      </c>
      <c r="O625" t="s">
        <v>3319</v>
      </c>
      <c r="P625" t="s">
        <v>3318</v>
      </c>
      <c r="Q625" t="s">
        <v>3317</v>
      </c>
      <c r="R625" s="7">
        <v>37108</v>
      </c>
      <c r="S625" s="8">
        <f t="shared" si="72"/>
        <v>2001</v>
      </c>
      <c r="T625" s="8">
        <v>2001</v>
      </c>
      <c r="U625" s="8">
        <f t="shared" si="73"/>
        <v>21</v>
      </c>
      <c r="V625" s="7">
        <v>37108</v>
      </c>
      <c r="W625" t="s">
        <v>290</v>
      </c>
      <c r="X625" s="2">
        <v>0.30399999999999999</v>
      </c>
      <c r="Y625" s="6">
        <f t="shared" si="78"/>
        <v>8.115106377299057E-3</v>
      </c>
      <c r="AA625">
        <v>8952477</v>
      </c>
      <c r="AB625">
        <v>12250</v>
      </c>
      <c r="AD625" t="s">
        <v>1</v>
      </c>
      <c r="AE625">
        <v>30</v>
      </c>
      <c r="AF625">
        <v>3</v>
      </c>
      <c r="AH625" t="s">
        <v>3316</v>
      </c>
      <c r="AI625" t="s">
        <v>3315</v>
      </c>
      <c r="AJ625" t="s">
        <v>3314</v>
      </c>
      <c r="AK625" t="s">
        <v>3313</v>
      </c>
      <c r="AL625">
        <v>36</v>
      </c>
      <c r="AM625" s="5">
        <f t="shared" si="74"/>
        <v>1.7142857142857142</v>
      </c>
      <c r="AN625" s="4">
        <f t="shared" si="79"/>
        <v>2.5964191053172497E-3</v>
      </c>
      <c r="AO625" s="3"/>
      <c r="AP625">
        <v>0</v>
      </c>
      <c r="AR625" t="s">
        <v>0</v>
      </c>
      <c r="AT625" s="2" t="s">
        <v>7</v>
      </c>
      <c r="AU625" s="1">
        <f t="shared" si="75"/>
        <v>0.64595001957045139</v>
      </c>
      <c r="AV625" s="1">
        <f t="shared" si="76"/>
        <v>0.53557627413081543</v>
      </c>
      <c r="AW625" s="1">
        <f t="shared" si="77"/>
        <v>0.42520252869117914</v>
      </c>
    </row>
    <row r="626" spans="1:49" x14ac:dyDescent="0.2">
      <c r="A626">
        <v>624</v>
      </c>
      <c r="B626" t="s">
        <v>3312</v>
      </c>
      <c r="C626" t="s">
        <v>3311</v>
      </c>
      <c r="F626" t="s">
        <v>3310</v>
      </c>
      <c r="G626" t="s">
        <v>6</v>
      </c>
      <c r="H626" t="s">
        <v>5</v>
      </c>
      <c r="I626" t="s">
        <v>772</v>
      </c>
      <c r="J626">
        <v>60023813</v>
      </c>
      <c r="K626" t="s">
        <v>771</v>
      </c>
      <c r="L626" t="s">
        <v>770</v>
      </c>
      <c r="M626" t="s">
        <v>62</v>
      </c>
      <c r="N626">
        <v>3</v>
      </c>
      <c r="O626" t="s">
        <v>769</v>
      </c>
      <c r="P626" t="s">
        <v>768</v>
      </c>
      <c r="Q626" t="s">
        <v>767</v>
      </c>
      <c r="R626" s="7">
        <v>37108</v>
      </c>
      <c r="S626" s="8">
        <f t="shared" si="72"/>
        <v>2001</v>
      </c>
      <c r="T626" s="8">
        <v>2001</v>
      </c>
      <c r="U626" s="8">
        <f t="shared" si="73"/>
        <v>21</v>
      </c>
      <c r="V626" s="7">
        <v>37108</v>
      </c>
      <c r="W626" t="s">
        <v>290</v>
      </c>
      <c r="X626" s="2">
        <v>0.30399999999999999</v>
      </c>
      <c r="Y626" s="6">
        <f t="shared" si="78"/>
        <v>8.115106377299057E-3</v>
      </c>
      <c r="AA626">
        <v>8952477</v>
      </c>
      <c r="AB626">
        <v>12250</v>
      </c>
      <c r="AD626" t="s">
        <v>1</v>
      </c>
      <c r="AE626">
        <v>30</v>
      </c>
      <c r="AF626">
        <v>3</v>
      </c>
      <c r="AH626" t="s">
        <v>3309</v>
      </c>
      <c r="AI626" t="s">
        <v>3308</v>
      </c>
      <c r="AJ626" t="s">
        <v>3307</v>
      </c>
      <c r="AK626" t="s">
        <v>3306</v>
      </c>
      <c r="AL626">
        <v>1</v>
      </c>
      <c r="AM626" s="5">
        <f t="shared" si="74"/>
        <v>4.7619047619047616E-2</v>
      </c>
      <c r="AN626" s="4">
        <f t="shared" si="79"/>
        <v>7.2122752925479164E-5</v>
      </c>
      <c r="AO626" s="3"/>
      <c r="AP626">
        <v>0</v>
      </c>
      <c r="AR626" t="s">
        <v>0</v>
      </c>
      <c r="AT626" s="2" t="s">
        <v>7</v>
      </c>
      <c r="AU626" s="1">
        <f t="shared" si="75"/>
        <v>0.57022112899869826</v>
      </c>
      <c r="AV626" s="1">
        <f t="shared" si="76"/>
        <v>0.40936145651122685</v>
      </c>
      <c r="AW626" s="1">
        <f t="shared" si="77"/>
        <v>0.24850178402375528</v>
      </c>
    </row>
    <row r="627" spans="1:49" x14ac:dyDescent="0.2">
      <c r="A627">
        <v>625</v>
      </c>
      <c r="B627" t="s">
        <v>3305</v>
      </c>
      <c r="C627" t="s">
        <v>3304</v>
      </c>
      <c r="F627" t="s">
        <v>3303</v>
      </c>
      <c r="G627" t="s">
        <v>6</v>
      </c>
      <c r="H627" t="s">
        <v>5</v>
      </c>
      <c r="I627" t="s">
        <v>3302</v>
      </c>
      <c r="J627" t="s">
        <v>3301</v>
      </c>
      <c r="K627" t="s">
        <v>3300</v>
      </c>
      <c r="L627" t="s">
        <v>3299</v>
      </c>
      <c r="M627" t="s">
        <v>3298</v>
      </c>
      <c r="N627">
        <v>6</v>
      </c>
      <c r="O627" t="s">
        <v>3297</v>
      </c>
      <c r="P627" t="s">
        <v>3296</v>
      </c>
      <c r="Q627" t="s">
        <v>3295</v>
      </c>
      <c r="R627" s="7">
        <v>37106</v>
      </c>
      <c r="S627" s="8">
        <f t="shared" si="72"/>
        <v>2001</v>
      </c>
      <c r="T627" s="8">
        <v>2001</v>
      </c>
      <c r="U627" s="8">
        <f t="shared" si="73"/>
        <v>21</v>
      </c>
      <c r="V627" s="7">
        <v>37106</v>
      </c>
      <c r="W627" t="s">
        <v>3294</v>
      </c>
      <c r="X627" s="2">
        <v>5.8310000000000004</v>
      </c>
      <c r="Y627" s="6">
        <f t="shared" si="78"/>
        <v>0.15565521475668029</v>
      </c>
      <c r="AA627">
        <v>14337851</v>
      </c>
      <c r="AB627">
        <v>22687</v>
      </c>
      <c r="AD627" t="s">
        <v>1</v>
      </c>
      <c r="AE627">
        <v>40</v>
      </c>
      <c r="AF627">
        <v>15</v>
      </c>
      <c r="AH627" t="s">
        <v>3293</v>
      </c>
      <c r="AI627" t="s">
        <v>3292</v>
      </c>
      <c r="AJ627" t="s">
        <v>3291</v>
      </c>
      <c r="AK627" t="s">
        <v>3290</v>
      </c>
      <c r="AL627">
        <v>81</v>
      </c>
      <c r="AM627" s="5">
        <f t="shared" si="74"/>
        <v>3.8571428571428572</v>
      </c>
      <c r="AN627" s="4">
        <f t="shared" si="79"/>
        <v>5.8419429869638129E-3</v>
      </c>
      <c r="AO627" s="3"/>
      <c r="AP627">
        <v>0</v>
      </c>
      <c r="AR627" t="s">
        <v>0</v>
      </c>
      <c r="AT627" s="2" t="s">
        <v>7</v>
      </c>
      <c r="AU627" s="1">
        <f t="shared" si="75"/>
        <v>11.071123322576534</v>
      </c>
      <c r="AV627" s="1">
        <f t="shared" si="76"/>
        <v>8.0748578871822048</v>
      </c>
      <c r="AW627" s="1">
        <f t="shared" si="77"/>
        <v>5.078592451787876</v>
      </c>
    </row>
    <row r="628" spans="1:49" x14ac:dyDescent="0.2">
      <c r="A628">
        <v>626</v>
      </c>
      <c r="B628" t="s">
        <v>3289</v>
      </c>
      <c r="C628" t="s">
        <v>3288</v>
      </c>
      <c r="F628" t="s">
        <v>3287</v>
      </c>
      <c r="G628" t="s">
        <v>6</v>
      </c>
      <c r="H628" t="s">
        <v>5</v>
      </c>
      <c r="I628" t="s">
        <v>156</v>
      </c>
      <c r="J628" t="s">
        <v>3286</v>
      </c>
      <c r="K628" t="s">
        <v>3285</v>
      </c>
      <c r="L628" t="s">
        <v>3284</v>
      </c>
      <c r="M628" t="s">
        <v>3283</v>
      </c>
      <c r="N628">
        <v>7</v>
      </c>
      <c r="O628" t="s">
        <v>3282</v>
      </c>
      <c r="P628" t="s">
        <v>3281</v>
      </c>
      <c r="Q628" t="s">
        <v>3280</v>
      </c>
      <c r="R628" s="7">
        <v>37105</v>
      </c>
      <c r="S628" s="8">
        <f t="shared" si="72"/>
        <v>2001</v>
      </c>
      <c r="T628" s="8">
        <v>2001</v>
      </c>
      <c r="U628" s="8">
        <f t="shared" si="73"/>
        <v>21</v>
      </c>
      <c r="V628" s="7">
        <v>37105</v>
      </c>
      <c r="W628" t="s">
        <v>835</v>
      </c>
      <c r="X628" s="2">
        <v>0.86399999999999999</v>
      </c>
      <c r="Y628" s="6">
        <f t="shared" si="78"/>
        <v>2.3063986546007848E-2</v>
      </c>
      <c r="AA628">
        <v>10895647</v>
      </c>
      <c r="AB628">
        <v>26970</v>
      </c>
      <c r="AD628" t="s">
        <v>1</v>
      </c>
      <c r="AE628">
        <v>105</v>
      </c>
      <c r="AF628">
        <v>30</v>
      </c>
      <c r="AH628" t="s">
        <v>3279</v>
      </c>
      <c r="AI628" t="s">
        <v>3278</v>
      </c>
      <c r="AK628" t="s">
        <v>3277</v>
      </c>
      <c r="AL628">
        <v>10</v>
      </c>
      <c r="AM628" s="5">
        <f t="shared" si="74"/>
        <v>0.47619047619047616</v>
      </c>
      <c r="AN628" s="4">
        <f t="shared" si="79"/>
        <v>7.2122752925479164E-4</v>
      </c>
      <c r="AO628" s="3"/>
      <c r="AP628">
        <v>0</v>
      </c>
      <c r="AR628" t="s">
        <v>0</v>
      </c>
      <c r="AT628" s="2">
        <v>2.9910000000000001</v>
      </c>
      <c r="AU628" s="1">
        <f t="shared" si="75"/>
        <v>1.6361158840981926</v>
      </c>
      <c r="AV628" s="1">
        <f t="shared" si="76"/>
        <v>1.189260703763132</v>
      </c>
      <c r="AW628" s="1">
        <f t="shared" si="77"/>
        <v>0.74240552342807087</v>
      </c>
    </row>
    <row r="629" spans="1:49" x14ac:dyDescent="0.2">
      <c r="A629">
        <v>627</v>
      </c>
      <c r="B629" t="s">
        <v>3276</v>
      </c>
      <c r="C629" t="s">
        <v>3275</v>
      </c>
      <c r="F629" t="s">
        <v>3274</v>
      </c>
      <c r="G629" t="s">
        <v>6</v>
      </c>
      <c r="H629" t="s">
        <v>5</v>
      </c>
      <c r="I629" t="s">
        <v>3273</v>
      </c>
      <c r="J629" t="s">
        <v>3272</v>
      </c>
      <c r="K629" t="s">
        <v>3271</v>
      </c>
      <c r="L629" t="s">
        <v>3270</v>
      </c>
      <c r="M629" t="s">
        <v>412</v>
      </c>
      <c r="N629">
        <v>3</v>
      </c>
      <c r="O629" t="s">
        <v>3269</v>
      </c>
      <c r="P629" t="s">
        <v>3268</v>
      </c>
      <c r="Q629" t="s">
        <v>3267</v>
      </c>
      <c r="R629" s="7">
        <v>37105</v>
      </c>
      <c r="S629" s="8">
        <f t="shared" si="72"/>
        <v>2001</v>
      </c>
      <c r="T629" s="8">
        <v>2001</v>
      </c>
      <c r="U629" s="8">
        <f t="shared" si="73"/>
        <v>21</v>
      </c>
      <c r="V629" s="7">
        <v>37105</v>
      </c>
      <c r="W629" t="s">
        <v>698</v>
      </c>
      <c r="X629" s="2">
        <v>0.375</v>
      </c>
      <c r="Y629" s="6">
        <f t="shared" si="78"/>
        <v>1.0010410827260351E-2</v>
      </c>
      <c r="AA629">
        <v>135194</v>
      </c>
      <c r="AB629">
        <v>24918</v>
      </c>
      <c r="AD629" t="s">
        <v>1</v>
      </c>
      <c r="AE629">
        <v>37</v>
      </c>
      <c r="AF629">
        <v>16</v>
      </c>
      <c r="AH629" t="s">
        <v>3266</v>
      </c>
      <c r="AI629" t="s">
        <v>3265</v>
      </c>
      <c r="AK629" t="s">
        <v>3264</v>
      </c>
      <c r="AL629">
        <v>46</v>
      </c>
      <c r="AM629" s="5">
        <f t="shared" si="74"/>
        <v>2.1904761904761907</v>
      </c>
      <c r="AN629" s="4">
        <f t="shared" si="79"/>
        <v>3.3176466345720421E-3</v>
      </c>
      <c r="AO629" s="3"/>
      <c r="AP629">
        <v>0</v>
      </c>
      <c r="AR629" t="s">
        <v>0</v>
      </c>
      <c r="AT629" s="2">
        <v>1.3140000000000001</v>
      </c>
      <c r="AU629" s="1">
        <f t="shared" si="75"/>
        <v>0.80025815694538593</v>
      </c>
      <c r="AV629" s="1">
        <f t="shared" si="76"/>
        <v>0.66640287309161961</v>
      </c>
      <c r="AW629" s="1">
        <f t="shared" si="77"/>
        <v>0.53254758923785339</v>
      </c>
    </row>
    <row r="630" spans="1:49" x14ac:dyDescent="0.2">
      <c r="A630">
        <v>628</v>
      </c>
      <c r="B630" t="s">
        <v>3263</v>
      </c>
      <c r="C630" t="s">
        <v>3262</v>
      </c>
      <c r="F630" t="s">
        <v>3261</v>
      </c>
      <c r="G630" t="s">
        <v>6</v>
      </c>
      <c r="H630" t="s">
        <v>5</v>
      </c>
      <c r="I630" t="s">
        <v>3260</v>
      </c>
      <c r="J630">
        <v>60010818</v>
      </c>
      <c r="K630" t="s">
        <v>689</v>
      </c>
      <c r="L630" t="s">
        <v>688</v>
      </c>
      <c r="M630" t="s">
        <v>37</v>
      </c>
      <c r="N630">
        <v>4</v>
      </c>
      <c r="O630" t="s">
        <v>3259</v>
      </c>
      <c r="P630" t="s">
        <v>3258</v>
      </c>
      <c r="Q630" t="s">
        <v>3257</v>
      </c>
      <c r="R630" s="7">
        <v>37105</v>
      </c>
      <c r="S630" s="8">
        <f t="shared" si="72"/>
        <v>2001</v>
      </c>
      <c r="T630" s="8">
        <v>2001</v>
      </c>
      <c r="U630" s="8">
        <f t="shared" si="73"/>
        <v>21</v>
      </c>
      <c r="V630" s="7">
        <v>37105</v>
      </c>
      <c r="W630" t="s">
        <v>698</v>
      </c>
      <c r="X630" s="2">
        <v>0.375</v>
      </c>
      <c r="Y630" s="6">
        <f t="shared" si="78"/>
        <v>1.0010410827260351E-2</v>
      </c>
      <c r="AA630">
        <v>135194</v>
      </c>
      <c r="AB630">
        <v>24918</v>
      </c>
      <c r="AD630" t="s">
        <v>1</v>
      </c>
      <c r="AE630">
        <v>37</v>
      </c>
      <c r="AF630">
        <v>16</v>
      </c>
      <c r="AH630" t="s">
        <v>3256</v>
      </c>
      <c r="AI630" t="s">
        <v>3255</v>
      </c>
      <c r="AK630" t="s">
        <v>3254</v>
      </c>
      <c r="AL630">
        <v>16</v>
      </c>
      <c r="AM630" s="5">
        <f t="shared" si="74"/>
        <v>0.76190476190476186</v>
      </c>
      <c r="AN630" s="4">
        <f t="shared" si="79"/>
        <v>1.1539640468076666E-3</v>
      </c>
      <c r="AO630" s="3"/>
      <c r="AP630">
        <v>0</v>
      </c>
      <c r="AR630" t="s">
        <v>0</v>
      </c>
      <c r="AT630" s="2">
        <v>1.3140000000000001</v>
      </c>
      <c r="AU630" s="1">
        <f t="shared" si="75"/>
        <v>0.73534767931245459</v>
      </c>
      <c r="AV630" s="1">
        <f t="shared" si="76"/>
        <v>0.55821874370340085</v>
      </c>
      <c r="AW630" s="1">
        <f t="shared" si="77"/>
        <v>0.38108980809434717</v>
      </c>
    </row>
    <row r="631" spans="1:49" x14ac:dyDescent="0.2">
      <c r="A631">
        <v>629</v>
      </c>
      <c r="B631" t="s">
        <v>3253</v>
      </c>
      <c r="C631" t="s">
        <v>3252</v>
      </c>
      <c r="F631" t="s">
        <v>3251</v>
      </c>
      <c r="G631" t="s">
        <v>6</v>
      </c>
      <c r="H631" t="s">
        <v>5</v>
      </c>
      <c r="I631" t="s">
        <v>3250</v>
      </c>
      <c r="J631" t="s">
        <v>3249</v>
      </c>
      <c r="K631" t="s">
        <v>3248</v>
      </c>
      <c r="L631" t="s">
        <v>3247</v>
      </c>
      <c r="M631" t="s">
        <v>3246</v>
      </c>
      <c r="N631">
        <v>6</v>
      </c>
      <c r="O631" t="s">
        <v>3245</v>
      </c>
      <c r="P631" t="s">
        <v>3244</v>
      </c>
      <c r="Q631" t="s">
        <v>3243</v>
      </c>
      <c r="R631" s="7">
        <v>37105</v>
      </c>
      <c r="S631" s="8">
        <f t="shared" si="72"/>
        <v>2001</v>
      </c>
      <c r="T631" s="8">
        <v>2001</v>
      </c>
      <c r="U631" s="8">
        <f t="shared" si="73"/>
        <v>21</v>
      </c>
      <c r="V631" s="7">
        <v>37105</v>
      </c>
      <c r="W631" t="s">
        <v>698</v>
      </c>
      <c r="X631" s="2">
        <v>0.375</v>
      </c>
      <c r="Y631" s="6">
        <f t="shared" si="78"/>
        <v>1.0010410827260351E-2</v>
      </c>
      <c r="AA631">
        <v>135194</v>
      </c>
      <c r="AB631">
        <v>24918</v>
      </c>
      <c r="AD631" t="s">
        <v>1</v>
      </c>
      <c r="AE631">
        <v>37</v>
      </c>
      <c r="AF631">
        <v>16</v>
      </c>
      <c r="AH631" t="s">
        <v>3242</v>
      </c>
      <c r="AI631" t="s">
        <v>3241</v>
      </c>
      <c r="AK631" t="s">
        <v>3240</v>
      </c>
      <c r="AL631">
        <v>25</v>
      </c>
      <c r="AM631" s="5">
        <f t="shared" si="74"/>
        <v>1.1904761904761905</v>
      </c>
      <c r="AN631" s="4">
        <f t="shared" si="79"/>
        <v>1.8030688231369791E-3</v>
      </c>
      <c r="AO631" s="3"/>
      <c r="AP631">
        <v>0</v>
      </c>
      <c r="AR631" t="s">
        <v>0</v>
      </c>
      <c r="AT631" s="2">
        <v>1.3140000000000001</v>
      </c>
      <c r="AU631" s="1">
        <f t="shared" si="75"/>
        <v>0.75482082260233396</v>
      </c>
      <c r="AV631" s="1">
        <f t="shared" si="76"/>
        <v>0.59067398251986647</v>
      </c>
      <c r="AW631" s="1">
        <f t="shared" si="77"/>
        <v>0.42652714243739903</v>
      </c>
    </row>
    <row r="632" spans="1:49" x14ac:dyDescent="0.2">
      <c r="A632">
        <v>630</v>
      </c>
      <c r="B632" t="s">
        <v>3239</v>
      </c>
      <c r="C632" t="s">
        <v>3238</v>
      </c>
      <c r="F632" t="s">
        <v>3237</v>
      </c>
      <c r="G632" t="s">
        <v>6</v>
      </c>
      <c r="H632" t="s">
        <v>5</v>
      </c>
      <c r="I632" t="s">
        <v>1475</v>
      </c>
      <c r="J632">
        <v>60027550</v>
      </c>
      <c r="K632" t="s">
        <v>144</v>
      </c>
      <c r="L632" t="s">
        <v>65</v>
      </c>
      <c r="M632" t="s">
        <v>3</v>
      </c>
      <c r="N632">
        <v>2</v>
      </c>
      <c r="O632" t="s">
        <v>3236</v>
      </c>
      <c r="P632" t="s">
        <v>3235</v>
      </c>
      <c r="Q632" t="s">
        <v>143</v>
      </c>
      <c r="R632" s="7">
        <v>37105</v>
      </c>
      <c r="S632" s="8">
        <f t="shared" si="72"/>
        <v>2001</v>
      </c>
      <c r="T632" s="8">
        <v>2001</v>
      </c>
      <c r="U632" s="8">
        <f t="shared" si="73"/>
        <v>21</v>
      </c>
      <c r="V632" s="7">
        <v>37105</v>
      </c>
      <c r="W632" t="s">
        <v>698</v>
      </c>
      <c r="X632" s="2">
        <v>0.375</v>
      </c>
      <c r="Y632" s="6">
        <f t="shared" si="78"/>
        <v>1.0010410827260351E-2</v>
      </c>
      <c r="AA632">
        <v>135194</v>
      </c>
      <c r="AB632">
        <v>24918</v>
      </c>
      <c r="AD632" t="s">
        <v>1</v>
      </c>
      <c r="AE632">
        <v>37</v>
      </c>
      <c r="AF632">
        <v>16</v>
      </c>
      <c r="AH632" t="s">
        <v>3234</v>
      </c>
      <c r="AI632" t="s">
        <v>3233</v>
      </c>
      <c r="AK632" t="s">
        <v>3232</v>
      </c>
      <c r="AL632">
        <v>26</v>
      </c>
      <c r="AM632" s="5">
        <f t="shared" si="74"/>
        <v>1.2380952380952381</v>
      </c>
      <c r="AN632" s="4">
        <f t="shared" si="79"/>
        <v>1.8751915760624584E-3</v>
      </c>
      <c r="AO632" s="3"/>
      <c r="AP632">
        <v>0</v>
      </c>
      <c r="AR632" t="s">
        <v>0</v>
      </c>
      <c r="AT632" s="2">
        <v>1.3140000000000001</v>
      </c>
      <c r="AU632" s="1">
        <f t="shared" si="75"/>
        <v>0.7569845051900983</v>
      </c>
      <c r="AV632" s="1">
        <f t="shared" si="76"/>
        <v>0.59428012016614051</v>
      </c>
      <c r="AW632" s="1">
        <f t="shared" si="77"/>
        <v>0.43157573514218256</v>
      </c>
    </row>
    <row r="633" spans="1:49" x14ac:dyDescent="0.2">
      <c r="A633">
        <v>631</v>
      </c>
      <c r="B633" t="s">
        <v>3231</v>
      </c>
      <c r="C633" t="s">
        <v>3230</v>
      </c>
      <c r="F633" t="s">
        <v>3229</v>
      </c>
      <c r="G633" t="s">
        <v>6</v>
      </c>
      <c r="H633" t="s">
        <v>5</v>
      </c>
      <c r="I633" t="s">
        <v>3228</v>
      </c>
      <c r="J633">
        <v>60116768</v>
      </c>
      <c r="K633" t="s">
        <v>330</v>
      </c>
      <c r="L633" t="s">
        <v>329</v>
      </c>
      <c r="M633" t="s">
        <v>105</v>
      </c>
      <c r="N633">
        <v>1</v>
      </c>
      <c r="O633" t="s">
        <v>3227</v>
      </c>
      <c r="P633">
        <v>7102693589</v>
      </c>
      <c r="Q633">
        <v>60116768</v>
      </c>
      <c r="R633" s="7">
        <v>37105</v>
      </c>
      <c r="S633" s="8">
        <f t="shared" si="72"/>
        <v>2001</v>
      </c>
      <c r="T633" s="8">
        <v>2001</v>
      </c>
      <c r="U633" s="8">
        <f t="shared" si="73"/>
        <v>21</v>
      </c>
      <c r="V633" s="7">
        <v>37105</v>
      </c>
      <c r="W633" t="s">
        <v>698</v>
      </c>
      <c r="X633" s="2">
        <v>0.375</v>
      </c>
      <c r="Y633" s="6">
        <f t="shared" si="78"/>
        <v>1.0010410827260351E-2</v>
      </c>
      <c r="AA633">
        <v>135194</v>
      </c>
      <c r="AB633">
        <v>24918</v>
      </c>
      <c r="AD633" t="s">
        <v>1</v>
      </c>
      <c r="AE633">
        <v>37</v>
      </c>
      <c r="AF633">
        <v>16</v>
      </c>
      <c r="AH633" t="s">
        <v>3226</v>
      </c>
      <c r="AI633" t="s">
        <v>3225</v>
      </c>
      <c r="AK633" t="s">
        <v>3224</v>
      </c>
      <c r="AL633">
        <v>8</v>
      </c>
      <c r="AM633" s="5">
        <f t="shared" si="74"/>
        <v>0.38095238095238093</v>
      </c>
      <c r="AN633" s="4">
        <f t="shared" si="79"/>
        <v>5.7698202340383331E-4</v>
      </c>
      <c r="AO633" s="3"/>
      <c r="AP633">
        <v>0</v>
      </c>
      <c r="AR633" t="s">
        <v>0</v>
      </c>
      <c r="AT633" s="2">
        <v>1.3140000000000001</v>
      </c>
      <c r="AU633" s="1">
        <f t="shared" si="75"/>
        <v>0.71803821861033956</v>
      </c>
      <c r="AV633" s="1">
        <f t="shared" si="76"/>
        <v>0.52936964253320917</v>
      </c>
      <c r="AW633" s="1">
        <f t="shared" si="77"/>
        <v>0.34070106645607884</v>
      </c>
    </row>
    <row r="634" spans="1:49" x14ac:dyDescent="0.2">
      <c r="A634">
        <v>632</v>
      </c>
      <c r="B634" t="s">
        <v>3223</v>
      </c>
      <c r="C634" t="s">
        <v>3222</v>
      </c>
      <c r="F634" t="s">
        <v>3221</v>
      </c>
      <c r="G634" t="s">
        <v>6</v>
      </c>
      <c r="H634" t="s">
        <v>5</v>
      </c>
      <c r="I634" t="s">
        <v>3220</v>
      </c>
      <c r="J634" t="s">
        <v>3219</v>
      </c>
      <c r="K634" t="s">
        <v>3218</v>
      </c>
      <c r="L634" t="s">
        <v>3217</v>
      </c>
      <c r="M634" t="s">
        <v>215</v>
      </c>
      <c r="N634">
        <v>3</v>
      </c>
      <c r="O634" t="s">
        <v>3216</v>
      </c>
      <c r="P634" t="s">
        <v>3215</v>
      </c>
      <c r="Q634" t="s">
        <v>3214</v>
      </c>
      <c r="R634" s="7">
        <v>37105</v>
      </c>
      <c r="S634" s="8">
        <f t="shared" si="72"/>
        <v>2001</v>
      </c>
      <c r="T634" s="8">
        <v>2001</v>
      </c>
      <c r="U634" s="8">
        <f t="shared" si="73"/>
        <v>21</v>
      </c>
      <c r="V634" s="7">
        <v>37105</v>
      </c>
      <c r="W634" t="s">
        <v>698</v>
      </c>
      <c r="X634" s="2">
        <v>0.375</v>
      </c>
      <c r="Y634" s="6">
        <f t="shared" si="78"/>
        <v>1.0010410827260351E-2</v>
      </c>
      <c r="AA634">
        <v>135194</v>
      </c>
      <c r="AB634">
        <v>24918</v>
      </c>
      <c r="AD634" t="s">
        <v>1</v>
      </c>
      <c r="AE634">
        <v>37</v>
      </c>
      <c r="AF634">
        <v>16</v>
      </c>
      <c r="AH634" t="s">
        <v>3213</v>
      </c>
      <c r="AI634" t="s">
        <v>3212</v>
      </c>
      <c r="AK634" t="s">
        <v>3211</v>
      </c>
      <c r="AL634">
        <v>17</v>
      </c>
      <c r="AM634" s="5">
        <f t="shared" si="74"/>
        <v>0.80952380952380953</v>
      </c>
      <c r="AN634" s="4">
        <f t="shared" si="79"/>
        <v>1.2260867997331457E-3</v>
      </c>
      <c r="AO634" s="3"/>
      <c r="AP634">
        <v>0</v>
      </c>
      <c r="AR634" t="s">
        <v>0</v>
      </c>
      <c r="AT634" s="2">
        <v>1.3140000000000001</v>
      </c>
      <c r="AU634" s="1">
        <f t="shared" si="75"/>
        <v>0.73751136190021893</v>
      </c>
      <c r="AV634" s="1">
        <f t="shared" si="76"/>
        <v>0.5618248813496749</v>
      </c>
      <c r="AW634" s="1">
        <f t="shared" si="77"/>
        <v>0.3861384007991307</v>
      </c>
    </row>
    <row r="635" spans="1:49" x14ac:dyDescent="0.2">
      <c r="A635">
        <v>633</v>
      </c>
      <c r="B635" t="s">
        <v>3210</v>
      </c>
      <c r="C635" t="s">
        <v>3209</v>
      </c>
      <c r="F635" t="s">
        <v>355</v>
      </c>
      <c r="G635" t="s">
        <v>6</v>
      </c>
      <c r="H635" t="s">
        <v>5</v>
      </c>
      <c r="I635" t="s">
        <v>354</v>
      </c>
      <c r="J635" t="s">
        <v>3208</v>
      </c>
      <c r="K635" t="s">
        <v>3207</v>
      </c>
      <c r="L635" t="s">
        <v>3206</v>
      </c>
      <c r="M635" t="s">
        <v>3205</v>
      </c>
      <c r="N635">
        <v>4</v>
      </c>
      <c r="O635" t="s">
        <v>353</v>
      </c>
      <c r="P635" t="s">
        <v>352</v>
      </c>
      <c r="Q635" t="s">
        <v>3204</v>
      </c>
      <c r="R635" s="7">
        <v>37105</v>
      </c>
      <c r="S635" s="8">
        <f t="shared" si="72"/>
        <v>2001</v>
      </c>
      <c r="T635" s="8">
        <v>2001</v>
      </c>
      <c r="U635" s="8">
        <f t="shared" si="73"/>
        <v>21</v>
      </c>
      <c r="V635" s="7">
        <v>37105</v>
      </c>
      <c r="W635" t="s">
        <v>698</v>
      </c>
      <c r="X635" s="2">
        <v>0.375</v>
      </c>
      <c r="Y635" s="6">
        <f t="shared" si="78"/>
        <v>1.0010410827260351E-2</v>
      </c>
      <c r="AA635">
        <v>135194</v>
      </c>
      <c r="AB635">
        <v>24918</v>
      </c>
      <c r="AD635" t="s">
        <v>1</v>
      </c>
      <c r="AE635">
        <v>37</v>
      </c>
      <c r="AF635">
        <v>16</v>
      </c>
      <c r="AH635" t="s">
        <v>3203</v>
      </c>
      <c r="AI635" t="s">
        <v>3202</v>
      </c>
      <c r="AK635" t="s">
        <v>3201</v>
      </c>
      <c r="AL635">
        <v>9</v>
      </c>
      <c r="AM635" s="5">
        <f t="shared" si="74"/>
        <v>0.42857142857142855</v>
      </c>
      <c r="AN635" s="4">
        <f t="shared" si="79"/>
        <v>6.4910477632931242E-4</v>
      </c>
      <c r="AO635" s="3"/>
      <c r="AP635">
        <v>0</v>
      </c>
      <c r="AR635" t="s">
        <v>0</v>
      </c>
      <c r="AT635" s="2">
        <v>1.3140000000000001</v>
      </c>
      <c r="AU635" s="1">
        <f t="shared" si="75"/>
        <v>0.72020190119810401</v>
      </c>
      <c r="AV635" s="1">
        <f t="shared" si="76"/>
        <v>0.53297578017948322</v>
      </c>
      <c r="AW635" s="1">
        <f t="shared" si="77"/>
        <v>0.34574965916086237</v>
      </c>
    </row>
    <row r="636" spans="1:49" x14ac:dyDescent="0.2">
      <c r="A636">
        <v>634</v>
      </c>
      <c r="B636" t="s">
        <v>3200</v>
      </c>
      <c r="C636" t="s">
        <v>3199</v>
      </c>
      <c r="F636" t="s">
        <v>3198</v>
      </c>
      <c r="G636" t="s">
        <v>6</v>
      </c>
      <c r="H636" t="s">
        <v>5</v>
      </c>
      <c r="I636" t="s">
        <v>3197</v>
      </c>
      <c r="J636">
        <v>60016912</v>
      </c>
      <c r="K636" t="s">
        <v>3196</v>
      </c>
      <c r="L636" t="s">
        <v>324</v>
      </c>
      <c r="M636" t="s">
        <v>76</v>
      </c>
      <c r="N636">
        <v>4</v>
      </c>
      <c r="O636" t="s">
        <v>3195</v>
      </c>
      <c r="P636" t="s">
        <v>3194</v>
      </c>
      <c r="Q636" t="s">
        <v>3193</v>
      </c>
      <c r="R636" s="7">
        <v>37105</v>
      </c>
      <c r="S636" s="8">
        <f t="shared" si="72"/>
        <v>2001</v>
      </c>
      <c r="T636" s="8">
        <v>2001</v>
      </c>
      <c r="U636" s="8">
        <f t="shared" si="73"/>
        <v>21</v>
      </c>
      <c r="V636" s="7">
        <v>37105</v>
      </c>
      <c r="W636" t="s">
        <v>698</v>
      </c>
      <c r="X636" s="2">
        <v>0.375</v>
      </c>
      <c r="Y636" s="6">
        <f t="shared" si="78"/>
        <v>1.0010410827260351E-2</v>
      </c>
      <c r="AA636">
        <v>135194</v>
      </c>
      <c r="AB636">
        <v>24918</v>
      </c>
      <c r="AD636" t="s">
        <v>1</v>
      </c>
      <c r="AE636">
        <v>37</v>
      </c>
      <c r="AF636">
        <v>16</v>
      </c>
      <c r="AH636" t="s">
        <v>3192</v>
      </c>
      <c r="AI636" t="s">
        <v>3191</v>
      </c>
      <c r="AK636" t="s">
        <v>3190</v>
      </c>
      <c r="AL636">
        <v>22</v>
      </c>
      <c r="AM636" s="5">
        <f t="shared" si="74"/>
        <v>1.0476190476190477</v>
      </c>
      <c r="AN636" s="4">
        <f t="shared" si="79"/>
        <v>1.5867005643605417E-3</v>
      </c>
      <c r="AO636" s="3"/>
      <c r="AP636">
        <v>0</v>
      </c>
      <c r="AR636" t="s">
        <v>0</v>
      </c>
      <c r="AT636" s="2">
        <v>1.3140000000000001</v>
      </c>
      <c r="AU636" s="1">
        <f t="shared" si="75"/>
        <v>0.74832977483904084</v>
      </c>
      <c r="AV636" s="1">
        <f t="shared" si="76"/>
        <v>0.57985556958104456</v>
      </c>
      <c r="AW636" s="1">
        <f t="shared" si="77"/>
        <v>0.41138136432304845</v>
      </c>
    </row>
    <row r="637" spans="1:49" x14ac:dyDescent="0.2">
      <c r="A637">
        <v>635</v>
      </c>
      <c r="B637" t="s">
        <v>3189</v>
      </c>
      <c r="C637" t="s">
        <v>3188</v>
      </c>
      <c r="F637" t="s">
        <v>3187</v>
      </c>
      <c r="G637" t="s">
        <v>6</v>
      </c>
      <c r="H637" t="s">
        <v>5</v>
      </c>
      <c r="I637" t="s">
        <v>3186</v>
      </c>
      <c r="J637">
        <v>120999632</v>
      </c>
      <c r="K637" t="s">
        <v>3185</v>
      </c>
      <c r="L637" t="s">
        <v>3184</v>
      </c>
      <c r="M637" t="s">
        <v>197</v>
      </c>
      <c r="N637">
        <v>2</v>
      </c>
      <c r="O637" t="s">
        <v>3183</v>
      </c>
      <c r="P637" t="s">
        <v>3182</v>
      </c>
      <c r="Q637" t="s">
        <v>3181</v>
      </c>
      <c r="R637" s="7">
        <v>37104</v>
      </c>
      <c r="S637" s="8">
        <f t="shared" si="72"/>
        <v>2001</v>
      </c>
      <c r="T637" s="8">
        <v>2001</v>
      </c>
      <c r="U637" s="8">
        <f t="shared" si="73"/>
        <v>21</v>
      </c>
      <c r="V637" s="7">
        <v>37104</v>
      </c>
      <c r="W637" t="s">
        <v>640</v>
      </c>
      <c r="X637" s="2">
        <v>0.318</v>
      </c>
      <c r="Y637" s="6">
        <f t="shared" si="78"/>
        <v>8.4888283815167786E-3</v>
      </c>
      <c r="AA637">
        <v>338443</v>
      </c>
      <c r="AB637">
        <v>27160</v>
      </c>
      <c r="AC637">
        <v>15739120</v>
      </c>
      <c r="AD637" t="s">
        <v>1</v>
      </c>
      <c r="AE637">
        <v>44</v>
      </c>
      <c r="AF637">
        <v>8</v>
      </c>
      <c r="AH637" t="s">
        <v>3180</v>
      </c>
      <c r="AI637" t="s">
        <v>3179</v>
      </c>
      <c r="AK637" t="s">
        <v>3178</v>
      </c>
      <c r="AL637">
        <v>0</v>
      </c>
      <c r="AM637" s="5">
        <f t="shared" si="74"/>
        <v>0</v>
      </c>
      <c r="AN637" s="4">
        <f t="shared" si="79"/>
        <v>0</v>
      </c>
      <c r="AO637" s="3"/>
      <c r="AP637">
        <v>0</v>
      </c>
      <c r="AR637" t="s">
        <v>0</v>
      </c>
      <c r="AT637" s="2">
        <v>0.77</v>
      </c>
      <c r="AU637" s="1">
        <f t="shared" si="75"/>
        <v>0.59421798670617454</v>
      </c>
      <c r="AV637" s="1">
        <f t="shared" si="76"/>
        <v>0.42444141907583893</v>
      </c>
      <c r="AW637" s="1">
        <f t="shared" si="77"/>
        <v>0.25466485144550338</v>
      </c>
    </row>
    <row r="638" spans="1:49" x14ac:dyDescent="0.2">
      <c r="A638">
        <v>636</v>
      </c>
      <c r="B638" t="s">
        <v>3177</v>
      </c>
      <c r="F638" t="s">
        <v>3176</v>
      </c>
      <c r="G638" t="s">
        <v>6</v>
      </c>
      <c r="H638" t="s">
        <v>5</v>
      </c>
      <c r="I638" t="s">
        <v>3175</v>
      </c>
      <c r="J638">
        <v>60019106</v>
      </c>
      <c r="K638" t="s">
        <v>485</v>
      </c>
      <c r="L638" t="s">
        <v>484</v>
      </c>
      <c r="M638" t="s">
        <v>80</v>
      </c>
      <c r="N638">
        <v>2</v>
      </c>
      <c r="O638" t="s">
        <v>3174</v>
      </c>
      <c r="P638" t="s">
        <v>3173</v>
      </c>
      <c r="Q638" t="s">
        <v>481</v>
      </c>
      <c r="R638" s="7">
        <v>37104</v>
      </c>
      <c r="S638" s="8">
        <f t="shared" si="72"/>
        <v>2001</v>
      </c>
      <c r="T638" s="8">
        <v>2001</v>
      </c>
      <c r="U638" s="8">
        <f t="shared" si="73"/>
        <v>21</v>
      </c>
      <c r="V638" s="7">
        <v>37104</v>
      </c>
      <c r="W638" t="s">
        <v>896</v>
      </c>
      <c r="X638" s="2">
        <v>0.112</v>
      </c>
      <c r="Y638" s="6">
        <f t="shared" si="78"/>
        <v>2.9897760337417581E-3</v>
      </c>
      <c r="AA638">
        <v>3678393</v>
      </c>
      <c r="AB638">
        <v>4800153103</v>
      </c>
      <c r="AD638" t="s">
        <v>1</v>
      </c>
      <c r="AE638">
        <v>30</v>
      </c>
      <c r="AF638">
        <v>4</v>
      </c>
      <c r="AH638" t="s">
        <v>3172</v>
      </c>
      <c r="AI638" t="s">
        <v>3171</v>
      </c>
      <c r="AK638" t="s">
        <v>3170</v>
      </c>
      <c r="AL638">
        <v>1</v>
      </c>
      <c r="AM638" s="5">
        <f t="shared" si="74"/>
        <v>4.7619047619047616E-2</v>
      </c>
      <c r="AN638" s="4">
        <f t="shared" si="79"/>
        <v>7.2122752925479164E-5</v>
      </c>
      <c r="AO638" s="3"/>
      <c r="AP638">
        <v>0</v>
      </c>
      <c r="AR638" t="s">
        <v>0</v>
      </c>
      <c r="AT638" s="2" t="s">
        <v>7</v>
      </c>
      <c r="AU638" s="1">
        <f t="shared" si="75"/>
        <v>0.21144800494968743</v>
      </c>
      <c r="AV638" s="1">
        <f t="shared" si="76"/>
        <v>0.15309493933336188</v>
      </c>
      <c r="AW638" s="1">
        <f t="shared" si="77"/>
        <v>9.4741873717036268E-2</v>
      </c>
    </row>
    <row r="639" spans="1:49" x14ac:dyDescent="0.2">
      <c r="A639">
        <v>637</v>
      </c>
      <c r="B639" t="s">
        <v>3169</v>
      </c>
      <c r="C639" t="s">
        <v>3168</v>
      </c>
      <c r="F639" t="s">
        <v>3167</v>
      </c>
      <c r="G639" t="s">
        <v>6</v>
      </c>
      <c r="H639" t="s">
        <v>5</v>
      </c>
      <c r="I639" t="s">
        <v>114</v>
      </c>
      <c r="J639">
        <v>60003217</v>
      </c>
      <c r="K639" t="s">
        <v>113</v>
      </c>
      <c r="L639" t="s">
        <v>112</v>
      </c>
      <c r="M639" t="s">
        <v>111</v>
      </c>
      <c r="N639">
        <v>1</v>
      </c>
      <c r="O639" t="s">
        <v>1581</v>
      </c>
      <c r="P639">
        <v>7005087231</v>
      </c>
      <c r="Q639">
        <v>60003217</v>
      </c>
      <c r="R639" s="7">
        <v>37104</v>
      </c>
      <c r="S639" s="8">
        <f t="shared" si="72"/>
        <v>2001</v>
      </c>
      <c r="T639" s="8">
        <v>2001</v>
      </c>
      <c r="U639" s="8">
        <f t="shared" si="73"/>
        <v>21</v>
      </c>
      <c r="V639" s="7">
        <v>37104</v>
      </c>
      <c r="W639" t="s">
        <v>872</v>
      </c>
      <c r="X639" s="2">
        <v>0.22500000000000001</v>
      </c>
      <c r="Y639" s="6">
        <f t="shared" si="78"/>
        <v>6.0062464963562111E-3</v>
      </c>
      <c r="AA639">
        <v>2726343</v>
      </c>
      <c r="AB639">
        <v>16128</v>
      </c>
      <c r="AD639" t="s">
        <v>1</v>
      </c>
      <c r="AE639">
        <v>21</v>
      </c>
      <c r="AF639">
        <v>6</v>
      </c>
      <c r="AH639" t="s">
        <v>804</v>
      </c>
      <c r="AI639" t="s">
        <v>3166</v>
      </c>
      <c r="AJ639" t="s">
        <v>3165</v>
      </c>
      <c r="AK639" t="s">
        <v>3164</v>
      </c>
      <c r="AL639">
        <v>13</v>
      </c>
      <c r="AM639" s="5">
        <f t="shared" si="74"/>
        <v>0.61904761904761907</v>
      </c>
      <c r="AN639" s="4">
        <f t="shared" si="79"/>
        <v>9.3759578803122919E-4</v>
      </c>
      <c r="AO639" s="3"/>
      <c r="AP639">
        <v>0</v>
      </c>
      <c r="AR639" t="s">
        <v>0</v>
      </c>
      <c r="AT639" s="2">
        <v>1.099</v>
      </c>
      <c r="AU639" s="1">
        <f t="shared" si="75"/>
        <v>0.44856512838587165</v>
      </c>
      <c r="AV639" s="1">
        <f t="shared" si="76"/>
        <v>0.34719211421937202</v>
      </c>
      <c r="AW639" s="1">
        <f t="shared" si="77"/>
        <v>0.24581910005287239</v>
      </c>
    </row>
    <row r="640" spans="1:49" x14ac:dyDescent="0.2">
      <c r="A640">
        <v>638</v>
      </c>
      <c r="B640" t="s">
        <v>3163</v>
      </c>
      <c r="C640" t="s">
        <v>3162</v>
      </c>
      <c r="E640">
        <v>11462222</v>
      </c>
      <c r="F640" t="s">
        <v>3161</v>
      </c>
      <c r="G640" t="s">
        <v>6</v>
      </c>
      <c r="H640" t="s">
        <v>5</v>
      </c>
      <c r="I640" t="s">
        <v>3160</v>
      </c>
      <c r="J640" t="s">
        <v>3159</v>
      </c>
      <c r="K640" t="s">
        <v>3158</v>
      </c>
      <c r="L640" t="s">
        <v>3157</v>
      </c>
      <c r="M640" t="s">
        <v>3156</v>
      </c>
      <c r="N640">
        <v>12</v>
      </c>
      <c r="O640" t="s">
        <v>3155</v>
      </c>
      <c r="P640" t="s">
        <v>3154</v>
      </c>
      <c r="Q640" t="s">
        <v>3153</v>
      </c>
      <c r="R640" s="7">
        <v>37104</v>
      </c>
      <c r="S640" s="8">
        <f t="shared" si="72"/>
        <v>2001</v>
      </c>
      <c r="T640" s="8">
        <v>2001</v>
      </c>
      <c r="U640" s="8">
        <f t="shared" si="73"/>
        <v>21</v>
      </c>
      <c r="V640" s="7">
        <v>37104</v>
      </c>
      <c r="W640" t="s">
        <v>3152</v>
      </c>
      <c r="X640" s="2">
        <v>0.57599999999999996</v>
      </c>
      <c r="Y640" s="6">
        <f t="shared" si="78"/>
        <v>1.5375991030671898E-2</v>
      </c>
      <c r="AA640">
        <v>7394462</v>
      </c>
      <c r="AB640">
        <v>19155</v>
      </c>
      <c r="AD640" t="s">
        <v>1</v>
      </c>
      <c r="AE640">
        <v>47</v>
      </c>
      <c r="AF640">
        <v>4</v>
      </c>
      <c r="AH640" t="s">
        <v>596</v>
      </c>
      <c r="AI640" t="s">
        <v>3151</v>
      </c>
      <c r="AK640" t="s">
        <v>3150</v>
      </c>
      <c r="AL640">
        <v>28</v>
      </c>
      <c r="AM640" s="5">
        <f t="shared" si="74"/>
        <v>1.3333333333333333</v>
      </c>
      <c r="AN640" s="4">
        <f t="shared" si="79"/>
        <v>2.0194370819134164E-3</v>
      </c>
      <c r="AO640" s="3"/>
      <c r="AP640">
        <v>0</v>
      </c>
      <c r="AR640" t="s">
        <v>0</v>
      </c>
      <c r="AT640" s="2" t="s">
        <v>7</v>
      </c>
      <c r="AU640" s="1">
        <f t="shared" si="75"/>
        <v>1.1369024846044351</v>
      </c>
      <c r="AV640" s="1">
        <f t="shared" si="76"/>
        <v>0.86977140562926569</v>
      </c>
      <c r="AW640" s="1">
        <f t="shared" si="77"/>
        <v>0.60264032665409606</v>
      </c>
    </row>
    <row r="641" spans="1:49" x14ac:dyDescent="0.2">
      <c r="A641">
        <v>639</v>
      </c>
      <c r="B641" t="s">
        <v>3149</v>
      </c>
      <c r="C641" t="s">
        <v>3148</v>
      </c>
      <c r="F641" t="s">
        <v>3147</v>
      </c>
      <c r="G641" t="s">
        <v>6</v>
      </c>
      <c r="H641" t="s">
        <v>5</v>
      </c>
      <c r="I641" t="s">
        <v>3146</v>
      </c>
      <c r="J641" t="s">
        <v>3145</v>
      </c>
      <c r="K641" t="s">
        <v>3144</v>
      </c>
      <c r="L641" t="s">
        <v>3143</v>
      </c>
      <c r="M641" t="s">
        <v>45</v>
      </c>
      <c r="N641">
        <v>6</v>
      </c>
      <c r="O641" t="s">
        <v>3142</v>
      </c>
      <c r="P641" t="s">
        <v>3141</v>
      </c>
      <c r="Q641" t="s">
        <v>3140</v>
      </c>
      <c r="R641" s="7">
        <v>37104</v>
      </c>
      <c r="S641" s="8">
        <f t="shared" si="72"/>
        <v>2001</v>
      </c>
      <c r="T641" s="8">
        <v>2001</v>
      </c>
      <c r="U641" s="8">
        <f t="shared" si="73"/>
        <v>21</v>
      </c>
      <c r="V641" s="7">
        <v>37104</v>
      </c>
      <c r="W641" t="s">
        <v>25</v>
      </c>
      <c r="X641" s="2">
        <v>0.83499999999999996</v>
      </c>
      <c r="Y641" s="6">
        <f t="shared" si="78"/>
        <v>2.2289848108699713E-2</v>
      </c>
      <c r="AA641">
        <v>13438832</v>
      </c>
      <c r="AB641">
        <v>22568</v>
      </c>
      <c r="AC641">
        <v>18805981</v>
      </c>
      <c r="AD641" t="s">
        <v>1</v>
      </c>
      <c r="AE641">
        <v>53</v>
      </c>
      <c r="AF641">
        <v>7</v>
      </c>
      <c r="AH641" t="s">
        <v>3139</v>
      </c>
      <c r="AI641" t="s">
        <v>3138</v>
      </c>
      <c r="AK641" t="s">
        <v>3137</v>
      </c>
      <c r="AL641">
        <v>4</v>
      </c>
      <c r="AM641" s="5">
        <f t="shared" si="74"/>
        <v>0.19047619047619047</v>
      </c>
      <c r="AN641" s="4">
        <f t="shared" si="79"/>
        <v>2.8849101170191666E-4</v>
      </c>
      <c r="AO641" s="3"/>
      <c r="AP641">
        <v>1</v>
      </c>
      <c r="AR641" t="s">
        <v>0</v>
      </c>
      <c r="AT641" s="2" t="s">
        <v>7</v>
      </c>
      <c r="AU641" s="1">
        <f t="shared" si="75"/>
        <v>1.5689440979600371</v>
      </c>
      <c r="AV641" s="1">
        <f t="shared" si="76"/>
        <v>1.1289169560200814</v>
      </c>
      <c r="AW641" s="1">
        <f t="shared" si="77"/>
        <v>0.68888981408012562</v>
      </c>
    </row>
    <row r="642" spans="1:49" x14ac:dyDescent="0.2">
      <c r="A642">
        <v>640</v>
      </c>
      <c r="B642" t="s">
        <v>3136</v>
      </c>
      <c r="F642" t="s">
        <v>3135</v>
      </c>
      <c r="G642" t="s">
        <v>6</v>
      </c>
      <c r="H642" t="s">
        <v>5</v>
      </c>
      <c r="I642" t="s">
        <v>3134</v>
      </c>
      <c r="N642">
        <v>1</v>
      </c>
      <c r="O642" t="s">
        <v>3133</v>
      </c>
      <c r="P642">
        <v>7201413164</v>
      </c>
      <c r="R642" s="7">
        <v>37104</v>
      </c>
      <c r="S642" s="8">
        <f t="shared" ref="S642:S705" si="80">YEAR(R642)</f>
        <v>2001</v>
      </c>
      <c r="T642" s="8">
        <v>2001</v>
      </c>
      <c r="U642" s="8">
        <f t="shared" ref="U642:U705" si="81">2022-T642</f>
        <v>21</v>
      </c>
      <c r="V642" s="7">
        <v>37104</v>
      </c>
      <c r="W642" t="s">
        <v>670</v>
      </c>
      <c r="X642" s="2">
        <v>0.29499999999999998</v>
      </c>
      <c r="Y642" s="6">
        <f t="shared" si="78"/>
        <v>7.8748565174448087E-3</v>
      </c>
      <c r="AA642">
        <v>10642269</v>
      </c>
      <c r="AB642">
        <v>19554</v>
      </c>
      <c r="AD642" t="s">
        <v>1</v>
      </c>
      <c r="AE642">
        <v>46</v>
      </c>
      <c r="AF642">
        <v>8</v>
      </c>
      <c r="AH642" t="s">
        <v>3132</v>
      </c>
      <c r="AI642" t="s">
        <v>3131</v>
      </c>
      <c r="AK642" t="s">
        <v>3130</v>
      </c>
      <c r="AL642">
        <v>0</v>
      </c>
      <c r="AM642" s="5">
        <f t="shared" ref="AM642:AM705" si="82">AL642/U642</f>
        <v>0</v>
      </c>
      <c r="AN642" s="4">
        <f t="shared" si="79"/>
        <v>0</v>
      </c>
      <c r="AO642" s="3"/>
      <c r="AP642">
        <v>0</v>
      </c>
      <c r="AR642" t="s">
        <v>0</v>
      </c>
      <c r="AT642" s="2" t="s">
        <v>7</v>
      </c>
      <c r="AU642" s="1">
        <f t="shared" ref="AU642:AU705" si="83">(Y642*0.7+AN642*0.3)*100</f>
        <v>0.55123995622113653</v>
      </c>
      <c r="AV642" s="1">
        <f t="shared" ref="AV642:AV705" si="84">(Y642*0.5+AN642*0.5)*100</f>
        <v>0.39374282587224041</v>
      </c>
      <c r="AW642" s="1">
        <f t="shared" ref="AW642:AW705" si="85">(Y642*0.3+AN642*0.7)*100</f>
        <v>0.23624569552334423</v>
      </c>
    </row>
    <row r="643" spans="1:49" x14ac:dyDescent="0.2">
      <c r="A643">
        <v>641</v>
      </c>
      <c r="B643" t="s">
        <v>3129</v>
      </c>
      <c r="F643" t="s">
        <v>3128</v>
      </c>
      <c r="G643" t="s">
        <v>6</v>
      </c>
      <c r="H643" t="s">
        <v>5</v>
      </c>
      <c r="I643" t="s">
        <v>3127</v>
      </c>
      <c r="N643">
        <v>2</v>
      </c>
      <c r="O643" t="s">
        <v>3126</v>
      </c>
      <c r="P643" t="s">
        <v>3125</v>
      </c>
      <c r="Q643" t="s">
        <v>582</v>
      </c>
      <c r="R643" s="7">
        <v>37104</v>
      </c>
      <c r="S643" s="8">
        <f t="shared" si="80"/>
        <v>2001</v>
      </c>
      <c r="T643" s="8">
        <v>2001</v>
      </c>
      <c r="U643" s="8">
        <f t="shared" si="81"/>
        <v>21</v>
      </c>
      <c r="V643" s="7">
        <v>37104</v>
      </c>
      <c r="W643" t="s">
        <v>670</v>
      </c>
      <c r="X643" s="2">
        <v>0.29499999999999998</v>
      </c>
      <c r="Y643" s="6">
        <f t="shared" ref="Y643:Y706" si="86">(X643-$Z$3)/($Z$2-$Z$3)</f>
        <v>7.8748565174448087E-3</v>
      </c>
      <c r="AA643">
        <v>10642269</v>
      </c>
      <c r="AB643">
        <v>19554</v>
      </c>
      <c r="AD643" t="s">
        <v>1</v>
      </c>
      <c r="AE643">
        <v>46</v>
      </c>
      <c r="AF643">
        <v>8</v>
      </c>
      <c r="AH643" t="s">
        <v>3124</v>
      </c>
      <c r="AI643" t="s">
        <v>3123</v>
      </c>
      <c r="AK643" t="s">
        <v>3122</v>
      </c>
      <c r="AL643">
        <v>1</v>
      </c>
      <c r="AM643" s="5">
        <f t="shared" si="82"/>
        <v>4.7619047619047616E-2</v>
      </c>
      <c r="AN643" s="4">
        <f t="shared" ref="AN643:AN706" si="87">(AM643-$AO$3)/($AO$2-$AO$3)</f>
        <v>7.2122752925479164E-5</v>
      </c>
      <c r="AO643" s="3"/>
      <c r="AP643">
        <v>0</v>
      </c>
      <c r="AR643" t="s">
        <v>0</v>
      </c>
      <c r="AT643" s="2" t="s">
        <v>7</v>
      </c>
      <c r="AU643" s="1">
        <f t="shared" si="83"/>
        <v>0.55340363880890087</v>
      </c>
      <c r="AV643" s="1">
        <f t="shared" si="84"/>
        <v>0.39734896351851445</v>
      </c>
      <c r="AW643" s="1">
        <f t="shared" si="85"/>
        <v>0.24129428822812779</v>
      </c>
    </row>
    <row r="644" spans="1:49" x14ac:dyDescent="0.2">
      <c r="A644">
        <v>642</v>
      </c>
      <c r="B644" t="s">
        <v>3121</v>
      </c>
      <c r="F644" t="s">
        <v>3120</v>
      </c>
      <c r="G644" t="s">
        <v>6</v>
      </c>
      <c r="H644" t="s">
        <v>5</v>
      </c>
      <c r="I644" t="s">
        <v>3119</v>
      </c>
      <c r="N644">
        <v>1</v>
      </c>
      <c r="O644" t="s">
        <v>3118</v>
      </c>
      <c r="P644">
        <v>6602932483</v>
      </c>
      <c r="R644" s="7">
        <v>37104</v>
      </c>
      <c r="S644" s="8">
        <f t="shared" si="80"/>
        <v>2001</v>
      </c>
      <c r="T644" s="8">
        <v>2001</v>
      </c>
      <c r="U644" s="8">
        <f t="shared" si="81"/>
        <v>21</v>
      </c>
      <c r="V644" s="7">
        <v>37104</v>
      </c>
      <c r="W644" t="s">
        <v>670</v>
      </c>
      <c r="X644" s="2">
        <v>0.29499999999999998</v>
      </c>
      <c r="Y644" s="6">
        <f t="shared" si="86"/>
        <v>7.8748565174448087E-3</v>
      </c>
      <c r="AA644">
        <v>10642269</v>
      </c>
      <c r="AB644">
        <v>19554</v>
      </c>
      <c r="AD644" t="s">
        <v>1</v>
      </c>
      <c r="AE644">
        <v>46</v>
      </c>
      <c r="AF644">
        <v>8</v>
      </c>
      <c r="AH644" t="s">
        <v>3117</v>
      </c>
      <c r="AI644" t="s">
        <v>3116</v>
      </c>
      <c r="AK644" t="s">
        <v>3115</v>
      </c>
      <c r="AL644">
        <v>0</v>
      </c>
      <c r="AM644" s="5">
        <f t="shared" si="82"/>
        <v>0</v>
      </c>
      <c r="AN644" s="4">
        <f t="shared" si="87"/>
        <v>0</v>
      </c>
      <c r="AO644" s="3"/>
      <c r="AP644">
        <v>0</v>
      </c>
      <c r="AR644" t="s">
        <v>0</v>
      </c>
      <c r="AT644" s="2" t="s">
        <v>7</v>
      </c>
      <c r="AU644" s="1">
        <f t="shared" si="83"/>
        <v>0.55123995622113653</v>
      </c>
      <c r="AV644" s="1">
        <f t="shared" si="84"/>
        <v>0.39374282587224041</v>
      </c>
      <c r="AW644" s="1">
        <f t="shared" si="85"/>
        <v>0.23624569552334423</v>
      </c>
    </row>
    <row r="645" spans="1:49" x14ac:dyDescent="0.2">
      <c r="A645">
        <v>643</v>
      </c>
      <c r="B645" t="s">
        <v>3114</v>
      </c>
      <c r="F645" t="s">
        <v>3113</v>
      </c>
      <c r="G645" t="s">
        <v>6</v>
      </c>
      <c r="H645" t="s">
        <v>5</v>
      </c>
      <c r="I645" t="s">
        <v>3112</v>
      </c>
      <c r="N645">
        <v>3</v>
      </c>
      <c r="O645" t="s">
        <v>3111</v>
      </c>
      <c r="P645" t="s">
        <v>3110</v>
      </c>
      <c r="Q645" t="s">
        <v>581</v>
      </c>
      <c r="R645" s="7">
        <v>37104</v>
      </c>
      <c r="S645" s="8">
        <f t="shared" si="80"/>
        <v>2001</v>
      </c>
      <c r="T645" s="8">
        <v>2001</v>
      </c>
      <c r="U645" s="8">
        <f t="shared" si="81"/>
        <v>21</v>
      </c>
      <c r="V645" s="7">
        <v>37104</v>
      </c>
      <c r="W645" t="s">
        <v>670</v>
      </c>
      <c r="X645" s="2">
        <v>0.29499999999999998</v>
      </c>
      <c r="Y645" s="6">
        <f t="shared" si="86"/>
        <v>7.8748565174448087E-3</v>
      </c>
      <c r="AA645">
        <v>10642269</v>
      </c>
      <c r="AB645">
        <v>19554</v>
      </c>
      <c r="AD645" t="s">
        <v>1</v>
      </c>
      <c r="AE645">
        <v>46</v>
      </c>
      <c r="AF645">
        <v>8</v>
      </c>
      <c r="AH645" t="s">
        <v>3109</v>
      </c>
      <c r="AI645" t="s">
        <v>3108</v>
      </c>
      <c r="AK645" t="s">
        <v>3107</v>
      </c>
      <c r="AL645">
        <v>2</v>
      </c>
      <c r="AM645" s="5">
        <f t="shared" si="82"/>
        <v>9.5238095238095233E-2</v>
      </c>
      <c r="AN645" s="4">
        <f t="shared" si="87"/>
        <v>1.4424550585095833E-4</v>
      </c>
      <c r="AO645" s="3"/>
      <c r="AP645">
        <v>0</v>
      </c>
      <c r="AR645" t="s">
        <v>0</v>
      </c>
      <c r="AT645" s="2" t="s">
        <v>7</v>
      </c>
      <c r="AU645" s="1">
        <f t="shared" si="83"/>
        <v>0.55556732139666531</v>
      </c>
      <c r="AV645" s="1">
        <f t="shared" si="84"/>
        <v>0.40095510116478833</v>
      </c>
      <c r="AW645" s="1">
        <f t="shared" si="85"/>
        <v>0.24634288093291135</v>
      </c>
    </row>
    <row r="646" spans="1:49" x14ac:dyDescent="0.2">
      <c r="A646">
        <v>644</v>
      </c>
      <c r="B646" t="s">
        <v>3106</v>
      </c>
      <c r="F646" t="s">
        <v>3105</v>
      </c>
      <c r="G646" t="s">
        <v>6</v>
      </c>
      <c r="H646" t="s">
        <v>5</v>
      </c>
      <c r="I646" t="s">
        <v>3104</v>
      </c>
      <c r="N646">
        <v>1</v>
      </c>
      <c r="O646" t="s">
        <v>3103</v>
      </c>
      <c r="P646">
        <v>6507075476</v>
      </c>
      <c r="R646" s="7">
        <v>37104</v>
      </c>
      <c r="S646" s="8">
        <f t="shared" si="80"/>
        <v>2001</v>
      </c>
      <c r="T646" s="8">
        <v>2001</v>
      </c>
      <c r="U646" s="8">
        <f t="shared" si="81"/>
        <v>21</v>
      </c>
      <c r="V646" s="7">
        <v>37104</v>
      </c>
      <c r="W646" t="s">
        <v>670</v>
      </c>
      <c r="X646" s="2">
        <v>0.29499999999999998</v>
      </c>
      <c r="Y646" s="6">
        <f t="shared" si="86"/>
        <v>7.8748565174448087E-3</v>
      </c>
      <c r="AA646">
        <v>10642269</v>
      </c>
      <c r="AB646">
        <v>19554</v>
      </c>
      <c r="AD646" t="s">
        <v>1</v>
      </c>
      <c r="AE646">
        <v>46</v>
      </c>
      <c r="AF646">
        <v>8</v>
      </c>
      <c r="AH646" t="s">
        <v>3102</v>
      </c>
      <c r="AI646" t="s">
        <v>3101</v>
      </c>
      <c r="AK646" t="s">
        <v>3100</v>
      </c>
      <c r="AL646">
        <v>2</v>
      </c>
      <c r="AM646" s="5">
        <f t="shared" si="82"/>
        <v>9.5238095238095233E-2</v>
      </c>
      <c r="AN646" s="4">
        <f t="shared" si="87"/>
        <v>1.4424550585095833E-4</v>
      </c>
      <c r="AO646" s="3"/>
      <c r="AP646">
        <v>0</v>
      </c>
      <c r="AR646" t="s">
        <v>0</v>
      </c>
      <c r="AT646" s="2" t="s">
        <v>7</v>
      </c>
      <c r="AU646" s="1">
        <f t="shared" si="83"/>
        <v>0.55556732139666531</v>
      </c>
      <c r="AV646" s="1">
        <f t="shared" si="84"/>
        <v>0.40095510116478833</v>
      </c>
      <c r="AW646" s="1">
        <f t="shared" si="85"/>
        <v>0.24634288093291135</v>
      </c>
    </row>
    <row r="647" spans="1:49" x14ac:dyDescent="0.2">
      <c r="A647">
        <v>645</v>
      </c>
      <c r="B647" t="s">
        <v>3099</v>
      </c>
      <c r="F647" t="s">
        <v>3098</v>
      </c>
      <c r="G647" t="s">
        <v>6</v>
      </c>
      <c r="H647" t="s">
        <v>5</v>
      </c>
      <c r="I647" t="s">
        <v>3097</v>
      </c>
      <c r="N647">
        <v>1</v>
      </c>
      <c r="O647" t="s">
        <v>3096</v>
      </c>
      <c r="P647">
        <v>7004038835</v>
      </c>
      <c r="R647" s="7">
        <v>37104</v>
      </c>
      <c r="S647" s="8">
        <f t="shared" si="80"/>
        <v>2001</v>
      </c>
      <c r="T647" s="8">
        <v>2001</v>
      </c>
      <c r="U647" s="8">
        <f t="shared" si="81"/>
        <v>21</v>
      </c>
      <c r="V647" s="7">
        <v>37104</v>
      </c>
      <c r="W647" t="s">
        <v>670</v>
      </c>
      <c r="X647" s="2">
        <v>0.29499999999999998</v>
      </c>
      <c r="Y647" s="6">
        <f t="shared" si="86"/>
        <v>7.8748565174448087E-3</v>
      </c>
      <c r="AA647">
        <v>10642269</v>
      </c>
      <c r="AB647">
        <v>19554</v>
      </c>
      <c r="AD647" t="s">
        <v>1</v>
      </c>
      <c r="AE647">
        <v>46</v>
      </c>
      <c r="AF647">
        <v>8</v>
      </c>
      <c r="AH647" t="s">
        <v>3095</v>
      </c>
      <c r="AI647" t="s">
        <v>3094</v>
      </c>
      <c r="AK647" t="s">
        <v>3093</v>
      </c>
      <c r="AL647">
        <v>1</v>
      </c>
      <c r="AM647" s="5">
        <f t="shared" si="82"/>
        <v>4.7619047619047616E-2</v>
      </c>
      <c r="AN647" s="4">
        <f t="shared" si="87"/>
        <v>7.2122752925479164E-5</v>
      </c>
      <c r="AO647" s="3"/>
      <c r="AP647">
        <v>0</v>
      </c>
      <c r="AR647" t="s">
        <v>0</v>
      </c>
      <c r="AT647" s="2" t="s">
        <v>7</v>
      </c>
      <c r="AU647" s="1">
        <f t="shared" si="83"/>
        <v>0.55340363880890087</v>
      </c>
      <c r="AV647" s="1">
        <f t="shared" si="84"/>
        <v>0.39734896351851445</v>
      </c>
      <c r="AW647" s="1">
        <f t="shared" si="85"/>
        <v>0.24129428822812779</v>
      </c>
    </row>
    <row r="648" spans="1:49" x14ac:dyDescent="0.2">
      <c r="A648">
        <v>646</v>
      </c>
      <c r="B648" t="s">
        <v>3092</v>
      </c>
      <c r="C648" t="s">
        <v>3091</v>
      </c>
      <c r="F648" t="s">
        <v>3090</v>
      </c>
      <c r="G648" t="s">
        <v>6</v>
      </c>
      <c r="H648" t="s">
        <v>5</v>
      </c>
      <c r="I648" t="s">
        <v>3089</v>
      </c>
      <c r="J648" t="s">
        <v>3084</v>
      </c>
      <c r="K648" t="s">
        <v>3088</v>
      </c>
      <c r="L648" t="s">
        <v>3087</v>
      </c>
      <c r="M648" t="s">
        <v>31</v>
      </c>
      <c r="N648">
        <v>3</v>
      </c>
      <c r="O648" t="s">
        <v>3086</v>
      </c>
      <c r="P648" t="s">
        <v>3085</v>
      </c>
      <c r="Q648" t="s">
        <v>3084</v>
      </c>
      <c r="R648" s="7">
        <v>37104</v>
      </c>
      <c r="S648" s="8">
        <f t="shared" si="80"/>
        <v>2001</v>
      </c>
      <c r="T648" s="8">
        <v>2001</v>
      </c>
      <c r="U648" s="8">
        <f t="shared" si="81"/>
        <v>21</v>
      </c>
      <c r="V648" s="7">
        <v>37104</v>
      </c>
      <c r="W648" t="s">
        <v>872</v>
      </c>
      <c r="X648" s="2">
        <v>0.22500000000000001</v>
      </c>
      <c r="Y648" s="6">
        <f t="shared" si="86"/>
        <v>6.0062464963562111E-3</v>
      </c>
      <c r="AA648">
        <v>2726343</v>
      </c>
      <c r="AB648">
        <v>16128</v>
      </c>
      <c r="AD648" t="s">
        <v>1</v>
      </c>
      <c r="AE648">
        <v>21</v>
      </c>
      <c r="AF648">
        <v>6</v>
      </c>
      <c r="AH648" t="s">
        <v>3083</v>
      </c>
      <c r="AI648" t="s">
        <v>3082</v>
      </c>
      <c r="AJ648" t="s">
        <v>3081</v>
      </c>
      <c r="AK648" t="s">
        <v>3080</v>
      </c>
      <c r="AL648">
        <v>8</v>
      </c>
      <c r="AM648" s="5">
        <f t="shared" si="82"/>
        <v>0.38095238095238093</v>
      </c>
      <c r="AN648" s="4">
        <f t="shared" si="87"/>
        <v>5.7698202340383331E-4</v>
      </c>
      <c r="AO648" s="3"/>
      <c r="AP648">
        <v>0</v>
      </c>
      <c r="AR648" t="s">
        <v>0</v>
      </c>
      <c r="AT648" s="2">
        <v>1.099</v>
      </c>
      <c r="AU648" s="1">
        <f t="shared" si="83"/>
        <v>0.43774671544704974</v>
      </c>
      <c r="AV648" s="1">
        <f t="shared" si="84"/>
        <v>0.32916142598800219</v>
      </c>
      <c r="AW648" s="1">
        <f t="shared" si="85"/>
        <v>0.22057613652895466</v>
      </c>
    </row>
    <row r="649" spans="1:49" x14ac:dyDescent="0.2">
      <c r="A649">
        <v>647</v>
      </c>
      <c r="B649" t="s">
        <v>3079</v>
      </c>
      <c r="C649" t="s">
        <v>3078</v>
      </c>
      <c r="F649" t="s">
        <v>3077</v>
      </c>
      <c r="G649" t="s">
        <v>6</v>
      </c>
      <c r="H649" t="s">
        <v>5</v>
      </c>
      <c r="I649" t="s">
        <v>3076</v>
      </c>
      <c r="J649">
        <v>60012820</v>
      </c>
      <c r="K649" t="s">
        <v>3075</v>
      </c>
      <c r="L649" t="s">
        <v>63</v>
      </c>
      <c r="M649" t="s">
        <v>62</v>
      </c>
      <c r="N649">
        <v>4</v>
      </c>
      <c r="O649" t="s">
        <v>3074</v>
      </c>
      <c r="P649" t="s">
        <v>3073</v>
      </c>
      <c r="Q649" t="s">
        <v>3072</v>
      </c>
      <c r="R649" s="7">
        <v>37104</v>
      </c>
      <c r="S649" s="8">
        <f t="shared" si="80"/>
        <v>2001</v>
      </c>
      <c r="T649" s="8">
        <v>2001</v>
      </c>
      <c r="U649" s="8">
        <f t="shared" si="81"/>
        <v>21</v>
      </c>
      <c r="V649" s="7">
        <v>37104</v>
      </c>
      <c r="W649" t="s">
        <v>3071</v>
      </c>
      <c r="X649" s="2">
        <v>0.34799999999999998</v>
      </c>
      <c r="Y649" s="6">
        <f t="shared" si="86"/>
        <v>9.2896612476976049E-3</v>
      </c>
      <c r="AA649" t="s">
        <v>3070</v>
      </c>
      <c r="AB649">
        <v>27432</v>
      </c>
      <c r="AD649" t="s">
        <v>1</v>
      </c>
      <c r="AE649">
        <v>18</v>
      </c>
      <c r="AF649">
        <v>8</v>
      </c>
      <c r="AH649" t="s">
        <v>3069</v>
      </c>
      <c r="AI649" t="s">
        <v>3068</v>
      </c>
      <c r="AK649" t="s">
        <v>3067</v>
      </c>
      <c r="AL649">
        <v>14</v>
      </c>
      <c r="AM649" s="5">
        <f t="shared" si="82"/>
        <v>0.66666666666666663</v>
      </c>
      <c r="AN649" s="4">
        <f t="shared" si="87"/>
        <v>1.0097185409567082E-3</v>
      </c>
      <c r="AO649" s="3"/>
      <c r="AP649">
        <v>0</v>
      </c>
      <c r="AR649" t="s">
        <v>0</v>
      </c>
      <c r="AT649" s="2">
        <v>1.4830000000000001</v>
      </c>
      <c r="AU649" s="1">
        <f t="shared" si="83"/>
        <v>0.68056784356753353</v>
      </c>
      <c r="AV649" s="1">
        <f t="shared" si="84"/>
        <v>0.51496898943271563</v>
      </c>
      <c r="AW649" s="1">
        <f t="shared" si="85"/>
        <v>0.34937013529789768</v>
      </c>
    </row>
    <row r="650" spans="1:49" x14ac:dyDescent="0.2">
      <c r="A650">
        <v>648</v>
      </c>
      <c r="B650" t="s">
        <v>3066</v>
      </c>
      <c r="C650" t="s">
        <v>3065</v>
      </c>
      <c r="F650" t="s">
        <v>3064</v>
      </c>
      <c r="G650" t="s">
        <v>6</v>
      </c>
      <c r="H650" t="s">
        <v>5</v>
      </c>
      <c r="I650" t="s">
        <v>763</v>
      </c>
      <c r="J650">
        <v>60003771</v>
      </c>
      <c r="K650" t="s">
        <v>590</v>
      </c>
      <c r="L650" t="s">
        <v>589</v>
      </c>
      <c r="M650" t="s">
        <v>37</v>
      </c>
      <c r="N650">
        <v>1</v>
      </c>
      <c r="O650" t="s">
        <v>762</v>
      </c>
      <c r="P650">
        <v>17435967100</v>
      </c>
      <c r="Q650">
        <v>60003771</v>
      </c>
      <c r="R650" s="7">
        <v>37104</v>
      </c>
      <c r="S650" s="8">
        <f t="shared" si="80"/>
        <v>2001</v>
      </c>
      <c r="T650" s="8">
        <v>2001</v>
      </c>
      <c r="U650" s="8">
        <f t="shared" si="81"/>
        <v>21</v>
      </c>
      <c r="V650" s="7">
        <v>37104</v>
      </c>
      <c r="W650" s="11" t="s">
        <v>761</v>
      </c>
      <c r="X650" s="2">
        <v>2.383</v>
      </c>
      <c r="Y650" s="6">
        <f t="shared" si="86"/>
        <v>6.3612824003630442E-2</v>
      </c>
      <c r="AA650">
        <v>13502395</v>
      </c>
      <c r="AB650">
        <v>17418</v>
      </c>
      <c r="AD650" t="s">
        <v>1</v>
      </c>
      <c r="AE650">
        <v>148</v>
      </c>
      <c r="AF650">
        <v>4</v>
      </c>
      <c r="AH650" t="s">
        <v>3063</v>
      </c>
      <c r="AI650" t="s">
        <v>3062</v>
      </c>
      <c r="AK650" t="s">
        <v>3061</v>
      </c>
      <c r="AL650">
        <v>3</v>
      </c>
      <c r="AM650" s="5">
        <f t="shared" si="82"/>
        <v>0.14285714285714285</v>
      </c>
      <c r="AN650" s="4">
        <f t="shared" si="87"/>
        <v>2.1636825877643749E-4</v>
      </c>
      <c r="AO650" s="3"/>
      <c r="AP650">
        <v>0</v>
      </c>
      <c r="AR650" t="s">
        <v>0</v>
      </c>
      <c r="AT650" s="2" t="s">
        <v>7</v>
      </c>
      <c r="AU650" s="1">
        <f t="shared" si="83"/>
        <v>4.4593887280174247</v>
      </c>
      <c r="AV650" s="1">
        <f t="shared" si="84"/>
        <v>3.1914596131203439</v>
      </c>
      <c r="AW650" s="1">
        <f t="shared" si="85"/>
        <v>1.9235304982232637</v>
      </c>
    </row>
    <row r="651" spans="1:49" x14ac:dyDescent="0.2">
      <c r="A651">
        <v>649</v>
      </c>
      <c r="B651" t="s">
        <v>3060</v>
      </c>
      <c r="C651" t="s">
        <v>3059</v>
      </c>
      <c r="F651" t="s">
        <v>3058</v>
      </c>
      <c r="G651" t="s">
        <v>6</v>
      </c>
      <c r="H651" t="s">
        <v>5</v>
      </c>
      <c r="I651" t="s">
        <v>3057</v>
      </c>
      <c r="J651">
        <v>60020650</v>
      </c>
      <c r="K651" t="s">
        <v>871</v>
      </c>
      <c r="L651" t="s">
        <v>870</v>
      </c>
      <c r="M651" t="s">
        <v>37</v>
      </c>
      <c r="N651">
        <v>7</v>
      </c>
      <c r="O651" t="s">
        <v>3056</v>
      </c>
      <c r="P651" t="s">
        <v>3055</v>
      </c>
      <c r="Q651" t="s">
        <v>3054</v>
      </c>
      <c r="R651" s="7">
        <v>37104</v>
      </c>
      <c r="S651" s="8">
        <f t="shared" si="80"/>
        <v>2001</v>
      </c>
      <c r="T651" s="8">
        <v>2001</v>
      </c>
      <c r="U651" s="8">
        <f t="shared" si="81"/>
        <v>21</v>
      </c>
      <c r="V651" s="7">
        <v>37104</v>
      </c>
      <c r="W651" s="11" t="s">
        <v>761</v>
      </c>
      <c r="X651" s="2">
        <v>2.383</v>
      </c>
      <c r="Y651" s="6">
        <f t="shared" si="86"/>
        <v>6.3612824003630442E-2</v>
      </c>
      <c r="AA651">
        <v>13502395</v>
      </c>
      <c r="AB651">
        <v>17418</v>
      </c>
      <c r="AD651" t="s">
        <v>1</v>
      </c>
      <c r="AE651">
        <v>148</v>
      </c>
      <c r="AF651">
        <v>4</v>
      </c>
      <c r="AH651" t="s">
        <v>3053</v>
      </c>
      <c r="AI651" t="s">
        <v>3052</v>
      </c>
      <c r="AK651" t="s">
        <v>3051</v>
      </c>
      <c r="AL651">
        <v>21</v>
      </c>
      <c r="AM651" s="5">
        <f t="shared" si="82"/>
        <v>1</v>
      </c>
      <c r="AN651" s="4">
        <f t="shared" si="87"/>
        <v>1.5145778114350624E-3</v>
      </c>
      <c r="AO651" s="3"/>
      <c r="AP651">
        <v>0</v>
      </c>
      <c r="AR651" t="s">
        <v>0</v>
      </c>
      <c r="AT651" s="2" t="s">
        <v>7</v>
      </c>
      <c r="AU651" s="1">
        <f t="shared" si="83"/>
        <v>4.498335014597183</v>
      </c>
      <c r="AV651" s="1">
        <f t="shared" si="84"/>
        <v>3.2563700907532751</v>
      </c>
      <c r="AW651" s="1">
        <f t="shared" si="85"/>
        <v>2.0144051669093677</v>
      </c>
    </row>
    <row r="652" spans="1:49" x14ac:dyDescent="0.2">
      <c r="A652">
        <v>650</v>
      </c>
      <c r="B652" t="s">
        <v>3050</v>
      </c>
      <c r="C652" t="s">
        <v>3049</v>
      </c>
      <c r="F652" t="s">
        <v>3048</v>
      </c>
      <c r="G652" t="s">
        <v>6</v>
      </c>
      <c r="H652" t="s">
        <v>5</v>
      </c>
      <c r="I652" t="s">
        <v>3047</v>
      </c>
      <c r="J652">
        <v>60007457</v>
      </c>
      <c r="K652" t="s">
        <v>709</v>
      </c>
      <c r="L652" t="s">
        <v>198</v>
      </c>
      <c r="M652" t="s">
        <v>197</v>
      </c>
      <c r="N652">
        <v>3</v>
      </c>
      <c r="O652" t="s">
        <v>3046</v>
      </c>
      <c r="P652" t="s">
        <v>3045</v>
      </c>
      <c r="Q652" t="s">
        <v>3044</v>
      </c>
      <c r="R652" s="7">
        <v>37104</v>
      </c>
      <c r="S652" s="8">
        <f t="shared" si="80"/>
        <v>2001</v>
      </c>
      <c r="T652" s="8">
        <v>2001</v>
      </c>
      <c r="U652" s="8">
        <f t="shared" si="81"/>
        <v>21</v>
      </c>
      <c r="V652" s="7">
        <v>37104</v>
      </c>
      <c r="W652" t="s">
        <v>556</v>
      </c>
      <c r="X652" s="2">
        <v>0.33300000000000002</v>
      </c>
      <c r="Y652" s="6">
        <f t="shared" si="86"/>
        <v>8.8892448146071917E-3</v>
      </c>
      <c r="AA652" t="s">
        <v>555</v>
      </c>
      <c r="AB652">
        <v>29252</v>
      </c>
      <c r="AD652" t="s">
        <v>1</v>
      </c>
      <c r="AE652">
        <v>27</v>
      </c>
      <c r="AF652">
        <v>8</v>
      </c>
      <c r="AH652" t="s">
        <v>3043</v>
      </c>
      <c r="AI652" t="s">
        <v>3042</v>
      </c>
      <c r="AK652" t="s">
        <v>3041</v>
      </c>
      <c r="AL652">
        <v>8</v>
      </c>
      <c r="AM652" s="5">
        <f t="shared" si="82"/>
        <v>0.38095238095238093</v>
      </c>
      <c r="AN652" s="4">
        <f t="shared" si="87"/>
        <v>5.7698202340383331E-4</v>
      </c>
      <c r="AO652" s="3"/>
      <c r="AP652">
        <v>0</v>
      </c>
      <c r="AQ652" t="s">
        <v>707</v>
      </c>
      <c r="AR652" t="s">
        <v>3040</v>
      </c>
      <c r="AS652" t="s">
        <v>218</v>
      </c>
      <c r="AT652" s="2">
        <v>0.97699999999999998</v>
      </c>
      <c r="AU652" s="1">
        <f t="shared" si="83"/>
        <v>0.63955659772461837</v>
      </c>
      <c r="AV652" s="1">
        <f t="shared" si="84"/>
        <v>0.47331134190055124</v>
      </c>
      <c r="AW652" s="1">
        <f t="shared" si="85"/>
        <v>0.30706608607648406</v>
      </c>
    </row>
    <row r="653" spans="1:49" x14ac:dyDescent="0.2">
      <c r="A653">
        <v>651</v>
      </c>
      <c r="B653" t="s">
        <v>3039</v>
      </c>
      <c r="C653" t="s">
        <v>3038</v>
      </c>
      <c r="F653" t="s">
        <v>3037</v>
      </c>
      <c r="G653" t="s">
        <v>6</v>
      </c>
      <c r="H653" t="s">
        <v>5</v>
      </c>
      <c r="I653" t="s">
        <v>3036</v>
      </c>
      <c r="J653" t="s">
        <v>3035</v>
      </c>
      <c r="K653" t="s">
        <v>3034</v>
      </c>
      <c r="L653" t="s">
        <v>3033</v>
      </c>
      <c r="M653" t="s">
        <v>3032</v>
      </c>
      <c r="N653">
        <v>6</v>
      </c>
      <c r="O653" t="s">
        <v>3031</v>
      </c>
      <c r="P653" t="s">
        <v>3030</v>
      </c>
      <c r="Q653" t="s">
        <v>3029</v>
      </c>
      <c r="R653" s="7">
        <v>37104</v>
      </c>
      <c r="S653" s="8">
        <f t="shared" si="80"/>
        <v>2001</v>
      </c>
      <c r="T653" s="8">
        <v>2001</v>
      </c>
      <c r="U653" s="8">
        <f t="shared" si="81"/>
        <v>21</v>
      </c>
      <c r="V653" s="7">
        <v>37104</v>
      </c>
      <c r="W653" t="s">
        <v>645</v>
      </c>
      <c r="X653" s="2">
        <v>2.3759999999999999</v>
      </c>
      <c r="Y653" s="6">
        <f t="shared" si="86"/>
        <v>6.3425963001521576E-2</v>
      </c>
      <c r="AA653" t="s">
        <v>644</v>
      </c>
      <c r="AB653">
        <v>26765</v>
      </c>
      <c r="AC653">
        <v>15384357</v>
      </c>
      <c r="AD653" t="s">
        <v>1</v>
      </c>
      <c r="AE653">
        <v>556</v>
      </c>
      <c r="AF653" t="s">
        <v>700</v>
      </c>
      <c r="AH653" t="s">
        <v>3028</v>
      </c>
      <c r="AI653" t="s">
        <v>3027</v>
      </c>
      <c r="AJ653" t="s">
        <v>3026</v>
      </c>
      <c r="AK653" t="s">
        <v>3025</v>
      </c>
      <c r="AL653">
        <v>48</v>
      </c>
      <c r="AM653" s="5">
        <f t="shared" si="82"/>
        <v>2.2857142857142856</v>
      </c>
      <c r="AN653" s="4">
        <f t="shared" si="87"/>
        <v>3.4618921404229999E-3</v>
      </c>
      <c r="AO653" s="3"/>
      <c r="AP653">
        <v>0</v>
      </c>
      <c r="AQ653" t="s">
        <v>21</v>
      </c>
      <c r="AR653">
        <v>9900732</v>
      </c>
      <c r="AS653" t="s">
        <v>20</v>
      </c>
      <c r="AT653" s="2">
        <v>5.8739999999999997</v>
      </c>
      <c r="AU653" s="1">
        <f t="shared" si="83"/>
        <v>4.5436741743191993</v>
      </c>
      <c r="AV653" s="1">
        <f t="shared" si="84"/>
        <v>3.3443927570972289</v>
      </c>
      <c r="AW653" s="1">
        <f t="shared" si="85"/>
        <v>2.1451113398752573</v>
      </c>
    </row>
    <row r="654" spans="1:49" x14ac:dyDescent="0.2">
      <c r="A654">
        <v>652</v>
      </c>
      <c r="B654" t="s">
        <v>3024</v>
      </c>
      <c r="C654" t="s">
        <v>3023</v>
      </c>
      <c r="D654" t="s">
        <v>3022</v>
      </c>
      <c r="F654" t="s">
        <v>3021</v>
      </c>
      <c r="G654" t="s">
        <v>6</v>
      </c>
      <c r="H654" t="s">
        <v>5</v>
      </c>
      <c r="I654" t="s">
        <v>3020</v>
      </c>
      <c r="J654" t="s">
        <v>3019</v>
      </c>
      <c r="K654" t="s">
        <v>3018</v>
      </c>
      <c r="L654" t="s">
        <v>930</v>
      </c>
      <c r="M654" t="s">
        <v>29</v>
      </c>
      <c r="N654">
        <v>9</v>
      </c>
      <c r="O654" t="s">
        <v>3017</v>
      </c>
      <c r="P654" t="s">
        <v>3016</v>
      </c>
      <c r="Q654" t="s">
        <v>3015</v>
      </c>
      <c r="R654" s="7">
        <v>37104</v>
      </c>
      <c r="S654" s="8">
        <f t="shared" si="80"/>
        <v>2001</v>
      </c>
      <c r="T654" s="8">
        <v>2001</v>
      </c>
      <c r="U654" s="8">
        <f t="shared" si="81"/>
        <v>21</v>
      </c>
      <c r="V654" s="7">
        <v>37104</v>
      </c>
      <c r="W654" t="s">
        <v>463</v>
      </c>
      <c r="X654" s="2">
        <v>2.5710000000000002</v>
      </c>
      <c r="Y654" s="6">
        <f t="shared" si="86"/>
        <v>6.8631376631696966E-2</v>
      </c>
      <c r="AA654">
        <v>189200</v>
      </c>
      <c r="AB654">
        <v>17278</v>
      </c>
      <c r="AD654" t="s">
        <v>1</v>
      </c>
      <c r="AE654">
        <v>36</v>
      </c>
      <c r="AF654">
        <v>8</v>
      </c>
      <c r="AH654" t="s">
        <v>3014</v>
      </c>
      <c r="AI654" t="s">
        <v>3013</v>
      </c>
      <c r="AJ654" t="s">
        <v>3012</v>
      </c>
      <c r="AK654" t="s">
        <v>3011</v>
      </c>
      <c r="AL654">
        <v>98</v>
      </c>
      <c r="AM654" s="5">
        <f t="shared" si="82"/>
        <v>4.666666666666667</v>
      </c>
      <c r="AN654" s="4">
        <f t="shared" si="87"/>
        <v>7.0680297866969584E-3</v>
      </c>
      <c r="AO654" s="3"/>
      <c r="AP654">
        <v>0</v>
      </c>
      <c r="AR654" t="s">
        <v>0</v>
      </c>
      <c r="AT654" s="2">
        <v>5.0129999999999999</v>
      </c>
      <c r="AU654" s="1">
        <f t="shared" si="83"/>
        <v>5.0162372578196956</v>
      </c>
      <c r="AV654" s="1">
        <f t="shared" si="84"/>
        <v>3.7849703209196965</v>
      </c>
      <c r="AW654" s="1">
        <f t="shared" si="85"/>
        <v>2.5537033840196961</v>
      </c>
    </row>
    <row r="655" spans="1:49" x14ac:dyDescent="0.2">
      <c r="A655">
        <v>653</v>
      </c>
      <c r="B655" t="s">
        <v>3010</v>
      </c>
      <c r="C655" t="s">
        <v>3009</v>
      </c>
      <c r="D655" t="s">
        <v>3008</v>
      </c>
      <c r="F655" t="s">
        <v>3007</v>
      </c>
      <c r="G655" t="s">
        <v>6</v>
      </c>
      <c r="H655" t="s">
        <v>5</v>
      </c>
      <c r="I655" t="s">
        <v>586</v>
      </c>
      <c r="J655" t="s">
        <v>3006</v>
      </c>
      <c r="K655" t="s">
        <v>3005</v>
      </c>
      <c r="L655" t="s">
        <v>3004</v>
      </c>
      <c r="M655" t="s">
        <v>128</v>
      </c>
      <c r="N655">
        <v>6</v>
      </c>
      <c r="O655" t="s">
        <v>3003</v>
      </c>
      <c r="P655" t="s">
        <v>3002</v>
      </c>
      <c r="Q655" t="s">
        <v>3001</v>
      </c>
      <c r="R655" s="7">
        <v>37104</v>
      </c>
      <c r="S655" s="8">
        <f t="shared" si="80"/>
        <v>2001</v>
      </c>
      <c r="T655" s="8">
        <v>2001</v>
      </c>
      <c r="U655" s="8">
        <f t="shared" si="81"/>
        <v>21</v>
      </c>
      <c r="V655" s="7">
        <v>37104</v>
      </c>
      <c r="W655" t="s">
        <v>389</v>
      </c>
      <c r="X655" s="2">
        <v>0.94</v>
      </c>
      <c r="Y655" s="6">
        <f t="shared" si="86"/>
        <v>2.5092763140332611E-2</v>
      </c>
      <c r="AA655">
        <v>15311309</v>
      </c>
      <c r="AB655">
        <v>17295</v>
      </c>
      <c r="AD655" t="s">
        <v>1</v>
      </c>
      <c r="AE655">
        <v>11</v>
      </c>
      <c r="AF655">
        <v>8</v>
      </c>
      <c r="AH655" t="s">
        <v>3000</v>
      </c>
      <c r="AI655" t="s">
        <v>2999</v>
      </c>
      <c r="AJ655" t="s">
        <v>2998</v>
      </c>
      <c r="AK655" t="s">
        <v>2997</v>
      </c>
      <c r="AL655">
        <v>5</v>
      </c>
      <c r="AM655" s="5">
        <f t="shared" si="82"/>
        <v>0.23809523809523808</v>
      </c>
      <c r="AN655" s="4">
        <f t="shared" si="87"/>
        <v>3.6061376462739582E-4</v>
      </c>
      <c r="AO655" s="3"/>
      <c r="AP655">
        <v>0</v>
      </c>
      <c r="AR655" t="s">
        <v>0</v>
      </c>
      <c r="AT655" s="2" t="s">
        <v>7</v>
      </c>
      <c r="AU655" s="1">
        <f t="shared" si="83"/>
        <v>1.7673118327621047</v>
      </c>
      <c r="AV655" s="1">
        <f t="shared" si="84"/>
        <v>1.2726688452480004</v>
      </c>
      <c r="AW655" s="1">
        <f t="shared" si="85"/>
        <v>0.7780258577338961</v>
      </c>
    </row>
    <row r="656" spans="1:49" x14ac:dyDescent="0.2">
      <c r="A656">
        <v>654</v>
      </c>
      <c r="B656" t="s">
        <v>2996</v>
      </c>
      <c r="C656" t="s">
        <v>2995</v>
      </c>
      <c r="F656" t="s">
        <v>2994</v>
      </c>
      <c r="G656" t="s">
        <v>6</v>
      </c>
      <c r="H656" t="s">
        <v>5</v>
      </c>
      <c r="I656" t="s">
        <v>1591</v>
      </c>
      <c r="J656">
        <v>60003858</v>
      </c>
      <c r="K656" t="s">
        <v>312</v>
      </c>
      <c r="L656" t="s">
        <v>311</v>
      </c>
      <c r="M656" t="s">
        <v>115</v>
      </c>
      <c r="N656">
        <v>2</v>
      </c>
      <c r="O656" t="s">
        <v>2987</v>
      </c>
      <c r="P656" t="s">
        <v>1589</v>
      </c>
      <c r="Q656" t="s">
        <v>310</v>
      </c>
      <c r="R656" s="7">
        <v>37104</v>
      </c>
      <c r="S656" s="8">
        <f t="shared" si="80"/>
        <v>2001</v>
      </c>
      <c r="T656" s="8">
        <v>2001</v>
      </c>
      <c r="U656" s="8">
        <f t="shared" si="81"/>
        <v>21</v>
      </c>
      <c r="V656" s="7">
        <v>37104</v>
      </c>
      <c r="W656" t="s">
        <v>98</v>
      </c>
      <c r="X656" s="2">
        <v>0.30199999999999999</v>
      </c>
      <c r="Y656" s="6">
        <f t="shared" si="86"/>
        <v>8.0617175195536687E-3</v>
      </c>
      <c r="AA656">
        <v>9296212</v>
      </c>
      <c r="AB656">
        <v>20725</v>
      </c>
      <c r="AD656" t="s">
        <v>1</v>
      </c>
      <c r="AE656">
        <v>18</v>
      </c>
      <c r="AF656">
        <v>2</v>
      </c>
      <c r="AH656" t="s">
        <v>250</v>
      </c>
      <c r="AI656" t="s">
        <v>2993</v>
      </c>
      <c r="AJ656" t="s">
        <v>2992</v>
      </c>
      <c r="AK656" t="s">
        <v>2991</v>
      </c>
      <c r="AL656">
        <v>20</v>
      </c>
      <c r="AM656" s="5">
        <f t="shared" si="82"/>
        <v>0.95238095238095233</v>
      </c>
      <c r="AN656" s="4">
        <f t="shared" si="87"/>
        <v>1.4424550585095833E-3</v>
      </c>
      <c r="AO656" s="3"/>
      <c r="AP656">
        <v>0</v>
      </c>
      <c r="AR656" t="s">
        <v>0</v>
      </c>
      <c r="AS656" t="s">
        <v>308</v>
      </c>
      <c r="AT656" s="2">
        <v>1.671</v>
      </c>
      <c r="AU656" s="1">
        <f t="shared" si="83"/>
        <v>0.6075938781240442</v>
      </c>
      <c r="AV656" s="1">
        <f t="shared" si="84"/>
        <v>0.47520862890316257</v>
      </c>
      <c r="AW656" s="1">
        <f t="shared" si="85"/>
        <v>0.34282337968228083</v>
      </c>
    </row>
    <row r="657" spans="1:49" x14ac:dyDescent="0.2">
      <c r="A657">
        <v>655</v>
      </c>
      <c r="B657" t="s">
        <v>2990</v>
      </c>
      <c r="C657" t="s">
        <v>2989</v>
      </c>
      <c r="F657" t="s">
        <v>2988</v>
      </c>
      <c r="G657" t="s">
        <v>6</v>
      </c>
      <c r="H657" t="s">
        <v>5</v>
      </c>
      <c r="I657" t="s">
        <v>1591</v>
      </c>
      <c r="J657">
        <v>60003858</v>
      </c>
      <c r="K657" t="s">
        <v>312</v>
      </c>
      <c r="L657" t="s">
        <v>311</v>
      </c>
      <c r="M657" t="s">
        <v>115</v>
      </c>
      <c r="N657">
        <v>2</v>
      </c>
      <c r="O657" t="s">
        <v>2987</v>
      </c>
      <c r="P657" t="s">
        <v>1589</v>
      </c>
      <c r="Q657" t="s">
        <v>310</v>
      </c>
      <c r="R657" s="7">
        <v>37104</v>
      </c>
      <c r="S657" s="8">
        <f t="shared" si="80"/>
        <v>2001</v>
      </c>
      <c r="T657" s="8">
        <v>2001</v>
      </c>
      <c r="U657" s="8">
        <f t="shared" si="81"/>
        <v>21</v>
      </c>
      <c r="V657" s="7">
        <v>37104</v>
      </c>
      <c r="W657" t="s">
        <v>98</v>
      </c>
      <c r="X657" s="2">
        <v>0.30199999999999999</v>
      </c>
      <c r="Y657" s="6">
        <f t="shared" si="86"/>
        <v>8.0617175195536687E-3</v>
      </c>
      <c r="AA657">
        <v>9296212</v>
      </c>
      <c r="AB657">
        <v>20725</v>
      </c>
      <c r="AD657" t="s">
        <v>1</v>
      </c>
      <c r="AE657">
        <v>18</v>
      </c>
      <c r="AF657">
        <v>2</v>
      </c>
      <c r="AH657" t="s">
        <v>2986</v>
      </c>
      <c r="AI657" t="s">
        <v>2985</v>
      </c>
      <c r="AJ657" t="s">
        <v>2984</v>
      </c>
      <c r="AK657" t="s">
        <v>2983</v>
      </c>
      <c r="AL657">
        <v>23</v>
      </c>
      <c r="AM657" s="5">
        <f t="shared" si="82"/>
        <v>1.0952380952380953</v>
      </c>
      <c r="AN657" s="4">
        <f t="shared" si="87"/>
        <v>1.658823317286021E-3</v>
      </c>
      <c r="AO657" s="3"/>
      <c r="AP657">
        <v>0</v>
      </c>
      <c r="AR657" t="s">
        <v>0</v>
      </c>
      <c r="AS657" t="s">
        <v>308</v>
      </c>
      <c r="AT657" s="2">
        <v>1.671</v>
      </c>
      <c r="AU657" s="1">
        <f t="shared" si="83"/>
        <v>0.61408492588733732</v>
      </c>
      <c r="AV657" s="1">
        <f t="shared" si="84"/>
        <v>0.48602704184198448</v>
      </c>
      <c r="AW657" s="1">
        <f t="shared" si="85"/>
        <v>0.35796915779663147</v>
      </c>
    </row>
    <row r="658" spans="1:49" x14ac:dyDescent="0.2">
      <c r="A658">
        <v>656</v>
      </c>
      <c r="B658" t="s">
        <v>2982</v>
      </c>
      <c r="C658" t="s">
        <v>2981</v>
      </c>
      <c r="D658" t="s">
        <v>2980</v>
      </c>
      <c r="F658" t="s">
        <v>2979</v>
      </c>
      <c r="G658" t="s">
        <v>6</v>
      </c>
      <c r="H658" t="s">
        <v>5</v>
      </c>
      <c r="I658" t="s">
        <v>2978</v>
      </c>
      <c r="J658" t="s">
        <v>2977</v>
      </c>
      <c r="K658" t="s">
        <v>2976</v>
      </c>
      <c r="L658" t="s">
        <v>2975</v>
      </c>
      <c r="M658" t="s">
        <v>669</v>
      </c>
      <c r="N658">
        <v>3</v>
      </c>
      <c r="O658" t="s">
        <v>2974</v>
      </c>
      <c r="P658" t="s">
        <v>2973</v>
      </c>
      <c r="Q658" t="s">
        <v>2972</v>
      </c>
      <c r="R658" s="7">
        <v>37104</v>
      </c>
      <c r="S658" s="8">
        <f t="shared" si="80"/>
        <v>2001</v>
      </c>
      <c r="T658" s="8">
        <v>2001</v>
      </c>
      <c r="U658" s="8">
        <f t="shared" si="81"/>
        <v>21</v>
      </c>
      <c r="V658" s="7">
        <v>37104</v>
      </c>
      <c r="W658" t="s">
        <v>451</v>
      </c>
      <c r="X658" s="2">
        <v>0.90700000000000003</v>
      </c>
      <c r="Y658" s="6">
        <f t="shared" si="86"/>
        <v>2.4211846987533703E-2</v>
      </c>
      <c r="AA658">
        <v>1651684</v>
      </c>
      <c r="AB658">
        <v>25548</v>
      </c>
      <c r="AD658" t="s">
        <v>1</v>
      </c>
      <c r="AE658">
        <v>81</v>
      </c>
      <c r="AF658">
        <v>8</v>
      </c>
      <c r="AH658" t="s">
        <v>2971</v>
      </c>
      <c r="AI658" t="s">
        <v>2970</v>
      </c>
      <c r="AJ658" t="s">
        <v>2969</v>
      </c>
      <c r="AK658" t="s">
        <v>2968</v>
      </c>
      <c r="AL658">
        <v>1</v>
      </c>
      <c r="AM658" s="5">
        <f t="shared" si="82"/>
        <v>4.7619047619047616E-2</v>
      </c>
      <c r="AN658" s="4">
        <f t="shared" si="87"/>
        <v>7.2122752925479164E-5</v>
      </c>
      <c r="AO658" s="3"/>
      <c r="AP658">
        <v>0</v>
      </c>
      <c r="AQ658" t="s">
        <v>21</v>
      </c>
      <c r="AR658" t="s">
        <v>2967</v>
      </c>
      <c r="AS658" t="s">
        <v>20</v>
      </c>
      <c r="AT658" s="2">
        <v>4.6619999999999999</v>
      </c>
      <c r="AU658" s="1">
        <f t="shared" si="83"/>
        <v>1.6969929717151233</v>
      </c>
      <c r="AV658" s="1">
        <f t="shared" si="84"/>
        <v>1.2141984870229592</v>
      </c>
      <c r="AW658" s="1">
        <f t="shared" si="85"/>
        <v>0.73140400233079461</v>
      </c>
    </row>
    <row r="659" spans="1:49" x14ac:dyDescent="0.2">
      <c r="A659">
        <v>657</v>
      </c>
      <c r="B659" t="s">
        <v>2966</v>
      </c>
      <c r="C659" t="s">
        <v>2965</v>
      </c>
      <c r="D659" t="s">
        <v>2964</v>
      </c>
      <c r="F659" t="s">
        <v>2963</v>
      </c>
      <c r="G659" t="s">
        <v>6</v>
      </c>
      <c r="H659" t="s">
        <v>5</v>
      </c>
      <c r="I659" t="s">
        <v>2962</v>
      </c>
      <c r="J659" t="s">
        <v>2961</v>
      </c>
      <c r="K659" t="s">
        <v>2960</v>
      </c>
      <c r="L659" t="s">
        <v>2959</v>
      </c>
      <c r="M659" t="s">
        <v>128</v>
      </c>
      <c r="N659">
        <v>4</v>
      </c>
      <c r="O659" t="s">
        <v>2958</v>
      </c>
      <c r="P659" t="s">
        <v>2957</v>
      </c>
      <c r="Q659" t="s">
        <v>2956</v>
      </c>
      <c r="R659" s="7">
        <v>37104</v>
      </c>
      <c r="S659" s="8">
        <f t="shared" si="80"/>
        <v>2001</v>
      </c>
      <c r="T659" s="8">
        <v>2001</v>
      </c>
      <c r="U659" s="8">
        <f t="shared" si="81"/>
        <v>21</v>
      </c>
      <c r="V659" s="7">
        <v>37104</v>
      </c>
      <c r="W659" t="s">
        <v>294</v>
      </c>
      <c r="X659" s="2">
        <v>1.6379999999999999</v>
      </c>
      <c r="Y659" s="6">
        <f t="shared" si="86"/>
        <v>4.3725474493473214E-2</v>
      </c>
      <c r="AA659" t="s">
        <v>293</v>
      </c>
      <c r="AB659">
        <v>17391</v>
      </c>
      <c r="AD659" t="s">
        <v>1</v>
      </c>
      <c r="AE659">
        <v>49</v>
      </c>
      <c r="AF659">
        <v>8</v>
      </c>
      <c r="AH659" t="s">
        <v>2955</v>
      </c>
      <c r="AI659" t="s">
        <v>2954</v>
      </c>
      <c r="AJ659" t="s">
        <v>2953</v>
      </c>
      <c r="AK659" t="s">
        <v>2952</v>
      </c>
      <c r="AL659">
        <v>22</v>
      </c>
      <c r="AM659" s="5">
        <f t="shared" si="82"/>
        <v>1.0476190476190477</v>
      </c>
      <c r="AN659" s="4">
        <f t="shared" si="87"/>
        <v>1.5867005643605417E-3</v>
      </c>
      <c r="AO659" s="3"/>
      <c r="AP659">
        <v>0</v>
      </c>
      <c r="AQ659" t="s">
        <v>21</v>
      </c>
      <c r="AR659" t="s">
        <v>2951</v>
      </c>
      <c r="AS659" t="s">
        <v>20</v>
      </c>
      <c r="AT659" s="2">
        <v>4.931</v>
      </c>
      <c r="AU659" s="1">
        <f t="shared" si="83"/>
        <v>3.1083842314739414</v>
      </c>
      <c r="AV659" s="1">
        <f t="shared" si="84"/>
        <v>2.2656087528916879</v>
      </c>
      <c r="AW659" s="1">
        <f t="shared" si="85"/>
        <v>1.4228332743094343</v>
      </c>
    </row>
    <row r="660" spans="1:49" x14ac:dyDescent="0.2">
      <c r="A660">
        <v>658</v>
      </c>
      <c r="B660" t="s">
        <v>2950</v>
      </c>
      <c r="F660" t="s">
        <v>2949</v>
      </c>
      <c r="G660" t="s">
        <v>6</v>
      </c>
      <c r="H660" t="s">
        <v>5</v>
      </c>
      <c r="I660" t="s">
        <v>2948</v>
      </c>
      <c r="J660">
        <v>60025209</v>
      </c>
      <c r="K660" t="s">
        <v>612</v>
      </c>
      <c r="L660" t="s">
        <v>65</v>
      </c>
      <c r="M660" t="s">
        <v>3</v>
      </c>
      <c r="N660">
        <v>1</v>
      </c>
      <c r="O660" t="s">
        <v>2947</v>
      </c>
      <c r="P660">
        <v>57220794543</v>
      </c>
      <c r="Q660">
        <v>60025209</v>
      </c>
      <c r="R660" s="7">
        <v>37104</v>
      </c>
      <c r="S660" s="8">
        <f t="shared" si="80"/>
        <v>2001</v>
      </c>
      <c r="T660" s="8">
        <v>2001</v>
      </c>
      <c r="U660" s="8">
        <f t="shared" si="81"/>
        <v>21</v>
      </c>
      <c r="V660" s="7">
        <v>37104</v>
      </c>
      <c r="W660" t="s">
        <v>2946</v>
      </c>
      <c r="X660" s="2" t="s">
        <v>7</v>
      </c>
      <c r="Y660" s="6" t="e">
        <f t="shared" si="86"/>
        <v>#VALUE!</v>
      </c>
      <c r="AA660">
        <v>10234462</v>
      </c>
      <c r="AB660">
        <v>19855</v>
      </c>
      <c r="AD660" t="s">
        <v>1</v>
      </c>
      <c r="AE660">
        <v>8</v>
      </c>
      <c r="AF660">
        <v>3</v>
      </c>
      <c r="AH660" t="s">
        <v>2945</v>
      </c>
      <c r="AI660" t="s">
        <v>2944</v>
      </c>
      <c r="AJ660" t="s">
        <v>2943</v>
      </c>
      <c r="AK660" t="s">
        <v>2942</v>
      </c>
      <c r="AL660">
        <v>2</v>
      </c>
      <c r="AM660" s="5">
        <f t="shared" si="82"/>
        <v>9.5238095238095233E-2</v>
      </c>
      <c r="AN660" s="4">
        <f t="shared" si="87"/>
        <v>1.4424550585095833E-4</v>
      </c>
      <c r="AO660" s="3"/>
      <c r="AP660">
        <v>0</v>
      </c>
      <c r="AR660" t="s">
        <v>0</v>
      </c>
      <c r="AT660" s="2" t="s">
        <v>7</v>
      </c>
      <c r="AU660" s="1" t="e">
        <f t="shared" si="83"/>
        <v>#VALUE!</v>
      </c>
      <c r="AV660" s="1" t="e">
        <f t="shared" si="84"/>
        <v>#VALUE!</v>
      </c>
      <c r="AW660" s="1" t="e">
        <f t="shared" si="85"/>
        <v>#VALUE!</v>
      </c>
    </row>
    <row r="661" spans="1:49" x14ac:dyDescent="0.2">
      <c r="A661">
        <v>659</v>
      </c>
      <c r="B661" t="s">
        <v>2941</v>
      </c>
      <c r="C661" t="s">
        <v>2940</v>
      </c>
      <c r="D661" t="s">
        <v>2939</v>
      </c>
      <c r="F661" t="s">
        <v>2938</v>
      </c>
      <c r="G661" t="s">
        <v>6</v>
      </c>
      <c r="H661" t="s">
        <v>5</v>
      </c>
      <c r="I661" t="s">
        <v>2937</v>
      </c>
      <c r="J661">
        <v>60020426</v>
      </c>
      <c r="K661" t="s">
        <v>2936</v>
      </c>
      <c r="L661" t="s">
        <v>2935</v>
      </c>
      <c r="M661" t="s">
        <v>3</v>
      </c>
      <c r="N661">
        <v>1</v>
      </c>
      <c r="O661" t="s">
        <v>2934</v>
      </c>
      <c r="P661">
        <v>7003434189</v>
      </c>
      <c r="Q661">
        <v>60020426</v>
      </c>
      <c r="R661" s="7">
        <v>37104</v>
      </c>
      <c r="S661" s="8">
        <f t="shared" si="80"/>
        <v>2001</v>
      </c>
      <c r="T661" s="8">
        <v>2001</v>
      </c>
      <c r="U661" s="8">
        <f t="shared" si="81"/>
        <v>21</v>
      </c>
      <c r="V661" s="7">
        <v>37104</v>
      </c>
      <c r="W661" t="s">
        <v>2933</v>
      </c>
      <c r="X661" s="2">
        <v>1.0049999999999999</v>
      </c>
      <c r="Y661" s="6">
        <f t="shared" si="86"/>
        <v>2.6827901017057738E-2</v>
      </c>
      <c r="AA661">
        <v>160032</v>
      </c>
      <c r="AB661">
        <v>27959</v>
      </c>
      <c r="AD661" t="s">
        <v>1</v>
      </c>
      <c r="AE661">
        <v>338</v>
      </c>
      <c r="AF661">
        <v>5</v>
      </c>
      <c r="AH661" t="s">
        <v>2932</v>
      </c>
      <c r="AI661" t="s">
        <v>2931</v>
      </c>
      <c r="AJ661" t="s">
        <v>2930</v>
      </c>
      <c r="AK661" t="s">
        <v>2929</v>
      </c>
      <c r="AL661">
        <v>0</v>
      </c>
      <c r="AM661" s="5">
        <f t="shared" si="82"/>
        <v>0</v>
      </c>
      <c r="AN661" s="4">
        <f t="shared" si="87"/>
        <v>0</v>
      </c>
      <c r="AO661" s="3"/>
      <c r="AP661">
        <v>0</v>
      </c>
      <c r="AR661" t="s">
        <v>0</v>
      </c>
      <c r="AT661" s="2" t="s">
        <v>7</v>
      </c>
      <c r="AU661" s="1">
        <f t="shared" si="83"/>
        <v>1.8779530711940415</v>
      </c>
      <c r="AV661" s="1">
        <f t="shared" si="84"/>
        <v>1.3413950508528869</v>
      </c>
      <c r="AW661" s="1">
        <f t="shared" si="85"/>
        <v>0.80483703051173217</v>
      </c>
    </row>
    <row r="662" spans="1:49" x14ac:dyDescent="0.2">
      <c r="A662">
        <v>660</v>
      </c>
      <c r="B662" t="s">
        <v>2928</v>
      </c>
      <c r="C662" t="s">
        <v>2927</v>
      </c>
      <c r="D662" t="s">
        <v>2926</v>
      </c>
      <c r="F662" t="s">
        <v>2925</v>
      </c>
      <c r="G662" t="s">
        <v>6</v>
      </c>
      <c r="H662" t="s">
        <v>5</v>
      </c>
      <c r="I662" t="s">
        <v>2924</v>
      </c>
      <c r="J662">
        <v>100324032</v>
      </c>
      <c r="K662" t="s">
        <v>2923</v>
      </c>
      <c r="L662" t="s">
        <v>148</v>
      </c>
      <c r="M662" t="s">
        <v>3</v>
      </c>
      <c r="N662">
        <v>1</v>
      </c>
      <c r="O662" t="s">
        <v>2922</v>
      </c>
      <c r="P662">
        <v>57213405135</v>
      </c>
      <c r="Q662">
        <v>100324032</v>
      </c>
      <c r="R662" s="7">
        <v>37104</v>
      </c>
      <c r="S662" s="8">
        <f t="shared" si="80"/>
        <v>2001</v>
      </c>
      <c r="T662" s="8">
        <v>2001</v>
      </c>
      <c r="U662" s="8">
        <f t="shared" si="81"/>
        <v>21</v>
      </c>
      <c r="V662" s="7">
        <v>37104</v>
      </c>
      <c r="W662" t="s">
        <v>831</v>
      </c>
      <c r="X662" s="2">
        <v>1.778</v>
      </c>
      <c r="Y662" s="6">
        <f t="shared" si="86"/>
        <v>4.7462694535650413E-2</v>
      </c>
      <c r="AA662">
        <v>10577149</v>
      </c>
      <c r="AB662">
        <v>25534</v>
      </c>
      <c r="AD662" t="s">
        <v>1</v>
      </c>
      <c r="AE662">
        <v>10</v>
      </c>
      <c r="AF662">
        <v>8</v>
      </c>
      <c r="AH662" t="s">
        <v>2921</v>
      </c>
      <c r="AI662" t="s">
        <v>2920</v>
      </c>
      <c r="AJ662" t="s">
        <v>2919</v>
      </c>
      <c r="AK662" t="s">
        <v>2918</v>
      </c>
      <c r="AL662">
        <v>12</v>
      </c>
      <c r="AM662" s="5">
        <f t="shared" si="82"/>
        <v>0.5714285714285714</v>
      </c>
      <c r="AN662" s="4">
        <f t="shared" si="87"/>
        <v>8.6547303510574997E-4</v>
      </c>
      <c r="AO662" s="3"/>
      <c r="AP662">
        <v>0</v>
      </c>
      <c r="AR662" t="s">
        <v>0</v>
      </c>
      <c r="AT662" s="2">
        <v>10.856</v>
      </c>
      <c r="AU662" s="1">
        <f t="shared" si="83"/>
        <v>3.3483528085487011</v>
      </c>
      <c r="AV662" s="1">
        <f t="shared" si="84"/>
        <v>2.4164083785378083</v>
      </c>
      <c r="AW662" s="1">
        <f t="shared" si="85"/>
        <v>1.4844639485269147</v>
      </c>
    </row>
    <row r="663" spans="1:49" x14ac:dyDescent="0.2">
      <c r="A663">
        <v>661</v>
      </c>
      <c r="B663" t="s">
        <v>2917</v>
      </c>
      <c r="C663" t="s">
        <v>2916</v>
      </c>
      <c r="D663" t="s">
        <v>2915</v>
      </c>
      <c r="F663" t="s">
        <v>2914</v>
      </c>
      <c r="G663" t="s">
        <v>6</v>
      </c>
      <c r="H663" t="s">
        <v>5</v>
      </c>
      <c r="I663" t="s">
        <v>2913</v>
      </c>
      <c r="J663" t="s">
        <v>2912</v>
      </c>
      <c r="K663" t="s">
        <v>2911</v>
      </c>
      <c r="L663" t="s">
        <v>2910</v>
      </c>
      <c r="M663" t="s">
        <v>1544</v>
      </c>
      <c r="N663">
        <v>1</v>
      </c>
      <c r="O663" t="s">
        <v>2909</v>
      </c>
      <c r="P663">
        <v>7005779209</v>
      </c>
      <c r="Q663" t="s">
        <v>2908</v>
      </c>
      <c r="R663" s="7">
        <v>37104</v>
      </c>
      <c r="S663" s="8">
        <f t="shared" si="80"/>
        <v>2001</v>
      </c>
      <c r="T663" s="8">
        <v>2001</v>
      </c>
      <c r="U663" s="8">
        <f t="shared" si="81"/>
        <v>21</v>
      </c>
      <c r="V663" s="7">
        <v>37104</v>
      </c>
      <c r="W663" t="s">
        <v>294</v>
      </c>
      <c r="X663" s="2">
        <v>1.6379999999999999</v>
      </c>
      <c r="Y663" s="6">
        <f t="shared" si="86"/>
        <v>4.3725474493473214E-2</v>
      </c>
      <c r="AA663" t="s">
        <v>293</v>
      </c>
      <c r="AB663">
        <v>17391</v>
      </c>
      <c r="AD663" t="s">
        <v>1</v>
      </c>
      <c r="AE663">
        <v>49</v>
      </c>
      <c r="AF663">
        <v>8</v>
      </c>
      <c r="AH663" t="s">
        <v>2907</v>
      </c>
      <c r="AI663" t="s">
        <v>2906</v>
      </c>
      <c r="AJ663" t="s">
        <v>2905</v>
      </c>
      <c r="AK663" t="s">
        <v>2904</v>
      </c>
      <c r="AL663">
        <v>42</v>
      </c>
      <c r="AM663" s="5">
        <f t="shared" si="82"/>
        <v>2</v>
      </c>
      <c r="AN663" s="4">
        <f t="shared" si="87"/>
        <v>3.0291556228701248E-3</v>
      </c>
      <c r="AO663" s="3"/>
      <c r="AP663">
        <v>0</v>
      </c>
      <c r="AR663" t="s">
        <v>0</v>
      </c>
      <c r="AT663" s="2">
        <v>4.931</v>
      </c>
      <c r="AU663" s="1">
        <f t="shared" si="83"/>
        <v>3.1516578832292286</v>
      </c>
      <c r="AV663" s="1">
        <f t="shared" si="84"/>
        <v>2.3377315058171666</v>
      </c>
      <c r="AW663" s="1">
        <f t="shared" si="85"/>
        <v>1.5238051284051051</v>
      </c>
    </row>
    <row r="664" spans="1:49" x14ac:dyDescent="0.2">
      <c r="A664">
        <v>662</v>
      </c>
      <c r="B664" t="s">
        <v>2903</v>
      </c>
      <c r="C664" t="s">
        <v>2902</v>
      </c>
      <c r="D664" t="s">
        <v>2901</v>
      </c>
      <c r="F664" t="s">
        <v>2900</v>
      </c>
      <c r="G664" t="s">
        <v>6</v>
      </c>
      <c r="H664" t="s">
        <v>5</v>
      </c>
      <c r="I664" t="s">
        <v>895</v>
      </c>
      <c r="J664" t="s">
        <v>2899</v>
      </c>
      <c r="K664" t="s">
        <v>2898</v>
      </c>
      <c r="L664" t="s">
        <v>2897</v>
      </c>
      <c r="M664" t="s">
        <v>2896</v>
      </c>
      <c r="N664">
        <v>3</v>
      </c>
      <c r="O664" t="s">
        <v>2895</v>
      </c>
      <c r="P664" t="s">
        <v>893</v>
      </c>
      <c r="Q664" t="s">
        <v>2894</v>
      </c>
      <c r="R664" s="7">
        <v>37104</v>
      </c>
      <c r="S664" s="8">
        <f t="shared" si="80"/>
        <v>2001</v>
      </c>
      <c r="T664" s="8">
        <v>2001</v>
      </c>
      <c r="U664" s="8">
        <f t="shared" si="81"/>
        <v>21</v>
      </c>
      <c r="V664" s="7">
        <v>37104</v>
      </c>
      <c r="W664" t="s">
        <v>2893</v>
      </c>
      <c r="X664" s="2">
        <v>0.66100000000000003</v>
      </c>
      <c r="Y664" s="6">
        <f t="shared" si="86"/>
        <v>1.7645017484850912E-2</v>
      </c>
      <c r="AA664">
        <v>189197</v>
      </c>
      <c r="AB664">
        <v>26022</v>
      </c>
      <c r="AD664" t="s">
        <v>1</v>
      </c>
      <c r="AE664">
        <v>37</v>
      </c>
      <c r="AF664">
        <v>8</v>
      </c>
      <c r="AH664" t="s">
        <v>2892</v>
      </c>
      <c r="AI664" t="s">
        <v>2891</v>
      </c>
      <c r="AJ664" t="s">
        <v>2890</v>
      </c>
      <c r="AK664" t="s">
        <v>2889</v>
      </c>
      <c r="AL664">
        <v>2</v>
      </c>
      <c r="AM664" s="5">
        <f t="shared" si="82"/>
        <v>9.5238095238095233E-2</v>
      </c>
      <c r="AN664" s="4">
        <f t="shared" si="87"/>
        <v>1.4424550585095833E-4</v>
      </c>
      <c r="AO664" s="3"/>
      <c r="AP664">
        <v>0</v>
      </c>
      <c r="AR664" t="s">
        <v>0</v>
      </c>
      <c r="AT664" s="2">
        <v>2.3180000000000001</v>
      </c>
      <c r="AU664" s="1">
        <f t="shared" si="83"/>
        <v>1.2394785891150923</v>
      </c>
      <c r="AV664" s="1">
        <f t="shared" si="84"/>
        <v>0.88946314953509353</v>
      </c>
      <c r="AW664" s="1">
        <f t="shared" si="85"/>
        <v>0.5394477099550945</v>
      </c>
    </row>
    <row r="665" spans="1:49" x14ac:dyDescent="0.2">
      <c r="A665">
        <v>663</v>
      </c>
      <c r="B665" t="s">
        <v>2888</v>
      </c>
      <c r="C665" t="s">
        <v>2887</v>
      </c>
      <c r="D665" t="s">
        <v>2886</v>
      </c>
      <c r="F665" t="s">
        <v>2885</v>
      </c>
      <c r="G665" t="s">
        <v>6</v>
      </c>
      <c r="H665" t="s">
        <v>5</v>
      </c>
      <c r="I665" t="s">
        <v>2884</v>
      </c>
      <c r="J665" t="s">
        <v>2883</v>
      </c>
      <c r="K665" t="s">
        <v>2882</v>
      </c>
      <c r="L665" t="s">
        <v>2881</v>
      </c>
      <c r="M665" t="s">
        <v>363</v>
      </c>
      <c r="N665">
        <v>7</v>
      </c>
      <c r="O665" t="s">
        <v>2880</v>
      </c>
      <c r="P665" t="s">
        <v>2879</v>
      </c>
      <c r="Q665" t="s">
        <v>2878</v>
      </c>
      <c r="R665" s="7">
        <v>37104</v>
      </c>
      <c r="S665" s="8">
        <f t="shared" si="80"/>
        <v>2001</v>
      </c>
      <c r="T665" s="8">
        <v>2001</v>
      </c>
      <c r="U665" s="8">
        <f t="shared" si="81"/>
        <v>21</v>
      </c>
      <c r="V665" s="7">
        <v>37104</v>
      </c>
      <c r="W665" t="s">
        <v>2877</v>
      </c>
      <c r="X665" s="2">
        <v>0.496</v>
      </c>
      <c r="Y665" s="6">
        <f t="shared" si="86"/>
        <v>1.3240436720856359E-2</v>
      </c>
      <c r="AA665">
        <v>15213323</v>
      </c>
      <c r="AB665">
        <v>17335</v>
      </c>
      <c r="AD665" t="s">
        <v>1</v>
      </c>
      <c r="AE665">
        <v>24</v>
      </c>
      <c r="AF665">
        <v>3</v>
      </c>
      <c r="AH665" t="s">
        <v>2876</v>
      </c>
      <c r="AI665" t="s">
        <v>2875</v>
      </c>
      <c r="AJ665" t="s">
        <v>2874</v>
      </c>
      <c r="AK665" t="s">
        <v>2873</v>
      </c>
      <c r="AL665">
        <v>54</v>
      </c>
      <c r="AM665" s="5">
        <f t="shared" si="82"/>
        <v>2.5714285714285716</v>
      </c>
      <c r="AN665" s="4">
        <f t="shared" si="87"/>
        <v>3.8946286579758754E-3</v>
      </c>
      <c r="AO665" s="3"/>
      <c r="AP665">
        <v>0</v>
      </c>
      <c r="AQ665" t="s">
        <v>478</v>
      </c>
      <c r="AR665" t="s">
        <v>2872</v>
      </c>
      <c r="AS665" t="s">
        <v>477</v>
      </c>
      <c r="AT665" s="2" t="s">
        <v>7</v>
      </c>
      <c r="AU665" s="1">
        <f t="shared" si="83"/>
        <v>1.0436694301992213</v>
      </c>
      <c r="AV665" s="1">
        <f t="shared" si="84"/>
        <v>0.85675326894161175</v>
      </c>
      <c r="AW665" s="1">
        <f t="shared" si="85"/>
        <v>0.66983710768400206</v>
      </c>
    </row>
    <row r="666" spans="1:49" x14ac:dyDescent="0.2">
      <c r="A666">
        <v>664</v>
      </c>
      <c r="B666" t="s">
        <v>2871</v>
      </c>
      <c r="C666" t="s">
        <v>2870</v>
      </c>
      <c r="D666" t="s">
        <v>2869</v>
      </c>
      <c r="F666" t="s">
        <v>2868</v>
      </c>
      <c r="G666" t="s">
        <v>6</v>
      </c>
      <c r="H666" t="s">
        <v>5</v>
      </c>
      <c r="I666" t="s">
        <v>2867</v>
      </c>
      <c r="J666" t="s">
        <v>2866</v>
      </c>
      <c r="K666" t="s">
        <v>2865</v>
      </c>
      <c r="L666" t="s">
        <v>2864</v>
      </c>
      <c r="M666" t="s">
        <v>412</v>
      </c>
      <c r="N666">
        <v>3</v>
      </c>
      <c r="O666" t="s">
        <v>2863</v>
      </c>
      <c r="P666" t="s">
        <v>2862</v>
      </c>
      <c r="Q666" t="s">
        <v>2861</v>
      </c>
      <c r="R666" s="7">
        <v>37104</v>
      </c>
      <c r="S666" s="8">
        <f t="shared" si="80"/>
        <v>2001</v>
      </c>
      <c r="T666" s="8">
        <v>2001</v>
      </c>
      <c r="U666" s="8">
        <f t="shared" si="81"/>
        <v>21</v>
      </c>
      <c r="V666" s="7">
        <v>37104</v>
      </c>
      <c r="W666" t="s">
        <v>2860</v>
      </c>
      <c r="X666" s="2">
        <v>1.0029999999999999</v>
      </c>
      <c r="Y666" s="6">
        <f t="shared" si="86"/>
        <v>2.6774512159312348E-2</v>
      </c>
      <c r="AA666">
        <v>2665611</v>
      </c>
      <c r="AB666">
        <v>28497</v>
      </c>
      <c r="AD666" t="s">
        <v>1</v>
      </c>
      <c r="AE666">
        <v>17</v>
      </c>
      <c r="AF666">
        <v>4</v>
      </c>
      <c r="AH666" t="s">
        <v>2859</v>
      </c>
      <c r="AI666" t="s">
        <v>2858</v>
      </c>
      <c r="AK666" t="s">
        <v>2857</v>
      </c>
      <c r="AL666">
        <v>9</v>
      </c>
      <c r="AM666" s="5">
        <f t="shared" si="82"/>
        <v>0.42857142857142855</v>
      </c>
      <c r="AN666" s="4">
        <f t="shared" si="87"/>
        <v>6.4910477632931242E-4</v>
      </c>
      <c r="AO666" s="3"/>
      <c r="AP666">
        <v>0</v>
      </c>
      <c r="AR666" t="s">
        <v>0</v>
      </c>
      <c r="AT666" s="2">
        <v>2.407</v>
      </c>
      <c r="AU666" s="1">
        <f t="shared" si="83"/>
        <v>1.8936889944417434</v>
      </c>
      <c r="AV666" s="1">
        <f t="shared" si="84"/>
        <v>1.371180846782083</v>
      </c>
      <c r="AW666" s="1">
        <f t="shared" si="85"/>
        <v>0.84867269912242238</v>
      </c>
    </row>
    <row r="667" spans="1:49" x14ac:dyDescent="0.2">
      <c r="A667">
        <v>665</v>
      </c>
      <c r="B667" t="s">
        <v>2856</v>
      </c>
      <c r="C667" t="s">
        <v>2855</v>
      </c>
      <c r="D667" t="s">
        <v>2854</v>
      </c>
      <c r="F667" t="s">
        <v>2853</v>
      </c>
      <c r="G667" t="s">
        <v>6</v>
      </c>
      <c r="H667" t="s">
        <v>5</v>
      </c>
      <c r="I667" t="s">
        <v>2852</v>
      </c>
      <c r="J667">
        <v>60025757</v>
      </c>
      <c r="K667" t="s">
        <v>2851</v>
      </c>
      <c r="L667" t="s">
        <v>487</v>
      </c>
      <c r="M667" t="s">
        <v>80</v>
      </c>
      <c r="N667">
        <v>3</v>
      </c>
      <c r="O667" t="s">
        <v>2850</v>
      </c>
      <c r="P667" t="s">
        <v>2849</v>
      </c>
      <c r="Q667" t="s">
        <v>2848</v>
      </c>
      <c r="R667" s="7">
        <v>37104</v>
      </c>
      <c r="S667" s="8">
        <f t="shared" si="80"/>
        <v>2001</v>
      </c>
      <c r="T667" s="8">
        <v>2001</v>
      </c>
      <c r="U667" s="8">
        <f t="shared" si="81"/>
        <v>21</v>
      </c>
      <c r="V667" s="7">
        <v>37104</v>
      </c>
      <c r="W667" t="s">
        <v>2796</v>
      </c>
      <c r="X667" s="2">
        <v>0.89800000000000002</v>
      </c>
      <c r="Y667" s="6">
        <f t="shared" si="86"/>
        <v>2.3971597127679455E-2</v>
      </c>
      <c r="AA667">
        <v>9641726</v>
      </c>
      <c r="AB667">
        <v>29859</v>
      </c>
      <c r="AD667" t="s">
        <v>1</v>
      </c>
      <c r="AE667">
        <v>10</v>
      </c>
      <c r="AF667">
        <v>4</v>
      </c>
      <c r="AH667" t="s">
        <v>1805</v>
      </c>
      <c r="AI667" t="s">
        <v>2847</v>
      </c>
      <c r="AK667" t="s">
        <v>2846</v>
      </c>
      <c r="AL667">
        <v>9</v>
      </c>
      <c r="AM667" s="5">
        <f t="shared" si="82"/>
        <v>0.42857142857142855</v>
      </c>
      <c r="AN667" s="4">
        <f t="shared" si="87"/>
        <v>6.4910477632931242E-4</v>
      </c>
      <c r="AO667" s="3"/>
      <c r="AP667">
        <v>0</v>
      </c>
      <c r="AR667" t="s">
        <v>0</v>
      </c>
      <c r="AT667" s="2">
        <v>3.585</v>
      </c>
      <c r="AU667" s="1">
        <f t="shared" si="83"/>
        <v>1.697484942227441</v>
      </c>
      <c r="AV667" s="1">
        <f t="shared" si="84"/>
        <v>1.2310350952004383</v>
      </c>
      <c r="AW667" s="1">
        <f t="shared" si="85"/>
        <v>0.76458524817343543</v>
      </c>
    </row>
    <row r="668" spans="1:49" x14ac:dyDescent="0.2">
      <c r="A668">
        <v>666</v>
      </c>
      <c r="B668" t="s">
        <v>2845</v>
      </c>
      <c r="C668" t="s">
        <v>2844</v>
      </c>
      <c r="D668" t="s">
        <v>2843</v>
      </c>
      <c r="F668" t="s">
        <v>2842</v>
      </c>
      <c r="G668" t="s">
        <v>6</v>
      </c>
      <c r="H668" t="s">
        <v>5</v>
      </c>
      <c r="I668" t="s">
        <v>2841</v>
      </c>
      <c r="J668">
        <v>60024590</v>
      </c>
      <c r="K668" t="s">
        <v>465</v>
      </c>
      <c r="L668" t="s">
        <v>464</v>
      </c>
      <c r="M668" t="s">
        <v>3</v>
      </c>
      <c r="N668">
        <v>3</v>
      </c>
      <c r="O668" t="s">
        <v>2840</v>
      </c>
      <c r="P668" t="s">
        <v>2839</v>
      </c>
      <c r="Q668" t="s">
        <v>2838</v>
      </c>
      <c r="R668" s="7">
        <v>37104</v>
      </c>
      <c r="S668" s="8">
        <f t="shared" si="80"/>
        <v>2001</v>
      </c>
      <c r="T668" s="8">
        <v>2001</v>
      </c>
      <c r="U668" s="8">
        <f t="shared" si="81"/>
        <v>21</v>
      </c>
      <c r="V668" s="7">
        <v>37104</v>
      </c>
      <c r="W668" t="s">
        <v>2837</v>
      </c>
      <c r="X668" s="2">
        <v>0.45700000000000002</v>
      </c>
      <c r="Y668" s="6">
        <f t="shared" si="86"/>
        <v>1.2199353994821282E-2</v>
      </c>
      <c r="AA668">
        <v>381101</v>
      </c>
      <c r="AB668">
        <v>27206</v>
      </c>
      <c r="AD668" t="s">
        <v>1</v>
      </c>
      <c r="AE668">
        <v>45</v>
      </c>
      <c r="AF668">
        <v>8</v>
      </c>
      <c r="AH668" t="s">
        <v>2836</v>
      </c>
      <c r="AI668" t="s">
        <v>2835</v>
      </c>
      <c r="AK668" t="s">
        <v>2834</v>
      </c>
      <c r="AL668">
        <v>2</v>
      </c>
      <c r="AM668" s="5">
        <f t="shared" si="82"/>
        <v>9.5238095238095233E-2</v>
      </c>
      <c r="AN668" s="4">
        <f t="shared" si="87"/>
        <v>1.4424550585095833E-4</v>
      </c>
      <c r="AO668" s="3"/>
      <c r="AP668">
        <v>0</v>
      </c>
      <c r="AR668" t="s">
        <v>0</v>
      </c>
      <c r="AT668" s="2">
        <v>1.901</v>
      </c>
      <c r="AU668" s="1">
        <f t="shared" si="83"/>
        <v>0.85828214481301834</v>
      </c>
      <c r="AV668" s="1">
        <f t="shared" si="84"/>
        <v>0.61717997503361199</v>
      </c>
      <c r="AW668" s="1">
        <f t="shared" si="85"/>
        <v>0.37607780525420553</v>
      </c>
    </row>
    <row r="669" spans="1:49" x14ac:dyDescent="0.2">
      <c r="A669">
        <v>667</v>
      </c>
      <c r="B669" t="s">
        <v>2833</v>
      </c>
      <c r="C669" t="s">
        <v>2832</v>
      </c>
      <c r="D669" t="s">
        <v>2831</v>
      </c>
      <c r="F669" t="s">
        <v>2830</v>
      </c>
      <c r="G669" t="s">
        <v>6</v>
      </c>
      <c r="H669" t="s">
        <v>5</v>
      </c>
      <c r="I669" t="s">
        <v>2829</v>
      </c>
      <c r="J669">
        <v>60012113</v>
      </c>
      <c r="K669" t="s">
        <v>2828</v>
      </c>
      <c r="L669" t="s">
        <v>2827</v>
      </c>
      <c r="M669" t="s">
        <v>37</v>
      </c>
      <c r="N669">
        <v>1</v>
      </c>
      <c r="O669" t="s">
        <v>2826</v>
      </c>
      <c r="P669">
        <v>57200719299</v>
      </c>
      <c r="Q669">
        <v>60012113</v>
      </c>
      <c r="R669" s="7">
        <v>37104</v>
      </c>
      <c r="S669" s="8">
        <f t="shared" si="80"/>
        <v>2001</v>
      </c>
      <c r="T669" s="8">
        <v>2001</v>
      </c>
      <c r="U669" s="8">
        <f t="shared" si="81"/>
        <v>21</v>
      </c>
      <c r="V669" s="7">
        <v>37104</v>
      </c>
      <c r="W669" t="s">
        <v>935</v>
      </c>
      <c r="X669" s="2">
        <v>0.9</v>
      </c>
      <c r="Y669" s="6">
        <f t="shared" si="86"/>
        <v>2.4024985985424845E-2</v>
      </c>
      <c r="AA669">
        <v>9630252</v>
      </c>
      <c r="AB669">
        <v>29614</v>
      </c>
      <c r="AD669" t="s">
        <v>1</v>
      </c>
      <c r="AE669">
        <v>10</v>
      </c>
      <c r="AF669">
        <v>3</v>
      </c>
      <c r="AH669" t="s">
        <v>2825</v>
      </c>
      <c r="AI669" t="s">
        <v>2824</v>
      </c>
      <c r="AK669" t="s">
        <v>2823</v>
      </c>
      <c r="AL669">
        <v>8</v>
      </c>
      <c r="AM669" s="5">
        <f t="shared" si="82"/>
        <v>0.38095238095238093</v>
      </c>
      <c r="AN669" s="4">
        <f t="shared" si="87"/>
        <v>5.7698202340383331E-4</v>
      </c>
      <c r="AO669" s="3"/>
      <c r="AP669">
        <v>0</v>
      </c>
      <c r="AR669" t="s">
        <v>0</v>
      </c>
      <c r="AT669" s="2" t="s">
        <v>7</v>
      </c>
      <c r="AU669" s="1">
        <f t="shared" si="83"/>
        <v>1.6990584796818542</v>
      </c>
      <c r="AV669" s="1">
        <f t="shared" si="84"/>
        <v>1.2300984004414339</v>
      </c>
      <c r="AW669" s="1">
        <f t="shared" si="85"/>
        <v>0.76113832120101366</v>
      </c>
    </row>
    <row r="670" spans="1:49" x14ac:dyDescent="0.2">
      <c r="A670">
        <v>668</v>
      </c>
      <c r="B670" t="s">
        <v>2822</v>
      </c>
      <c r="C670" t="s">
        <v>2821</v>
      </c>
      <c r="D670" t="s">
        <v>2820</v>
      </c>
      <c r="F670" t="s">
        <v>2819</v>
      </c>
      <c r="G670" t="s">
        <v>6</v>
      </c>
      <c r="H670" t="s">
        <v>5</v>
      </c>
      <c r="I670" t="s">
        <v>2818</v>
      </c>
      <c r="J670" t="s">
        <v>2817</v>
      </c>
      <c r="K670" t="s">
        <v>2816</v>
      </c>
      <c r="L670" t="s">
        <v>2815</v>
      </c>
      <c r="M670" t="s">
        <v>273</v>
      </c>
      <c r="N670">
        <v>5</v>
      </c>
      <c r="O670" t="s">
        <v>2814</v>
      </c>
      <c r="P670" t="s">
        <v>2813</v>
      </c>
      <c r="Q670" t="s">
        <v>2812</v>
      </c>
      <c r="R670" s="7">
        <v>37104</v>
      </c>
      <c r="S670" s="8">
        <f t="shared" si="80"/>
        <v>2001</v>
      </c>
      <c r="T670" s="8">
        <v>2001</v>
      </c>
      <c r="U670" s="8">
        <f t="shared" si="81"/>
        <v>21</v>
      </c>
      <c r="V670" s="7">
        <v>37104</v>
      </c>
      <c r="W670" t="s">
        <v>935</v>
      </c>
      <c r="X670" s="2">
        <v>0.9</v>
      </c>
      <c r="Y670" s="6">
        <f t="shared" si="86"/>
        <v>2.4024985985424845E-2</v>
      </c>
      <c r="AA670">
        <v>9630252</v>
      </c>
      <c r="AB670">
        <v>29614</v>
      </c>
      <c r="AD670" t="s">
        <v>1</v>
      </c>
      <c r="AE670">
        <v>10</v>
      </c>
      <c r="AF670">
        <v>3</v>
      </c>
      <c r="AH670" t="s">
        <v>2811</v>
      </c>
      <c r="AI670" t="s">
        <v>2810</v>
      </c>
      <c r="AK670" t="s">
        <v>2809</v>
      </c>
      <c r="AL670">
        <v>10</v>
      </c>
      <c r="AM670" s="5">
        <f t="shared" si="82"/>
        <v>0.47619047619047616</v>
      </c>
      <c r="AN670" s="4">
        <f t="shared" si="87"/>
        <v>7.2122752925479164E-4</v>
      </c>
      <c r="AO670" s="3"/>
      <c r="AP670">
        <v>0</v>
      </c>
      <c r="AR670" t="s">
        <v>0</v>
      </c>
      <c r="AT670" s="2" t="s">
        <v>7</v>
      </c>
      <c r="AU670" s="1">
        <f t="shared" si="83"/>
        <v>1.7033858448573826</v>
      </c>
      <c r="AV670" s="1">
        <f t="shared" si="84"/>
        <v>1.2373106757339818</v>
      </c>
      <c r="AW670" s="1">
        <f t="shared" si="85"/>
        <v>0.77123550661058071</v>
      </c>
    </row>
    <row r="671" spans="1:49" x14ac:dyDescent="0.2">
      <c r="A671">
        <v>669</v>
      </c>
      <c r="B671" t="s">
        <v>2808</v>
      </c>
      <c r="C671" t="s">
        <v>2807</v>
      </c>
      <c r="D671" t="s">
        <v>2806</v>
      </c>
      <c r="F671" t="s">
        <v>2805</v>
      </c>
      <c r="G671" t="s">
        <v>6</v>
      </c>
      <c r="H671" t="s">
        <v>5</v>
      </c>
      <c r="I671" t="s">
        <v>2804</v>
      </c>
      <c r="J671" t="s">
        <v>2803</v>
      </c>
      <c r="K671" t="s">
        <v>2802</v>
      </c>
      <c r="L671" t="s">
        <v>2801</v>
      </c>
      <c r="M671" t="s">
        <v>2800</v>
      </c>
      <c r="N671">
        <v>3</v>
      </c>
      <c r="O671" t="s">
        <v>2799</v>
      </c>
      <c r="P671" t="s">
        <v>2798</v>
      </c>
      <c r="Q671" t="s">
        <v>2797</v>
      </c>
      <c r="R671" s="7">
        <v>37104</v>
      </c>
      <c r="S671" s="8">
        <f t="shared" si="80"/>
        <v>2001</v>
      </c>
      <c r="T671" s="8">
        <v>2001</v>
      </c>
      <c r="U671" s="8">
        <f t="shared" si="81"/>
        <v>21</v>
      </c>
      <c r="V671" s="7">
        <v>37104</v>
      </c>
      <c r="W671" t="s">
        <v>2796</v>
      </c>
      <c r="X671" s="2">
        <v>0.89800000000000002</v>
      </c>
      <c r="Y671" s="6">
        <f t="shared" si="86"/>
        <v>2.3971597127679455E-2</v>
      </c>
      <c r="AA671">
        <v>9641726</v>
      </c>
      <c r="AB671">
        <v>29859</v>
      </c>
      <c r="AD671" t="s">
        <v>1</v>
      </c>
      <c r="AE671">
        <v>10</v>
      </c>
      <c r="AF671">
        <v>4</v>
      </c>
      <c r="AH671" t="s">
        <v>2795</v>
      </c>
      <c r="AI671" t="s">
        <v>2794</v>
      </c>
      <c r="AK671" t="s">
        <v>2793</v>
      </c>
      <c r="AL671">
        <v>59</v>
      </c>
      <c r="AM671" s="5">
        <f t="shared" si="82"/>
        <v>2.8095238095238093</v>
      </c>
      <c r="AN671" s="4">
        <f t="shared" si="87"/>
        <v>4.2552424226032703E-3</v>
      </c>
      <c r="AO671" s="3"/>
      <c r="AP671">
        <v>0</v>
      </c>
      <c r="AR671" t="s">
        <v>0</v>
      </c>
      <c r="AT671" s="2">
        <v>3.585</v>
      </c>
      <c r="AU671" s="1">
        <f t="shared" si="83"/>
        <v>1.80566907161566</v>
      </c>
      <c r="AV671" s="1">
        <f t="shared" si="84"/>
        <v>1.4113419775141363</v>
      </c>
      <c r="AW671" s="1">
        <f t="shared" si="85"/>
        <v>1.0170148834126125</v>
      </c>
    </row>
    <row r="672" spans="1:49" x14ac:dyDescent="0.2">
      <c r="A672">
        <v>670</v>
      </c>
      <c r="B672" t="s">
        <v>2792</v>
      </c>
      <c r="C672" t="s">
        <v>2791</v>
      </c>
      <c r="D672" t="s">
        <v>2790</v>
      </c>
      <c r="F672" t="s">
        <v>2789</v>
      </c>
      <c r="G672" t="s">
        <v>6</v>
      </c>
      <c r="H672" t="s">
        <v>5</v>
      </c>
      <c r="I672" t="s">
        <v>869</v>
      </c>
      <c r="J672" t="s">
        <v>2788</v>
      </c>
      <c r="K672" t="s">
        <v>2787</v>
      </c>
      <c r="L672" t="s">
        <v>2786</v>
      </c>
      <c r="M672" t="s">
        <v>44</v>
      </c>
      <c r="N672">
        <v>2</v>
      </c>
      <c r="O672" t="s">
        <v>2785</v>
      </c>
      <c r="P672" t="s">
        <v>2784</v>
      </c>
      <c r="Q672" t="s">
        <v>2783</v>
      </c>
      <c r="R672" s="7">
        <v>37104</v>
      </c>
      <c r="S672" s="8">
        <f t="shared" si="80"/>
        <v>2001</v>
      </c>
      <c r="T672" s="8">
        <v>2001</v>
      </c>
      <c r="U672" s="8">
        <f t="shared" si="81"/>
        <v>21</v>
      </c>
      <c r="V672" s="7">
        <v>37104</v>
      </c>
      <c r="W672" t="s">
        <v>935</v>
      </c>
      <c r="X672" s="2">
        <v>0.9</v>
      </c>
      <c r="Y672" s="6">
        <f t="shared" si="86"/>
        <v>2.4024985985424845E-2</v>
      </c>
      <c r="AA672">
        <v>9630252</v>
      </c>
      <c r="AB672">
        <v>29614</v>
      </c>
      <c r="AD672" t="s">
        <v>1</v>
      </c>
      <c r="AE672">
        <v>10</v>
      </c>
      <c r="AF672">
        <v>3</v>
      </c>
      <c r="AH672" t="s">
        <v>2782</v>
      </c>
      <c r="AI672" t="s">
        <v>2781</v>
      </c>
      <c r="AK672" t="s">
        <v>2780</v>
      </c>
      <c r="AL672">
        <v>2</v>
      </c>
      <c r="AM672" s="5">
        <f t="shared" si="82"/>
        <v>9.5238095238095233E-2</v>
      </c>
      <c r="AN672" s="4">
        <f t="shared" si="87"/>
        <v>1.4424550585095833E-4</v>
      </c>
      <c r="AO672" s="3"/>
      <c r="AP672">
        <v>0</v>
      </c>
      <c r="AR672" t="s">
        <v>0</v>
      </c>
      <c r="AT672" s="2" t="s">
        <v>7</v>
      </c>
      <c r="AU672" s="1">
        <f t="shared" si="83"/>
        <v>1.6860763841552679</v>
      </c>
      <c r="AV672" s="1">
        <f t="shared" si="84"/>
        <v>1.2084615745637901</v>
      </c>
      <c r="AW672" s="1">
        <f t="shared" si="85"/>
        <v>0.73084676497231238</v>
      </c>
    </row>
    <row r="673" spans="1:49" x14ac:dyDescent="0.2">
      <c r="A673">
        <v>671</v>
      </c>
      <c r="B673" t="s">
        <v>2779</v>
      </c>
      <c r="C673" t="s">
        <v>2778</v>
      </c>
      <c r="D673" t="s">
        <v>2777</v>
      </c>
      <c r="F673" t="s">
        <v>2776</v>
      </c>
      <c r="G673" t="s">
        <v>6</v>
      </c>
      <c r="H673" t="s">
        <v>5</v>
      </c>
      <c r="I673" t="s">
        <v>760</v>
      </c>
      <c r="J673" t="s">
        <v>2775</v>
      </c>
      <c r="K673" t="s">
        <v>2774</v>
      </c>
      <c r="L673" t="s">
        <v>2773</v>
      </c>
      <c r="M673" t="s">
        <v>44</v>
      </c>
      <c r="N673">
        <v>1</v>
      </c>
      <c r="O673" t="s">
        <v>2772</v>
      </c>
      <c r="P673">
        <v>7402179288</v>
      </c>
      <c r="Q673" t="s">
        <v>2771</v>
      </c>
      <c r="R673" s="7">
        <v>37104</v>
      </c>
      <c r="S673" s="8">
        <f t="shared" si="80"/>
        <v>2001</v>
      </c>
      <c r="T673" s="8">
        <v>2001</v>
      </c>
      <c r="U673" s="8">
        <f t="shared" si="81"/>
        <v>21</v>
      </c>
      <c r="V673" s="7">
        <v>37104</v>
      </c>
      <c r="W673" t="s">
        <v>284</v>
      </c>
      <c r="X673" s="2">
        <v>1.468</v>
      </c>
      <c r="Y673" s="6">
        <f t="shared" si="86"/>
        <v>3.9187421585115186E-2</v>
      </c>
      <c r="AA673">
        <v>906778</v>
      </c>
      <c r="AB673">
        <v>18931</v>
      </c>
      <c r="AD673" t="s">
        <v>1</v>
      </c>
      <c r="AE673">
        <v>49</v>
      </c>
      <c r="AF673">
        <v>8</v>
      </c>
      <c r="AH673" t="s">
        <v>2770</v>
      </c>
      <c r="AI673" t="s">
        <v>2769</v>
      </c>
      <c r="AJ673" t="s">
        <v>2768</v>
      </c>
      <c r="AK673" t="s">
        <v>2767</v>
      </c>
      <c r="AL673">
        <v>151</v>
      </c>
      <c r="AM673" s="5">
        <f t="shared" si="82"/>
        <v>7.1904761904761907</v>
      </c>
      <c r="AN673" s="4">
        <f t="shared" si="87"/>
        <v>1.0890535691747354E-2</v>
      </c>
      <c r="AO673" s="3"/>
      <c r="AP673">
        <v>0</v>
      </c>
      <c r="AQ673" t="s">
        <v>21</v>
      </c>
      <c r="AR673" t="s">
        <v>759</v>
      </c>
      <c r="AS673" t="s">
        <v>20</v>
      </c>
      <c r="AT673" s="2">
        <v>5.0830000000000002</v>
      </c>
      <c r="AU673" s="1">
        <f t="shared" si="83"/>
        <v>3.0698355817104837</v>
      </c>
      <c r="AV673" s="1">
        <f t="shared" si="84"/>
        <v>2.5038978638431271</v>
      </c>
      <c r="AW673" s="1">
        <f t="shared" si="85"/>
        <v>1.9379601459757705</v>
      </c>
    </row>
    <row r="674" spans="1:49" x14ac:dyDescent="0.2">
      <c r="A674">
        <v>672</v>
      </c>
      <c r="B674" t="s">
        <v>2766</v>
      </c>
      <c r="C674" t="s">
        <v>2765</v>
      </c>
      <c r="D674" t="s">
        <v>2764</v>
      </c>
      <c r="F674" t="s">
        <v>2763</v>
      </c>
      <c r="G674" t="s">
        <v>6</v>
      </c>
      <c r="H674" t="s">
        <v>5</v>
      </c>
      <c r="I674" t="s">
        <v>2762</v>
      </c>
      <c r="J674">
        <v>60020547</v>
      </c>
      <c r="K674" t="s">
        <v>720</v>
      </c>
      <c r="L674" t="s">
        <v>719</v>
      </c>
      <c r="M674" t="s">
        <v>3</v>
      </c>
      <c r="N674">
        <v>3</v>
      </c>
      <c r="O674" t="s">
        <v>2761</v>
      </c>
      <c r="P674" t="s">
        <v>2760</v>
      </c>
      <c r="Q674" t="s">
        <v>1020</v>
      </c>
      <c r="R674" s="7">
        <v>37104</v>
      </c>
      <c r="S674" s="8">
        <f t="shared" si="80"/>
        <v>2001</v>
      </c>
      <c r="T674" s="8">
        <v>2001</v>
      </c>
      <c r="U674" s="8">
        <f t="shared" si="81"/>
        <v>21</v>
      </c>
      <c r="V674" s="7">
        <v>37104</v>
      </c>
      <c r="W674" t="s">
        <v>252</v>
      </c>
      <c r="X674" s="2">
        <v>2.9860000000000002</v>
      </c>
      <c r="Y674" s="6">
        <f t="shared" si="86"/>
        <v>7.9709564613865094E-2</v>
      </c>
      <c r="AA674">
        <v>7338716</v>
      </c>
      <c r="AB674">
        <v>18902</v>
      </c>
      <c r="AD674" t="s">
        <v>1</v>
      </c>
      <c r="AE674">
        <v>19</v>
      </c>
      <c r="AF674">
        <v>8</v>
      </c>
      <c r="AH674" t="s">
        <v>2759</v>
      </c>
      <c r="AI674" t="s">
        <v>2758</v>
      </c>
      <c r="AJ674" t="s">
        <v>2757</v>
      </c>
      <c r="AK674" t="s">
        <v>2756</v>
      </c>
      <c r="AL674">
        <v>59</v>
      </c>
      <c r="AM674" s="5">
        <f t="shared" si="82"/>
        <v>2.8095238095238093</v>
      </c>
      <c r="AN674" s="4">
        <f t="shared" si="87"/>
        <v>4.2552424226032703E-3</v>
      </c>
      <c r="AO674" s="3"/>
      <c r="AP674">
        <v>0</v>
      </c>
      <c r="AQ674" t="s">
        <v>21</v>
      </c>
      <c r="AR674" t="s">
        <v>2755</v>
      </c>
      <c r="AS674" t="s">
        <v>20</v>
      </c>
      <c r="AT674" s="2" t="s">
        <v>7</v>
      </c>
      <c r="AU674" s="1">
        <f t="shared" si="83"/>
        <v>5.7073267956486537</v>
      </c>
      <c r="AV674" s="1">
        <f t="shared" si="84"/>
        <v>4.1982403518234177</v>
      </c>
      <c r="AW674" s="1">
        <f t="shared" si="85"/>
        <v>2.6891539079981817</v>
      </c>
    </row>
    <row r="675" spans="1:49" x14ac:dyDescent="0.2">
      <c r="A675">
        <v>673</v>
      </c>
      <c r="B675" t="s">
        <v>2754</v>
      </c>
      <c r="C675" t="s">
        <v>2753</v>
      </c>
      <c r="F675" t="s">
        <v>2752</v>
      </c>
      <c r="G675" t="s">
        <v>6</v>
      </c>
      <c r="H675" t="s">
        <v>5</v>
      </c>
      <c r="I675" t="s">
        <v>2751</v>
      </c>
      <c r="J675">
        <v>60015150</v>
      </c>
      <c r="K675" t="s">
        <v>623</v>
      </c>
      <c r="L675" t="s">
        <v>328</v>
      </c>
      <c r="M675" t="s">
        <v>37</v>
      </c>
      <c r="N675">
        <v>2</v>
      </c>
      <c r="O675" t="s">
        <v>2750</v>
      </c>
      <c r="P675" t="s">
        <v>2749</v>
      </c>
      <c r="Q675" t="s">
        <v>2748</v>
      </c>
      <c r="R675" s="7">
        <v>37104</v>
      </c>
      <c r="S675" s="8">
        <f t="shared" si="80"/>
        <v>2001</v>
      </c>
      <c r="T675" s="8">
        <v>2001</v>
      </c>
      <c r="U675" s="8">
        <f t="shared" si="81"/>
        <v>21</v>
      </c>
      <c r="V675" s="7">
        <v>37104</v>
      </c>
      <c r="W675" t="s">
        <v>2747</v>
      </c>
      <c r="X675" s="2">
        <v>0.54</v>
      </c>
      <c r="Y675" s="6">
        <f t="shared" si="86"/>
        <v>1.4414991591254906E-2</v>
      </c>
      <c r="AA675">
        <v>9391533</v>
      </c>
      <c r="AB675">
        <v>13952</v>
      </c>
      <c r="AD675" t="s">
        <v>1</v>
      </c>
      <c r="AE675">
        <v>71</v>
      </c>
      <c r="AF675">
        <v>8</v>
      </c>
      <c r="AH675" t="s">
        <v>666</v>
      </c>
      <c r="AI675" t="s">
        <v>2746</v>
      </c>
      <c r="AJ675" t="s">
        <v>2745</v>
      </c>
      <c r="AK675" t="s">
        <v>2744</v>
      </c>
      <c r="AL675">
        <v>50</v>
      </c>
      <c r="AM675" s="5">
        <f t="shared" si="82"/>
        <v>2.3809523809523809</v>
      </c>
      <c r="AN675" s="4">
        <f t="shared" si="87"/>
        <v>3.6061376462739581E-3</v>
      </c>
      <c r="AO675" s="3"/>
      <c r="AP675">
        <v>0</v>
      </c>
      <c r="AR675" t="s">
        <v>0</v>
      </c>
      <c r="AT675" s="2">
        <v>1.976</v>
      </c>
      <c r="AU675" s="1">
        <f t="shared" si="83"/>
        <v>1.1172335407760623</v>
      </c>
      <c r="AV675" s="1">
        <f t="shared" si="84"/>
        <v>0.90105646187644328</v>
      </c>
      <c r="AW675" s="1">
        <f t="shared" si="85"/>
        <v>0.68487938297682427</v>
      </c>
    </row>
    <row r="676" spans="1:49" x14ac:dyDescent="0.2">
      <c r="A676">
        <v>674</v>
      </c>
      <c r="B676" t="s">
        <v>2743</v>
      </c>
      <c r="C676" t="s">
        <v>2742</v>
      </c>
      <c r="D676" t="s">
        <v>2741</v>
      </c>
      <c r="F676" t="s">
        <v>2740</v>
      </c>
      <c r="G676" t="s">
        <v>6</v>
      </c>
      <c r="H676" t="s">
        <v>5</v>
      </c>
      <c r="I676" t="s">
        <v>2739</v>
      </c>
      <c r="J676" t="s">
        <v>2738</v>
      </c>
      <c r="K676" t="s">
        <v>2737</v>
      </c>
      <c r="L676" t="s">
        <v>2736</v>
      </c>
      <c r="M676" t="s">
        <v>44</v>
      </c>
      <c r="N676">
        <v>5</v>
      </c>
      <c r="O676" t="s">
        <v>2735</v>
      </c>
      <c r="P676" t="s">
        <v>2734</v>
      </c>
      <c r="Q676" t="s">
        <v>2733</v>
      </c>
      <c r="R676" s="7">
        <v>37104</v>
      </c>
      <c r="S676" s="8">
        <f t="shared" si="80"/>
        <v>2001</v>
      </c>
      <c r="T676" s="8">
        <v>2001</v>
      </c>
      <c r="U676" s="8">
        <f t="shared" si="81"/>
        <v>21</v>
      </c>
      <c r="V676" s="7">
        <v>37104</v>
      </c>
      <c r="W676" t="s">
        <v>252</v>
      </c>
      <c r="X676" s="2">
        <v>2.9860000000000002</v>
      </c>
      <c r="Y676" s="6">
        <f t="shared" si="86"/>
        <v>7.9709564613865094E-2</v>
      </c>
      <c r="AA676">
        <v>7338716</v>
      </c>
      <c r="AB676">
        <v>18902</v>
      </c>
      <c r="AD676" t="s">
        <v>1</v>
      </c>
      <c r="AE676">
        <v>19</v>
      </c>
      <c r="AF676">
        <v>8</v>
      </c>
      <c r="AH676" t="s">
        <v>2732</v>
      </c>
      <c r="AI676" t="s">
        <v>2731</v>
      </c>
      <c r="AJ676" t="s">
        <v>2730</v>
      </c>
      <c r="AK676" t="s">
        <v>2729</v>
      </c>
      <c r="AL676">
        <v>19</v>
      </c>
      <c r="AM676" s="5">
        <f t="shared" si="82"/>
        <v>0.90476190476190477</v>
      </c>
      <c r="AN676" s="4">
        <f t="shared" si="87"/>
        <v>1.3703323055841042E-3</v>
      </c>
      <c r="AO676" s="3"/>
      <c r="AP676">
        <v>0</v>
      </c>
      <c r="AR676" t="s">
        <v>0</v>
      </c>
      <c r="AT676" s="2" t="s">
        <v>7</v>
      </c>
      <c r="AU676" s="1">
        <f t="shared" si="83"/>
        <v>5.6207794921380794</v>
      </c>
      <c r="AV676" s="1">
        <f t="shared" si="84"/>
        <v>4.0539948459724595</v>
      </c>
      <c r="AW676" s="1">
        <f t="shared" si="85"/>
        <v>2.4872101998068401</v>
      </c>
    </row>
    <row r="677" spans="1:49" x14ac:dyDescent="0.2">
      <c r="A677">
        <v>675</v>
      </c>
      <c r="B677" t="s">
        <v>2728</v>
      </c>
      <c r="C677" t="s">
        <v>2727</v>
      </c>
      <c r="D677" t="s">
        <v>2726</v>
      </c>
      <c r="F677" t="s">
        <v>2725</v>
      </c>
      <c r="G677" t="s">
        <v>6</v>
      </c>
      <c r="H677" t="s">
        <v>5</v>
      </c>
      <c r="I677" t="s">
        <v>2724</v>
      </c>
      <c r="J677" t="s">
        <v>2723</v>
      </c>
      <c r="K677" t="s">
        <v>2722</v>
      </c>
      <c r="L677" t="s">
        <v>2721</v>
      </c>
      <c r="M677" t="s">
        <v>14</v>
      </c>
      <c r="N677">
        <v>3</v>
      </c>
      <c r="O677" t="s">
        <v>2720</v>
      </c>
      <c r="P677" t="s">
        <v>2719</v>
      </c>
      <c r="Q677" t="s">
        <v>2718</v>
      </c>
      <c r="R677" s="7">
        <v>37104</v>
      </c>
      <c r="S677" s="8">
        <f t="shared" si="80"/>
        <v>2001</v>
      </c>
      <c r="T677" s="8">
        <v>2001</v>
      </c>
      <c r="U677" s="8">
        <f t="shared" si="81"/>
        <v>21</v>
      </c>
      <c r="V677" s="7">
        <v>37104</v>
      </c>
      <c r="W677" t="s">
        <v>226</v>
      </c>
      <c r="X677" s="2">
        <v>1.6519999999999999</v>
      </c>
      <c r="Y677" s="6">
        <f t="shared" si="86"/>
        <v>4.409919649769093E-2</v>
      </c>
      <c r="AA677" t="s">
        <v>225</v>
      </c>
      <c r="AB677">
        <v>17337</v>
      </c>
      <c r="AD677" t="s">
        <v>1</v>
      </c>
      <c r="AE677">
        <v>49</v>
      </c>
      <c r="AF677">
        <v>8</v>
      </c>
      <c r="AH677" t="s">
        <v>2717</v>
      </c>
      <c r="AI677" t="s">
        <v>2716</v>
      </c>
      <c r="AJ677" t="s">
        <v>2715</v>
      </c>
      <c r="AK677" t="s">
        <v>2714</v>
      </c>
      <c r="AL677">
        <v>10</v>
      </c>
      <c r="AM677" s="5">
        <f t="shared" si="82"/>
        <v>0.47619047619047616</v>
      </c>
      <c r="AN677" s="4">
        <f t="shared" si="87"/>
        <v>7.2122752925479164E-4</v>
      </c>
      <c r="AO677" s="3"/>
      <c r="AP677">
        <v>0</v>
      </c>
      <c r="AQ677" t="s">
        <v>722</v>
      </c>
      <c r="AR677" t="s">
        <v>0</v>
      </c>
      <c r="AS677" t="s">
        <v>721</v>
      </c>
      <c r="AT677" s="2" t="s">
        <v>7</v>
      </c>
      <c r="AU677" s="1">
        <f t="shared" si="83"/>
        <v>3.1085805807160085</v>
      </c>
      <c r="AV677" s="1">
        <f t="shared" si="84"/>
        <v>2.2410212013472859</v>
      </c>
      <c r="AW677" s="1">
        <f t="shared" si="85"/>
        <v>1.3734618219785633</v>
      </c>
    </row>
    <row r="678" spans="1:49" x14ac:dyDescent="0.2">
      <c r="A678">
        <v>676</v>
      </c>
      <c r="B678" t="s">
        <v>2713</v>
      </c>
      <c r="C678" t="s">
        <v>2712</v>
      </c>
      <c r="D678" t="s">
        <v>2711</v>
      </c>
      <c r="F678" t="s">
        <v>2710</v>
      </c>
      <c r="G678" t="s">
        <v>6</v>
      </c>
      <c r="H678" t="s">
        <v>5</v>
      </c>
      <c r="I678" t="s">
        <v>660</v>
      </c>
      <c r="J678" t="s">
        <v>2709</v>
      </c>
      <c r="K678" t="s">
        <v>2708</v>
      </c>
      <c r="L678" t="s">
        <v>2707</v>
      </c>
      <c r="M678" t="s">
        <v>122</v>
      </c>
      <c r="N678">
        <v>3</v>
      </c>
      <c r="O678" t="s">
        <v>2706</v>
      </c>
      <c r="P678" t="s">
        <v>2705</v>
      </c>
      <c r="Q678" t="s">
        <v>2704</v>
      </c>
      <c r="R678" s="7">
        <v>37104</v>
      </c>
      <c r="S678" s="8">
        <f t="shared" si="80"/>
        <v>2001</v>
      </c>
      <c r="T678" s="8">
        <v>2001</v>
      </c>
      <c r="U678" s="8">
        <f t="shared" si="81"/>
        <v>21</v>
      </c>
      <c r="V678" s="7">
        <v>37104</v>
      </c>
      <c r="W678" t="s">
        <v>226</v>
      </c>
      <c r="X678" s="2">
        <v>1.6519999999999999</v>
      </c>
      <c r="Y678" s="6">
        <f t="shared" si="86"/>
        <v>4.409919649769093E-2</v>
      </c>
      <c r="AA678" t="s">
        <v>225</v>
      </c>
      <c r="AB678">
        <v>17337</v>
      </c>
      <c r="AD678" t="s">
        <v>1</v>
      </c>
      <c r="AE678">
        <v>49</v>
      </c>
      <c r="AF678">
        <v>8</v>
      </c>
      <c r="AH678" t="s">
        <v>2703</v>
      </c>
      <c r="AI678" t="s">
        <v>2702</v>
      </c>
      <c r="AJ678" t="s">
        <v>2701</v>
      </c>
      <c r="AK678" t="s">
        <v>2700</v>
      </c>
      <c r="AL678">
        <v>10</v>
      </c>
      <c r="AM678" s="5">
        <f t="shared" si="82"/>
        <v>0.47619047619047616</v>
      </c>
      <c r="AN678" s="4">
        <f t="shared" si="87"/>
        <v>7.2122752925479164E-4</v>
      </c>
      <c r="AO678" s="3"/>
      <c r="AP678">
        <v>0</v>
      </c>
      <c r="AR678" t="s">
        <v>0</v>
      </c>
      <c r="AT678" s="2" t="s">
        <v>7</v>
      </c>
      <c r="AU678" s="1">
        <f t="shared" si="83"/>
        <v>3.1085805807160085</v>
      </c>
      <c r="AV678" s="1">
        <f t="shared" si="84"/>
        <v>2.2410212013472859</v>
      </c>
      <c r="AW678" s="1">
        <f t="shared" si="85"/>
        <v>1.3734618219785633</v>
      </c>
    </row>
    <row r="679" spans="1:49" x14ac:dyDescent="0.2">
      <c r="A679">
        <v>677</v>
      </c>
      <c r="B679" t="s">
        <v>2699</v>
      </c>
      <c r="C679" t="s">
        <v>2698</v>
      </c>
      <c r="D679" t="s">
        <v>2697</v>
      </c>
      <c r="F679" t="s">
        <v>2696</v>
      </c>
      <c r="G679" t="s">
        <v>6</v>
      </c>
      <c r="H679" t="s">
        <v>5</v>
      </c>
      <c r="I679" t="s">
        <v>347</v>
      </c>
      <c r="J679" t="s">
        <v>2695</v>
      </c>
      <c r="K679" t="s">
        <v>2694</v>
      </c>
      <c r="L679" t="s">
        <v>2693</v>
      </c>
      <c r="M679" t="s">
        <v>14</v>
      </c>
      <c r="N679">
        <v>7</v>
      </c>
      <c r="O679" t="s">
        <v>2692</v>
      </c>
      <c r="P679" t="s">
        <v>2691</v>
      </c>
      <c r="Q679" t="s">
        <v>2690</v>
      </c>
      <c r="R679" s="7">
        <v>37104</v>
      </c>
      <c r="S679" s="8">
        <f t="shared" si="80"/>
        <v>2001</v>
      </c>
      <c r="T679" s="8">
        <v>2001</v>
      </c>
      <c r="U679" s="8">
        <f t="shared" si="81"/>
        <v>21</v>
      </c>
      <c r="V679" s="7">
        <v>37104</v>
      </c>
      <c r="W679" t="s">
        <v>552</v>
      </c>
      <c r="X679" s="2">
        <v>0.65500000000000003</v>
      </c>
      <c r="Y679" s="6">
        <f t="shared" si="86"/>
        <v>1.7484850911614749E-2</v>
      </c>
      <c r="AA679">
        <v>189375</v>
      </c>
      <c r="AB679">
        <v>26051</v>
      </c>
      <c r="AD679" t="s">
        <v>1</v>
      </c>
      <c r="AE679">
        <v>43</v>
      </c>
      <c r="AF679">
        <v>3</v>
      </c>
      <c r="AH679" t="s">
        <v>2689</v>
      </c>
      <c r="AI679" t="s">
        <v>2688</v>
      </c>
      <c r="AJ679" t="s">
        <v>2687</v>
      </c>
      <c r="AK679" t="s">
        <v>2686</v>
      </c>
      <c r="AL679">
        <v>4</v>
      </c>
      <c r="AM679" s="5">
        <f t="shared" si="82"/>
        <v>0.19047619047619047</v>
      </c>
      <c r="AN679" s="4">
        <f t="shared" si="87"/>
        <v>2.8849101170191666E-4</v>
      </c>
      <c r="AO679" s="3"/>
      <c r="AP679">
        <v>0</v>
      </c>
      <c r="AR679" t="s">
        <v>0</v>
      </c>
      <c r="AT679" s="2" t="s">
        <v>7</v>
      </c>
      <c r="AU679" s="1">
        <f t="shared" si="83"/>
        <v>1.2325942941640899</v>
      </c>
      <c r="AV679" s="1">
        <f t="shared" si="84"/>
        <v>0.88866709616583317</v>
      </c>
      <c r="AW679" s="1">
        <f t="shared" si="85"/>
        <v>0.54473989816757662</v>
      </c>
    </row>
    <row r="680" spans="1:49" x14ac:dyDescent="0.2">
      <c r="A680">
        <v>678</v>
      </c>
      <c r="B680" t="s">
        <v>2685</v>
      </c>
      <c r="C680" t="s">
        <v>2684</v>
      </c>
      <c r="D680" t="s">
        <v>2683</v>
      </c>
      <c r="F680" t="s">
        <v>2682</v>
      </c>
      <c r="G680" t="s">
        <v>6</v>
      </c>
      <c r="H680" t="s">
        <v>5</v>
      </c>
      <c r="I680" t="s">
        <v>2681</v>
      </c>
      <c r="J680" t="s">
        <v>2680</v>
      </c>
      <c r="K680" t="s">
        <v>2679</v>
      </c>
      <c r="L680" t="s">
        <v>2678</v>
      </c>
      <c r="M680" t="s">
        <v>140</v>
      </c>
      <c r="N680">
        <v>3</v>
      </c>
      <c r="O680" t="s">
        <v>2677</v>
      </c>
      <c r="P680" t="s">
        <v>2676</v>
      </c>
      <c r="Q680" t="s">
        <v>2675</v>
      </c>
      <c r="R680" s="7">
        <v>37104</v>
      </c>
      <c r="S680" s="8">
        <f t="shared" si="80"/>
        <v>2001</v>
      </c>
      <c r="T680" s="8">
        <v>2001</v>
      </c>
      <c r="U680" s="8">
        <f t="shared" si="81"/>
        <v>21</v>
      </c>
      <c r="V680" s="7">
        <v>37104</v>
      </c>
      <c r="W680" t="s">
        <v>226</v>
      </c>
      <c r="X680" s="2">
        <v>1.6519999999999999</v>
      </c>
      <c r="Y680" s="6">
        <f t="shared" si="86"/>
        <v>4.409919649769093E-2</v>
      </c>
      <c r="AA680" t="s">
        <v>225</v>
      </c>
      <c r="AB680">
        <v>17337</v>
      </c>
      <c r="AD680" t="s">
        <v>1</v>
      </c>
      <c r="AE680">
        <v>49</v>
      </c>
      <c r="AF680">
        <v>8</v>
      </c>
      <c r="AH680" t="s">
        <v>2674</v>
      </c>
      <c r="AI680" t="s">
        <v>2673</v>
      </c>
      <c r="AJ680" t="s">
        <v>2672</v>
      </c>
      <c r="AK680" t="s">
        <v>2671</v>
      </c>
      <c r="AL680">
        <v>109</v>
      </c>
      <c r="AM680" s="5">
        <f t="shared" si="82"/>
        <v>5.1904761904761907</v>
      </c>
      <c r="AN680" s="4">
        <f t="shared" si="87"/>
        <v>7.8613800688772297E-3</v>
      </c>
      <c r="AO680" s="3"/>
      <c r="AP680">
        <v>0</v>
      </c>
      <c r="AR680" t="s">
        <v>0</v>
      </c>
      <c r="AS680" t="s">
        <v>2670</v>
      </c>
      <c r="AT680" s="2" t="s">
        <v>7</v>
      </c>
      <c r="AU680" s="1">
        <f t="shared" si="83"/>
        <v>3.3227851569046818</v>
      </c>
      <c r="AV680" s="1">
        <f t="shared" si="84"/>
        <v>2.5980288283284079</v>
      </c>
      <c r="AW680" s="1">
        <f t="shared" si="85"/>
        <v>1.8732724997521339</v>
      </c>
    </row>
    <row r="681" spans="1:49" x14ac:dyDescent="0.2">
      <c r="A681">
        <v>679</v>
      </c>
      <c r="B681" t="s">
        <v>2669</v>
      </c>
      <c r="C681" t="s">
        <v>2668</v>
      </c>
      <c r="D681" t="s">
        <v>2667</v>
      </c>
      <c r="F681" t="s">
        <v>2666</v>
      </c>
      <c r="G681" t="s">
        <v>6</v>
      </c>
      <c r="H681" t="s">
        <v>5</v>
      </c>
      <c r="I681" t="s">
        <v>2665</v>
      </c>
      <c r="J681" t="s">
        <v>2664</v>
      </c>
      <c r="K681" t="s">
        <v>2663</v>
      </c>
      <c r="L681" t="s">
        <v>2662</v>
      </c>
      <c r="M681" t="s">
        <v>77</v>
      </c>
      <c r="N681">
        <v>4</v>
      </c>
      <c r="O681" t="s">
        <v>2661</v>
      </c>
      <c r="P681" t="s">
        <v>2660</v>
      </c>
      <c r="Q681" t="s">
        <v>2659</v>
      </c>
      <c r="R681" s="7">
        <v>37104</v>
      </c>
      <c r="S681" s="8">
        <f t="shared" si="80"/>
        <v>2001</v>
      </c>
      <c r="T681" s="8">
        <v>2001</v>
      </c>
      <c r="U681" s="8">
        <f t="shared" si="81"/>
        <v>21</v>
      </c>
      <c r="V681" s="7">
        <v>37104</v>
      </c>
      <c r="W681" t="s">
        <v>226</v>
      </c>
      <c r="X681" s="2">
        <v>1.6519999999999999</v>
      </c>
      <c r="Y681" s="6">
        <f t="shared" si="86"/>
        <v>4.409919649769093E-2</v>
      </c>
      <c r="AA681" t="s">
        <v>225</v>
      </c>
      <c r="AB681">
        <v>17337</v>
      </c>
      <c r="AD681" t="s">
        <v>1</v>
      </c>
      <c r="AE681">
        <v>49</v>
      </c>
      <c r="AF681">
        <v>8</v>
      </c>
      <c r="AH681" t="s">
        <v>2658</v>
      </c>
      <c r="AI681" t="s">
        <v>2657</v>
      </c>
      <c r="AJ681" t="s">
        <v>2656</v>
      </c>
      <c r="AK681" t="s">
        <v>2655</v>
      </c>
      <c r="AL681">
        <v>11</v>
      </c>
      <c r="AM681" s="5">
        <f t="shared" si="82"/>
        <v>0.52380952380952384</v>
      </c>
      <c r="AN681" s="4">
        <f t="shared" si="87"/>
        <v>7.9335028218027086E-4</v>
      </c>
      <c r="AO681" s="3"/>
      <c r="AP681">
        <v>0</v>
      </c>
      <c r="AR681" t="s">
        <v>0</v>
      </c>
      <c r="AT681" s="2" t="s">
        <v>7</v>
      </c>
      <c r="AU681" s="1">
        <f t="shared" si="83"/>
        <v>3.1107442633037734</v>
      </c>
      <c r="AV681" s="1">
        <f t="shared" si="84"/>
        <v>2.2446273389935598</v>
      </c>
      <c r="AW681" s="1">
        <f t="shared" si="85"/>
        <v>1.3785104146833469</v>
      </c>
    </row>
    <row r="682" spans="1:49" x14ac:dyDescent="0.2">
      <c r="A682">
        <v>680</v>
      </c>
      <c r="B682" t="s">
        <v>2654</v>
      </c>
      <c r="C682" t="s">
        <v>2653</v>
      </c>
      <c r="D682" t="s">
        <v>2652</v>
      </c>
      <c r="F682" t="s">
        <v>2651</v>
      </c>
      <c r="G682" t="s">
        <v>6</v>
      </c>
      <c r="H682" t="s">
        <v>5</v>
      </c>
      <c r="I682" t="s">
        <v>2650</v>
      </c>
      <c r="J682" t="s">
        <v>2649</v>
      </c>
      <c r="K682" t="s">
        <v>2648</v>
      </c>
      <c r="L682" t="s">
        <v>2647</v>
      </c>
      <c r="M682" t="s">
        <v>44</v>
      </c>
      <c r="N682">
        <v>1</v>
      </c>
      <c r="O682" t="s">
        <v>2646</v>
      </c>
      <c r="P682">
        <v>55950232900</v>
      </c>
      <c r="Q682" t="s">
        <v>2645</v>
      </c>
      <c r="R682" s="7">
        <v>37104</v>
      </c>
      <c r="S682" s="8">
        <f t="shared" si="80"/>
        <v>2001</v>
      </c>
      <c r="T682" s="8">
        <v>2001</v>
      </c>
      <c r="U682" s="8">
        <f t="shared" si="81"/>
        <v>21</v>
      </c>
      <c r="V682" s="7">
        <v>37104</v>
      </c>
      <c r="W682" t="s">
        <v>226</v>
      </c>
      <c r="X682" s="2">
        <v>1.6519999999999999</v>
      </c>
      <c r="Y682" s="6">
        <f t="shared" si="86"/>
        <v>4.409919649769093E-2</v>
      </c>
      <c r="AA682" t="s">
        <v>225</v>
      </c>
      <c r="AB682">
        <v>17337</v>
      </c>
      <c r="AD682" t="s">
        <v>1</v>
      </c>
      <c r="AE682">
        <v>49</v>
      </c>
      <c r="AF682">
        <v>8</v>
      </c>
      <c r="AH682" t="s">
        <v>2644</v>
      </c>
      <c r="AI682" t="s">
        <v>2643</v>
      </c>
      <c r="AJ682" t="s">
        <v>2642</v>
      </c>
      <c r="AK682" t="s">
        <v>2641</v>
      </c>
      <c r="AL682">
        <v>11</v>
      </c>
      <c r="AM682" s="5">
        <f t="shared" si="82"/>
        <v>0.52380952380952384</v>
      </c>
      <c r="AN682" s="4">
        <f t="shared" si="87"/>
        <v>7.9335028218027086E-4</v>
      </c>
      <c r="AO682" s="3"/>
      <c r="AP682">
        <v>0</v>
      </c>
      <c r="AR682" t="s">
        <v>0</v>
      </c>
      <c r="AT682" s="2" t="s">
        <v>7</v>
      </c>
      <c r="AU682" s="1">
        <f t="shared" si="83"/>
        <v>3.1107442633037734</v>
      </c>
      <c r="AV682" s="1">
        <f t="shared" si="84"/>
        <v>2.2446273389935598</v>
      </c>
      <c r="AW682" s="1">
        <f t="shared" si="85"/>
        <v>1.3785104146833469</v>
      </c>
    </row>
    <row r="683" spans="1:49" x14ac:dyDescent="0.2">
      <c r="A683">
        <v>681</v>
      </c>
      <c r="B683" t="s">
        <v>2640</v>
      </c>
      <c r="C683" t="s">
        <v>2639</v>
      </c>
      <c r="D683" t="s">
        <v>2638</v>
      </c>
      <c r="F683" t="s">
        <v>2637</v>
      </c>
      <c r="G683" t="s">
        <v>6</v>
      </c>
      <c r="H683" t="s">
        <v>5</v>
      </c>
      <c r="I683" t="s">
        <v>2636</v>
      </c>
      <c r="J683" t="s">
        <v>812</v>
      </c>
      <c r="K683" t="s">
        <v>811</v>
      </c>
      <c r="L683" t="s">
        <v>810</v>
      </c>
      <c r="M683" t="s">
        <v>44</v>
      </c>
      <c r="N683">
        <v>3</v>
      </c>
      <c r="O683" t="s">
        <v>2635</v>
      </c>
      <c r="P683" t="s">
        <v>2634</v>
      </c>
      <c r="Q683" t="s">
        <v>2633</v>
      </c>
      <c r="R683" s="7">
        <v>37104</v>
      </c>
      <c r="S683" s="8">
        <f t="shared" si="80"/>
        <v>2001</v>
      </c>
      <c r="T683" s="8">
        <v>2001</v>
      </c>
      <c r="U683" s="8">
        <f t="shared" si="81"/>
        <v>21</v>
      </c>
      <c r="V683" s="7">
        <v>37104</v>
      </c>
      <c r="W683" t="s">
        <v>552</v>
      </c>
      <c r="X683" s="2">
        <v>0.65500000000000003</v>
      </c>
      <c r="Y683" s="6">
        <f t="shared" si="86"/>
        <v>1.7484850911614749E-2</v>
      </c>
      <c r="AA683">
        <v>189375</v>
      </c>
      <c r="AB683">
        <v>26051</v>
      </c>
      <c r="AD683" t="s">
        <v>1</v>
      </c>
      <c r="AE683">
        <v>43</v>
      </c>
      <c r="AF683">
        <v>3</v>
      </c>
      <c r="AH683" t="s">
        <v>2632</v>
      </c>
      <c r="AI683" t="s">
        <v>2631</v>
      </c>
      <c r="AJ683" t="s">
        <v>2630</v>
      </c>
      <c r="AK683" t="s">
        <v>2629</v>
      </c>
      <c r="AL683">
        <v>23</v>
      </c>
      <c r="AM683" s="5">
        <f t="shared" si="82"/>
        <v>1.0952380952380953</v>
      </c>
      <c r="AN683" s="4">
        <f t="shared" si="87"/>
        <v>1.658823317286021E-3</v>
      </c>
      <c r="AO683" s="3"/>
      <c r="AP683">
        <v>0</v>
      </c>
      <c r="AR683" t="s">
        <v>2628</v>
      </c>
      <c r="AS683" t="s">
        <v>748</v>
      </c>
      <c r="AT683" s="2" t="s">
        <v>7</v>
      </c>
      <c r="AU683" s="1">
        <f t="shared" si="83"/>
        <v>1.2737042633316129</v>
      </c>
      <c r="AV683" s="1">
        <f t="shared" si="84"/>
        <v>0.95718371144503844</v>
      </c>
      <c r="AW683" s="1">
        <f t="shared" si="85"/>
        <v>0.64066315955846387</v>
      </c>
    </row>
    <row r="684" spans="1:49" x14ac:dyDescent="0.2">
      <c r="A684">
        <v>682</v>
      </c>
      <c r="B684" t="s">
        <v>2627</v>
      </c>
      <c r="C684" t="s">
        <v>2626</v>
      </c>
      <c r="D684" t="s">
        <v>2625</v>
      </c>
      <c r="F684" t="s">
        <v>2624</v>
      </c>
      <c r="G684" t="s">
        <v>6</v>
      </c>
      <c r="H684" t="s">
        <v>5</v>
      </c>
      <c r="I684" t="s">
        <v>2623</v>
      </c>
      <c r="J684" t="s">
        <v>2618</v>
      </c>
      <c r="K684" t="s">
        <v>2622</v>
      </c>
      <c r="L684" t="s">
        <v>2621</v>
      </c>
      <c r="M684" t="s">
        <v>187</v>
      </c>
      <c r="N684">
        <v>2</v>
      </c>
      <c r="O684" t="s">
        <v>2620</v>
      </c>
      <c r="P684" t="s">
        <v>2619</v>
      </c>
      <c r="Q684" t="s">
        <v>2618</v>
      </c>
      <c r="R684" s="7">
        <v>37104</v>
      </c>
      <c r="S684" s="8">
        <f t="shared" si="80"/>
        <v>2001</v>
      </c>
      <c r="T684" s="8">
        <v>2001</v>
      </c>
      <c r="U684" s="8">
        <f t="shared" si="81"/>
        <v>21</v>
      </c>
      <c r="V684" s="7">
        <v>37104</v>
      </c>
      <c r="W684" t="s">
        <v>226</v>
      </c>
      <c r="X684" s="2">
        <v>1.6519999999999999</v>
      </c>
      <c r="Y684" s="6">
        <f t="shared" si="86"/>
        <v>4.409919649769093E-2</v>
      </c>
      <c r="AA684" t="s">
        <v>225</v>
      </c>
      <c r="AB684">
        <v>17337</v>
      </c>
      <c r="AD684" t="s">
        <v>1</v>
      </c>
      <c r="AE684">
        <v>49</v>
      </c>
      <c r="AF684">
        <v>8</v>
      </c>
      <c r="AH684" t="s">
        <v>2617</v>
      </c>
      <c r="AI684" t="s">
        <v>2616</v>
      </c>
      <c r="AJ684" t="s">
        <v>2615</v>
      </c>
      <c r="AK684" t="s">
        <v>2614</v>
      </c>
      <c r="AL684">
        <v>10</v>
      </c>
      <c r="AM684" s="5">
        <f t="shared" si="82"/>
        <v>0.47619047619047616</v>
      </c>
      <c r="AN684" s="4">
        <f t="shared" si="87"/>
        <v>7.2122752925479164E-4</v>
      </c>
      <c r="AO684" s="3"/>
      <c r="AP684">
        <v>0</v>
      </c>
      <c r="AR684" t="s">
        <v>0</v>
      </c>
      <c r="AT684" s="2" t="s">
        <v>7</v>
      </c>
      <c r="AU684" s="1">
        <f t="shared" si="83"/>
        <v>3.1085805807160085</v>
      </c>
      <c r="AV684" s="1">
        <f t="shared" si="84"/>
        <v>2.2410212013472859</v>
      </c>
      <c r="AW684" s="1">
        <f t="shared" si="85"/>
        <v>1.3734618219785633</v>
      </c>
    </row>
    <row r="685" spans="1:49" x14ac:dyDescent="0.2">
      <c r="A685">
        <v>683</v>
      </c>
      <c r="B685" t="s">
        <v>2613</v>
      </c>
      <c r="C685" t="s">
        <v>2612</v>
      </c>
      <c r="D685" t="s">
        <v>2611</v>
      </c>
      <c r="F685" t="s">
        <v>2610</v>
      </c>
      <c r="G685" t="s">
        <v>6</v>
      </c>
      <c r="H685" t="s">
        <v>5</v>
      </c>
      <c r="I685" t="s">
        <v>1032</v>
      </c>
      <c r="J685" t="s">
        <v>2609</v>
      </c>
      <c r="K685" t="s">
        <v>2608</v>
      </c>
      <c r="L685" t="s">
        <v>2607</v>
      </c>
      <c r="M685" t="s">
        <v>128</v>
      </c>
      <c r="N685">
        <v>2</v>
      </c>
      <c r="O685" t="s">
        <v>2606</v>
      </c>
      <c r="P685" t="s">
        <v>2605</v>
      </c>
      <c r="Q685" t="s">
        <v>2604</v>
      </c>
      <c r="R685" s="7">
        <v>37104</v>
      </c>
      <c r="S685" s="8">
        <f t="shared" si="80"/>
        <v>2001</v>
      </c>
      <c r="T685" s="8">
        <v>2001</v>
      </c>
      <c r="U685" s="8">
        <f t="shared" si="81"/>
        <v>21</v>
      </c>
      <c r="V685" s="7">
        <v>37104</v>
      </c>
      <c r="W685" t="s">
        <v>226</v>
      </c>
      <c r="X685" s="2">
        <v>1.6519999999999999</v>
      </c>
      <c r="Y685" s="6">
        <f t="shared" si="86"/>
        <v>4.409919649769093E-2</v>
      </c>
      <c r="AA685" t="s">
        <v>225</v>
      </c>
      <c r="AB685">
        <v>17337</v>
      </c>
      <c r="AD685" t="s">
        <v>1</v>
      </c>
      <c r="AE685">
        <v>49</v>
      </c>
      <c r="AF685">
        <v>8</v>
      </c>
      <c r="AH685" t="s">
        <v>2603</v>
      </c>
      <c r="AI685" t="s">
        <v>2602</v>
      </c>
      <c r="AJ685" t="s">
        <v>2601</v>
      </c>
      <c r="AK685" t="s">
        <v>2600</v>
      </c>
      <c r="AL685">
        <v>12</v>
      </c>
      <c r="AM685" s="5">
        <f t="shared" si="82"/>
        <v>0.5714285714285714</v>
      </c>
      <c r="AN685" s="4">
        <f t="shared" si="87"/>
        <v>8.6547303510574997E-4</v>
      </c>
      <c r="AO685" s="3"/>
      <c r="AP685">
        <v>0</v>
      </c>
      <c r="AR685" t="s">
        <v>0</v>
      </c>
      <c r="AT685" s="2" t="s">
        <v>7</v>
      </c>
      <c r="AU685" s="1">
        <f t="shared" si="83"/>
        <v>3.1129079458915374</v>
      </c>
      <c r="AV685" s="1">
        <f t="shared" si="84"/>
        <v>2.2482334766398342</v>
      </c>
      <c r="AW685" s="1">
        <f t="shared" si="85"/>
        <v>1.3835590073881303</v>
      </c>
    </row>
    <row r="686" spans="1:49" x14ac:dyDescent="0.2">
      <c r="A686">
        <v>684</v>
      </c>
      <c r="B686" t="s">
        <v>2599</v>
      </c>
      <c r="C686" t="s">
        <v>2598</v>
      </c>
      <c r="D686" t="s">
        <v>2597</v>
      </c>
      <c r="F686" t="s">
        <v>2596</v>
      </c>
      <c r="G686" t="s">
        <v>6</v>
      </c>
      <c r="H686" t="s">
        <v>5</v>
      </c>
      <c r="I686" t="s">
        <v>2595</v>
      </c>
      <c r="J686">
        <v>60013983</v>
      </c>
      <c r="K686" t="s">
        <v>351</v>
      </c>
      <c r="L686" t="s">
        <v>350</v>
      </c>
      <c r="M686" t="s">
        <v>285</v>
      </c>
      <c r="N686">
        <v>3</v>
      </c>
      <c r="O686" t="s">
        <v>2594</v>
      </c>
      <c r="P686" t="s">
        <v>2593</v>
      </c>
      <c r="Q686" t="s">
        <v>349</v>
      </c>
      <c r="R686" s="7">
        <v>37104</v>
      </c>
      <c r="S686" s="8">
        <f t="shared" si="80"/>
        <v>2001</v>
      </c>
      <c r="T686" s="8">
        <v>2001</v>
      </c>
      <c r="U686" s="8">
        <f t="shared" si="81"/>
        <v>21</v>
      </c>
      <c r="V686" s="7">
        <v>37104</v>
      </c>
      <c r="W686" t="s">
        <v>226</v>
      </c>
      <c r="X686" s="2">
        <v>1.6519999999999999</v>
      </c>
      <c r="Y686" s="6">
        <f t="shared" si="86"/>
        <v>4.409919649769093E-2</v>
      </c>
      <c r="AA686" t="s">
        <v>225</v>
      </c>
      <c r="AB686">
        <v>17337</v>
      </c>
      <c r="AD686" t="s">
        <v>1</v>
      </c>
      <c r="AE686">
        <v>49</v>
      </c>
      <c r="AF686">
        <v>8</v>
      </c>
      <c r="AH686" t="s">
        <v>2592</v>
      </c>
      <c r="AI686" t="s">
        <v>2591</v>
      </c>
      <c r="AJ686" t="s">
        <v>2590</v>
      </c>
      <c r="AK686" t="s">
        <v>2589</v>
      </c>
      <c r="AL686">
        <v>12</v>
      </c>
      <c r="AM686" s="5">
        <f t="shared" si="82"/>
        <v>0.5714285714285714</v>
      </c>
      <c r="AN686" s="4">
        <f t="shared" si="87"/>
        <v>8.6547303510574997E-4</v>
      </c>
      <c r="AO686" s="3"/>
      <c r="AP686">
        <v>0</v>
      </c>
      <c r="AR686" t="s">
        <v>0</v>
      </c>
      <c r="AT686" s="2" t="s">
        <v>7</v>
      </c>
      <c r="AU686" s="1">
        <f t="shared" si="83"/>
        <v>3.1129079458915374</v>
      </c>
      <c r="AV686" s="1">
        <f t="shared" si="84"/>
        <v>2.2482334766398342</v>
      </c>
      <c r="AW686" s="1">
        <f t="shared" si="85"/>
        <v>1.3835590073881303</v>
      </c>
    </row>
    <row r="687" spans="1:49" x14ac:dyDescent="0.2">
      <c r="A687">
        <v>685</v>
      </c>
      <c r="B687" t="s">
        <v>2588</v>
      </c>
      <c r="C687" t="s">
        <v>2587</v>
      </c>
      <c r="D687" t="s">
        <v>2586</v>
      </c>
      <c r="F687" t="s">
        <v>2585</v>
      </c>
      <c r="G687" t="s">
        <v>6</v>
      </c>
      <c r="H687" t="s">
        <v>5</v>
      </c>
      <c r="I687" t="s">
        <v>2584</v>
      </c>
      <c r="J687">
        <v>60010365</v>
      </c>
      <c r="K687" t="s">
        <v>472</v>
      </c>
      <c r="L687" t="s">
        <v>471</v>
      </c>
      <c r="M687" t="s">
        <v>126</v>
      </c>
      <c r="N687">
        <v>2</v>
      </c>
      <c r="O687" t="s">
        <v>2583</v>
      </c>
      <c r="P687" t="s">
        <v>2582</v>
      </c>
      <c r="Q687" t="s">
        <v>469</v>
      </c>
      <c r="R687" s="7">
        <v>37104</v>
      </c>
      <c r="S687" s="8">
        <f t="shared" si="80"/>
        <v>2001</v>
      </c>
      <c r="T687" s="8">
        <v>2001</v>
      </c>
      <c r="U687" s="8">
        <f t="shared" si="81"/>
        <v>21</v>
      </c>
      <c r="V687" s="7">
        <v>37104</v>
      </c>
      <c r="W687" t="s">
        <v>226</v>
      </c>
      <c r="X687" s="2">
        <v>1.6519999999999999</v>
      </c>
      <c r="Y687" s="6">
        <f t="shared" si="86"/>
        <v>4.409919649769093E-2</v>
      </c>
      <c r="AA687" t="s">
        <v>225</v>
      </c>
      <c r="AB687">
        <v>17337</v>
      </c>
      <c r="AD687" t="s">
        <v>1</v>
      </c>
      <c r="AE687">
        <v>49</v>
      </c>
      <c r="AF687">
        <v>8</v>
      </c>
      <c r="AH687" t="s">
        <v>2581</v>
      </c>
      <c r="AI687" t="s">
        <v>2580</v>
      </c>
      <c r="AJ687" t="s">
        <v>2579</v>
      </c>
      <c r="AK687" t="s">
        <v>2578</v>
      </c>
      <c r="AL687">
        <v>47</v>
      </c>
      <c r="AM687" s="5">
        <f t="shared" si="82"/>
        <v>2.2380952380952381</v>
      </c>
      <c r="AN687" s="4">
        <f t="shared" si="87"/>
        <v>3.389769387497521E-3</v>
      </c>
      <c r="AO687" s="3"/>
      <c r="AP687">
        <v>0</v>
      </c>
      <c r="AR687" t="s">
        <v>0</v>
      </c>
      <c r="AT687" s="2" t="s">
        <v>7</v>
      </c>
      <c r="AU687" s="1">
        <f t="shared" si="83"/>
        <v>3.1886368364632904</v>
      </c>
      <c r="AV687" s="1">
        <f t="shared" si="84"/>
        <v>2.3744482942594227</v>
      </c>
      <c r="AW687" s="1">
        <f t="shared" si="85"/>
        <v>1.5602597520555543</v>
      </c>
    </row>
    <row r="688" spans="1:49" x14ac:dyDescent="0.2">
      <c r="A688">
        <v>686</v>
      </c>
      <c r="B688" t="s">
        <v>2577</v>
      </c>
      <c r="C688" t="s">
        <v>2576</v>
      </c>
      <c r="F688" t="s">
        <v>2575</v>
      </c>
      <c r="G688" t="s">
        <v>6</v>
      </c>
      <c r="H688" t="s">
        <v>5</v>
      </c>
      <c r="I688" t="s">
        <v>2574</v>
      </c>
      <c r="J688" t="s">
        <v>494</v>
      </c>
      <c r="K688" t="s">
        <v>493</v>
      </c>
      <c r="L688" t="s">
        <v>492</v>
      </c>
      <c r="M688" t="s">
        <v>491</v>
      </c>
      <c r="N688">
        <v>3</v>
      </c>
      <c r="O688" t="s">
        <v>2573</v>
      </c>
      <c r="P688" t="s">
        <v>2572</v>
      </c>
      <c r="Q688" t="s">
        <v>2571</v>
      </c>
      <c r="R688" s="7">
        <v>37104</v>
      </c>
      <c r="S688" s="8">
        <f t="shared" si="80"/>
        <v>2001</v>
      </c>
      <c r="T688" s="8">
        <v>2001</v>
      </c>
      <c r="U688" s="8">
        <f t="shared" si="81"/>
        <v>21</v>
      </c>
      <c r="V688" s="7">
        <v>37104</v>
      </c>
      <c r="W688" t="s">
        <v>499</v>
      </c>
      <c r="X688" s="2">
        <v>0.88100000000000001</v>
      </c>
      <c r="Y688" s="6">
        <f t="shared" si="86"/>
        <v>2.3517791836843653E-2</v>
      </c>
      <c r="AA688">
        <v>10459243</v>
      </c>
      <c r="AB688">
        <v>17248</v>
      </c>
      <c r="AD688" t="s">
        <v>1</v>
      </c>
      <c r="AE688">
        <v>43</v>
      </c>
      <c r="AF688">
        <v>4</v>
      </c>
      <c r="AH688" t="s">
        <v>2570</v>
      </c>
      <c r="AI688" t="s">
        <v>2569</v>
      </c>
      <c r="AJ688" t="s">
        <v>2568</v>
      </c>
      <c r="AK688" t="s">
        <v>2567</v>
      </c>
      <c r="AL688">
        <v>416</v>
      </c>
      <c r="AM688" s="5">
        <f t="shared" si="82"/>
        <v>19.80952380952381</v>
      </c>
      <c r="AN688" s="4">
        <f t="shared" si="87"/>
        <v>3.0003065216999334E-2</v>
      </c>
      <c r="AO688" s="3"/>
      <c r="AP688">
        <v>0</v>
      </c>
      <c r="AQ688" t="s">
        <v>478</v>
      </c>
      <c r="AR688" t="s">
        <v>0</v>
      </c>
      <c r="AS688" t="s">
        <v>477</v>
      </c>
      <c r="AT688" s="2" t="s">
        <v>7</v>
      </c>
      <c r="AU688" s="1">
        <f t="shared" si="83"/>
        <v>2.5463373850890356</v>
      </c>
      <c r="AV688" s="1">
        <f t="shared" si="84"/>
        <v>2.6760428526921496</v>
      </c>
      <c r="AW688" s="1">
        <f t="shared" si="85"/>
        <v>2.8057483202952627</v>
      </c>
    </row>
    <row r="689" spans="1:49" x14ac:dyDescent="0.2">
      <c r="A689">
        <v>687</v>
      </c>
      <c r="B689" t="s">
        <v>2566</v>
      </c>
      <c r="C689" t="s">
        <v>2565</v>
      </c>
      <c r="F689" t="s">
        <v>2564</v>
      </c>
      <c r="G689" t="s">
        <v>6</v>
      </c>
      <c r="H689" t="s">
        <v>5</v>
      </c>
      <c r="I689" t="s">
        <v>2563</v>
      </c>
      <c r="J689">
        <v>60028186</v>
      </c>
      <c r="K689" t="s">
        <v>141</v>
      </c>
      <c r="L689" t="s">
        <v>73</v>
      </c>
      <c r="M689" t="s">
        <v>72</v>
      </c>
      <c r="N689">
        <v>4</v>
      </c>
      <c r="O689" t="s">
        <v>2562</v>
      </c>
      <c r="P689" t="s">
        <v>2561</v>
      </c>
      <c r="Q689" t="s">
        <v>2560</v>
      </c>
      <c r="R689" s="7">
        <v>37104</v>
      </c>
      <c r="S689" s="8">
        <f t="shared" si="80"/>
        <v>2001</v>
      </c>
      <c r="T689" s="8">
        <v>2001</v>
      </c>
      <c r="U689" s="8">
        <f t="shared" si="81"/>
        <v>21</v>
      </c>
      <c r="V689" s="7">
        <v>37104</v>
      </c>
      <c r="W689" t="s">
        <v>499</v>
      </c>
      <c r="X689" s="2">
        <v>0.88100000000000001</v>
      </c>
      <c r="Y689" s="6">
        <f t="shared" si="86"/>
        <v>2.3517791836843653E-2</v>
      </c>
      <c r="AA689">
        <v>10459243</v>
      </c>
      <c r="AB689">
        <v>17248</v>
      </c>
      <c r="AD689" t="s">
        <v>1</v>
      </c>
      <c r="AE689">
        <v>43</v>
      </c>
      <c r="AF689">
        <v>4</v>
      </c>
      <c r="AH689" s="9">
        <v>46722</v>
      </c>
      <c r="AI689" t="s">
        <v>2559</v>
      </c>
      <c r="AJ689" t="s">
        <v>2558</v>
      </c>
      <c r="AK689" t="s">
        <v>2557</v>
      </c>
      <c r="AL689">
        <v>351</v>
      </c>
      <c r="AM689" s="5">
        <f t="shared" si="82"/>
        <v>16.714285714285715</v>
      </c>
      <c r="AN689" s="4">
        <f t="shared" si="87"/>
        <v>2.5315086276843188E-2</v>
      </c>
      <c r="AO689" s="3"/>
      <c r="AP689">
        <v>0</v>
      </c>
      <c r="AR689" t="s">
        <v>0</v>
      </c>
      <c r="AS689" t="s">
        <v>998</v>
      </c>
      <c r="AT689" s="2" t="s">
        <v>7</v>
      </c>
      <c r="AU689" s="1">
        <f t="shared" si="83"/>
        <v>2.4056980168843509</v>
      </c>
      <c r="AV689" s="1">
        <f t="shared" si="84"/>
        <v>2.4416439056843422</v>
      </c>
      <c r="AW689" s="1">
        <f t="shared" si="85"/>
        <v>2.4775897944843326</v>
      </c>
    </row>
    <row r="690" spans="1:49" x14ac:dyDescent="0.2">
      <c r="A690">
        <v>688</v>
      </c>
      <c r="B690" t="s">
        <v>2556</v>
      </c>
      <c r="C690" t="s">
        <v>2555</v>
      </c>
      <c r="F690" t="s">
        <v>2554</v>
      </c>
      <c r="G690" t="s">
        <v>6</v>
      </c>
      <c r="H690" t="s">
        <v>5</v>
      </c>
      <c r="I690" t="s">
        <v>2553</v>
      </c>
      <c r="J690">
        <v>60019987</v>
      </c>
      <c r="K690" t="s">
        <v>2552</v>
      </c>
      <c r="L690" t="s">
        <v>2551</v>
      </c>
      <c r="M690" t="s">
        <v>2550</v>
      </c>
      <c r="N690">
        <v>1</v>
      </c>
      <c r="O690" t="s">
        <v>2549</v>
      </c>
      <c r="P690">
        <v>6701672859</v>
      </c>
      <c r="Q690">
        <v>60019987</v>
      </c>
      <c r="R690" s="7">
        <v>37104</v>
      </c>
      <c r="S690" s="8">
        <f t="shared" si="80"/>
        <v>2001</v>
      </c>
      <c r="T690" s="8">
        <v>2001</v>
      </c>
      <c r="U690" s="8">
        <f t="shared" si="81"/>
        <v>21</v>
      </c>
      <c r="V690" s="7">
        <v>37104</v>
      </c>
      <c r="W690" t="s">
        <v>499</v>
      </c>
      <c r="X690" s="2">
        <v>0.88100000000000001</v>
      </c>
      <c r="Y690" s="6">
        <f t="shared" si="86"/>
        <v>2.3517791836843653E-2</v>
      </c>
      <c r="AA690">
        <v>10459243</v>
      </c>
      <c r="AB690">
        <v>17248</v>
      </c>
      <c r="AD690" t="s">
        <v>1</v>
      </c>
      <c r="AE690">
        <v>43</v>
      </c>
      <c r="AF690">
        <v>4</v>
      </c>
      <c r="AH690" t="s">
        <v>2548</v>
      </c>
      <c r="AI690" t="s">
        <v>2547</v>
      </c>
      <c r="AJ690" t="s">
        <v>2546</v>
      </c>
      <c r="AK690" t="s">
        <v>2545</v>
      </c>
      <c r="AL690">
        <v>3</v>
      </c>
      <c r="AM690" s="5">
        <f t="shared" si="82"/>
        <v>0.14285714285714285</v>
      </c>
      <c r="AN690" s="4">
        <f t="shared" si="87"/>
        <v>2.1636825877643749E-4</v>
      </c>
      <c r="AO690" s="3"/>
      <c r="AP690">
        <v>0</v>
      </c>
      <c r="AQ690" t="s">
        <v>2544</v>
      </c>
      <c r="AR690" t="s">
        <v>0</v>
      </c>
      <c r="AS690" t="s">
        <v>2543</v>
      </c>
      <c r="AT690" s="2" t="s">
        <v>7</v>
      </c>
      <c r="AU690" s="1">
        <f t="shared" si="83"/>
        <v>1.6527364763423487</v>
      </c>
      <c r="AV690" s="1">
        <f t="shared" si="84"/>
        <v>1.1867080047810044</v>
      </c>
      <c r="AW690" s="1">
        <f t="shared" si="85"/>
        <v>0.72067953321966016</v>
      </c>
    </row>
    <row r="691" spans="1:49" x14ac:dyDescent="0.2">
      <c r="A691">
        <v>689</v>
      </c>
      <c r="B691" t="s">
        <v>2542</v>
      </c>
      <c r="C691" t="s">
        <v>2541</v>
      </c>
      <c r="F691" t="s">
        <v>2540</v>
      </c>
      <c r="G691" t="s">
        <v>6</v>
      </c>
      <c r="H691" t="s">
        <v>5</v>
      </c>
      <c r="I691" t="s">
        <v>2539</v>
      </c>
      <c r="J691">
        <v>60009037</v>
      </c>
      <c r="K691" t="s">
        <v>124</v>
      </c>
      <c r="L691" t="s">
        <v>123</v>
      </c>
      <c r="M691" t="s">
        <v>3</v>
      </c>
      <c r="N691">
        <v>1</v>
      </c>
      <c r="O691" t="s">
        <v>2538</v>
      </c>
      <c r="P691">
        <v>7408102852</v>
      </c>
      <c r="Q691">
        <v>60009037</v>
      </c>
      <c r="R691" s="7">
        <v>37104</v>
      </c>
      <c r="S691" s="8">
        <f t="shared" si="80"/>
        <v>2001</v>
      </c>
      <c r="T691" s="8">
        <v>2001</v>
      </c>
      <c r="U691" s="8">
        <f t="shared" si="81"/>
        <v>21</v>
      </c>
      <c r="V691" s="7">
        <v>37104</v>
      </c>
      <c r="W691" t="s">
        <v>499</v>
      </c>
      <c r="X691" s="2">
        <v>0.88100000000000001</v>
      </c>
      <c r="Y691" s="6">
        <f t="shared" si="86"/>
        <v>2.3517791836843653E-2</v>
      </c>
      <c r="AA691">
        <v>10459243</v>
      </c>
      <c r="AB691">
        <v>17248</v>
      </c>
      <c r="AD691" t="s">
        <v>1</v>
      </c>
      <c r="AE691">
        <v>43</v>
      </c>
      <c r="AF691">
        <v>4</v>
      </c>
      <c r="AH691" t="s">
        <v>2537</v>
      </c>
      <c r="AI691" t="s">
        <v>2536</v>
      </c>
      <c r="AJ691" t="s">
        <v>2535</v>
      </c>
      <c r="AK691" t="s">
        <v>2534</v>
      </c>
      <c r="AL691">
        <v>71</v>
      </c>
      <c r="AM691" s="5">
        <f t="shared" si="82"/>
        <v>3.3809523809523809</v>
      </c>
      <c r="AN691" s="4">
        <f t="shared" si="87"/>
        <v>5.1207154577090205E-3</v>
      </c>
      <c r="AO691" s="3"/>
      <c r="AP691">
        <v>0</v>
      </c>
      <c r="AR691" t="s">
        <v>0</v>
      </c>
      <c r="AT691" s="2" t="s">
        <v>7</v>
      </c>
      <c r="AU691" s="1">
        <f t="shared" si="83"/>
        <v>1.7998668923103263</v>
      </c>
      <c r="AV691" s="1">
        <f t="shared" si="84"/>
        <v>1.4319253647276338</v>
      </c>
      <c r="AW691" s="1">
        <f t="shared" si="85"/>
        <v>1.063983837144941</v>
      </c>
    </row>
    <row r="692" spans="1:49" x14ac:dyDescent="0.2">
      <c r="A692">
        <v>690</v>
      </c>
      <c r="B692" t="s">
        <v>2533</v>
      </c>
      <c r="C692" t="s">
        <v>2532</v>
      </c>
      <c r="F692" t="s">
        <v>2531</v>
      </c>
      <c r="G692" t="s">
        <v>6</v>
      </c>
      <c r="H692" t="s">
        <v>5</v>
      </c>
      <c r="I692" t="s">
        <v>2530</v>
      </c>
      <c r="J692">
        <v>60020486</v>
      </c>
      <c r="K692" t="s">
        <v>2529</v>
      </c>
      <c r="L692" t="s">
        <v>785</v>
      </c>
      <c r="M692" t="s">
        <v>72</v>
      </c>
      <c r="N692">
        <v>2</v>
      </c>
      <c r="O692" t="s">
        <v>2528</v>
      </c>
      <c r="P692" t="s">
        <v>2527</v>
      </c>
      <c r="Q692" t="s">
        <v>2526</v>
      </c>
      <c r="R692" s="7">
        <v>37104</v>
      </c>
      <c r="S692" s="8">
        <f t="shared" si="80"/>
        <v>2001</v>
      </c>
      <c r="T692" s="8">
        <v>2001</v>
      </c>
      <c r="U692" s="8">
        <f t="shared" si="81"/>
        <v>21</v>
      </c>
      <c r="V692" s="7">
        <v>37104</v>
      </c>
      <c r="W692" t="s">
        <v>2525</v>
      </c>
      <c r="X692" s="2" t="s">
        <v>7</v>
      </c>
      <c r="Y692" s="6" t="e">
        <f t="shared" si="86"/>
        <v>#VALUE!</v>
      </c>
      <c r="AA692" t="s">
        <v>2524</v>
      </c>
      <c r="AB692">
        <v>25143</v>
      </c>
      <c r="AD692" t="s">
        <v>1</v>
      </c>
      <c r="AE692">
        <v>11</v>
      </c>
      <c r="AF692">
        <v>4</v>
      </c>
      <c r="AH692" t="s">
        <v>2523</v>
      </c>
      <c r="AI692" t="s">
        <v>2522</v>
      </c>
      <c r="AK692" t="s">
        <v>2521</v>
      </c>
      <c r="AL692">
        <v>130</v>
      </c>
      <c r="AM692" s="5">
        <f t="shared" si="82"/>
        <v>6.1904761904761907</v>
      </c>
      <c r="AN692" s="4">
        <f t="shared" si="87"/>
        <v>9.3759578803122925E-3</v>
      </c>
      <c r="AO692" s="3"/>
      <c r="AP692">
        <v>0</v>
      </c>
      <c r="AR692" t="s">
        <v>0</v>
      </c>
      <c r="AT692" s="2" t="s">
        <v>7</v>
      </c>
      <c r="AU692" s="1" t="e">
        <f t="shared" si="83"/>
        <v>#VALUE!</v>
      </c>
      <c r="AV692" s="1" t="e">
        <f t="shared" si="84"/>
        <v>#VALUE!</v>
      </c>
      <c r="AW692" s="1" t="e">
        <f t="shared" si="85"/>
        <v>#VALUE!</v>
      </c>
    </row>
    <row r="693" spans="1:49" x14ac:dyDescent="0.2">
      <c r="A693">
        <v>691</v>
      </c>
      <c r="B693" t="s">
        <v>2520</v>
      </c>
      <c r="F693" t="s">
        <v>2519</v>
      </c>
      <c r="G693" t="s">
        <v>6</v>
      </c>
      <c r="H693" t="s">
        <v>5</v>
      </c>
      <c r="I693" t="s">
        <v>2518</v>
      </c>
      <c r="J693">
        <v>60087200</v>
      </c>
      <c r="K693" t="s">
        <v>2517</v>
      </c>
      <c r="L693" t="s">
        <v>2516</v>
      </c>
      <c r="M693" t="s">
        <v>2515</v>
      </c>
      <c r="N693">
        <v>3</v>
      </c>
      <c r="O693" t="s">
        <v>2514</v>
      </c>
      <c r="P693" t="s">
        <v>2513</v>
      </c>
      <c r="Q693" t="s">
        <v>2512</v>
      </c>
      <c r="R693" s="7">
        <v>37103</v>
      </c>
      <c r="S693" s="8">
        <f t="shared" si="80"/>
        <v>2001</v>
      </c>
      <c r="T693" s="8">
        <v>2001</v>
      </c>
      <c r="U693" s="8">
        <f t="shared" si="81"/>
        <v>21</v>
      </c>
      <c r="V693" s="7">
        <v>2001</v>
      </c>
      <c r="W693" t="s">
        <v>2511</v>
      </c>
      <c r="X693" s="2">
        <v>0.27100000000000002</v>
      </c>
      <c r="Y693" s="6">
        <f t="shared" si="86"/>
        <v>7.2341902245001474E-3</v>
      </c>
      <c r="AA693">
        <v>392480</v>
      </c>
      <c r="AB693">
        <v>22060</v>
      </c>
      <c r="AD693" t="s">
        <v>1</v>
      </c>
      <c r="AE693">
        <v>47</v>
      </c>
      <c r="AF693">
        <v>1</v>
      </c>
      <c r="AH693" s="9">
        <v>41730</v>
      </c>
      <c r="AI693" t="s">
        <v>2510</v>
      </c>
      <c r="AJ693" t="s">
        <v>2509</v>
      </c>
      <c r="AK693" t="s">
        <v>2508</v>
      </c>
      <c r="AL693">
        <v>0</v>
      </c>
      <c r="AM693" s="5">
        <f t="shared" si="82"/>
        <v>0</v>
      </c>
      <c r="AN693" s="4">
        <f t="shared" si="87"/>
        <v>0</v>
      </c>
      <c r="AO693" s="3"/>
      <c r="AP693">
        <v>0</v>
      </c>
      <c r="AR693" t="s">
        <v>0</v>
      </c>
      <c r="AT693" s="2" t="s">
        <v>7</v>
      </c>
      <c r="AU693" s="1">
        <f t="shared" si="83"/>
        <v>0.50639331571501023</v>
      </c>
      <c r="AV693" s="1">
        <f t="shared" si="84"/>
        <v>0.36170951122500739</v>
      </c>
      <c r="AW693" s="1">
        <f t="shared" si="85"/>
        <v>0.2170257067350044</v>
      </c>
    </row>
    <row r="694" spans="1:49" x14ac:dyDescent="0.2">
      <c r="A694">
        <v>692</v>
      </c>
      <c r="B694" t="s">
        <v>2507</v>
      </c>
      <c r="C694" t="s">
        <v>2506</v>
      </c>
      <c r="E694">
        <v>11481495</v>
      </c>
      <c r="F694" t="s">
        <v>2505</v>
      </c>
      <c r="G694" t="s">
        <v>6</v>
      </c>
      <c r="H694" t="s">
        <v>5</v>
      </c>
      <c r="I694" t="s">
        <v>2504</v>
      </c>
      <c r="J694">
        <v>60005322</v>
      </c>
      <c r="K694" t="s">
        <v>85</v>
      </c>
      <c r="L694" t="s">
        <v>84</v>
      </c>
      <c r="M694" t="s">
        <v>46</v>
      </c>
      <c r="N694">
        <v>2</v>
      </c>
      <c r="O694" t="s">
        <v>2503</v>
      </c>
      <c r="P694" t="s">
        <v>2502</v>
      </c>
      <c r="Q694" t="s">
        <v>2501</v>
      </c>
      <c r="R694" s="7">
        <v>37103</v>
      </c>
      <c r="S694" s="8">
        <f t="shared" si="80"/>
        <v>2001</v>
      </c>
      <c r="T694" s="8">
        <v>2001</v>
      </c>
      <c r="U694" s="8">
        <f t="shared" si="81"/>
        <v>21</v>
      </c>
      <c r="V694" s="7">
        <v>37103</v>
      </c>
      <c r="W694" t="s">
        <v>803</v>
      </c>
      <c r="X694" s="2">
        <v>5.0110000000000001</v>
      </c>
      <c r="Y694" s="6">
        <f t="shared" si="86"/>
        <v>0.13376578308107098</v>
      </c>
      <c r="AA694">
        <v>278424</v>
      </c>
      <c r="AB694">
        <v>21121</v>
      </c>
      <c r="AD694" t="s">
        <v>1</v>
      </c>
      <c r="AE694">
        <v>98</v>
      </c>
      <c r="AF694">
        <v>16</v>
      </c>
      <c r="AH694" t="s">
        <v>2500</v>
      </c>
      <c r="AI694" t="s">
        <v>2499</v>
      </c>
      <c r="AK694" t="s">
        <v>2498</v>
      </c>
      <c r="AL694">
        <v>0</v>
      </c>
      <c r="AM694" s="5">
        <f t="shared" si="82"/>
        <v>0</v>
      </c>
      <c r="AN694" s="4">
        <f t="shared" si="87"/>
        <v>0</v>
      </c>
      <c r="AO694" s="3"/>
      <c r="AP694">
        <v>1</v>
      </c>
      <c r="AR694" t="s">
        <v>0</v>
      </c>
      <c r="AT694" s="2" t="s">
        <v>7</v>
      </c>
      <c r="AU694" s="1">
        <f t="shared" si="83"/>
        <v>9.3636048156749681</v>
      </c>
      <c r="AV694" s="1">
        <f t="shared" si="84"/>
        <v>6.6882891540535487</v>
      </c>
      <c r="AW694" s="1">
        <f t="shared" si="85"/>
        <v>4.0129734924321294</v>
      </c>
    </row>
    <row r="695" spans="1:49" x14ac:dyDescent="0.2">
      <c r="A695">
        <v>693</v>
      </c>
      <c r="B695" t="s">
        <v>2497</v>
      </c>
      <c r="C695" t="s">
        <v>2496</v>
      </c>
      <c r="F695" t="s">
        <v>2495</v>
      </c>
      <c r="G695" t="s">
        <v>6</v>
      </c>
      <c r="H695" t="s">
        <v>5</v>
      </c>
      <c r="I695" t="s">
        <v>2494</v>
      </c>
      <c r="J695" t="s">
        <v>2493</v>
      </c>
      <c r="K695" t="s">
        <v>2492</v>
      </c>
      <c r="L695" t="s">
        <v>2491</v>
      </c>
      <c r="M695" t="s">
        <v>89</v>
      </c>
      <c r="N695">
        <v>5</v>
      </c>
      <c r="O695" t="s">
        <v>2490</v>
      </c>
      <c r="P695" t="s">
        <v>2489</v>
      </c>
      <c r="Q695" t="s">
        <v>2488</v>
      </c>
      <c r="R695" s="7">
        <v>37102</v>
      </c>
      <c r="S695" s="8">
        <f t="shared" si="80"/>
        <v>2001</v>
      </c>
      <c r="T695" s="8">
        <v>2001</v>
      </c>
      <c r="U695" s="8">
        <f t="shared" si="81"/>
        <v>21</v>
      </c>
      <c r="V695" s="7">
        <v>37102</v>
      </c>
      <c r="W695" t="s">
        <v>150</v>
      </c>
      <c r="X695" s="2">
        <v>0.192</v>
      </c>
      <c r="Y695" s="6">
        <f t="shared" si="86"/>
        <v>5.1253303435572998E-3</v>
      </c>
      <c r="AA695" t="s">
        <v>127</v>
      </c>
      <c r="AB695">
        <v>40067</v>
      </c>
      <c r="AD695" t="s">
        <v>1</v>
      </c>
      <c r="AE695">
        <v>4532</v>
      </c>
      <c r="AF695">
        <v>1</v>
      </c>
      <c r="AH695" t="s">
        <v>2487</v>
      </c>
      <c r="AI695" t="s">
        <v>2486</v>
      </c>
      <c r="AJ695" t="s">
        <v>2485</v>
      </c>
      <c r="AK695" t="s">
        <v>2484</v>
      </c>
      <c r="AL695">
        <v>6</v>
      </c>
      <c r="AM695" s="5">
        <f t="shared" si="82"/>
        <v>0.2857142857142857</v>
      </c>
      <c r="AN695" s="4">
        <f t="shared" si="87"/>
        <v>4.3273651755287499E-4</v>
      </c>
      <c r="AO695" s="3"/>
      <c r="AP695">
        <v>0</v>
      </c>
      <c r="AR695" t="s">
        <v>0</v>
      </c>
      <c r="AT695" s="2" t="s">
        <v>7</v>
      </c>
      <c r="AU695" s="1">
        <f t="shared" si="83"/>
        <v>0.37175521957559721</v>
      </c>
      <c r="AV695" s="1">
        <f t="shared" si="84"/>
        <v>0.27790334305550873</v>
      </c>
      <c r="AW695" s="1">
        <f t="shared" si="85"/>
        <v>0.18405146653542023</v>
      </c>
    </row>
    <row r="696" spans="1:49" x14ac:dyDescent="0.2">
      <c r="A696">
        <v>694</v>
      </c>
      <c r="B696" t="s">
        <v>2483</v>
      </c>
      <c r="C696" t="s">
        <v>2482</v>
      </c>
      <c r="F696" t="s">
        <v>2481</v>
      </c>
      <c r="G696" t="s">
        <v>6</v>
      </c>
      <c r="H696" t="s">
        <v>5</v>
      </c>
      <c r="I696" t="s">
        <v>2480</v>
      </c>
      <c r="J696" t="s">
        <v>2479</v>
      </c>
      <c r="K696" t="s">
        <v>2478</v>
      </c>
      <c r="L696" t="s">
        <v>2477</v>
      </c>
      <c r="M696" t="s">
        <v>176</v>
      </c>
      <c r="N696">
        <v>3</v>
      </c>
      <c r="O696" t="s">
        <v>2476</v>
      </c>
      <c r="P696" t="s">
        <v>2475</v>
      </c>
      <c r="Q696" t="s">
        <v>2474</v>
      </c>
      <c r="R696" s="7">
        <v>37098</v>
      </c>
      <c r="S696" s="8">
        <f t="shared" si="80"/>
        <v>2001</v>
      </c>
      <c r="T696" s="8">
        <v>2001</v>
      </c>
      <c r="U696" s="8">
        <f t="shared" si="81"/>
        <v>21</v>
      </c>
      <c r="V696" s="7">
        <v>2001</v>
      </c>
      <c r="W696" t="s">
        <v>2473</v>
      </c>
      <c r="X696" s="2">
        <v>0.79500000000000004</v>
      </c>
      <c r="Y696" s="6">
        <f t="shared" si="86"/>
        <v>2.1222070953791944E-2</v>
      </c>
      <c r="AA696">
        <v>9312048</v>
      </c>
      <c r="AB696">
        <v>20459</v>
      </c>
      <c r="AD696" t="s">
        <v>1</v>
      </c>
      <c r="AE696">
        <v>125</v>
      </c>
      <c r="AF696">
        <v>6</v>
      </c>
      <c r="AH696" t="s">
        <v>2279</v>
      </c>
      <c r="AI696" t="s">
        <v>2472</v>
      </c>
      <c r="AK696" t="s">
        <v>2471</v>
      </c>
      <c r="AL696">
        <v>60</v>
      </c>
      <c r="AM696" s="5">
        <f t="shared" si="82"/>
        <v>2.8571428571428572</v>
      </c>
      <c r="AN696" s="4">
        <f t="shared" si="87"/>
        <v>4.3273651755287501E-3</v>
      </c>
      <c r="AO696" s="3"/>
      <c r="AP696">
        <v>0</v>
      </c>
      <c r="AR696" t="s">
        <v>0</v>
      </c>
      <c r="AT696" s="2">
        <v>2.6030000000000002</v>
      </c>
      <c r="AU696" s="1">
        <f t="shared" si="83"/>
        <v>1.6153659220312984</v>
      </c>
      <c r="AV696" s="1">
        <f t="shared" si="84"/>
        <v>1.2774718064660346</v>
      </c>
      <c r="AW696" s="1">
        <f t="shared" si="85"/>
        <v>0.9395776909007707</v>
      </c>
    </row>
    <row r="697" spans="1:49" x14ac:dyDescent="0.2">
      <c r="A697">
        <v>695</v>
      </c>
      <c r="B697" t="s">
        <v>2470</v>
      </c>
      <c r="E697">
        <v>11493555</v>
      </c>
      <c r="F697" t="s">
        <v>2469</v>
      </c>
      <c r="G697" t="s">
        <v>6</v>
      </c>
      <c r="H697" t="s">
        <v>5</v>
      </c>
      <c r="I697" t="s">
        <v>2468</v>
      </c>
      <c r="J697">
        <v>60032179</v>
      </c>
      <c r="K697" t="s">
        <v>2467</v>
      </c>
      <c r="L697" t="s">
        <v>2466</v>
      </c>
      <c r="M697" t="s">
        <v>3</v>
      </c>
      <c r="N697">
        <v>3</v>
      </c>
      <c r="O697" t="s">
        <v>2465</v>
      </c>
      <c r="P697" t="s">
        <v>2464</v>
      </c>
      <c r="Q697" t="s">
        <v>2463</v>
      </c>
      <c r="R697" s="7">
        <v>37096</v>
      </c>
      <c r="S697" s="8">
        <f t="shared" si="80"/>
        <v>2001</v>
      </c>
      <c r="T697" s="8">
        <v>2001</v>
      </c>
      <c r="U697" s="8">
        <f t="shared" si="81"/>
        <v>21</v>
      </c>
      <c r="V697" s="7">
        <v>2001</v>
      </c>
      <c r="W697" t="s">
        <v>793</v>
      </c>
      <c r="X697" s="2">
        <v>0.15</v>
      </c>
      <c r="Y697" s="6">
        <f t="shared" si="86"/>
        <v>4.0041643309041402E-3</v>
      </c>
      <c r="AA697">
        <v>9501991</v>
      </c>
      <c r="AB697">
        <v>14531</v>
      </c>
      <c r="AD697" t="s">
        <v>1</v>
      </c>
      <c r="AE697">
        <v>128</v>
      </c>
      <c r="AF697">
        <v>12</v>
      </c>
      <c r="AH697" t="s">
        <v>2462</v>
      </c>
      <c r="AI697" t="s">
        <v>2461</v>
      </c>
      <c r="AJ697" t="s">
        <v>2460</v>
      </c>
      <c r="AK697" t="s">
        <v>2459</v>
      </c>
      <c r="AL697">
        <v>87</v>
      </c>
      <c r="AM697" s="5">
        <f t="shared" si="82"/>
        <v>4.1428571428571432</v>
      </c>
      <c r="AN697" s="4">
        <f t="shared" si="87"/>
        <v>6.274679504516688E-3</v>
      </c>
      <c r="AO697" s="3"/>
      <c r="AP697">
        <v>0</v>
      </c>
      <c r="AQ697" t="s">
        <v>783</v>
      </c>
      <c r="AR697" t="s">
        <v>2458</v>
      </c>
      <c r="AS697" t="s">
        <v>782</v>
      </c>
      <c r="AT697" s="2">
        <v>6.8680000000000003</v>
      </c>
      <c r="AU697" s="1">
        <f t="shared" si="83"/>
        <v>0.46853188829879039</v>
      </c>
      <c r="AV697" s="1">
        <f t="shared" si="84"/>
        <v>0.5139421917710415</v>
      </c>
      <c r="AW697" s="1">
        <f t="shared" si="85"/>
        <v>0.55935249524329234</v>
      </c>
    </row>
    <row r="698" spans="1:49" x14ac:dyDescent="0.2">
      <c r="A698">
        <v>696</v>
      </c>
      <c r="B698" t="s">
        <v>2457</v>
      </c>
      <c r="C698" t="s">
        <v>2456</v>
      </c>
      <c r="E698">
        <v>11439124</v>
      </c>
      <c r="F698" t="s">
        <v>2455</v>
      </c>
      <c r="G698" t="s">
        <v>6</v>
      </c>
      <c r="H698" t="s">
        <v>5</v>
      </c>
      <c r="I698" t="s">
        <v>2454</v>
      </c>
      <c r="J698" t="s">
        <v>2453</v>
      </c>
      <c r="K698" t="s">
        <v>2452</v>
      </c>
      <c r="L698" t="s">
        <v>2451</v>
      </c>
      <c r="M698" t="s">
        <v>50</v>
      </c>
      <c r="N698">
        <v>6</v>
      </c>
      <c r="O698" t="s">
        <v>2450</v>
      </c>
      <c r="P698" t="s">
        <v>2449</v>
      </c>
      <c r="Q698" t="s">
        <v>2448</v>
      </c>
      <c r="R698" s="7">
        <v>37095</v>
      </c>
      <c r="S698" s="8">
        <f t="shared" si="80"/>
        <v>2001</v>
      </c>
      <c r="T698" s="8">
        <v>2001</v>
      </c>
      <c r="U698" s="8">
        <f t="shared" si="81"/>
        <v>21</v>
      </c>
      <c r="V698" s="7">
        <v>2001</v>
      </c>
      <c r="W698" t="s">
        <v>2447</v>
      </c>
      <c r="X698" s="2">
        <v>3.0579999999999998</v>
      </c>
      <c r="Y698" s="6">
        <f t="shared" si="86"/>
        <v>8.1631563492699066E-2</v>
      </c>
      <c r="AA698">
        <v>9607412</v>
      </c>
      <c r="AB698">
        <v>16612</v>
      </c>
      <c r="AD698" t="s">
        <v>1</v>
      </c>
      <c r="AE698">
        <v>26</v>
      </c>
      <c r="AF698">
        <v>4</v>
      </c>
      <c r="AH698" t="s">
        <v>2446</v>
      </c>
      <c r="AI698" t="s">
        <v>2445</v>
      </c>
      <c r="AJ698" t="s">
        <v>2444</v>
      </c>
      <c r="AK698" t="s">
        <v>2443</v>
      </c>
      <c r="AL698">
        <v>87</v>
      </c>
      <c r="AM698" s="5">
        <f t="shared" si="82"/>
        <v>4.1428571428571432</v>
      </c>
      <c r="AN698" s="4">
        <f t="shared" si="87"/>
        <v>6.274679504516688E-3</v>
      </c>
      <c r="AO698" s="3"/>
      <c r="AP698">
        <v>0</v>
      </c>
      <c r="AR698" t="s">
        <v>0</v>
      </c>
      <c r="AT698" s="2">
        <v>6.4169999999999998</v>
      </c>
      <c r="AU698" s="1">
        <f t="shared" si="83"/>
        <v>5.9024498296244348</v>
      </c>
      <c r="AV698" s="1">
        <f t="shared" si="84"/>
        <v>4.3953121498607874</v>
      </c>
      <c r="AW698" s="1">
        <f t="shared" si="85"/>
        <v>2.8881744700971401</v>
      </c>
    </row>
    <row r="699" spans="1:49" x14ac:dyDescent="0.2">
      <c r="A699">
        <v>697</v>
      </c>
      <c r="B699" t="s">
        <v>2442</v>
      </c>
      <c r="C699" t="s">
        <v>2441</v>
      </c>
      <c r="F699" t="s">
        <v>2440</v>
      </c>
      <c r="G699" t="s">
        <v>6</v>
      </c>
      <c r="H699" t="s">
        <v>5</v>
      </c>
      <c r="I699" t="s">
        <v>2439</v>
      </c>
      <c r="J699">
        <v>60068517</v>
      </c>
      <c r="K699" t="s">
        <v>2438</v>
      </c>
      <c r="L699" t="s">
        <v>2437</v>
      </c>
      <c r="M699" t="s">
        <v>457</v>
      </c>
      <c r="N699">
        <v>1</v>
      </c>
      <c r="O699" t="s">
        <v>2436</v>
      </c>
      <c r="P699">
        <v>8345732200</v>
      </c>
      <c r="Q699">
        <v>60068517</v>
      </c>
      <c r="R699" s="7">
        <v>37092</v>
      </c>
      <c r="S699" s="8">
        <f t="shared" si="80"/>
        <v>2001</v>
      </c>
      <c r="T699" s="8">
        <v>2001</v>
      </c>
      <c r="U699" s="8">
        <f t="shared" si="81"/>
        <v>21</v>
      </c>
      <c r="V699" s="7">
        <v>37092</v>
      </c>
      <c r="W699" t="s">
        <v>290</v>
      </c>
      <c r="X699" s="2">
        <v>0.30399999999999999</v>
      </c>
      <c r="Y699" s="6">
        <f t="shared" si="86"/>
        <v>8.115106377299057E-3</v>
      </c>
      <c r="AA699">
        <v>8952477</v>
      </c>
      <c r="AB699">
        <v>12250</v>
      </c>
      <c r="AD699" t="s">
        <v>1</v>
      </c>
      <c r="AE699">
        <v>30</v>
      </c>
      <c r="AF699">
        <v>2</v>
      </c>
      <c r="AH699" t="s">
        <v>2435</v>
      </c>
      <c r="AI699" t="s">
        <v>2434</v>
      </c>
      <c r="AJ699" t="s">
        <v>2433</v>
      </c>
      <c r="AK699" t="s">
        <v>2432</v>
      </c>
      <c r="AL699">
        <v>2</v>
      </c>
      <c r="AM699" s="5">
        <f t="shared" si="82"/>
        <v>9.5238095238095233E-2</v>
      </c>
      <c r="AN699" s="4">
        <f t="shared" si="87"/>
        <v>1.4424550585095833E-4</v>
      </c>
      <c r="AO699" s="3"/>
      <c r="AP699">
        <v>0</v>
      </c>
      <c r="AR699" t="s">
        <v>0</v>
      </c>
      <c r="AT699" s="2" t="s">
        <v>7</v>
      </c>
      <c r="AU699" s="1">
        <f t="shared" si="83"/>
        <v>0.57238481158646271</v>
      </c>
      <c r="AV699" s="1">
        <f t="shared" si="84"/>
        <v>0.41296759415750073</v>
      </c>
      <c r="AW699" s="1">
        <f t="shared" si="85"/>
        <v>0.25355037672853881</v>
      </c>
    </row>
    <row r="700" spans="1:49" x14ac:dyDescent="0.2">
      <c r="A700">
        <v>698</v>
      </c>
      <c r="B700" t="s">
        <v>2431</v>
      </c>
      <c r="C700" t="s">
        <v>2430</v>
      </c>
      <c r="F700" t="s">
        <v>2429</v>
      </c>
      <c r="G700" t="s">
        <v>6</v>
      </c>
      <c r="H700" t="s">
        <v>5</v>
      </c>
      <c r="I700" t="s">
        <v>2428</v>
      </c>
      <c r="J700">
        <v>60015465</v>
      </c>
      <c r="K700" t="s">
        <v>965</v>
      </c>
      <c r="L700" t="s">
        <v>964</v>
      </c>
      <c r="M700" t="s">
        <v>80</v>
      </c>
      <c r="N700">
        <v>3</v>
      </c>
      <c r="O700" t="s">
        <v>2427</v>
      </c>
      <c r="P700" t="s">
        <v>2426</v>
      </c>
      <c r="Q700" t="s">
        <v>963</v>
      </c>
      <c r="R700" s="7">
        <v>37092</v>
      </c>
      <c r="S700" s="8">
        <f t="shared" si="80"/>
        <v>2001</v>
      </c>
      <c r="T700" s="8">
        <v>2001</v>
      </c>
      <c r="U700" s="8">
        <f t="shared" si="81"/>
        <v>21</v>
      </c>
      <c r="V700" s="7">
        <v>37092</v>
      </c>
      <c r="W700" t="s">
        <v>290</v>
      </c>
      <c r="X700" s="2">
        <v>0.30399999999999999</v>
      </c>
      <c r="Y700" s="6">
        <f t="shared" si="86"/>
        <v>8.115106377299057E-3</v>
      </c>
      <c r="AA700">
        <v>8952477</v>
      </c>
      <c r="AB700">
        <v>12250</v>
      </c>
      <c r="AD700" t="s">
        <v>1</v>
      </c>
      <c r="AE700">
        <v>30</v>
      </c>
      <c r="AF700">
        <v>2</v>
      </c>
      <c r="AH700" t="s">
        <v>200</v>
      </c>
      <c r="AI700" t="s">
        <v>2425</v>
      </c>
      <c r="AK700" t="s">
        <v>2424</v>
      </c>
      <c r="AL700">
        <v>3</v>
      </c>
      <c r="AM700" s="5">
        <f t="shared" si="82"/>
        <v>0.14285714285714285</v>
      </c>
      <c r="AN700" s="4">
        <f t="shared" si="87"/>
        <v>2.1636825877643749E-4</v>
      </c>
      <c r="AO700" s="3"/>
      <c r="AP700">
        <v>0</v>
      </c>
      <c r="AR700" t="s">
        <v>0</v>
      </c>
      <c r="AT700" s="2" t="s">
        <v>7</v>
      </c>
      <c r="AU700" s="1">
        <f t="shared" si="83"/>
        <v>0.57454849417422704</v>
      </c>
      <c r="AV700" s="1">
        <f t="shared" si="84"/>
        <v>0.41657373180377472</v>
      </c>
      <c r="AW700" s="1">
        <f t="shared" si="85"/>
        <v>0.25859896943332233</v>
      </c>
    </row>
    <row r="701" spans="1:49" x14ac:dyDescent="0.2">
      <c r="A701">
        <v>699</v>
      </c>
      <c r="B701" t="s">
        <v>2423</v>
      </c>
      <c r="C701" t="s">
        <v>2422</v>
      </c>
      <c r="F701" t="s">
        <v>2421</v>
      </c>
      <c r="G701" t="s">
        <v>6</v>
      </c>
      <c r="H701" t="s">
        <v>5</v>
      </c>
      <c r="I701" t="s">
        <v>766</v>
      </c>
      <c r="J701">
        <v>60013983</v>
      </c>
      <c r="K701" t="s">
        <v>351</v>
      </c>
      <c r="L701" t="s">
        <v>350</v>
      </c>
      <c r="M701" t="s">
        <v>285</v>
      </c>
      <c r="N701">
        <v>3</v>
      </c>
      <c r="O701" t="s">
        <v>765</v>
      </c>
      <c r="P701" t="s">
        <v>764</v>
      </c>
      <c r="Q701" t="s">
        <v>349</v>
      </c>
      <c r="R701" s="7">
        <v>37092</v>
      </c>
      <c r="S701" s="8">
        <f t="shared" si="80"/>
        <v>2001</v>
      </c>
      <c r="T701" s="8">
        <v>2001</v>
      </c>
      <c r="U701" s="8">
        <f t="shared" si="81"/>
        <v>21</v>
      </c>
      <c r="V701" s="7">
        <v>37092</v>
      </c>
      <c r="W701" t="s">
        <v>290</v>
      </c>
      <c r="X701" s="2">
        <v>0.30399999999999999</v>
      </c>
      <c r="Y701" s="6">
        <f t="shared" si="86"/>
        <v>8.115106377299057E-3</v>
      </c>
      <c r="AA701">
        <v>8952477</v>
      </c>
      <c r="AB701">
        <v>12250</v>
      </c>
      <c r="AD701" t="s">
        <v>1</v>
      </c>
      <c r="AE701">
        <v>30</v>
      </c>
      <c r="AF701">
        <v>2</v>
      </c>
      <c r="AH701" t="s">
        <v>882</v>
      </c>
      <c r="AI701" t="s">
        <v>2420</v>
      </c>
      <c r="AJ701" t="s">
        <v>2419</v>
      </c>
      <c r="AK701" t="s">
        <v>2418</v>
      </c>
      <c r="AL701">
        <v>7</v>
      </c>
      <c r="AM701" s="5">
        <f t="shared" si="82"/>
        <v>0.33333333333333331</v>
      </c>
      <c r="AN701" s="4">
        <f t="shared" si="87"/>
        <v>5.048592704783541E-4</v>
      </c>
      <c r="AO701" s="3"/>
      <c r="AP701">
        <v>0</v>
      </c>
      <c r="AR701" t="s">
        <v>0</v>
      </c>
      <c r="AT701" s="2" t="s">
        <v>7</v>
      </c>
      <c r="AU701" s="1">
        <f t="shared" si="83"/>
        <v>0.58320322452528461</v>
      </c>
      <c r="AV701" s="1">
        <f t="shared" si="84"/>
        <v>0.43099828238887061</v>
      </c>
      <c r="AW701" s="1">
        <f t="shared" si="85"/>
        <v>0.2787933402524565</v>
      </c>
    </row>
    <row r="702" spans="1:49" x14ac:dyDescent="0.2">
      <c r="A702">
        <v>700</v>
      </c>
      <c r="B702" t="s">
        <v>2417</v>
      </c>
      <c r="C702" t="s">
        <v>2416</v>
      </c>
      <c r="F702" t="s">
        <v>2415</v>
      </c>
      <c r="G702" t="s">
        <v>6</v>
      </c>
      <c r="H702" t="s">
        <v>5</v>
      </c>
      <c r="I702" t="s">
        <v>868</v>
      </c>
      <c r="J702" t="s">
        <v>867</v>
      </c>
      <c r="K702" t="s">
        <v>866</v>
      </c>
      <c r="L702" t="s">
        <v>865</v>
      </c>
      <c r="M702" t="s">
        <v>187</v>
      </c>
      <c r="N702">
        <v>3</v>
      </c>
      <c r="O702" t="s">
        <v>864</v>
      </c>
      <c r="P702" t="s">
        <v>863</v>
      </c>
      <c r="Q702" t="s">
        <v>862</v>
      </c>
      <c r="R702" s="7">
        <v>37092</v>
      </c>
      <c r="S702" s="8">
        <f t="shared" si="80"/>
        <v>2001</v>
      </c>
      <c r="T702" s="8">
        <v>2001</v>
      </c>
      <c r="U702" s="8">
        <f t="shared" si="81"/>
        <v>21</v>
      </c>
      <c r="V702" s="7">
        <v>37092</v>
      </c>
      <c r="W702" t="s">
        <v>290</v>
      </c>
      <c r="X702" s="2">
        <v>0.30399999999999999</v>
      </c>
      <c r="Y702" s="6">
        <f t="shared" si="86"/>
        <v>8.115106377299057E-3</v>
      </c>
      <c r="AA702">
        <v>8952477</v>
      </c>
      <c r="AB702">
        <v>12250</v>
      </c>
      <c r="AD702" t="s">
        <v>1</v>
      </c>
      <c r="AE702">
        <v>30</v>
      </c>
      <c r="AF702">
        <v>2</v>
      </c>
      <c r="AH702" t="s">
        <v>2414</v>
      </c>
      <c r="AI702" t="s">
        <v>2413</v>
      </c>
      <c r="AJ702" t="s">
        <v>2412</v>
      </c>
      <c r="AK702" t="s">
        <v>2411</v>
      </c>
      <c r="AL702">
        <v>1</v>
      </c>
      <c r="AM702" s="5">
        <f t="shared" si="82"/>
        <v>4.7619047619047616E-2</v>
      </c>
      <c r="AN702" s="4">
        <f t="shared" si="87"/>
        <v>7.2122752925479164E-5</v>
      </c>
      <c r="AO702" s="3"/>
      <c r="AP702">
        <v>0</v>
      </c>
      <c r="AR702" t="s">
        <v>0</v>
      </c>
      <c r="AT702" s="2" t="s">
        <v>7</v>
      </c>
      <c r="AU702" s="1">
        <f t="shared" si="83"/>
        <v>0.57022112899869826</v>
      </c>
      <c r="AV702" s="1">
        <f t="shared" si="84"/>
        <v>0.40936145651122685</v>
      </c>
      <c r="AW702" s="1">
        <f t="shared" si="85"/>
        <v>0.24850178402375528</v>
      </c>
    </row>
    <row r="703" spans="1:49" x14ac:dyDescent="0.2">
      <c r="A703">
        <v>701</v>
      </c>
      <c r="B703" t="s">
        <v>2410</v>
      </c>
      <c r="C703" t="s">
        <v>2409</v>
      </c>
      <c r="F703" t="s">
        <v>2408</v>
      </c>
      <c r="G703" t="s">
        <v>6</v>
      </c>
      <c r="H703" t="s">
        <v>5</v>
      </c>
      <c r="I703" t="s">
        <v>2407</v>
      </c>
      <c r="J703">
        <v>60026134</v>
      </c>
      <c r="K703" t="s">
        <v>781</v>
      </c>
      <c r="L703" t="s">
        <v>780</v>
      </c>
      <c r="M703" t="s">
        <v>194</v>
      </c>
      <c r="N703">
        <v>3</v>
      </c>
      <c r="O703" t="s">
        <v>2406</v>
      </c>
      <c r="P703" t="s">
        <v>2405</v>
      </c>
      <c r="Q703" t="s">
        <v>779</v>
      </c>
      <c r="R703" s="7">
        <v>37092</v>
      </c>
      <c r="S703" s="8">
        <f t="shared" si="80"/>
        <v>2001</v>
      </c>
      <c r="T703" s="8">
        <v>2001</v>
      </c>
      <c r="U703" s="8">
        <f t="shared" si="81"/>
        <v>21</v>
      </c>
      <c r="V703" s="7">
        <v>37092</v>
      </c>
      <c r="W703" t="s">
        <v>290</v>
      </c>
      <c r="X703" s="2">
        <v>0.30399999999999999</v>
      </c>
      <c r="Y703" s="6">
        <f t="shared" si="86"/>
        <v>8.115106377299057E-3</v>
      </c>
      <c r="AA703">
        <v>8952477</v>
      </c>
      <c r="AB703">
        <v>12250</v>
      </c>
      <c r="AD703" t="s">
        <v>1</v>
      </c>
      <c r="AE703">
        <v>30</v>
      </c>
      <c r="AF703">
        <v>2</v>
      </c>
      <c r="AH703" t="s">
        <v>2404</v>
      </c>
      <c r="AI703" t="s">
        <v>2403</v>
      </c>
      <c r="AJ703" t="s">
        <v>2402</v>
      </c>
      <c r="AK703" t="s">
        <v>2401</v>
      </c>
      <c r="AL703">
        <v>2</v>
      </c>
      <c r="AM703" s="5">
        <f t="shared" si="82"/>
        <v>9.5238095238095233E-2</v>
      </c>
      <c r="AN703" s="4">
        <f t="shared" si="87"/>
        <v>1.4424550585095833E-4</v>
      </c>
      <c r="AO703" s="3"/>
      <c r="AP703">
        <v>0</v>
      </c>
      <c r="AR703" t="s">
        <v>0</v>
      </c>
      <c r="AT703" s="2" t="s">
        <v>7</v>
      </c>
      <c r="AU703" s="1">
        <f t="shared" si="83"/>
        <v>0.57238481158646271</v>
      </c>
      <c r="AV703" s="1">
        <f t="shared" si="84"/>
        <v>0.41296759415750073</v>
      </c>
      <c r="AW703" s="1">
        <f t="shared" si="85"/>
        <v>0.25355037672853881</v>
      </c>
    </row>
    <row r="704" spans="1:49" x14ac:dyDescent="0.2">
      <c r="A704">
        <v>702</v>
      </c>
      <c r="B704" t="s">
        <v>2400</v>
      </c>
      <c r="C704" t="s">
        <v>2399</v>
      </c>
      <c r="F704" t="s">
        <v>2398</v>
      </c>
      <c r="G704" t="s">
        <v>6</v>
      </c>
      <c r="H704" t="s">
        <v>5</v>
      </c>
      <c r="I704" t="s">
        <v>428</v>
      </c>
      <c r="J704" t="s">
        <v>2397</v>
      </c>
      <c r="K704" t="s">
        <v>2396</v>
      </c>
      <c r="L704" t="s">
        <v>2395</v>
      </c>
      <c r="M704" t="s">
        <v>44</v>
      </c>
      <c r="N704">
        <v>2</v>
      </c>
      <c r="O704" t="s">
        <v>2394</v>
      </c>
      <c r="P704" t="s">
        <v>2393</v>
      </c>
      <c r="Q704" t="s">
        <v>2392</v>
      </c>
      <c r="R704" s="7">
        <v>37092</v>
      </c>
      <c r="S704" s="8">
        <f t="shared" si="80"/>
        <v>2001</v>
      </c>
      <c r="T704" s="8">
        <v>2001</v>
      </c>
      <c r="U704" s="8">
        <f t="shared" si="81"/>
        <v>21</v>
      </c>
      <c r="V704" s="7">
        <v>37092</v>
      </c>
      <c r="W704" t="s">
        <v>290</v>
      </c>
      <c r="X704" s="2">
        <v>0.30399999999999999</v>
      </c>
      <c r="Y704" s="6">
        <f t="shared" si="86"/>
        <v>8.115106377299057E-3</v>
      </c>
      <c r="AA704">
        <v>8952477</v>
      </c>
      <c r="AB704">
        <v>12250</v>
      </c>
      <c r="AD704" t="s">
        <v>1</v>
      </c>
      <c r="AE704">
        <v>30</v>
      </c>
      <c r="AF704">
        <v>2</v>
      </c>
      <c r="AH704" t="s">
        <v>926</v>
      </c>
      <c r="AI704" t="s">
        <v>2391</v>
      </c>
      <c r="AJ704" t="s">
        <v>2390</v>
      </c>
      <c r="AK704" t="s">
        <v>2389</v>
      </c>
      <c r="AL704">
        <v>0</v>
      </c>
      <c r="AM704" s="5">
        <f t="shared" si="82"/>
        <v>0</v>
      </c>
      <c r="AN704" s="4">
        <f t="shared" si="87"/>
        <v>0</v>
      </c>
      <c r="AO704" s="3"/>
      <c r="AP704">
        <v>0</v>
      </c>
      <c r="AR704" t="s">
        <v>0</v>
      </c>
      <c r="AT704" s="2" t="s">
        <v>7</v>
      </c>
      <c r="AU704" s="1">
        <f t="shared" si="83"/>
        <v>0.56805744641093392</v>
      </c>
      <c r="AV704" s="1">
        <f t="shared" si="84"/>
        <v>0.40575531886495286</v>
      </c>
      <c r="AW704" s="1">
        <f t="shared" si="85"/>
        <v>0.24345319131897172</v>
      </c>
    </row>
    <row r="705" spans="1:49" x14ac:dyDescent="0.2">
      <c r="A705">
        <v>703</v>
      </c>
      <c r="B705" t="s">
        <v>2388</v>
      </c>
      <c r="C705" t="s">
        <v>2387</v>
      </c>
      <c r="F705" t="s">
        <v>2386</v>
      </c>
      <c r="G705" t="s">
        <v>6</v>
      </c>
      <c r="H705" t="s">
        <v>5</v>
      </c>
      <c r="I705" t="s">
        <v>2385</v>
      </c>
      <c r="J705">
        <v>60001439</v>
      </c>
      <c r="K705" t="s">
        <v>24</v>
      </c>
      <c r="L705" t="s">
        <v>23</v>
      </c>
      <c r="M705" t="s">
        <v>3</v>
      </c>
      <c r="N705">
        <v>3</v>
      </c>
      <c r="O705" t="s">
        <v>2384</v>
      </c>
      <c r="P705" t="s">
        <v>2383</v>
      </c>
      <c r="Q705" t="s">
        <v>975</v>
      </c>
      <c r="R705" s="7">
        <v>37092</v>
      </c>
      <c r="S705" s="8">
        <f t="shared" si="80"/>
        <v>2001</v>
      </c>
      <c r="T705" s="8">
        <v>2001</v>
      </c>
      <c r="U705" s="8">
        <f t="shared" si="81"/>
        <v>21</v>
      </c>
      <c r="V705" s="7">
        <v>37092</v>
      </c>
      <c r="W705" t="s">
        <v>290</v>
      </c>
      <c r="X705" s="2">
        <v>0.30399999999999999</v>
      </c>
      <c r="Y705" s="6">
        <f t="shared" si="86"/>
        <v>8.115106377299057E-3</v>
      </c>
      <c r="AA705">
        <v>8952477</v>
      </c>
      <c r="AB705">
        <v>12250</v>
      </c>
      <c r="AD705" t="s">
        <v>1</v>
      </c>
      <c r="AE705">
        <v>30</v>
      </c>
      <c r="AF705">
        <v>2</v>
      </c>
      <c r="AH705" t="s">
        <v>676</v>
      </c>
      <c r="AI705" t="s">
        <v>2382</v>
      </c>
      <c r="AJ705" t="s">
        <v>2381</v>
      </c>
      <c r="AK705" t="s">
        <v>2380</v>
      </c>
      <c r="AL705">
        <v>27</v>
      </c>
      <c r="AM705" s="5">
        <f t="shared" si="82"/>
        <v>1.2857142857142858</v>
      </c>
      <c r="AN705" s="4">
        <f t="shared" si="87"/>
        <v>1.9473143289879377E-3</v>
      </c>
      <c r="AO705" s="3"/>
      <c r="AP705">
        <v>0</v>
      </c>
      <c r="AR705" t="s">
        <v>0</v>
      </c>
      <c r="AT705" s="2" t="s">
        <v>7</v>
      </c>
      <c r="AU705" s="1">
        <f t="shared" si="83"/>
        <v>0.62647687628057214</v>
      </c>
      <c r="AV705" s="1">
        <f t="shared" si="84"/>
        <v>0.50312103531434971</v>
      </c>
      <c r="AW705" s="1">
        <f t="shared" si="85"/>
        <v>0.37976519434812733</v>
      </c>
    </row>
    <row r="706" spans="1:49" x14ac:dyDescent="0.2">
      <c r="A706">
        <v>704</v>
      </c>
      <c r="B706" t="s">
        <v>2379</v>
      </c>
      <c r="C706" t="s">
        <v>2378</v>
      </c>
      <c r="F706" t="s">
        <v>2377</v>
      </c>
      <c r="G706" t="s">
        <v>6</v>
      </c>
      <c r="H706" t="s">
        <v>5</v>
      </c>
      <c r="I706" t="s">
        <v>411</v>
      </c>
      <c r="J706">
        <v>60011357</v>
      </c>
      <c r="K706" t="s">
        <v>342</v>
      </c>
      <c r="L706" t="s">
        <v>329</v>
      </c>
      <c r="M706" t="s">
        <v>105</v>
      </c>
      <c r="N706">
        <v>2</v>
      </c>
      <c r="O706" t="s">
        <v>2376</v>
      </c>
      <c r="P706" t="s">
        <v>2375</v>
      </c>
      <c r="Q706" t="s">
        <v>341</v>
      </c>
      <c r="R706" s="7">
        <v>37092</v>
      </c>
      <c r="S706" s="8">
        <f t="shared" ref="S706:S769" si="88">YEAR(R706)</f>
        <v>2001</v>
      </c>
      <c r="T706" s="8">
        <v>2001</v>
      </c>
      <c r="U706" s="8">
        <f t="shared" ref="U706:U769" si="89">2022-T706</f>
        <v>21</v>
      </c>
      <c r="V706" s="7">
        <v>37092</v>
      </c>
      <c r="W706" t="s">
        <v>290</v>
      </c>
      <c r="X706" s="2">
        <v>0.30399999999999999</v>
      </c>
      <c r="Y706" s="6">
        <f t="shared" si="86"/>
        <v>8.115106377299057E-3</v>
      </c>
      <c r="AA706">
        <v>8952477</v>
      </c>
      <c r="AB706">
        <v>12250</v>
      </c>
      <c r="AD706" t="s">
        <v>1</v>
      </c>
      <c r="AE706">
        <v>30</v>
      </c>
      <c r="AF706">
        <v>2</v>
      </c>
      <c r="AH706" t="s">
        <v>2374</v>
      </c>
      <c r="AI706" t="s">
        <v>2373</v>
      </c>
      <c r="AJ706" t="s">
        <v>2372</v>
      </c>
      <c r="AK706" t="s">
        <v>2371</v>
      </c>
      <c r="AL706">
        <v>5</v>
      </c>
      <c r="AM706" s="5">
        <f t="shared" ref="AM706:AM769" si="90">AL706/U706</f>
        <v>0.23809523809523808</v>
      </c>
      <c r="AN706" s="4">
        <f t="shared" si="87"/>
        <v>3.6061376462739582E-4</v>
      </c>
      <c r="AO706" s="3"/>
      <c r="AP706">
        <v>0</v>
      </c>
      <c r="AR706" t="s">
        <v>0</v>
      </c>
      <c r="AT706" s="2" t="s">
        <v>7</v>
      </c>
      <c r="AU706" s="1">
        <f t="shared" ref="AU706:AU769" si="91">(Y706*0.7+AN706*0.3)*100</f>
        <v>0.57887585934975583</v>
      </c>
      <c r="AV706" s="1">
        <f t="shared" ref="AV706:AV769" si="92">(Y706*0.5+AN706*0.5)*100</f>
        <v>0.42378600709632264</v>
      </c>
      <c r="AW706" s="1">
        <f t="shared" ref="AW706:AW769" si="93">(Y706*0.3+AN706*0.7)*100</f>
        <v>0.26869615484288945</v>
      </c>
    </row>
    <row r="707" spans="1:49" x14ac:dyDescent="0.2">
      <c r="A707">
        <v>705</v>
      </c>
      <c r="B707" t="s">
        <v>2370</v>
      </c>
      <c r="C707" t="s">
        <v>2369</v>
      </c>
      <c r="F707" t="s">
        <v>2368</v>
      </c>
      <c r="G707" t="s">
        <v>6</v>
      </c>
      <c r="H707" t="s">
        <v>5</v>
      </c>
      <c r="I707" t="s">
        <v>2367</v>
      </c>
      <c r="J707">
        <v>60015941</v>
      </c>
      <c r="K707" t="s">
        <v>2366</v>
      </c>
      <c r="L707" t="s">
        <v>2365</v>
      </c>
      <c r="M707" t="s">
        <v>3</v>
      </c>
      <c r="N707">
        <v>2</v>
      </c>
      <c r="O707" t="s">
        <v>2364</v>
      </c>
      <c r="P707" t="s">
        <v>2363</v>
      </c>
      <c r="Q707" t="s">
        <v>2362</v>
      </c>
      <c r="R707" s="7">
        <v>37092</v>
      </c>
      <c r="S707" s="8">
        <f t="shared" si="88"/>
        <v>2001</v>
      </c>
      <c r="T707" s="8">
        <v>2001</v>
      </c>
      <c r="U707" s="8">
        <f t="shared" si="89"/>
        <v>21</v>
      </c>
      <c r="V707" s="7">
        <v>2001</v>
      </c>
      <c r="W707" t="s">
        <v>595</v>
      </c>
      <c r="X707" s="2">
        <v>0.27800000000000002</v>
      </c>
      <c r="Y707" s="6">
        <f t="shared" ref="Y707:Y770" si="94">(X707-$Z$3)/($Z$2-$Z$3)</f>
        <v>7.4210512266090073E-3</v>
      </c>
      <c r="AA707" t="s">
        <v>594</v>
      </c>
      <c r="AB707">
        <v>21402</v>
      </c>
      <c r="AD707" t="s">
        <v>1</v>
      </c>
      <c r="AE707">
        <v>74</v>
      </c>
      <c r="AF707">
        <v>5</v>
      </c>
      <c r="AH707" t="s">
        <v>2361</v>
      </c>
      <c r="AI707" t="s">
        <v>2360</v>
      </c>
      <c r="AK707" t="s">
        <v>2359</v>
      </c>
      <c r="AL707">
        <v>12</v>
      </c>
      <c r="AM707" s="5">
        <f t="shared" si="90"/>
        <v>0.5714285714285714</v>
      </c>
      <c r="AN707" s="4">
        <f t="shared" ref="AN707:AN770" si="95">(AM707-$AO$3)/($AO$2-$AO$3)</f>
        <v>8.6547303510574997E-4</v>
      </c>
      <c r="AO707" s="3"/>
      <c r="AP707">
        <v>0</v>
      </c>
      <c r="AR707" t="s">
        <v>0</v>
      </c>
      <c r="AT707" s="2">
        <v>0.52900000000000003</v>
      </c>
      <c r="AU707" s="1">
        <f t="shared" si="91"/>
        <v>0.54543777691580297</v>
      </c>
      <c r="AV707" s="1">
        <f t="shared" si="92"/>
        <v>0.41432621308573786</v>
      </c>
      <c r="AW707" s="1">
        <f t="shared" si="93"/>
        <v>0.28321464925567269</v>
      </c>
    </row>
    <row r="708" spans="1:49" x14ac:dyDescent="0.2">
      <c r="A708">
        <v>706</v>
      </c>
      <c r="B708" t="s">
        <v>2358</v>
      </c>
      <c r="C708" t="s">
        <v>2357</v>
      </c>
      <c r="F708" t="s">
        <v>2356</v>
      </c>
      <c r="G708" t="s">
        <v>6</v>
      </c>
      <c r="H708" t="s">
        <v>5</v>
      </c>
      <c r="I708" t="s">
        <v>2355</v>
      </c>
      <c r="J708">
        <v>60001873</v>
      </c>
      <c r="K708" t="s">
        <v>325</v>
      </c>
      <c r="L708" t="s">
        <v>324</v>
      </c>
      <c r="M708" t="s">
        <v>76</v>
      </c>
      <c r="N708">
        <v>3</v>
      </c>
      <c r="O708" t="s">
        <v>2354</v>
      </c>
      <c r="P708" t="s">
        <v>2353</v>
      </c>
      <c r="Q708" t="s">
        <v>2352</v>
      </c>
      <c r="R708" s="7">
        <v>37091</v>
      </c>
      <c r="S708" s="8">
        <f t="shared" si="88"/>
        <v>2001</v>
      </c>
      <c r="T708" s="8">
        <v>2001</v>
      </c>
      <c r="U708" s="8">
        <f t="shared" si="89"/>
        <v>21</v>
      </c>
      <c r="V708" s="7">
        <v>37091</v>
      </c>
      <c r="W708" t="s">
        <v>698</v>
      </c>
      <c r="X708" s="2">
        <v>0.375</v>
      </c>
      <c r="Y708" s="6">
        <f t="shared" si="94"/>
        <v>1.0010410827260351E-2</v>
      </c>
      <c r="AA708">
        <v>135194</v>
      </c>
      <c r="AB708">
        <v>24918</v>
      </c>
      <c r="AD708" t="s">
        <v>1</v>
      </c>
      <c r="AE708">
        <v>37</v>
      </c>
      <c r="AF708">
        <v>15</v>
      </c>
      <c r="AH708" t="s">
        <v>2351</v>
      </c>
      <c r="AI708" t="s">
        <v>2350</v>
      </c>
      <c r="AK708" t="s">
        <v>2349</v>
      </c>
      <c r="AL708">
        <v>67</v>
      </c>
      <c r="AM708" s="5">
        <f t="shared" si="90"/>
        <v>3.1904761904761907</v>
      </c>
      <c r="AN708" s="4">
        <f t="shared" si="95"/>
        <v>4.8322244460071041E-3</v>
      </c>
      <c r="AO708" s="3"/>
      <c r="AP708">
        <v>0</v>
      </c>
      <c r="AR708" t="s">
        <v>0</v>
      </c>
      <c r="AT708" s="2">
        <v>1.3140000000000001</v>
      </c>
      <c r="AU708" s="1">
        <f t="shared" si="91"/>
        <v>0.84569549128843768</v>
      </c>
      <c r="AV708" s="1">
        <f t="shared" si="92"/>
        <v>0.74213176366337275</v>
      </c>
      <c r="AW708" s="1">
        <f t="shared" si="93"/>
        <v>0.63856803603830781</v>
      </c>
    </row>
    <row r="709" spans="1:49" x14ac:dyDescent="0.2">
      <c r="A709">
        <v>707</v>
      </c>
      <c r="B709" t="s">
        <v>2348</v>
      </c>
      <c r="C709" t="s">
        <v>2347</v>
      </c>
      <c r="F709" t="s">
        <v>2346</v>
      </c>
      <c r="G709" t="s">
        <v>6</v>
      </c>
      <c r="H709" t="s">
        <v>5</v>
      </c>
      <c r="I709" t="s">
        <v>2345</v>
      </c>
      <c r="J709">
        <v>60013983</v>
      </c>
      <c r="K709" t="s">
        <v>351</v>
      </c>
      <c r="L709" t="s">
        <v>350</v>
      </c>
      <c r="M709" t="s">
        <v>285</v>
      </c>
      <c r="N709">
        <v>2</v>
      </c>
      <c r="O709" t="s">
        <v>2344</v>
      </c>
      <c r="P709" t="s">
        <v>2343</v>
      </c>
      <c r="Q709" t="s">
        <v>948</v>
      </c>
      <c r="R709" s="7">
        <v>37091</v>
      </c>
      <c r="S709" s="8">
        <f t="shared" si="88"/>
        <v>2001</v>
      </c>
      <c r="T709" s="8">
        <v>2001</v>
      </c>
      <c r="U709" s="8">
        <f t="shared" si="89"/>
        <v>21</v>
      </c>
      <c r="V709" s="7">
        <v>37091</v>
      </c>
      <c r="W709" t="s">
        <v>698</v>
      </c>
      <c r="X709" s="2">
        <v>0.375</v>
      </c>
      <c r="Y709" s="6">
        <f t="shared" si="94"/>
        <v>1.0010410827260351E-2</v>
      </c>
      <c r="AA709">
        <v>135194</v>
      </c>
      <c r="AB709">
        <v>24918</v>
      </c>
      <c r="AD709" t="s">
        <v>1</v>
      </c>
      <c r="AE709">
        <v>37</v>
      </c>
      <c r="AF709">
        <v>15</v>
      </c>
      <c r="AH709" t="s">
        <v>2342</v>
      </c>
      <c r="AI709" t="s">
        <v>2341</v>
      </c>
      <c r="AK709" t="s">
        <v>2340</v>
      </c>
      <c r="AL709">
        <v>26</v>
      </c>
      <c r="AM709" s="5">
        <f t="shared" si="90"/>
        <v>1.2380952380952381</v>
      </c>
      <c r="AN709" s="4">
        <f t="shared" si="95"/>
        <v>1.8751915760624584E-3</v>
      </c>
      <c r="AO709" s="3"/>
      <c r="AP709">
        <v>0</v>
      </c>
      <c r="AR709" t="s">
        <v>0</v>
      </c>
      <c r="AT709" s="2">
        <v>1.3140000000000001</v>
      </c>
      <c r="AU709" s="1">
        <f t="shared" si="91"/>
        <v>0.7569845051900983</v>
      </c>
      <c r="AV709" s="1">
        <f t="shared" si="92"/>
        <v>0.59428012016614051</v>
      </c>
      <c r="AW709" s="1">
        <f t="shared" si="93"/>
        <v>0.43157573514218256</v>
      </c>
    </row>
    <row r="710" spans="1:49" x14ac:dyDescent="0.2">
      <c r="A710">
        <v>708</v>
      </c>
      <c r="B710" t="s">
        <v>2339</v>
      </c>
      <c r="C710" t="s">
        <v>2338</v>
      </c>
      <c r="F710" t="s">
        <v>2337</v>
      </c>
      <c r="G710" t="s">
        <v>6</v>
      </c>
      <c r="H710" t="s">
        <v>5</v>
      </c>
      <c r="I710" t="s">
        <v>2336</v>
      </c>
      <c r="J710">
        <v>60021219</v>
      </c>
      <c r="K710" t="s">
        <v>2335</v>
      </c>
      <c r="L710" t="s">
        <v>2334</v>
      </c>
      <c r="M710" t="s">
        <v>37</v>
      </c>
      <c r="N710">
        <v>2</v>
      </c>
      <c r="O710" t="s">
        <v>2333</v>
      </c>
      <c r="P710" t="s">
        <v>2332</v>
      </c>
      <c r="Q710" t="s">
        <v>2331</v>
      </c>
      <c r="R710" s="7">
        <v>37091</v>
      </c>
      <c r="S710" s="8">
        <f t="shared" si="88"/>
        <v>2001</v>
      </c>
      <c r="T710" s="8">
        <v>2001</v>
      </c>
      <c r="U710" s="8">
        <f t="shared" si="89"/>
        <v>21</v>
      </c>
      <c r="V710" s="7">
        <v>37091</v>
      </c>
      <c r="W710" t="s">
        <v>698</v>
      </c>
      <c r="X710" s="2">
        <v>0.375</v>
      </c>
      <c r="Y710" s="6">
        <f t="shared" si="94"/>
        <v>1.0010410827260351E-2</v>
      </c>
      <c r="AA710">
        <v>135194</v>
      </c>
      <c r="AB710">
        <v>24918</v>
      </c>
      <c r="AD710" t="s">
        <v>1</v>
      </c>
      <c r="AE710">
        <v>37</v>
      </c>
      <c r="AF710">
        <v>15</v>
      </c>
      <c r="AH710" t="s">
        <v>2330</v>
      </c>
      <c r="AI710" t="s">
        <v>2329</v>
      </c>
      <c r="AK710" t="s">
        <v>2328</v>
      </c>
      <c r="AL710">
        <v>6</v>
      </c>
      <c r="AM710" s="5">
        <f t="shared" si="90"/>
        <v>0.2857142857142857</v>
      </c>
      <c r="AN710" s="4">
        <f t="shared" si="95"/>
        <v>4.3273651755287499E-4</v>
      </c>
      <c r="AO710" s="3"/>
      <c r="AP710">
        <v>0</v>
      </c>
      <c r="AR710" t="s">
        <v>0</v>
      </c>
      <c r="AT710" s="2">
        <v>1.3140000000000001</v>
      </c>
      <c r="AU710" s="1">
        <f t="shared" si="91"/>
        <v>0.71371085343481078</v>
      </c>
      <c r="AV710" s="1">
        <f t="shared" si="92"/>
        <v>0.52215736724066131</v>
      </c>
      <c r="AW710" s="1">
        <f t="shared" si="93"/>
        <v>0.33060388104651178</v>
      </c>
    </row>
    <row r="711" spans="1:49" x14ac:dyDescent="0.2">
      <c r="A711">
        <v>709</v>
      </c>
      <c r="B711" t="s">
        <v>2327</v>
      </c>
      <c r="C711" t="s">
        <v>2326</v>
      </c>
      <c r="F711" t="s">
        <v>2325</v>
      </c>
      <c r="G711" t="s">
        <v>6</v>
      </c>
      <c r="H711" t="s">
        <v>5</v>
      </c>
      <c r="I711" t="s">
        <v>433</v>
      </c>
      <c r="J711">
        <v>60021378</v>
      </c>
      <c r="K711" t="s">
        <v>209</v>
      </c>
      <c r="L711" t="s">
        <v>208</v>
      </c>
      <c r="M711" t="s">
        <v>3</v>
      </c>
      <c r="N711">
        <v>4</v>
      </c>
      <c r="O711" t="s">
        <v>2324</v>
      </c>
      <c r="P711" t="s">
        <v>2323</v>
      </c>
      <c r="Q711" t="s">
        <v>207</v>
      </c>
      <c r="R711" s="7">
        <v>37091</v>
      </c>
      <c r="S711" s="8">
        <f t="shared" si="88"/>
        <v>2001</v>
      </c>
      <c r="T711" s="8">
        <v>2001</v>
      </c>
      <c r="U711" s="8">
        <f t="shared" si="89"/>
        <v>21</v>
      </c>
      <c r="V711" s="7">
        <v>37091</v>
      </c>
      <c r="W711" t="s">
        <v>698</v>
      </c>
      <c r="X711" s="2">
        <v>0.375</v>
      </c>
      <c r="Y711" s="6">
        <f t="shared" si="94"/>
        <v>1.0010410827260351E-2</v>
      </c>
      <c r="AA711">
        <v>135194</v>
      </c>
      <c r="AB711">
        <v>24918</v>
      </c>
      <c r="AD711" t="s">
        <v>1</v>
      </c>
      <c r="AE711">
        <v>37</v>
      </c>
      <c r="AF711">
        <v>15</v>
      </c>
      <c r="AH711" t="s">
        <v>2322</v>
      </c>
      <c r="AI711" t="s">
        <v>2321</v>
      </c>
      <c r="AK711" t="s">
        <v>2320</v>
      </c>
      <c r="AL711">
        <v>25</v>
      </c>
      <c r="AM711" s="5">
        <f t="shared" si="90"/>
        <v>1.1904761904761905</v>
      </c>
      <c r="AN711" s="4">
        <f t="shared" si="95"/>
        <v>1.8030688231369791E-3</v>
      </c>
      <c r="AO711" s="3"/>
      <c r="AP711">
        <v>0</v>
      </c>
      <c r="AR711" t="s">
        <v>0</v>
      </c>
      <c r="AT711" s="2">
        <v>1.3140000000000001</v>
      </c>
      <c r="AU711" s="1">
        <f t="shared" si="91"/>
        <v>0.75482082260233396</v>
      </c>
      <c r="AV711" s="1">
        <f t="shared" si="92"/>
        <v>0.59067398251986647</v>
      </c>
      <c r="AW711" s="1">
        <f t="shared" si="93"/>
        <v>0.42652714243739903</v>
      </c>
    </row>
    <row r="712" spans="1:49" x14ac:dyDescent="0.2">
      <c r="A712">
        <v>710</v>
      </c>
      <c r="B712" t="s">
        <v>2319</v>
      </c>
      <c r="C712" t="s">
        <v>2318</v>
      </c>
      <c r="F712" t="s">
        <v>2317</v>
      </c>
      <c r="G712" t="s">
        <v>6</v>
      </c>
      <c r="H712" t="s">
        <v>5</v>
      </c>
      <c r="I712" t="s">
        <v>2316</v>
      </c>
      <c r="J712">
        <v>60024724</v>
      </c>
      <c r="K712" t="s">
        <v>2315</v>
      </c>
      <c r="L712" t="s">
        <v>561</v>
      </c>
      <c r="M712" t="s">
        <v>37</v>
      </c>
      <c r="N712">
        <v>2</v>
      </c>
      <c r="O712" t="s">
        <v>2314</v>
      </c>
      <c r="P712" t="s">
        <v>2313</v>
      </c>
      <c r="Q712" t="s">
        <v>2312</v>
      </c>
      <c r="R712" s="7">
        <v>37091</v>
      </c>
      <c r="S712" s="8">
        <f t="shared" si="88"/>
        <v>2001</v>
      </c>
      <c r="T712" s="8">
        <v>2001</v>
      </c>
      <c r="U712" s="8">
        <f t="shared" si="89"/>
        <v>21</v>
      </c>
      <c r="V712" s="7">
        <v>37091</v>
      </c>
      <c r="W712" t="s">
        <v>698</v>
      </c>
      <c r="X712" s="2">
        <v>0.375</v>
      </c>
      <c r="Y712" s="6">
        <f t="shared" si="94"/>
        <v>1.0010410827260351E-2</v>
      </c>
      <c r="AA712">
        <v>135194</v>
      </c>
      <c r="AB712">
        <v>24918</v>
      </c>
      <c r="AD712" t="s">
        <v>1</v>
      </c>
      <c r="AE712">
        <v>37</v>
      </c>
      <c r="AF712">
        <v>15</v>
      </c>
      <c r="AH712" t="s">
        <v>2311</v>
      </c>
      <c r="AI712" t="s">
        <v>2310</v>
      </c>
      <c r="AK712" t="s">
        <v>2309</v>
      </c>
      <c r="AL712">
        <v>4</v>
      </c>
      <c r="AM712" s="5">
        <f t="shared" si="90"/>
        <v>0.19047619047619047</v>
      </c>
      <c r="AN712" s="4">
        <f t="shared" si="95"/>
        <v>2.8849101170191666E-4</v>
      </c>
      <c r="AO712" s="3"/>
      <c r="AP712">
        <v>0</v>
      </c>
      <c r="AR712" t="s">
        <v>0</v>
      </c>
      <c r="AT712" s="2">
        <v>1.3140000000000001</v>
      </c>
      <c r="AU712" s="1">
        <f t="shared" si="91"/>
        <v>0.7093834882592821</v>
      </c>
      <c r="AV712" s="1">
        <f t="shared" si="92"/>
        <v>0.51494509194811344</v>
      </c>
      <c r="AW712" s="1">
        <f t="shared" si="93"/>
        <v>0.32050669563694467</v>
      </c>
    </row>
    <row r="713" spans="1:49" x14ac:dyDescent="0.2">
      <c r="A713">
        <v>711</v>
      </c>
      <c r="B713" t="s">
        <v>2308</v>
      </c>
      <c r="C713" t="s">
        <v>2307</v>
      </c>
      <c r="F713" t="s">
        <v>2306</v>
      </c>
      <c r="G713" t="s">
        <v>6</v>
      </c>
      <c r="H713" t="s">
        <v>5</v>
      </c>
      <c r="I713" t="s">
        <v>2305</v>
      </c>
      <c r="J713" t="s">
        <v>2299</v>
      </c>
      <c r="K713" t="s">
        <v>2304</v>
      </c>
      <c r="L713" t="s">
        <v>2303</v>
      </c>
      <c r="M713" t="s">
        <v>2302</v>
      </c>
      <c r="N713">
        <v>2</v>
      </c>
      <c r="O713" t="s">
        <v>2301</v>
      </c>
      <c r="P713" t="s">
        <v>2300</v>
      </c>
      <c r="Q713" t="s">
        <v>2299</v>
      </c>
      <c r="R713" s="7">
        <v>37091</v>
      </c>
      <c r="S713" s="8">
        <f t="shared" si="88"/>
        <v>2001</v>
      </c>
      <c r="T713" s="8">
        <v>2001</v>
      </c>
      <c r="U713" s="8">
        <f t="shared" si="89"/>
        <v>21</v>
      </c>
      <c r="V713" s="7">
        <v>37091</v>
      </c>
      <c r="W713" t="s">
        <v>698</v>
      </c>
      <c r="X713" s="2">
        <v>0.375</v>
      </c>
      <c r="Y713" s="6">
        <f t="shared" si="94"/>
        <v>1.0010410827260351E-2</v>
      </c>
      <c r="AA713">
        <v>135194</v>
      </c>
      <c r="AB713">
        <v>24918</v>
      </c>
      <c r="AD713" t="s">
        <v>1</v>
      </c>
      <c r="AE713">
        <v>37</v>
      </c>
      <c r="AF713">
        <v>15</v>
      </c>
      <c r="AH713" t="s">
        <v>2298</v>
      </c>
      <c r="AI713" t="s">
        <v>2297</v>
      </c>
      <c r="AK713" t="s">
        <v>2296</v>
      </c>
      <c r="AL713">
        <v>7</v>
      </c>
      <c r="AM713" s="5">
        <f t="shared" si="90"/>
        <v>0.33333333333333331</v>
      </c>
      <c r="AN713" s="4">
        <f t="shared" si="95"/>
        <v>5.048592704783541E-4</v>
      </c>
      <c r="AO713" s="3"/>
      <c r="AP713">
        <v>0</v>
      </c>
      <c r="AR713" t="s">
        <v>0</v>
      </c>
      <c r="AT713" s="2">
        <v>1.3140000000000001</v>
      </c>
      <c r="AU713" s="1">
        <f t="shared" si="91"/>
        <v>0.71587453602257523</v>
      </c>
      <c r="AV713" s="1">
        <f t="shared" si="92"/>
        <v>0.52576350488693535</v>
      </c>
      <c r="AW713" s="1">
        <f t="shared" si="93"/>
        <v>0.33565247375129531</v>
      </c>
    </row>
    <row r="714" spans="1:49" x14ac:dyDescent="0.2">
      <c r="A714">
        <v>712</v>
      </c>
      <c r="B714" t="s">
        <v>2295</v>
      </c>
      <c r="C714" t="s">
        <v>2294</v>
      </c>
      <c r="F714" t="s">
        <v>2293</v>
      </c>
      <c r="G714" t="s">
        <v>6</v>
      </c>
      <c r="H714" t="s">
        <v>5</v>
      </c>
      <c r="I714" t="s">
        <v>828</v>
      </c>
      <c r="J714">
        <v>60030553</v>
      </c>
      <c r="K714" t="s">
        <v>320</v>
      </c>
      <c r="L714" t="s">
        <v>319</v>
      </c>
      <c r="M714" t="s">
        <v>87</v>
      </c>
      <c r="N714">
        <v>2</v>
      </c>
      <c r="O714" t="s">
        <v>827</v>
      </c>
      <c r="P714" t="s">
        <v>826</v>
      </c>
      <c r="Q714" t="s">
        <v>825</v>
      </c>
      <c r="R714" s="7">
        <v>37091</v>
      </c>
      <c r="S714" s="8">
        <f t="shared" si="88"/>
        <v>2001</v>
      </c>
      <c r="T714" s="8">
        <v>2001</v>
      </c>
      <c r="U714" s="8">
        <f t="shared" si="89"/>
        <v>21</v>
      </c>
      <c r="V714" s="7">
        <v>37091</v>
      </c>
      <c r="W714" t="s">
        <v>698</v>
      </c>
      <c r="X714" s="2">
        <v>0.375</v>
      </c>
      <c r="Y714" s="6">
        <f t="shared" si="94"/>
        <v>1.0010410827260351E-2</v>
      </c>
      <c r="AA714">
        <v>135194</v>
      </c>
      <c r="AB714">
        <v>24918</v>
      </c>
      <c r="AD714" t="s">
        <v>1</v>
      </c>
      <c r="AE714">
        <v>37</v>
      </c>
      <c r="AF714">
        <v>15</v>
      </c>
      <c r="AH714" t="s">
        <v>2292</v>
      </c>
      <c r="AI714" t="s">
        <v>2291</v>
      </c>
      <c r="AK714" t="s">
        <v>2290</v>
      </c>
      <c r="AL714">
        <v>23</v>
      </c>
      <c r="AM714" s="5">
        <f t="shared" si="90"/>
        <v>1.0952380952380953</v>
      </c>
      <c r="AN714" s="4">
        <f t="shared" si="95"/>
        <v>1.658823317286021E-3</v>
      </c>
      <c r="AO714" s="3"/>
      <c r="AP714">
        <v>0</v>
      </c>
      <c r="AR714" t="s">
        <v>0</v>
      </c>
      <c r="AT714" s="2">
        <v>1.3140000000000001</v>
      </c>
      <c r="AU714" s="1">
        <f t="shared" si="91"/>
        <v>0.75049345742680518</v>
      </c>
      <c r="AV714" s="1">
        <f t="shared" si="92"/>
        <v>0.5834617072273186</v>
      </c>
      <c r="AW714" s="1">
        <f t="shared" si="93"/>
        <v>0.41642995702783198</v>
      </c>
    </row>
    <row r="715" spans="1:49" x14ac:dyDescent="0.2">
      <c r="A715">
        <v>713</v>
      </c>
      <c r="B715" t="s">
        <v>2289</v>
      </c>
      <c r="C715" t="s">
        <v>2288</v>
      </c>
      <c r="E715">
        <v>11467502</v>
      </c>
      <c r="F715" t="s">
        <v>2287</v>
      </c>
      <c r="G715" t="s">
        <v>6</v>
      </c>
      <c r="H715" t="s">
        <v>5</v>
      </c>
      <c r="I715" t="s">
        <v>2286</v>
      </c>
      <c r="J715" t="s">
        <v>2285</v>
      </c>
      <c r="K715" t="s">
        <v>2284</v>
      </c>
      <c r="L715" t="s">
        <v>2283</v>
      </c>
      <c r="M715" t="s">
        <v>128</v>
      </c>
      <c r="N715">
        <v>3</v>
      </c>
      <c r="O715" t="s">
        <v>2282</v>
      </c>
      <c r="P715" t="s">
        <v>2281</v>
      </c>
      <c r="Q715" t="s">
        <v>2280</v>
      </c>
      <c r="R715" s="7">
        <v>37091</v>
      </c>
      <c r="S715" s="8">
        <f t="shared" si="88"/>
        <v>2001</v>
      </c>
      <c r="T715" s="8">
        <v>2001</v>
      </c>
      <c r="U715" s="8">
        <f t="shared" si="89"/>
        <v>21</v>
      </c>
      <c r="V715" s="7">
        <v>2001</v>
      </c>
      <c r="W715" t="s">
        <v>54</v>
      </c>
      <c r="X715" s="2">
        <v>0.8</v>
      </c>
      <c r="Y715" s="6">
        <f t="shared" si="94"/>
        <v>2.1355543098155415E-2</v>
      </c>
      <c r="AA715">
        <v>3407594</v>
      </c>
      <c r="AB715">
        <v>23456</v>
      </c>
      <c r="AD715" t="s">
        <v>1</v>
      </c>
      <c r="AE715">
        <v>187</v>
      </c>
      <c r="AF715">
        <v>4</v>
      </c>
      <c r="AH715" t="s">
        <v>2279</v>
      </c>
      <c r="AI715" t="s">
        <v>2278</v>
      </c>
      <c r="AJ715" t="s">
        <v>2277</v>
      </c>
      <c r="AK715" t="s">
        <v>2276</v>
      </c>
      <c r="AL715">
        <v>89</v>
      </c>
      <c r="AM715" s="5">
        <f t="shared" si="90"/>
        <v>4.2380952380952381</v>
      </c>
      <c r="AN715" s="4">
        <f t="shared" si="95"/>
        <v>6.4189250103676458E-3</v>
      </c>
      <c r="AO715" s="3"/>
      <c r="AP715">
        <v>0</v>
      </c>
      <c r="AQ715" t="s">
        <v>21</v>
      </c>
      <c r="AR715" t="s">
        <v>0</v>
      </c>
      <c r="AS715" t="s">
        <v>20</v>
      </c>
      <c r="AT715" s="2" t="s">
        <v>7</v>
      </c>
      <c r="AU715" s="1">
        <f t="shared" si="91"/>
        <v>1.6874557671819086</v>
      </c>
      <c r="AV715" s="1">
        <f t="shared" si="92"/>
        <v>1.388723405426153</v>
      </c>
      <c r="AW715" s="1">
        <f t="shared" si="93"/>
        <v>1.0899910436703977</v>
      </c>
    </row>
    <row r="716" spans="1:49" x14ac:dyDescent="0.2">
      <c r="A716">
        <v>714</v>
      </c>
      <c r="B716" t="s">
        <v>2275</v>
      </c>
      <c r="C716" t="s">
        <v>2274</v>
      </c>
      <c r="D716" t="s">
        <v>2273</v>
      </c>
      <c r="F716" t="s">
        <v>2272</v>
      </c>
      <c r="G716" t="s">
        <v>6</v>
      </c>
      <c r="H716" t="s">
        <v>5</v>
      </c>
      <c r="I716" t="s">
        <v>2271</v>
      </c>
      <c r="J716" t="s">
        <v>2265</v>
      </c>
      <c r="K716" t="s">
        <v>2270</v>
      </c>
      <c r="L716" t="s">
        <v>2269</v>
      </c>
      <c r="M716" t="s">
        <v>2268</v>
      </c>
      <c r="N716">
        <v>2</v>
      </c>
      <c r="O716" t="s">
        <v>2267</v>
      </c>
      <c r="P716" t="s">
        <v>2266</v>
      </c>
      <c r="Q716" t="s">
        <v>2265</v>
      </c>
      <c r="R716" s="7">
        <v>37091</v>
      </c>
      <c r="S716" s="8">
        <f t="shared" si="88"/>
        <v>2001</v>
      </c>
      <c r="T716" s="8">
        <v>2001</v>
      </c>
      <c r="U716" s="8">
        <f t="shared" si="89"/>
        <v>21</v>
      </c>
      <c r="V716" s="7">
        <v>2001</v>
      </c>
      <c r="W716" t="s">
        <v>2264</v>
      </c>
      <c r="X716" s="2">
        <v>0.82799999999999996</v>
      </c>
      <c r="Y716" s="6">
        <f t="shared" si="94"/>
        <v>2.2102987106590855E-2</v>
      </c>
      <c r="AA716">
        <v>9247963</v>
      </c>
      <c r="AB716">
        <v>27786</v>
      </c>
      <c r="AD716" t="s">
        <v>1</v>
      </c>
      <c r="AE716">
        <v>28</v>
      </c>
      <c r="AF716" s="10">
        <v>44289</v>
      </c>
      <c r="AH716" t="s">
        <v>2263</v>
      </c>
      <c r="AI716" t="s">
        <v>2262</v>
      </c>
      <c r="AJ716" t="s">
        <v>2261</v>
      </c>
      <c r="AK716" t="s">
        <v>2260</v>
      </c>
      <c r="AL716">
        <v>79</v>
      </c>
      <c r="AM716" s="5">
        <f t="shared" si="90"/>
        <v>3.7619047619047619</v>
      </c>
      <c r="AN716" s="4">
        <f t="shared" si="95"/>
        <v>5.6976974811128542E-3</v>
      </c>
      <c r="AO716" s="3"/>
      <c r="AP716">
        <v>0</v>
      </c>
      <c r="AQ716" t="s">
        <v>478</v>
      </c>
      <c r="AR716" t="s">
        <v>0</v>
      </c>
      <c r="AS716" t="s">
        <v>477</v>
      </c>
      <c r="AT716" s="2">
        <v>2.5419999999999998</v>
      </c>
      <c r="AU716" s="1">
        <f t="shared" si="91"/>
        <v>1.7181400218947454</v>
      </c>
      <c r="AV716" s="1">
        <f t="shared" si="92"/>
        <v>1.3900342293851855</v>
      </c>
      <c r="AW716" s="1">
        <f t="shared" si="93"/>
        <v>1.0619284368756254</v>
      </c>
    </row>
    <row r="717" spans="1:49" x14ac:dyDescent="0.2">
      <c r="A717">
        <v>715</v>
      </c>
      <c r="B717" t="s">
        <v>2259</v>
      </c>
      <c r="C717" t="s">
        <v>2258</v>
      </c>
      <c r="E717">
        <v>11459991</v>
      </c>
      <c r="F717" t="s">
        <v>2257</v>
      </c>
      <c r="G717" t="s">
        <v>6</v>
      </c>
      <c r="H717" t="s">
        <v>5</v>
      </c>
      <c r="I717" t="s">
        <v>2256</v>
      </c>
      <c r="J717" t="s">
        <v>2255</v>
      </c>
      <c r="K717" t="s">
        <v>2254</v>
      </c>
      <c r="L717" t="s">
        <v>2253</v>
      </c>
      <c r="M717" t="s">
        <v>2252</v>
      </c>
      <c r="N717">
        <v>5</v>
      </c>
      <c r="O717" t="s">
        <v>2251</v>
      </c>
      <c r="P717" t="s">
        <v>2250</v>
      </c>
      <c r="Q717" t="s">
        <v>2249</v>
      </c>
      <c r="R717" s="7">
        <v>37089</v>
      </c>
      <c r="S717" s="8">
        <f t="shared" si="88"/>
        <v>2001</v>
      </c>
      <c r="T717" s="8">
        <v>2001</v>
      </c>
      <c r="U717" s="8">
        <f t="shared" si="89"/>
        <v>21</v>
      </c>
      <c r="V717" s="7">
        <v>37089</v>
      </c>
      <c r="W717" t="s">
        <v>803</v>
      </c>
      <c r="X717" s="2">
        <v>5.0110000000000001</v>
      </c>
      <c r="Y717" s="6">
        <f t="shared" si="94"/>
        <v>0.13376578308107098</v>
      </c>
      <c r="AA717">
        <v>278424</v>
      </c>
      <c r="AB717">
        <v>21121</v>
      </c>
      <c r="AD717" t="s">
        <v>1</v>
      </c>
      <c r="AE717">
        <v>98</v>
      </c>
      <c r="AF717">
        <v>15</v>
      </c>
      <c r="AH717" t="s">
        <v>2248</v>
      </c>
      <c r="AI717" t="s">
        <v>2247</v>
      </c>
      <c r="AK717" t="s">
        <v>2246</v>
      </c>
      <c r="AL717">
        <v>109</v>
      </c>
      <c r="AM717" s="5">
        <f t="shared" si="90"/>
        <v>5.1904761904761907</v>
      </c>
      <c r="AN717" s="4">
        <f t="shared" si="95"/>
        <v>7.8613800688772297E-3</v>
      </c>
      <c r="AO717" s="3"/>
      <c r="AP717">
        <v>1</v>
      </c>
      <c r="AR717" t="s">
        <v>0</v>
      </c>
      <c r="AT717" s="2" t="s">
        <v>7</v>
      </c>
      <c r="AU717" s="1">
        <f t="shared" si="91"/>
        <v>9.5994462177412849</v>
      </c>
      <c r="AV717" s="1">
        <f t="shared" si="92"/>
        <v>7.0813581574974114</v>
      </c>
      <c r="AW717" s="1">
        <f t="shared" si="93"/>
        <v>4.5632700972535361</v>
      </c>
    </row>
    <row r="718" spans="1:49" x14ac:dyDescent="0.2">
      <c r="A718">
        <v>716</v>
      </c>
      <c r="B718" t="s">
        <v>2245</v>
      </c>
      <c r="C718" t="s">
        <v>2244</v>
      </c>
      <c r="D718" t="s">
        <v>2243</v>
      </c>
      <c r="E718">
        <v>11486859</v>
      </c>
      <c r="F718" t="s">
        <v>2242</v>
      </c>
      <c r="G718" t="s">
        <v>6</v>
      </c>
      <c r="H718" t="s">
        <v>5</v>
      </c>
      <c r="I718" t="s">
        <v>2241</v>
      </c>
      <c r="J718">
        <v>60000745</v>
      </c>
      <c r="K718" t="s">
        <v>179</v>
      </c>
      <c r="L718" t="s">
        <v>178</v>
      </c>
      <c r="M718" t="s">
        <v>3</v>
      </c>
      <c r="N718">
        <v>4</v>
      </c>
      <c r="O718" t="s">
        <v>2240</v>
      </c>
      <c r="P718" t="s">
        <v>2239</v>
      </c>
      <c r="Q718" t="s">
        <v>345</v>
      </c>
      <c r="R718" s="7">
        <v>37085</v>
      </c>
      <c r="S718" s="8">
        <f t="shared" si="88"/>
        <v>2001</v>
      </c>
      <c r="T718" s="8">
        <v>2001</v>
      </c>
      <c r="U718" s="8">
        <f t="shared" si="89"/>
        <v>21</v>
      </c>
      <c r="V718" s="7">
        <v>37085</v>
      </c>
      <c r="W718" t="s">
        <v>851</v>
      </c>
      <c r="X718" s="2">
        <v>1.0109999999999999</v>
      </c>
      <c r="Y718" s="6">
        <f t="shared" si="94"/>
        <v>2.6988067590293905E-2</v>
      </c>
      <c r="AA718">
        <v>219673</v>
      </c>
      <c r="AB718">
        <v>130000</v>
      </c>
      <c r="AD718" t="s">
        <v>1</v>
      </c>
      <c r="AE718">
        <v>922</v>
      </c>
      <c r="AF718" s="10">
        <v>44228</v>
      </c>
      <c r="AH718" t="s">
        <v>2238</v>
      </c>
      <c r="AI718" t="s">
        <v>2237</v>
      </c>
      <c r="AJ718" t="s">
        <v>2236</v>
      </c>
      <c r="AK718" t="s">
        <v>2235</v>
      </c>
      <c r="AL718">
        <v>53</v>
      </c>
      <c r="AM718" s="5">
        <f t="shared" si="90"/>
        <v>2.5238095238095237</v>
      </c>
      <c r="AN718" s="4">
        <f t="shared" si="95"/>
        <v>3.8225059050503957E-3</v>
      </c>
      <c r="AO718" s="3"/>
      <c r="AP718">
        <v>0</v>
      </c>
      <c r="AQ718" t="s">
        <v>21</v>
      </c>
      <c r="AR718" t="s">
        <v>2234</v>
      </c>
      <c r="AS718" t="s">
        <v>20</v>
      </c>
      <c r="AT718" s="2">
        <v>4.7590000000000003</v>
      </c>
      <c r="AU718" s="1">
        <f t="shared" si="91"/>
        <v>2.0038399084720848</v>
      </c>
      <c r="AV718" s="1">
        <f t="shared" si="92"/>
        <v>1.5405286747672151</v>
      </c>
      <c r="AW718" s="1">
        <f t="shared" si="93"/>
        <v>1.077217441062345</v>
      </c>
    </row>
    <row r="719" spans="1:49" x14ac:dyDescent="0.2">
      <c r="A719">
        <v>717</v>
      </c>
      <c r="B719" t="s">
        <v>2233</v>
      </c>
      <c r="C719" t="s">
        <v>2232</v>
      </c>
      <c r="E719">
        <v>11402165</v>
      </c>
      <c r="F719" t="s">
        <v>2231</v>
      </c>
      <c r="G719" t="s">
        <v>6</v>
      </c>
      <c r="H719" t="s">
        <v>5</v>
      </c>
      <c r="I719" t="s">
        <v>2230</v>
      </c>
      <c r="J719">
        <v>60014849</v>
      </c>
      <c r="K719" t="s">
        <v>2229</v>
      </c>
      <c r="L719" t="s">
        <v>88</v>
      </c>
      <c r="M719" t="s">
        <v>87</v>
      </c>
      <c r="N719">
        <v>12</v>
      </c>
      <c r="O719" t="s">
        <v>2228</v>
      </c>
      <c r="P719" t="s">
        <v>2227</v>
      </c>
      <c r="Q719" t="s">
        <v>2226</v>
      </c>
      <c r="R719" s="7">
        <v>37083</v>
      </c>
      <c r="S719" s="8">
        <f t="shared" si="88"/>
        <v>2001</v>
      </c>
      <c r="T719" s="8">
        <v>2001</v>
      </c>
      <c r="U719" s="8">
        <f t="shared" si="89"/>
        <v>21</v>
      </c>
      <c r="V719" s="7">
        <v>2001</v>
      </c>
      <c r="W719" t="s">
        <v>958</v>
      </c>
      <c r="X719" s="2">
        <v>5.3239999999999998</v>
      </c>
      <c r="Y719" s="6">
        <f t="shared" si="94"/>
        <v>0.14212113931822429</v>
      </c>
      <c r="AA719">
        <v>10404651</v>
      </c>
      <c r="AB719">
        <v>16594</v>
      </c>
      <c r="AD719" t="s">
        <v>1</v>
      </c>
      <c r="AE719">
        <v>13</v>
      </c>
      <c r="AF719">
        <v>6</v>
      </c>
      <c r="AH719" t="s">
        <v>2225</v>
      </c>
      <c r="AI719" t="s">
        <v>2224</v>
      </c>
      <c r="AK719" t="s">
        <v>2223</v>
      </c>
      <c r="AL719">
        <v>109</v>
      </c>
      <c r="AM719" s="5">
        <f t="shared" si="90"/>
        <v>5.1904761904761907</v>
      </c>
      <c r="AN719" s="4">
        <f t="shared" si="95"/>
        <v>7.8613800688772297E-3</v>
      </c>
      <c r="AO719" s="3"/>
      <c r="AP719">
        <v>0</v>
      </c>
      <c r="AR719" t="s">
        <v>0</v>
      </c>
      <c r="AT719" s="2">
        <v>11.276999999999999</v>
      </c>
      <c r="AU719" s="1">
        <f t="shared" si="91"/>
        <v>10.184321154342015</v>
      </c>
      <c r="AV719" s="1">
        <f t="shared" si="92"/>
        <v>7.4991259693550765</v>
      </c>
      <c r="AW719" s="1">
        <f t="shared" si="93"/>
        <v>4.8139307843681349</v>
      </c>
    </row>
    <row r="720" spans="1:49" x14ac:dyDescent="0.2">
      <c r="A720">
        <v>718</v>
      </c>
      <c r="B720" t="s">
        <v>2222</v>
      </c>
      <c r="C720" t="s">
        <v>2221</v>
      </c>
      <c r="F720" t="s">
        <v>2220</v>
      </c>
      <c r="G720" t="s">
        <v>6</v>
      </c>
      <c r="H720" t="s">
        <v>5</v>
      </c>
      <c r="I720" t="s">
        <v>2219</v>
      </c>
      <c r="J720">
        <v>60018279</v>
      </c>
      <c r="K720" t="s">
        <v>513</v>
      </c>
      <c r="L720" t="s">
        <v>512</v>
      </c>
      <c r="M720" t="s">
        <v>26</v>
      </c>
      <c r="N720">
        <v>2</v>
      </c>
      <c r="O720" t="s">
        <v>2218</v>
      </c>
      <c r="P720" t="s">
        <v>2217</v>
      </c>
      <c r="Q720" t="s">
        <v>511</v>
      </c>
      <c r="R720" s="7">
        <v>37082</v>
      </c>
      <c r="S720" s="8">
        <f t="shared" si="88"/>
        <v>2001</v>
      </c>
      <c r="T720" s="8">
        <v>2001</v>
      </c>
      <c r="U720" s="8">
        <f t="shared" si="89"/>
        <v>21</v>
      </c>
      <c r="V720" s="7">
        <v>2001</v>
      </c>
      <c r="W720" t="s">
        <v>2216</v>
      </c>
      <c r="X720" s="2">
        <v>0.10299999999999999</v>
      </c>
      <c r="Y720" s="6">
        <f t="shared" si="94"/>
        <v>2.7495261738875098E-3</v>
      </c>
      <c r="AA720">
        <v>10420967</v>
      </c>
      <c r="AB720">
        <v>24908</v>
      </c>
      <c r="AD720" t="s">
        <v>1</v>
      </c>
      <c r="AE720">
        <v>84</v>
      </c>
      <c r="AF720">
        <v>5</v>
      </c>
      <c r="AH720" t="s">
        <v>2215</v>
      </c>
      <c r="AI720" t="s">
        <v>2214</v>
      </c>
      <c r="AJ720" t="s">
        <v>2213</v>
      </c>
      <c r="AK720" t="s">
        <v>2212</v>
      </c>
      <c r="AL720">
        <v>0</v>
      </c>
      <c r="AM720" s="5">
        <f t="shared" si="90"/>
        <v>0</v>
      </c>
      <c r="AN720" s="4">
        <f t="shared" si="95"/>
        <v>0</v>
      </c>
      <c r="AO720" s="3"/>
      <c r="AP720">
        <v>0</v>
      </c>
      <c r="AR720" t="s">
        <v>0</v>
      </c>
      <c r="AT720" s="2" t="s">
        <v>7</v>
      </c>
      <c r="AU720" s="1">
        <f t="shared" si="91"/>
        <v>0.19246683217212568</v>
      </c>
      <c r="AV720" s="1">
        <f t="shared" si="92"/>
        <v>0.13747630869437549</v>
      </c>
      <c r="AW720" s="1">
        <f t="shared" si="93"/>
        <v>8.2485785216625293E-2</v>
      </c>
    </row>
    <row r="721" spans="1:49" x14ac:dyDescent="0.2">
      <c r="A721">
        <v>719</v>
      </c>
      <c r="B721" t="s">
        <v>2211</v>
      </c>
      <c r="C721" t="s">
        <v>2210</v>
      </c>
      <c r="E721">
        <v>11446301</v>
      </c>
      <c r="F721" t="s">
        <v>2209</v>
      </c>
      <c r="G721" t="s">
        <v>6</v>
      </c>
      <c r="H721" t="s">
        <v>5</v>
      </c>
      <c r="I721" t="s">
        <v>2208</v>
      </c>
      <c r="J721" t="s">
        <v>2207</v>
      </c>
      <c r="K721" t="s">
        <v>2206</v>
      </c>
      <c r="L721" t="s">
        <v>2205</v>
      </c>
      <c r="M721" t="s">
        <v>44</v>
      </c>
      <c r="N721">
        <v>3</v>
      </c>
      <c r="O721" t="s">
        <v>2204</v>
      </c>
      <c r="P721" t="s">
        <v>2203</v>
      </c>
      <c r="Q721" t="s">
        <v>2202</v>
      </c>
      <c r="R721" s="7">
        <v>37082</v>
      </c>
      <c r="S721" s="8">
        <f t="shared" si="88"/>
        <v>2001</v>
      </c>
      <c r="T721" s="8">
        <v>2001</v>
      </c>
      <c r="U721" s="8">
        <f t="shared" si="89"/>
        <v>21</v>
      </c>
      <c r="V721" s="7">
        <v>2001</v>
      </c>
      <c r="W721" t="s">
        <v>1003</v>
      </c>
      <c r="X721" s="2">
        <v>0.85499999999999998</v>
      </c>
      <c r="Y721" s="6">
        <f t="shared" si="94"/>
        <v>2.28237366861536E-2</v>
      </c>
      <c r="AA721">
        <v>980331</v>
      </c>
      <c r="AB721">
        <v>23342</v>
      </c>
      <c r="AD721" t="s">
        <v>1</v>
      </c>
      <c r="AE721">
        <v>27</v>
      </c>
      <c r="AF721">
        <v>4</v>
      </c>
      <c r="AH721" t="s">
        <v>2201</v>
      </c>
      <c r="AI721" t="s">
        <v>2200</v>
      </c>
      <c r="AJ721" t="s">
        <v>2199</v>
      </c>
      <c r="AK721" t="s">
        <v>2198</v>
      </c>
      <c r="AL721">
        <v>13</v>
      </c>
      <c r="AM721" s="5">
        <f t="shared" si="90"/>
        <v>0.61904761904761907</v>
      </c>
      <c r="AN721" s="4">
        <f t="shared" si="95"/>
        <v>9.3759578803122919E-4</v>
      </c>
      <c r="AO721" s="3"/>
      <c r="AP721">
        <v>0</v>
      </c>
      <c r="AR721" t="s">
        <v>0</v>
      </c>
      <c r="AT721" s="2">
        <v>2.6259999999999999</v>
      </c>
      <c r="AU721" s="1">
        <f t="shared" si="91"/>
        <v>1.6257894416716889</v>
      </c>
      <c r="AV721" s="1">
        <f t="shared" si="92"/>
        <v>1.1880666237092414</v>
      </c>
      <c r="AW721" s="1">
        <f t="shared" si="93"/>
        <v>0.75034380574679405</v>
      </c>
    </row>
    <row r="722" spans="1:49" x14ac:dyDescent="0.2">
      <c r="A722">
        <v>720</v>
      </c>
      <c r="B722" t="s">
        <v>2197</v>
      </c>
      <c r="C722" t="s">
        <v>2196</v>
      </c>
      <c r="F722" t="s">
        <v>2195</v>
      </c>
      <c r="G722" t="s">
        <v>6</v>
      </c>
      <c r="H722" t="s">
        <v>5</v>
      </c>
      <c r="I722" t="s">
        <v>2194</v>
      </c>
      <c r="J722" t="s">
        <v>2193</v>
      </c>
      <c r="K722" t="s">
        <v>2192</v>
      </c>
      <c r="L722" t="s">
        <v>2191</v>
      </c>
      <c r="M722" t="s">
        <v>805</v>
      </c>
      <c r="N722">
        <v>7</v>
      </c>
      <c r="O722" t="s">
        <v>2190</v>
      </c>
      <c r="P722" t="s">
        <v>2189</v>
      </c>
      <c r="Q722" t="s">
        <v>2188</v>
      </c>
      <c r="R722" s="7">
        <v>37082</v>
      </c>
      <c r="S722" s="8">
        <f t="shared" si="88"/>
        <v>2001</v>
      </c>
      <c r="T722" s="8">
        <v>2001</v>
      </c>
      <c r="U722" s="8">
        <f t="shared" si="89"/>
        <v>21</v>
      </c>
      <c r="V722" s="7">
        <v>2001</v>
      </c>
      <c r="W722" t="s">
        <v>2187</v>
      </c>
      <c r="X722" s="2">
        <v>0.86699999999999999</v>
      </c>
      <c r="Y722" s="6">
        <f t="shared" si="94"/>
        <v>2.3144069832625933E-2</v>
      </c>
      <c r="AA722">
        <v>10456740</v>
      </c>
      <c r="AB722">
        <v>25737</v>
      </c>
      <c r="AD722" t="s">
        <v>1</v>
      </c>
      <c r="AE722">
        <v>12</v>
      </c>
      <c r="AF722">
        <v>2</v>
      </c>
      <c r="AH722" t="s">
        <v>2186</v>
      </c>
      <c r="AI722" t="s">
        <v>2185</v>
      </c>
      <c r="AJ722" t="s">
        <v>2184</v>
      </c>
      <c r="AK722" t="s">
        <v>2183</v>
      </c>
      <c r="AL722">
        <v>121</v>
      </c>
      <c r="AM722" s="5">
        <f t="shared" si="90"/>
        <v>5.7619047619047619</v>
      </c>
      <c r="AN722" s="4">
        <f t="shared" si="95"/>
        <v>8.7268531039829782E-3</v>
      </c>
      <c r="AO722" s="3"/>
      <c r="AP722">
        <v>0</v>
      </c>
      <c r="AR722" t="s">
        <v>0</v>
      </c>
      <c r="AT722" s="2">
        <v>4.3680000000000003</v>
      </c>
      <c r="AU722" s="1">
        <f t="shared" si="91"/>
        <v>1.8818904814033046</v>
      </c>
      <c r="AV722" s="1">
        <f t="shared" si="92"/>
        <v>1.5935461468304455</v>
      </c>
      <c r="AW722" s="1">
        <f t="shared" si="93"/>
        <v>1.3052018122575864</v>
      </c>
    </row>
    <row r="723" spans="1:49" x14ac:dyDescent="0.2">
      <c r="A723">
        <v>721</v>
      </c>
      <c r="B723" t="s">
        <v>2182</v>
      </c>
      <c r="C723" t="s">
        <v>2181</v>
      </c>
      <c r="F723" t="s">
        <v>2180</v>
      </c>
      <c r="G723" t="s">
        <v>6</v>
      </c>
      <c r="H723" t="s">
        <v>5</v>
      </c>
      <c r="I723" t="s">
        <v>2172</v>
      </c>
      <c r="J723">
        <v>60017521</v>
      </c>
      <c r="K723" t="s">
        <v>2171</v>
      </c>
      <c r="L723" t="s">
        <v>2170</v>
      </c>
      <c r="M723" t="s">
        <v>3</v>
      </c>
      <c r="N723">
        <v>3</v>
      </c>
      <c r="O723" t="s">
        <v>2169</v>
      </c>
      <c r="P723" t="s">
        <v>2168</v>
      </c>
      <c r="Q723" t="s">
        <v>2167</v>
      </c>
      <c r="R723" s="7">
        <v>37082</v>
      </c>
      <c r="S723" s="8">
        <f t="shared" si="88"/>
        <v>2001</v>
      </c>
      <c r="T723" s="8">
        <v>2001</v>
      </c>
      <c r="U723" s="8">
        <f t="shared" si="89"/>
        <v>21</v>
      </c>
      <c r="V723" s="7">
        <v>37082</v>
      </c>
      <c r="W723" t="s">
        <v>2166</v>
      </c>
      <c r="X723" s="2">
        <v>1.9830000000000001</v>
      </c>
      <c r="Y723" s="6">
        <f t="shared" si="94"/>
        <v>5.2935052454552739E-2</v>
      </c>
      <c r="AA723">
        <v>21699313</v>
      </c>
      <c r="AB723">
        <v>21100855886</v>
      </c>
      <c r="AC723">
        <v>21699356</v>
      </c>
      <c r="AD723" t="s">
        <v>1</v>
      </c>
      <c r="AE723">
        <v>106</v>
      </c>
      <c r="AF723" t="s">
        <v>2165</v>
      </c>
      <c r="AG723" t="s">
        <v>2179</v>
      </c>
      <c r="AH723" t="s">
        <v>2178</v>
      </c>
      <c r="AI723" t="s">
        <v>2177</v>
      </c>
      <c r="AK723" t="s">
        <v>2176</v>
      </c>
      <c r="AL723">
        <v>54</v>
      </c>
      <c r="AM723" s="5">
        <f t="shared" si="90"/>
        <v>2.5714285714285716</v>
      </c>
      <c r="AN723" s="4">
        <f t="shared" si="95"/>
        <v>3.8946286579758754E-3</v>
      </c>
      <c r="AO723" s="3"/>
      <c r="AP723">
        <v>1</v>
      </c>
      <c r="AR723" t="s">
        <v>0</v>
      </c>
      <c r="AT723" s="2" t="s">
        <v>7</v>
      </c>
      <c r="AU723" s="1">
        <f t="shared" si="91"/>
        <v>3.822292531557967</v>
      </c>
      <c r="AV723" s="1">
        <f t="shared" si="92"/>
        <v>2.8414840556264305</v>
      </c>
      <c r="AW723" s="1">
        <f t="shared" si="93"/>
        <v>1.8606755796948933</v>
      </c>
    </row>
    <row r="724" spans="1:49" x14ac:dyDescent="0.2">
      <c r="A724">
        <v>722</v>
      </c>
      <c r="B724" t="s">
        <v>2175</v>
      </c>
      <c r="C724" t="s">
        <v>2174</v>
      </c>
      <c r="F724" t="s">
        <v>2173</v>
      </c>
      <c r="G724" t="s">
        <v>6</v>
      </c>
      <c r="H724" t="s">
        <v>5</v>
      </c>
      <c r="I724" t="s">
        <v>2172</v>
      </c>
      <c r="J724">
        <v>60017521</v>
      </c>
      <c r="K724" t="s">
        <v>2171</v>
      </c>
      <c r="L724" t="s">
        <v>2170</v>
      </c>
      <c r="M724" t="s">
        <v>3</v>
      </c>
      <c r="N724">
        <v>3</v>
      </c>
      <c r="O724" t="s">
        <v>2169</v>
      </c>
      <c r="P724" t="s">
        <v>2168</v>
      </c>
      <c r="Q724" t="s">
        <v>2167</v>
      </c>
      <c r="R724" s="7">
        <v>37082</v>
      </c>
      <c r="S724" s="8">
        <f t="shared" si="88"/>
        <v>2001</v>
      </c>
      <c r="T724" s="8">
        <v>2001</v>
      </c>
      <c r="U724" s="8">
        <f t="shared" si="89"/>
        <v>21</v>
      </c>
      <c r="V724" s="7">
        <v>37082</v>
      </c>
      <c r="W724" t="s">
        <v>2166</v>
      </c>
      <c r="X724" s="2">
        <v>1.9830000000000001</v>
      </c>
      <c r="Y724" s="6">
        <f t="shared" si="94"/>
        <v>5.2935052454552739E-2</v>
      </c>
      <c r="AA724">
        <v>21699313</v>
      </c>
      <c r="AB724">
        <v>21100855886</v>
      </c>
      <c r="AC724">
        <v>21699356</v>
      </c>
      <c r="AD724" t="s">
        <v>1</v>
      </c>
      <c r="AE724">
        <v>106</v>
      </c>
      <c r="AF724" t="s">
        <v>2165</v>
      </c>
      <c r="AG724" t="s">
        <v>2164</v>
      </c>
      <c r="AH724" t="s">
        <v>2163</v>
      </c>
      <c r="AI724" t="s">
        <v>2162</v>
      </c>
      <c r="AK724" t="s">
        <v>2161</v>
      </c>
      <c r="AL724">
        <v>44</v>
      </c>
      <c r="AM724" s="5">
        <f t="shared" si="90"/>
        <v>2.0952380952380953</v>
      </c>
      <c r="AN724" s="4">
        <f t="shared" si="95"/>
        <v>3.1734011287210834E-3</v>
      </c>
      <c r="AO724" s="3"/>
      <c r="AP724">
        <v>1</v>
      </c>
      <c r="AR724" t="s">
        <v>0</v>
      </c>
      <c r="AT724" s="2" t="s">
        <v>7</v>
      </c>
      <c r="AU724" s="1">
        <f t="shared" si="91"/>
        <v>3.8006557056803238</v>
      </c>
      <c r="AV724" s="1">
        <f t="shared" si="92"/>
        <v>2.8054226791636911</v>
      </c>
      <c r="AW724" s="1">
        <f t="shared" si="93"/>
        <v>1.8101896526470578</v>
      </c>
    </row>
    <row r="725" spans="1:49" x14ac:dyDescent="0.2">
      <c r="A725">
        <v>723</v>
      </c>
      <c r="B725" t="s">
        <v>2160</v>
      </c>
      <c r="C725" t="s">
        <v>2159</v>
      </c>
      <c r="F725" t="s">
        <v>2158</v>
      </c>
      <c r="G725" t="s">
        <v>6</v>
      </c>
      <c r="H725" t="s">
        <v>5</v>
      </c>
      <c r="I725" t="s">
        <v>2157</v>
      </c>
      <c r="J725" t="s">
        <v>2156</v>
      </c>
      <c r="K725" t="s">
        <v>2155</v>
      </c>
      <c r="L725" t="s">
        <v>2154</v>
      </c>
      <c r="M725" t="s">
        <v>2153</v>
      </c>
      <c r="N725">
        <v>12</v>
      </c>
      <c r="O725" t="s">
        <v>2152</v>
      </c>
      <c r="P725" t="s">
        <v>2151</v>
      </c>
      <c r="Q725" t="s">
        <v>2150</v>
      </c>
      <c r="R725" s="7">
        <v>37081</v>
      </c>
      <c r="S725" s="8">
        <f t="shared" si="88"/>
        <v>2001</v>
      </c>
      <c r="T725" s="8">
        <v>2001</v>
      </c>
      <c r="U725" s="8">
        <f t="shared" si="89"/>
        <v>21</v>
      </c>
      <c r="V725" s="7">
        <v>37081</v>
      </c>
      <c r="W725" t="s">
        <v>150</v>
      </c>
      <c r="X725" s="2">
        <v>0.192</v>
      </c>
      <c r="Y725" s="6">
        <f t="shared" si="94"/>
        <v>5.1253303435572998E-3</v>
      </c>
      <c r="AA725" t="s">
        <v>127</v>
      </c>
      <c r="AB725">
        <v>40067</v>
      </c>
      <c r="AD725" t="s">
        <v>1</v>
      </c>
      <c r="AE725">
        <v>4467</v>
      </c>
      <c r="AF725">
        <v>1</v>
      </c>
      <c r="AH725" t="s">
        <v>2149</v>
      </c>
      <c r="AI725" t="s">
        <v>2148</v>
      </c>
      <c r="AK725" t="s">
        <v>2147</v>
      </c>
      <c r="AL725">
        <v>1</v>
      </c>
      <c r="AM725" s="5">
        <f t="shared" si="90"/>
        <v>4.7619047619047616E-2</v>
      </c>
      <c r="AN725" s="4">
        <f t="shared" si="95"/>
        <v>7.2122752925479164E-5</v>
      </c>
      <c r="AO725" s="3"/>
      <c r="AP725">
        <v>0</v>
      </c>
      <c r="AR725" t="s">
        <v>0</v>
      </c>
      <c r="AT725" s="2" t="s">
        <v>7</v>
      </c>
      <c r="AU725" s="1">
        <f t="shared" si="91"/>
        <v>0.3609368066367753</v>
      </c>
      <c r="AV725" s="1">
        <f t="shared" si="92"/>
        <v>0.25987265482413896</v>
      </c>
      <c r="AW725" s="1">
        <f t="shared" si="93"/>
        <v>0.15880850301150254</v>
      </c>
    </row>
    <row r="726" spans="1:49" x14ac:dyDescent="0.2">
      <c r="A726">
        <v>724</v>
      </c>
      <c r="B726" t="s">
        <v>2146</v>
      </c>
      <c r="C726" t="s">
        <v>2145</v>
      </c>
      <c r="F726" t="s">
        <v>2144</v>
      </c>
      <c r="G726" t="s">
        <v>6</v>
      </c>
      <c r="H726" t="s">
        <v>5</v>
      </c>
      <c r="I726" t="s">
        <v>2143</v>
      </c>
      <c r="J726" t="s">
        <v>2142</v>
      </c>
      <c r="K726" t="s">
        <v>2141</v>
      </c>
      <c r="L726" t="s">
        <v>2140</v>
      </c>
      <c r="M726" t="s">
        <v>495</v>
      </c>
      <c r="N726">
        <v>3</v>
      </c>
      <c r="O726" t="s">
        <v>2139</v>
      </c>
      <c r="P726" t="s">
        <v>2138</v>
      </c>
      <c r="Q726" t="s">
        <v>2137</v>
      </c>
      <c r="R726" s="7">
        <v>37081</v>
      </c>
      <c r="S726" s="8">
        <f t="shared" si="88"/>
        <v>2001</v>
      </c>
      <c r="T726" s="8">
        <v>2001</v>
      </c>
      <c r="U726" s="8">
        <f t="shared" si="89"/>
        <v>21</v>
      </c>
      <c r="V726" s="7">
        <v>2001</v>
      </c>
      <c r="W726" t="s">
        <v>602</v>
      </c>
      <c r="X726" s="2">
        <v>1.1579999999999999</v>
      </c>
      <c r="Y726" s="6">
        <f t="shared" si="94"/>
        <v>3.0912148634579962E-2</v>
      </c>
      <c r="AA726">
        <v>1668595</v>
      </c>
      <c r="AB726">
        <v>14223</v>
      </c>
      <c r="AD726" t="s">
        <v>1</v>
      </c>
      <c r="AE726">
        <v>67</v>
      </c>
      <c r="AF726" s="10">
        <v>44228</v>
      </c>
      <c r="AH726" s="9">
        <v>42125</v>
      </c>
      <c r="AI726" t="s">
        <v>2136</v>
      </c>
      <c r="AJ726" t="s">
        <v>2135</v>
      </c>
      <c r="AK726" t="s">
        <v>2134</v>
      </c>
      <c r="AL726">
        <v>32</v>
      </c>
      <c r="AM726" s="5">
        <f t="shared" si="90"/>
        <v>1.5238095238095237</v>
      </c>
      <c r="AN726" s="4">
        <f t="shared" si="95"/>
        <v>2.3079280936153333E-3</v>
      </c>
      <c r="AO726" s="3"/>
      <c r="AP726">
        <v>0</v>
      </c>
      <c r="AQ726" t="s">
        <v>468</v>
      </c>
      <c r="AR726" t="s">
        <v>2133</v>
      </c>
      <c r="AS726" t="s">
        <v>467</v>
      </c>
      <c r="AT726" s="2">
        <v>3.573</v>
      </c>
      <c r="AU726" s="1">
        <f t="shared" si="91"/>
        <v>2.2330882472290572</v>
      </c>
      <c r="AV726" s="1">
        <f t="shared" si="92"/>
        <v>1.6610038364097648</v>
      </c>
      <c r="AW726" s="1">
        <f t="shared" si="93"/>
        <v>1.0889194255904722</v>
      </c>
    </row>
    <row r="727" spans="1:49" x14ac:dyDescent="0.2">
      <c r="A727">
        <v>725</v>
      </c>
      <c r="B727" t="s">
        <v>2132</v>
      </c>
      <c r="C727" t="s">
        <v>2131</v>
      </c>
      <c r="D727" t="s">
        <v>2130</v>
      </c>
      <c r="E727">
        <v>11716974</v>
      </c>
      <c r="F727" t="s">
        <v>2129</v>
      </c>
      <c r="G727" t="s">
        <v>6</v>
      </c>
      <c r="H727" t="s">
        <v>5</v>
      </c>
      <c r="I727" t="s">
        <v>2128</v>
      </c>
      <c r="J727" t="s">
        <v>2127</v>
      </c>
      <c r="K727" t="s">
        <v>2126</v>
      </c>
      <c r="L727" t="s">
        <v>2125</v>
      </c>
      <c r="M727" t="s">
        <v>2124</v>
      </c>
      <c r="N727">
        <v>4</v>
      </c>
      <c r="O727" t="s">
        <v>2123</v>
      </c>
      <c r="P727" t="s">
        <v>2122</v>
      </c>
      <c r="Q727" t="s">
        <v>2121</v>
      </c>
      <c r="R727" s="7">
        <v>37080</v>
      </c>
      <c r="S727" s="8">
        <f t="shared" si="88"/>
        <v>2001</v>
      </c>
      <c r="T727" s="8">
        <v>2001</v>
      </c>
      <c r="U727" s="8">
        <f t="shared" si="89"/>
        <v>21</v>
      </c>
      <c r="V727" s="7">
        <v>37080</v>
      </c>
      <c r="W727" t="s">
        <v>2120</v>
      </c>
      <c r="X727" s="2">
        <v>0.48199999999999998</v>
      </c>
      <c r="Y727" s="6">
        <f t="shared" si="94"/>
        <v>1.2866714716638637E-2</v>
      </c>
      <c r="AA727">
        <v>3032647</v>
      </c>
      <c r="AB727">
        <v>13794</v>
      </c>
      <c r="AD727" t="s">
        <v>1</v>
      </c>
      <c r="AE727">
        <v>61</v>
      </c>
      <c r="AF727" s="10">
        <v>44257</v>
      </c>
      <c r="AH727" t="s">
        <v>2119</v>
      </c>
      <c r="AI727" t="s">
        <v>2118</v>
      </c>
      <c r="AJ727" t="s">
        <v>2117</v>
      </c>
      <c r="AK727" t="s">
        <v>2116</v>
      </c>
      <c r="AL727">
        <v>16</v>
      </c>
      <c r="AM727" s="5">
        <f t="shared" si="90"/>
        <v>0.76190476190476186</v>
      </c>
      <c r="AN727" s="4">
        <f t="shared" si="95"/>
        <v>1.1539640468076666E-3</v>
      </c>
      <c r="AO727" s="3"/>
      <c r="AP727">
        <v>0</v>
      </c>
      <c r="AQ727" t="s">
        <v>53</v>
      </c>
      <c r="AR727" t="s">
        <v>52</v>
      </c>
      <c r="AS727" t="s">
        <v>51</v>
      </c>
      <c r="AT727" s="2">
        <v>1.9730000000000001</v>
      </c>
      <c r="AU727" s="1">
        <f t="shared" si="91"/>
        <v>0.93528895156893455</v>
      </c>
      <c r="AV727" s="1">
        <f t="shared" si="92"/>
        <v>0.70103393817231519</v>
      </c>
      <c r="AW727" s="1">
        <f t="shared" si="93"/>
        <v>0.46677892477569577</v>
      </c>
    </row>
    <row r="728" spans="1:49" x14ac:dyDescent="0.2">
      <c r="A728">
        <v>726</v>
      </c>
      <c r="B728" t="s">
        <v>2115</v>
      </c>
      <c r="C728" t="s">
        <v>2114</v>
      </c>
      <c r="F728" t="s">
        <v>2113</v>
      </c>
      <c r="G728" t="s">
        <v>6</v>
      </c>
      <c r="H728" t="s">
        <v>5</v>
      </c>
      <c r="I728" t="s">
        <v>2112</v>
      </c>
      <c r="J728" t="s">
        <v>2111</v>
      </c>
      <c r="K728" t="s">
        <v>2110</v>
      </c>
      <c r="L728" t="s">
        <v>2109</v>
      </c>
      <c r="M728" t="s">
        <v>45</v>
      </c>
      <c r="N728">
        <v>4</v>
      </c>
      <c r="O728" t="s">
        <v>2108</v>
      </c>
      <c r="P728" t="s">
        <v>2107</v>
      </c>
      <c r="Q728" t="s">
        <v>2106</v>
      </c>
      <c r="R728" s="7">
        <v>37079</v>
      </c>
      <c r="S728" s="8">
        <f t="shared" si="88"/>
        <v>2001</v>
      </c>
      <c r="T728" s="8">
        <v>2001</v>
      </c>
      <c r="U728" s="8">
        <f t="shared" si="89"/>
        <v>21</v>
      </c>
      <c r="V728" s="7">
        <v>2001</v>
      </c>
      <c r="W728" t="s">
        <v>192</v>
      </c>
      <c r="X728" s="2">
        <v>0.111</v>
      </c>
      <c r="Y728" s="6">
        <f t="shared" si="94"/>
        <v>2.9630816048690639E-3</v>
      </c>
      <c r="AA728">
        <v>87566621</v>
      </c>
      <c r="AB728">
        <v>24890</v>
      </c>
      <c r="AD728" t="s">
        <v>1</v>
      </c>
      <c r="AE728">
        <v>84</v>
      </c>
      <c r="AF728">
        <v>8</v>
      </c>
      <c r="AH728" t="s">
        <v>2105</v>
      </c>
      <c r="AI728" t="s">
        <v>2104</v>
      </c>
      <c r="AJ728" t="s">
        <v>2103</v>
      </c>
      <c r="AK728" t="s">
        <v>2102</v>
      </c>
      <c r="AL728">
        <v>2</v>
      </c>
      <c r="AM728" s="5">
        <f t="shared" si="90"/>
        <v>9.5238095238095233E-2</v>
      </c>
      <c r="AN728" s="4">
        <f t="shared" si="95"/>
        <v>1.4424550585095833E-4</v>
      </c>
      <c r="AO728" s="3"/>
      <c r="AP728">
        <v>0</v>
      </c>
      <c r="AR728" t="s">
        <v>0</v>
      </c>
      <c r="AT728" s="2" t="s">
        <v>7</v>
      </c>
      <c r="AU728" s="1">
        <f t="shared" si="91"/>
        <v>0.2117430775163632</v>
      </c>
      <c r="AV728" s="1">
        <f t="shared" si="92"/>
        <v>0.15536635553600112</v>
      </c>
      <c r="AW728" s="1">
        <f t="shared" si="93"/>
        <v>9.8989633555638987E-2</v>
      </c>
    </row>
    <row r="729" spans="1:49" x14ac:dyDescent="0.2">
      <c r="A729">
        <v>727</v>
      </c>
      <c r="B729" t="s">
        <v>2101</v>
      </c>
      <c r="C729" t="s">
        <v>2100</v>
      </c>
      <c r="F729" t="s">
        <v>2099</v>
      </c>
      <c r="G729" t="s">
        <v>6</v>
      </c>
      <c r="H729" t="s">
        <v>5</v>
      </c>
      <c r="I729" t="s">
        <v>2098</v>
      </c>
      <c r="J729">
        <v>60014652</v>
      </c>
      <c r="K729" t="s">
        <v>193</v>
      </c>
      <c r="L729" t="s">
        <v>136</v>
      </c>
      <c r="M729" t="s">
        <v>26</v>
      </c>
      <c r="N729">
        <v>3</v>
      </c>
      <c r="O729" t="s">
        <v>2097</v>
      </c>
      <c r="P729" t="s">
        <v>2096</v>
      </c>
      <c r="Q729" t="s">
        <v>205</v>
      </c>
      <c r="R729" s="7">
        <v>37079</v>
      </c>
      <c r="S729" s="8">
        <f t="shared" si="88"/>
        <v>2001</v>
      </c>
      <c r="T729" s="8">
        <v>2001</v>
      </c>
      <c r="U729" s="8">
        <f t="shared" si="89"/>
        <v>21</v>
      </c>
      <c r="V729" s="7">
        <v>2001</v>
      </c>
      <c r="W729" t="s">
        <v>192</v>
      </c>
      <c r="X729" s="2">
        <v>0.111</v>
      </c>
      <c r="Y729" s="6">
        <f t="shared" si="94"/>
        <v>2.9630816048690639E-3</v>
      </c>
      <c r="AA729">
        <v>87566621</v>
      </c>
      <c r="AB729">
        <v>24890</v>
      </c>
      <c r="AD729" t="s">
        <v>1</v>
      </c>
      <c r="AE729">
        <v>84</v>
      </c>
      <c r="AF729">
        <v>8</v>
      </c>
      <c r="AH729" t="s">
        <v>2095</v>
      </c>
      <c r="AI729" t="s">
        <v>2094</v>
      </c>
      <c r="AJ729" t="s">
        <v>2093</v>
      </c>
      <c r="AK729" t="s">
        <v>2092</v>
      </c>
      <c r="AL729">
        <v>0</v>
      </c>
      <c r="AM729" s="5">
        <f t="shared" si="90"/>
        <v>0</v>
      </c>
      <c r="AN729" s="4">
        <f t="shared" si="95"/>
        <v>0</v>
      </c>
      <c r="AO729" s="3"/>
      <c r="AP729">
        <v>0</v>
      </c>
      <c r="AR729" t="s">
        <v>0</v>
      </c>
      <c r="AT729" s="2" t="s">
        <v>7</v>
      </c>
      <c r="AU729" s="1">
        <f t="shared" si="91"/>
        <v>0.20741571234083445</v>
      </c>
      <c r="AV729" s="1">
        <f t="shared" si="92"/>
        <v>0.1481540802434532</v>
      </c>
      <c r="AW729" s="1">
        <f t="shared" si="93"/>
        <v>8.8892448146071903E-2</v>
      </c>
    </row>
    <row r="730" spans="1:49" x14ac:dyDescent="0.2">
      <c r="A730">
        <v>728</v>
      </c>
      <c r="B730" t="s">
        <v>2091</v>
      </c>
      <c r="C730" t="s">
        <v>2090</v>
      </c>
      <c r="F730" t="s">
        <v>2089</v>
      </c>
      <c r="G730" t="s">
        <v>6</v>
      </c>
      <c r="H730" t="s">
        <v>5</v>
      </c>
      <c r="I730" t="s">
        <v>2088</v>
      </c>
      <c r="J730" t="s">
        <v>2087</v>
      </c>
      <c r="K730" t="s">
        <v>2086</v>
      </c>
      <c r="L730" t="s">
        <v>442</v>
      </c>
      <c r="M730" t="s">
        <v>45</v>
      </c>
      <c r="N730">
        <v>3</v>
      </c>
      <c r="O730" t="s">
        <v>2085</v>
      </c>
      <c r="P730" t="s">
        <v>2084</v>
      </c>
      <c r="Q730" t="s">
        <v>2083</v>
      </c>
      <c r="R730" s="7">
        <v>37079</v>
      </c>
      <c r="S730" s="8">
        <f t="shared" si="88"/>
        <v>2001</v>
      </c>
      <c r="T730" s="8">
        <v>2001</v>
      </c>
      <c r="U730" s="8">
        <f t="shared" si="89"/>
        <v>21</v>
      </c>
      <c r="V730" s="7">
        <v>2001</v>
      </c>
      <c r="W730" t="s">
        <v>192</v>
      </c>
      <c r="X730" s="2">
        <v>0.111</v>
      </c>
      <c r="Y730" s="6">
        <f t="shared" si="94"/>
        <v>2.9630816048690639E-3</v>
      </c>
      <c r="AA730">
        <v>87566621</v>
      </c>
      <c r="AB730">
        <v>24890</v>
      </c>
      <c r="AD730" t="s">
        <v>1</v>
      </c>
      <c r="AE730">
        <v>84</v>
      </c>
      <c r="AF730">
        <v>8</v>
      </c>
      <c r="AH730" t="s">
        <v>28</v>
      </c>
      <c r="AI730" t="s">
        <v>2082</v>
      </c>
      <c r="AJ730" t="s">
        <v>2081</v>
      </c>
      <c r="AK730" t="s">
        <v>2080</v>
      </c>
      <c r="AL730">
        <v>1</v>
      </c>
      <c r="AM730" s="5">
        <f t="shared" si="90"/>
        <v>4.7619047619047616E-2</v>
      </c>
      <c r="AN730" s="4">
        <f t="shared" si="95"/>
        <v>7.2122752925479164E-5</v>
      </c>
      <c r="AO730" s="3"/>
      <c r="AP730">
        <v>0</v>
      </c>
      <c r="AR730" t="s">
        <v>0</v>
      </c>
      <c r="AT730" s="2" t="s">
        <v>7</v>
      </c>
      <c r="AU730" s="1">
        <f t="shared" si="91"/>
        <v>0.20957939492859881</v>
      </c>
      <c r="AV730" s="1">
        <f t="shared" si="92"/>
        <v>0.15176021788972716</v>
      </c>
      <c r="AW730" s="1">
        <f t="shared" si="93"/>
        <v>9.3941040850855445E-2</v>
      </c>
    </row>
    <row r="731" spans="1:49" x14ac:dyDescent="0.2">
      <c r="A731">
        <v>729</v>
      </c>
      <c r="B731" t="s">
        <v>2079</v>
      </c>
      <c r="C731" t="s">
        <v>2078</v>
      </c>
      <c r="E731">
        <v>11331293</v>
      </c>
      <c r="F731" t="s">
        <v>2077</v>
      </c>
      <c r="G731" t="s">
        <v>6</v>
      </c>
      <c r="H731" t="s">
        <v>5</v>
      </c>
      <c r="I731" t="s">
        <v>2076</v>
      </c>
      <c r="J731">
        <v>60019615</v>
      </c>
      <c r="K731" t="s">
        <v>2075</v>
      </c>
      <c r="L731" t="s">
        <v>2074</v>
      </c>
      <c r="M731" t="s">
        <v>87</v>
      </c>
      <c r="N731">
        <v>4</v>
      </c>
      <c r="O731" t="s">
        <v>2073</v>
      </c>
      <c r="P731" t="s">
        <v>2072</v>
      </c>
      <c r="Q731" t="s">
        <v>2071</v>
      </c>
      <c r="R731" s="7">
        <v>37078</v>
      </c>
      <c r="S731" s="8">
        <f t="shared" si="88"/>
        <v>2001</v>
      </c>
      <c r="T731" s="8">
        <v>2001</v>
      </c>
      <c r="U731" s="8">
        <f t="shared" si="89"/>
        <v>21</v>
      </c>
      <c r="V731" s="7">
        <v>37078</v>
      </c>
      <c r="W731" t="s">
        <v>784</v>
      </c>
      <c r="X731" s="2">
        <v>2.3610000000000002</v>
      </c>
      <c r="Y731" s="6">
        <f t="shared" si="94"/>
        <v>6.3025546568431179E-2</v>
      </c>
      <c r="AA731">
        <v>219258</v>
      </c>
      <c r="AB731">
        <v>17592</v>
      </c>
      <c r="AD731" t="s">
        <v>1</v>
      </c>
      <c r="AE731">
        <v>276</v>
      </c>
      <c r="AF731">
        <v>27</v>
      </c>
      <c r="AH731" t="s">
        <v>2070</v>
      </c>
      <c r="AI731" t="s">
        <v>2069</v>
      </c>
      <c r="AK731" t="s">
        <v>2068</v>
      </c>
      <c r="AL731">
        <v>98</v>
      </c>
      <c r="AM731" s="5">
        <f t="shared" si="90"/>
        <v>4.666666666666667</v>
      </c>
      <c r="AN731" s="4">
        <f t="shared" si="95"/>
        <v>7.0680297866969584E-3</v>
      </c>
      <c r="AO731" s="3"/>
      <c r="AP731">
        <v>1</v>
      </c>
      <c r="AR731" t="s">
        <v>0</v>
      </c>
      <c r="AT731" s="2">
        <v>5.157</v>
      </c>
      <c r="AU731" s="1">
        <f t="shared" si="91"/>
        <v>4.6238291533910907</v>
      </c>
      <c r="AV731" s="1">
        <f t="shared" si="92"/>
        <v>3.5046788177564068</v>
      </c>
      <c r="AW731" s="1">
        <f t="shared" si="93"/>
        <v>2.3855284821217224</v>
      </c>
    </row>
    <row r="732" spans="1:49" x14ac:dyDescent="0.2">
      <c r="A732">
        <v>730</v>
      </c>
      <c r="B732" t="s">
        <v>2067</v>
      </c>
      <c r="C732" t="s">
        <v>2066</v>
      </c>
      <c r="F732" t="s">
        <v>2065</v>
      </c>
      <c r="G732" t="s">
        <v>6</v>
      </c>
      <c r="H732" t="s">
        <v>5</v>
      </c>
      <c r="I732" t="s">
        <v>2064</v>
      </c>
      <c r="J732" t="s">
        <v>2059</v>
      </c>
      <c r="K732" t="s">
        <v>2063</v>
      </c>
      <c r="L732" t="s">
        <v>2062</v>
      </c>
      <c r="M732" t="s">
        <v>44</v>
      </c>
      <c r="N732">
        <v>2</v>
      </c>
      <c r="O732" t="s">
        <v>2061</v>
      </c>
      <c r="P732" t="s">
        <v>2060</v>
      </c>
      <c r="Q732" t="s">
        <v>2059</v>
      </c>
      <c r="R732" s="7">
        <v>37077</v>
      </c>
      <c r="S732" s="8">
        <f t="shared" si="88"/>
        <v>2001</v>
      </c>
      <c r="T732" s="8">
        <v>2001</v>
      </c>
      <c r="U732" s="8">
        <f t="shared" si="89"/>
        <v>21</v>
      </c>
      <c r="V732" s="7">
        <v>37077</v>
      </c>
      <c r="W732" t="s">
        <v>290</v>
      </c>
      <c r="X732" s="2">
        <v>0.30399999999999999</v>
      </c>
      <c r="Y732" s="6">
        <f t="shared" si="94"/>
        <v>8.115106377299057E-3</v>
      </c>
      <c r="AA732">
        <v>8952477</v>
      </c>
      <c r="AB732">
        <v>12250</v>
      </c>
      <c r="AD732" t="s">
        <v>1</v>
      </c>
      <c r="AE732">
        <v>30</v>
      </c>
      <c r="AF732">
        <v>1</v>
      </c>
      <c r="AH732" s="9">
        <v>42339</v>
      </c>
      <c r="AI732" t="s">
        <v>2058</v>
      </c>
      <c r="AJ732" t="s">
        <v>2057</v>
      </c>
      <c r="AK732" t="s">
        <v>2056</v>
      </c>
      <c r="AL732">
        <v>7</v>
      </c>
      <c r="AM732" s="5">
        <f t="shared" si="90"/>
        <v>0.33333333333333331</v>
      </c>
      <c r="AN732" s="4">
        <f t="shared" si="95"/>
        <v>5.048592704783541E-4</v>
      </c>
      <c r="AO732" s="3"/>
      <c r="AP732">
        <v>0</v>
      </c>
      <c r="AR732" t="s">
        <v>0</v>
      </c>
      <c r="AT732" s="2" t="s">
        <v>7</v>
      </c>
      <c r="AU732" s="1">
        <f t="shared" si="91"/>
        <v>0.58320322452528461</v>
      </c>
      <c r="AV732" s="1">
        <f t="shared" si="92"/>
        <v>0.43099828238887061</v>
      </c>
      <c r="AW732" s="1">
        <f t="shared" si="93"/>
        <v>0.2787933402524565</v>
      </c>
    </row>
    <row r="733" spans="1:49" x14ac:dyDescent="0.2">
      <c r="A733">
        <v>731</v>
      </c>
      <c r="B733" t="s">
        <v>2055</v>
      </c>
      <c r="C733" t="s">
        <v>2054</v>
      </c>
      <c r="F733" t="s">
        <v>2053</v>
      </c>
      <c r="G733" t="s">
        <v>6</v>
      </c>
      <c r="H733" t="s">
        <v>5</v>
      </c>
      <c r="I733" t="s">
        <v>636</v>
      </c>
      <c r="J733" t="s">
        <v>635</v>
      </c>
      <c r="K733" t="s">
        <v>634</v>
      </c>
      <c r="L733" t="s">
        <v>633</v>
      </c>
      <c r="M733" t="s">
        <v>632</v>
      </c>
      <c r="N733">
        <v>2</v>
      </c>
      <c r="O733" t="s">
        <v>631</v>
      </c>
      <c r="P733" t="s">
        <v>630</v>
      </c>
      <c r="Q733" t="s">
        <v>629</v>
      </c>
      <c r="R733" s="7">
        <v>37077</v>
      </c>
      <c r="S733" s="8">
        <f t="shared" si="88"/>
        <v>2001</v>
      </c>
      <c r="T733" s="8">
        <v>2001</v>
      </c>
      <c r="U733" s="8">
        <f t="shared" si="89"/>
        <v>21</v>
      </c>
      <c r="V733" s="7">
        <v>37077</v>
      </c>
      <c r="W733" t="s">
        <v>290</v>
      </c>
      <c r="X733" s="2">
        <v>0.30399999999999999</v>
      </c>
      <c r="Y733" s="6">
        <f t="shared" si="94"/>
        <v>8.115106377299057E-3</v>
      </c>
      <c r="AA733">
        <v>8952477</v>
      </c>
      <c r="AB733">
        <v>12250</v>
      </c>
      <c r="AD733" t="s">
        <v>1</v>
      </c>
      <c r="AE733">
        <v>30</v>
      </c>
      <c r="AF733">
        <v>1</v>
      </c>
      <c r="AH733" t="s">
        <v>2052</v>
      </c>
      <c r="AI733" t="s">
        <v>2051</v>
      </c>
      <c r="AJ733" t="s">
        <v>2050</v>
      </c>
      <c r="AK733" t="s">
        <v>2049</v>
      </c>
      <c r="AL733">
        <v>12</v>
      </c>
      <c r="AM733" s="5">
        <f t="shared" si="90"/>
        <v>0.5714285714285714</v>
      </c>
      <c r="AN733" s="4">
        <f t="shared" si="95"/>
        <v>8.6547303510574997E-4</v>
      </c>
      <c r="AO733" s="3"/>
      <c r="AP733">
        <v>0</v>
      </c>
      <c r="AR733" t="s">
        <v>0</v>
      </c>
      <c r="AT733" s="2" t="s">
        <v>7</v>
      </c>
      <c r="AU733" s="1">
        <f t="shared" si="91"/>
        <v>0.59402163746410641</v>
      </c>
      <c r="AV733" s="1">
        <f t="shared" si="92"/>
        <v>0.44902897062024039</v>
      </c>
      <c r="AW733" s="1">
        <f t="shared" si="93"/>
        <v>0.30403630377637419</v>
      </c>
    </row>
    <row r="734" spans="1:49" x14ac:dyDescent="0.2">
      <c r="A734">
        <v>732</v>
      </c>
      <c r="B734" t="s">
        <v>2048</v>
      </c>
      <c r="C734" t="s">
        <v>2047</v>
      </c>
      <c r="F734" t="s">
        <v>2046</v>
      </c>
      <c r="G734" t="s">
        <v>6</v>
      </c>
      <c r="H734" t="s">
        <v>5</v>
      </c>
      <c r="I734" t="s">
        <v>2045</v>
      </c>
      <c r="J734">
        <v>60014966</v>
      </c>
      <c r="K734" t="s">
        <v>1190</v>
      </c>
      <c r="L734" t="s">
        <v>63</v>
      </c>
      <c r="M734" t="s">
        <v>62</v>
      </c>
      <c r="N734">
        <v>5</v>
      </c>
      <c r="O734" t="s">
        <v>2044</v>
      </c>
      <c r="P734" t="s">
        <v>2043</v>
      </c>
      <c r="Q734" t="s">
        <v>2042</v>
      </c>
      <c r="R734" s="7">
        <v>37077</v>
      </c>
      <c r="S734" s="8">
        <f t="shared" si="88"/>
        <v>2001</v>
      </c>
      <c r="T734" s="8">
        <v>2001</v>
      </c>
      <c r="U734" s="8">
        <f t="shared" si="89"/>
        <v>21</v>
      </c>
      <c r="V734" s="7">
        <v>37077</v>
      </c>
      <c r="W734" t="s">
        <v>290</v>
      </c>
      <c r="X734" s="2">
        <v>0.30399999999999999</v>
      </c>
      <c r="Y734" s="6">
        <f t="shared" si="94"/>
        <v>8.115106377299057E-3</v>
      </c>
      <c r="AA734">
        <v>8952477</v>
      </c>
      <c r="AB734">
        <v>12250</v>
      </c>
      <c r="AD734" t="s">
        <v>1</v>
      </c>
      <c r="AE734">
        <v>30</v>
      </c>
      <c r="AF734">
        <v>1</v>
      </c>
      <c r="AH734" t="s">
        <v>905</v>
      </c>
      <c r="AI734" t="s">
        <v>2041</v>
      </c>
      <c r="AJ734" t="s">
        <v>2040</v>
      </c>
      <c r="AK734" t="s">
        <v>2039</v>
      </c>
      <c r="AL734">
        <v>2</v>
      </c>
      <c r="AM734" s="5">
        <f t="shared" si="90"/>
        <v>9.5238095238095233E-2</v>
      </c>
      <c r="AN734" s="4">
        <f t="shared" si="95"/>
        <v>1.4424550585095833E-4</v>
      </c>
      <c r="AO734" s="3"/>
      <c r="AP734">
        <v>0</v>
      </c>
      <c r="AR734" t="s">
        <v>0</v>
      </c>
      <c r="AT734" s="2" t="s">
        <v>7</v>
      </c>
      <c r="AU734" s="1">
        <f t="shared" si="91"/>
        <v>0.57238481158646271</v>
      </c>
      <c r="AV734" s="1">
        <f t="shared" si="92"/>
        <v>0.41296759415750073</v>
      </c>
      <c r="AW734" s="1">
        <f t="shared" si="93"/>
        <v>0.25355037672853881</v>
      </c>
    </row>
    <row r="735" spans="1:49" x14ac:dyDescent="0.2">
      <c r="A735">
        <v>733</v>
      </c>
      <c r="B735" t="s">
        <v>2038</v>
      </c>
      <c r="C735" t="s">
        <v>2037</v>
      </c>
      <c r="F735" t="s">
        <v>2036</v>
      </c>
      <c r="G735" t="s">
        <v>6</v>
      </c>
      <c r="H735" t="s">
        <v>5</v>
      </c>
      <c r="I735" t="s">
        <v>2035</v>
      </c>
      <c r="J735">
        <v>60007740</v>
      </c>
      <c r="K735" t="s">
        <v>2034</v>
      </c>
      <c r="L735" t="s">
        <v>2033</v>
      </c>
      <c r="M735" t="s">
        <v>3</v>
      </c>
      <c r="N735">
        <v>2</v>
      </c>
      <c r="O735" t="s">
        <v>2032</v>
      </c>
      <c r="P735" t="s">
        <v>2031</v>
      </c>
      <c r="Q735" t="s">
        <v>2030</v>
      </c>
      <c r="R735" s="7">
        <v>37077</v>
      </c>
      <c r="S735" s="8">
        <f t="shared" si="88"/>
        <v>2001</v>
      </c>
      <c r="T735" s="8">
        <v>2001</v>
      </c>
      <c r="U735" s="8">
        <f t="shared" si="89"/>
        <v>21</v>
      </c>
      <c r="V735" s="7">
        <v>37077</v>
      </c>
      <c r="W735" t="s">
        <v>290</v>
      </c>
      <c r="X735" s="2">
        <v>0.30399999999999999</v>
      </c>
      <c r="Y735" s="6">
        <f t="shared" si="94"/>
        <v>8.115106377299057E-3</v>
      </c>
      <c r="AA735">
        <v>8952477</v>
      </c>
      <c r="AB735">
        <v>12250</v>
      </c>
      <c r="AD735" t="s">
        <v>1</v>
      </c>
      <c r="AE735">
        <v>30</v>
      </c>
      <c r="AF735">
        <v>1</v>
      </c>
      <c r="AH735" t="s">
        <v>2029</v>
      </c>
      <c r="AI735" t="s">
        <v>2028</v>
      </c>
      <c r="AJ735" t="s">
        <v>2027</v>
      </c>
      <c r="AK735" t="s">
        <v>2026</v>
      </c>
      <c r="AL735">
        <v>0</v>
      </c>
      <c r="AM735" s="5">
        <f t="shared" si="90"/>
        <v>0</v>
      </c>
      <c r="AN735" s="4">
        <f t="shared" si="95"/>
        <v>0</v>
      </c>
      <c r="AO735" s="3"/>
      <c r="AP735">
        <v>0</v>
      </c>
      <c r="AR735" t="s">
        <v>0</v>
      </c>
      <c r="AT735" s="2" t="s">
        <v>7</v>
      </c>
      <c r="AU735" s="1">
        <f t="shared" si="91"/>
        <v>0.56805744641093392</v>
      </c>
      <c r="AV735" s="1">
        <f t="shared" si="92"/>
        <v>0.40575531886495286</v>
      </c>
      <c r="AW735" s="1">
        <f t="shared" si="93"/>
        <v>0.24345319131897172</v>
      </c>
    </row>
    <row r="736" spans="1:49" x14ac:dyDescent="0.2">
      <c r="A736">
        <v>734</v>
      </c>
      <c r="B736" t="s">
        <v>2025</v>
      </c>
      <c r="C736" t="s">
        <v>2024</v>
      </c>
      <c r="F736" t="s">
        <v>2023</v>
      </c>
      <c r="G736" t="s">
        <v>6</v>
      </c>
      <c r="H736" t="s">
        <v>5</v>
      </c>
      <c r="I736" t="s">
        <v>2022</v>
      </c>
      <c r="J736" t="s">
        <v>2021</v>
      </c>
      <c r="K736" t="s">
        <v>2020</v>
      </c>
      <c r="L736" t="s">
        <v>2019</v>
      </c>
      <c r="M736" t="s">
        <v>2018</v>
      </c>
      <c r="N736">
        <v>3</v>
      </c>
      <c r="O736" t="s">
        <v>2017</v>
      </c>
      <c r="P736" t="s">
        <v>2016</v>
      </c>
      <c r="Q736" t="s">
        <v>2015</v>
      </c>
      <c r="R736" s="7">
        <v>37077</v>
      </c>
      <c r="S736" s="8">
        <f t="shared" si="88"/>
        <v>2001</v>
      </c>
      <c r="T736" s="8">
        <v>2001</v>
      </c>
      <c r="U736" s="8">
        <f t="shared" si="89"/>
        <v>21</v>
      </c>
      <c r="V736" s="7">
        <v>37077</v>
      </c>
      <c r="W736" t="s">
        <v>698</v>
      </c>
      <c r="X736" s="2">
        <v>0.375</v>
      </c>
      <c r="Y736" s="6">
        <f t="shared" si="94"/>
        <v>1.0010410827260351E-2</v>
      </c>
      <c r="AA736">
        <v>135194</v>
      </c>
      <c r="AB736">
        <v>24918</v>
      </c>
      <c r="AD736" t="s">
        <v>1</v>
      </c>
      <c r="AE736">
        <v>37</v>
      </c>
      <c r="AF736">
        <v>14</v>
      </c>
      <c r="AH736" t="s">
        <v>2014</v>
      </c>
      <c r="AI736" t="s">
        <v>2013</v>
      </c>
      <c r="AK736" t="s">
        <v>2012</v>
      </c>
      <c r="AL736">
        <v>17</v>
      </c>
      <c r="AM736" s="5">
        <f t="shared" si="90"/>
        <v>0.80952380952380953</v>
      </c>
      <c r="AN736" s="4">
        <f t="shared" si="95"/>
        <v>1.2260867997331457E-3</v>
      </c>
      <c r="AO736" s="3"/>
      <c r="AP736">
        <v>0</v>
      </c>
      <c r="AR736" t="s">
        <v>0</v>
      </c>
      <c r="AT736" s="2">
        <v>1.3140000000000001</v>
      </c>
      <c r="AU736" s="1">
        <f t="shared" si="91"/>
        <v>0.73751136190021893</v>
      </c>
      <c r="AV736" s="1">
        <f t="shared" si="92"/>
        <v>0.5618248813496749</v>
      </c>
      <c r="AW736" s="1">
        <f t="shared" si="93"/>
        <v>0.3861384007991307</v>
      </c>
    </row>
    <row r="737" spans="1:49" x14ac:dyDescent="0.2">
      <c r="A737">
        <v>735</v>
      </c>
      <c r="B737" t="s">
        <v>2011</v>
      </c>
      <c r="C737" t="s">
        <v>2010</v>
      </c>
      <c r="F737" t="s">
        <v>2009</v>
      </c>
      <c r="G737" t="s">
        <v>6</v>
      </c>
      <c r="H737" t="s">
        <v>5</v>
      </c>
      <c r="I737" t="s">
        <v>2008</v>
      </c>
      <c r="J737" t="s">
        <v>2007</v>
      </c>
      <c r="K737" t="s">
        <v>2006</v>
      </c>
      <c r="L737" t="s">
        <v>2005</v>
      </c>
      <c r="M737" t="s">
        <v>333</v>
      </c>
      <c r="N737">
        <v>4</v>
      </c>
      <c r="O737" t="s">
        <v>2004</v>
      </c>
      <c r="P737" t="s">
        <v>2003</v>
      </c>
      <c r="Q737" t="s">
        <v>2002</v>
      </c>
      <c r="R737" s="7">
        <v>37077</v>
      </c>
      <c r="S737" s="8">
        <f t="shared" si="88"/>
        <v>2001</v>
      </c>
      <c r="T737" s="8">
        <v>2001</v>
      </c>
      <c r="U737" s="8">
        <f t="shared" si="89"/>
        <v>21</v>
      </c>
      <c r="V737" s="7">
        <v>37077</v>
      </c>
      <c r="W737" t="s">
        <v>698</v>
      </c>
      <c r="X737" s="2">
        <v>0.375</v>
      </c>
      <c r="Y737" s="6">
        <f t="shared" si="94"/>
        <v>1.0010410827260351E-2</v>
      </c>
      <c r="AA737">
        <v>135194</v>
      </c>
      <c r="AB737">
        <v>24918</v>
      </c>
      <c r="AD737" t="s">
        <v>1</v>
      </c>
      <c r="AE737">
        <v>37</v>
      </c>
      <c r="AF737">
        <v>14</v>
      </c>
      <c r="AH737" t="s">
        <v>2001</v>
      </c>
      <c r="AI737" t="s">
        <v>2000</v>
      </c>
      <c r="AK737" t="s">
        <v>1999</v>
      </c>
      <c r="AL737">
        <v>1</v>
      </c>
      <c r="AM737" s="5">
        <f t="shared" si="90"/>
        <v>4.7619047619047616E-2</v>
      </c>
      <c r="AN737" s="4">
        <f t="shared" si="95"/>
        <v>7.2122752925479164E-5</v>
      </c>
      <c r="AO737" s="3"/>
      <c r="AP737">
        <v>0</v>
      </c>
      <c r="AR737" t="s">
        <v>0</v>
      </c>
      <c r="AT737" s="2">
        <v>1.3140000000000001</v>
      </c>
      <c r="AU737" s="1">
        <f t="shared" si="91"/>
        <v>0.70289244049598887</v>
      </c>
      <c r="AV737" s="1">
        <f t="shared" si="92"/>
        <v>0.50412667900929153</v>
      </c>
      <c r="AW737" s="1">
        <f t="shared" si="93"/>
        <v>0.30536091752259409</v>
      </c>
    </row>
    <row r="738" spans="1:49" x14ac:dyDescent="0.2">
      <c r="A738">
        <v>736</v>
      </c>
      <c r="B738" t="s">
        <v>1998</v>
      </c>
      <c r="C738" t="s">
        <v>1997</v>
      </c>
      <c r="F738" t="s">
        <v>1996</v>
      </c>
      <c r="G738" t="s">
        <v>6</v>
      </c>
      <c r="H738" t="s">
        <v>5</v>
      </c>
      <c r="I738" t="s">
        <v>1995</v>
      </c>
      <c r="J738">
        <v>60015815</v>
      </c>
      <c r="K738" t="s">
        <v>1994</v>
      </c>
      <c r="L738" t="s">
        <v>1993</v>
      </c>
      <c r="M738" t="s">
        <v>46</v>
      </c>
      <c r="N738">
        <v>2</v>
      </c>
      <c r="O738" t="s">
        <v>1992</v>
      </c>
      <c r="P738" t="s">
        <v>1991</v>
      </c>
      <c r="Q738" t="s">
        <v>1990</v>
      </c>
      <c r="R738" s="7">
        <v>37077</v>
      </c>
      <c r="S738" s="8">
        <f t="shared" si="88"/>
        <v>2001</v>
      </c>
      <c r="T738" s="8">
        <v>2001</v>
      </c>
      <c r="U738" s="8">
        <f t="shared" si="89"/>
        <v>21</v>
      </c>
      <c r="V738" s="7">
        <v>37077</v>
      </c>
      <c r="W738" t="s">
        <v>698</v>
      </c>
      <c r="X738" s="2">
        <v>0.375</v>
      </c>
      <c r="Y738" s="6">
        <f t="shared" si="94"/>
        <v>1.0010410827260351E-2</v>
      </c>
      <c r="AA738">
        <v>135194</v>
      </c>
      <c r="AB738">
        <v>24918</v>
      </c>
      <c r="AD738" t="s">
        <v>1</v>
      </c>
      <c r="AE738">
        <v>37</v>
      </c>
      <c r="AF738">
        <v>14</v>
      </c>
      <c r="AH738" t="s">
        <v>1989</v>
      </c>
      <c r="AI738" t="s">
        <v>1988</v>
      </c>
      <c r="AK738" t="s">
        <v>1987</v>
      </c>
      <c r="AL738">
        <v>0</v>
      </c>
      <c r="AM738" s="5">
        <f t="shared" si="90"/>
        <v>0</v>
      </c>
      <c r="AN738" s="4">
        <f t="shared" si="95"/>
        <v>0</v>
      </c>
      <c r="AO738" s="3"/>
      <c r="AP738">
        <v>0</v>
      </c>
      <c r="AR738" t="s">
        <v>0</v>
      </c>
      <c r="AT738" s="2">
        <v>1.3140000000000001</v>
      </c>
      <c r="AU738" s="1">
        <f t="shared" si="91"/>
        <v>0.70072875790822453</v>
      </c>
      <c r="AV738" s="1">
        <f t="shared" si="92"/>
        <v>0.5005205413630176</v>
      </c>
      <c r="AW738" s="1">
        <f t="shared" si="93"/>
        <v>0.30031232481781051</v>
      </c>
    </row>
    <row r="739" spans="1:49" x14ac:dyDescent="0.2">
      <c r="A739">
        <v>737</v>
      </c>
      <c r="B739" t="s">
        <v>1986</v>
      </c>
      <c r="C739" t="s">
        <v>1985</v>
      </c>
      <c r="F739" t="s">
        <v>1984</v>
      </c>
      <c r="G739" t="s">
        <v>6</v>
      </c>
      <c r="H739" t="s">
        <v>5</v>
      </c>
      <c r="I739" t="s">
        <v>1983</v>
      </c>
      <c r="J739">
        <v>60009941</v>
      </c>
      <c r="K739" t="s">
        <v>650</v>
      </c>
      <c r="L739" t="s">
        <v>649</v>
      </c>
      <c r="M739" t="s">
        <v>46</v>
      </c>
      <c r="N739">
        <v>4</v>
      </c>
      <c r="O739" t="s">
        <v>1982</v>
      </c>
      <c r="P739" t="s">
        <v>1981</v>
      </c>
      <c r="Q739" t="s">
        <v>648</v>
      </c>
      <c r="R739" s="7">
        <v>37077</v>
      </c>
      <c r="S739" s="8">
        <f t="shared" si="88"/>
        <v>2001</v>
      </c>
      <c r="T739" s="8">
        <v>2001</v>
      </c>
      <c r="U739" s="8">
        <f t="shared" si="89"/>
        <v>21</v>
      </c>
      <c r="V739" s="7">
        <v>37077</v>
      </c>
      <c r="W739" t="s">
        <v>698</v>
      </c>
      <c r="X739" s="2">
        <v>0.375</v>
      </c>
      <c r="Y739" s="6">
        <f t="shared" si="94"/>
        <v>1.0010410827260351E-2</v>
      </c>
      <c r="AA739">
        <v>135194</v>
      </c>
      <c r="AB739">
        <v>24918</v>
      </c>
      <c r="AD739" t="s">
        <v>1</v>
      </c>
      <c r="AE739">
        <v>37</v>
      </c>
      <c r="AF739">
        <v>14</v>
      </c>
      <c r="AH739" t="s">
        <v>1980</v>
      </c>
      <c r="AI739" t="s">
        <v>1979</v>
      </c>
      <c r="AK739" t="s">
        <v>1978</v>
      </c>
      <c r="AL739">
        <v>11</v>
      </c>
      <c r="AM739" s="5">
        <f t="shared" si="90"/>
        <v>0.52380952380952384</v>
      </c>
      <c r="AN739" s="4">
        <f t="shared" si="95"/>
        <v>7.9335028218027086E-4</v>
      </c>
      <c r="AO739" s="3"/>
      <c r="AP739">
        <v>0</v>
      </c>
      <c r="AR739" t="s">
        <v>0</v>
      </c>
      <c r="AT739" s="2">
        <v>1.3140000000000001</v>
      </c>
      <c r="AU739" s="1">
        <f t="shared" si="91"/>
        <v>0.72452926637363269</v>
      </c>
      <c r="AV739" s="1">
        <f t="shared" si="92"/>
        <v>0.54018805547203108</v>
      </c>
      <c r="AW739" s="1">
        <f t="shared" si="93"/>
        <v>0.35584684457042948</v>
      </c>
    </row>
    <row r="740" spans="1:49" x14ac:dyDescent="0.2">
      <c r="A740">
        <v>738</v>
      </c>
      <c r="B740" t="s">
        <v>1977</v>
      </c>
      <c r="C740" t="s">
        <v>1976</v>
      </c>
      <c r="F740" t="s">
        <v>1975</v>
      </c>
      <c r="G740" t="s">
        <v>6</v>
      </c>
      <c r="H740" t="s">
        <v>5</v>
      </c>
      <c r="I740" t="s">
        <v>1974</v>
      </c>
      <c r="J740" t="s">
        <v>1973</v>
      </c>
      <c r="K740" t="s">
        <v>1972</v>
      </c>
      <c r="L740" t="s">
        <v>1971</v>
      </c>
      <c r="M740" t="s">
        <v>412</v>
      </c>
      <c r="N740">
        <v>3</v>
      </c>
      <c r="O740" t="s">
        <v>1970</v>
      </c>
      <c r="P740" t="s">
        <v>1969</v>
      </c>
      <c r="Q740" t="s">
        <v>1968</v>
      </c>
      <c r="R740" s="7">
        <v>37077</v>
      </c>
      <c r="S740" s="8">
        <f t="shared" si="88"/>
        <v>2001</v>
      </c>
      <c r="T740" s="8">
        <v>2001</v>
      </c>
      <c r="U740" s="8">
        <f t="shared" si="89"/>
        <v>21</v>
      </c>
      <c r="V740" s="7">
        <v>37077</v>
      </c>
      <c r="W740" t="s">
        <v>698</v>
      </c>
      <c r="X740" s="2">
        <v>0.375</v>
      </c>
      <c r="Y740" s="6">
        <f t="shared" si="94"/>
        <v>1.0010410827260351E-2</v>
      </c>
      <c r="AA740">
        <v>135194</v>
      </c>
      <c r="AB740">
        <v>24918</v>
      </c>
      <c r="AD740" t="s">
        <v>1</v>
      </c>
      <c r="AE740">
        <v>37</v>
      </c>
      <c r="AF740">
        <v>14</v>
      </c>
      <c r="AH740" t="s">
        <v>1967</v>
      </c>
      <c r="AI740" t="s">
        <v>1966</v>
      </c>
      <c r="AK740" t="s">
        <v>1965</v>
      </c>
      <c r="AL740">
        <v>0</v>
      </c>
      <c r="AM740" s="5">
        <f t="shared" si="90"/>
        <v>0</v>
      </c>
      <c r="AN740" s="4">
        <f t="shared" si="95"/>
        <v>0</v>
      </c>
      <c r="AO740" s="3"/>
      <c r="AP740">
        <v>0</v>
      </c>
      <c r="AR740" t="s">
        <v>0</v>
      </c>
      <c r="AT740" s="2">
        <v>1.3140000000000001</v>
      </c>
      <c r="AU740" s="1">
        <f t="shared" si="91"/>
        <v>0.70072875790822453</v>
      </c>
      <c r="AV740" s="1">
        <f t="shared" si="92"/>
        <v>0.5005205413630176</v>
      </c>
      <c r="AW740" s="1">
        <f t="shared" si="93"/>
        <v>0.30031232481781051</v>
      </c>
    </row>
    <row r="741" spans="1:49" x14ac:dyDescent="0.2">
      <c r="A741">
        <v>739</v>
      </c>
      <c r="B741" t="s">
        <v>1964</v>
      </c>
      <c r="C741" t="s">
        <v>1963</v>
      </c>
      <c r="F741" t="s">
        <v>1962</v>
      </c>
      <c r="G741" t="s">
        <v>6</v>
      </c>
      <c r="H741" t="s">
        <v>5</v>
      </c>
      <c r="I741" t="s">
        <v>869</v>
      </c>
      <c r="J741">
        <v>60032987</v>
      </c>
      <c r="K741" t="s">
        <v>1961</v>
      </c>
      <c r="L741" t="s">
        <v>1960</v>
      </c>
      <c r="M741" t="s">
        <v>223</v>
      </c>
      <c r="N741">
        <v>4</v>
      </c>
      <c r="O741" t="s">
        <v>1959</v>
      </c>
      <c r="P741" t="s">
        <v>1958</v>
      </c>
      <c r="Q741" t="s">
        <v>1957</v>
      </c>
      <c r="R741" s="7">
        <v>37077</v>
      </c>
      <c r="S741" s="8">
        <f t="shared" si="88"/>
        <v>2001</v>
      </c>
      <c r="T741" s="8">
        <v>2001</v>
      </c>
      <c r="U741" s="8">
        <f t="shared" si="89"/>
        <v>21</v>
      </c>
      <c r="V741" s="7">
        <v>37077</v>
      </c>
      <c r="W741" t="s">
        <v>698</v>
      </c>
      <c r="X741" s="2">
        <v>0.375</v>
      </c>
      <c r="Y741" s="6">
        <f t="shared" si="94"/>
        <v>1.0010410827260351E-2</v>
      </c>
      <c r="AA741">
        <v>135194</v>
      </c>
      <c r="AB741">
        <v>24918</v>
      </c>
      <c r="AD741" t="s">
        <v>1</v>
      </c>
      <c r="AE741">
        <v>37</v>
      </c>
      <c r="AF741">
        <v>14</v>
      </c>
      <c r="AH741" t="s">
        <v>1956</v>
      </c>
      <c r="AI741" t="s">
        <v>1955</v>
      </c>
      <c r="AK741" t="s">
        <v>1954</v>
      </c>
      <c r="AL741">
        <v>18</v>
      </c>
      <c r="AM741" s="5">
        <f t="shared" si="90"/>
        <v>0.8571428571428571</v>
      </c>
      <c r="AN741" s="4">
        <f t="shared" si="95"/>
        <v>1.2982095526586248E-3</v>
      </c>
      <c r="AO741" s="3"/>
      <c r="AP741">
        <v>0</v>
      </c>
      <c r="AR741" t="s">
        <v>0</v>
      </c>
      <c r="AT741" s="2">
        <v>1.3140000000000001</v>
      </c>
      <c r="AU741" s="1">
        <f t="shared" si="91"/>
        <v>0.73967504448798327</v>
      </c>
      <c r="AV741" s="1">
        <f t="shared" si="92"/>
        <v>0.56543101899594883</v>
      </c>
      <c r="AW741" s="1">
        <f t="shared" si="93"/>
        <v>0.39118699350391428</v>
      </c>
    </row>
    <row r="742" spans="1:49" x14ac:dyDescent="0.2">
      <c r="A742">
        <v>740</v>
      </c>
      <c r="B742" t="s">
        <v>1953</v>
      </c>
      <c r="C742" t="s">
        <v>1952</v>
      </c>
      <c r="E742">
        <v>11441439</v>
      </c>
      <c r="F742" t="s">
        <v>1951</v>
      </c>
      <c r="G742" t="s">
        <v>6</v>
      </c>
      <c r="H742" t="s">
        <v>5</v>
      </c>
      <c r="I742" t="s">
        <v>1950</v>
      </c>
      <c r="J742">
        <v>60005175</v>
      </c>
      <c r="K742" t="s">
        <v>854</v>
      </c>
      <c r="L742" t="s">
        <v>853</v>
      </c>
      <c r="M742" t="s">
        <v>72</v>
      </c>
      <c r="N742">
        <v>3</v>
      </c>
      <c r="O742" t="s">
        <v>1949</v>
      </c>
      <c r="P742" t="s">
        <v>1948</v>
      </c>
      <c r="Q742" t="s">
        <v>1947</v>
      </c>
      <c r="R742" s="7">
        <v>37075</v>
      </c>
      <c r="S742" s="8">
        <f t="shared" si="88"/>
        <v>2001</v>
      </c>
      <c r="T742" s="8">
        <v>2001</v>
      </c>
      <c r="U742" s="8">
        <f t="shared" si="89"/>
        <v>21</v>
      </c>
      <c r="V742" s="7">
        <v>2001</v>
      </c>
      <c r="W742" t="s">
        <v>1003</v>
      </c>
      <c r="X742" s="2">
        <v>0.85499999999999998</v>
      </c>
      <c r="Y742" s="6">
        <f t="shared" si="94"/>
        <v>2.28237366861536E-2</v>
      </c>
      <c r="AA742">
        <v>980331</v>
      </c>
      <c r="AB742">
        <v>23342</v>
      </c>
      <c r="AD742" t="s">
        <v>1</v>
      </c>
      <c r="AE742">
        <v>27</v>
      </c>
      <c r="AF742">
        <v>3</v>
      </c>
      <c r="AH742" t="s">
        <v>1946</v>
      </c>
      <c r="AI742" t="s">
        <v>1945</v>
      </c>
      <c r="AJ742" t="s">
        <v>1944</v>
      </c>
      <c r="AK742" t="s">
        <v>1943</v>
      </c>
      <c r="AL742">
        <v>19</v>
      </c>
      <c r="AM742" s="5">
        <f t="shared" si="90"/>
        <v>0.90476190476190477</v>
      </c>
      <c r="AN742" s="4">
        <f t="shared" si="95"/>
        <v>1.3703323055841042E-3</v>
      </c>
      <c r="AO742" s="3"/>
      <c r="AP742">
        <v>0</v>
      </c>
      <c r="AQ742" t="s">
        <v>1942</v>
      </c>
      <c r="AR742" t="s">
        <v>0</v>
      </c>
      <c r="AS742" t="s">
        <v>1941</v>
      </c>
      <c r="AT742" s="2">
        <v>2.6259999999999999</v>
      </c>
      <c r="AU742" s="1">
        <f t="shared" si="91"/>
        <v>1.6387715371982752</v>
      </c>
      <c r="AV742" s="1">
        <f t="shared" si="92"/>
        <v>1.2097034495868852</v>
      </c>
      <c r="AW742" s="1">
        <f t="shared" si="93"/>
        <v>0.78063536197549521</v>
      </c>
    </row>
    <row r="743" spans="1:49" x14ac:dyDescent="0.2">
      <c r="A743">
        <v>741</v>
      </c>
      <c r="B743" t="s">
        <v>1940</v>
      </c>
      <c r="C743" t="s">
        <v>1939</v>
      </c>
      <c r="E743">
        <v>11441437</v>
      </c>
      <c r="F743" t="s">
        <v>1938</v>
      </c>
      <c r="G743" t="s">
        <v>6</v>
      </c>
      <c r="H743" t="s">
        <v>5</v>
      </c>
      <c r="I743" t="s">
        <v>1937</v>
      </c>
      <c r="J743" t="s">
        <v>1936</v>
      </c>
      <c r="K743" t="s">
        <v>1935</v>
      </c>
      <c r="L743" t="s">
        <v>1934</v>
      </c>
      <c r="M743" t="s">
        <v>1933</v>
      </c>
      <c r="N743">
        <v>11</v>
      </c>
      <c r="O743" t="s">
        <v>1932</v>
      </c>
      <c r="P743" t="s">
        <v>1931</v>
      </c>
      <c r="Q743" t="s">
        <v>1930</v>
      </c>
      <c r="R743" s="7">
        <v>37075</v>
      </c>
      <c r="S743" s="8">
        <f t="shared" si="88"/>
        <v>2001</v>
      </c>
      <c r="T743" s="8">
        <v>2001</v>
      </c>
      <c r="U743" s="8">
        <f t="shared" si="89"/>
        <v>21</v>
      </c>
      <c r="V743" s="7">
        <v>2001</v>
      </c>
      <c r="W743" t="s">
        <v>1003</v>
      </c>
      <c r="X743" s="2">
        <v>0.85499999999999998</v>
      </c>
      <c r="Y743" s="6">
        <f t="shared" si="94"/>
        <v>2.28237366861536E-2</v>
      </c>
      <c r="AA743">
        <v>980331</v>
      </c>
      <c r="AB743">
        <v>23342</v>
      </c>
      <c r="AD743" t="s">
        <v>1</v>
      </c>
      <c r="AE743">
        <v>27</v>
      </c>
      <c r="AF743">
        <v>3</v>
      </c>
      <c r="AH743" t="s">
        <v>1929</v>
      </c>
      <c r="AI743" t="s">
        <v>1928</v>
      </c>
      <c r="AJ743" t="s">
        <v>1927</v>
      </c>
      <c r="AK743" t="s">
        <v>1926</v>
      </c>
      <c r="AL743">
        <v>14</v>
      </c>
      <c r="AM743" s="5">
        <f t="shared" si="90"/>
        <v>0.66666666666666663</v>
      </c>
      <c r="AN743" s="4">
        <f t="shared" si="95"/>
        <v>1.0097185409567082E-3</v>
      </c>
      <c r="AO743" s="3"/>
      <c r="AP743">
        <v>0</v>
      </c>
      <c r="AQ743" t="s">
        <v>747</v>
      </c>
      <c r="AR743" t="s">
        <v>0</v>
      </c>
      <c r="AS743" t="s">
        <v>746</v>
      </c>
      <c r="AT743" s="2">
        <v>2.6259999999999999</v>
      </c>
      <c r="AU743" s="1">
        <f t="shared" si="91"/>
        <v>1.6279531242594532</v>
      </c>
      <c r="AV743" s="1">
        <f t="shared" si="92"/>
        <v>1.1916727613555156</v>
      </c>
      <c r="AW743" s="1">
        <f t="shared" si="93"/>
        <v>0.75539239845157757</v>
      </c>
    </row>
    <row r="744" spans="1:49" x14ac:dyDescent="0.2">
      <c r="A744">
        <v>742</v>
      </c>
      <c r="B744" t="s">
        <v>1925</v>
      </c>
      <c r="C744" t="s">
        <v>1924</v>
      </c>
      <c r="D744" t="s">
        <v>1923</v>
      </c>
      <c r="E744">
        <v>11418098</v>
      </c>
      <c r="F744" t="s">
        <v>1922</v>
      </c>
      <c r="G744" t="s">
        <v>6</v>
      </c>
      <c r="H744" t="s">
        <v>5</v>
      </c>
      <c r="I744" t="s">
        <v>1921</v>
      </c>
      <c r="J744" t="s">
        <v>1920</v>
      </c>
      <c r="K744" t="s">
        <v>1919</v>
      </c>
      <c r="L744" t="s">
        <v>1918</v>
      </c>
      <c r="M744" t="s">
        <v>31</v>
      </c>
      <c r="N744">
        <v>5</v>
      </c>
      <c r="O744" t="s">
        <v>1917</v>
      </c>
      <c r="P744" t="s">
        <v>1916</v>
      </c>
      <c r="Q744" t="s">
        <v>1915</v>
      </c>
      <c r="R744" s="7">
        <v>37074</v>
      </c>
      <c r="S744" s="8">
        <f t="shared" si="88"/>
        <v>2001</v>
      </c>
      <c r="T744" s="8">
        <v>2001</v>
      </c>
      <c r="U744" s="8">
        <f t="shared" si="89"/>
        <v>21</v>
      </c>
      <c r="V744" s="7">
        <v>37074</v>
      </c>
      <c r="W744" t="s">
        <v>897</v>
      </c>
      <c r="X744" s="2">
        <v>1.59</v>
      </c>
      <c r="Y744" s="6">
        <f t="shared" si="94"/>
        <v>4.2444141907583888E-2</v>
      </c>
      <c r="AA744">
        <v>52728</v>
      </c>
      <c r="AB744">
        <v>16791</v>
      </c>
      <c r="AD744" t="s">
        <v>1</v>
      </c>
      <c r="AE744">
        <v>1506</v>
      </c>
      <c r="AF744">
        <v>1</v>
      </c>
      <c r="AH744" t="s">
        <v>211</v>
      </c>
      <c r="AI744" t="s">
        <v>1914</v>
      </c>
      <c r="AJ744" t="s">
        <v>1913</v>
      </c>
      <c r="AK744" t="s">
        <v>1912</v>
      </c>
      <c r="AL744">
        <v>19</v>
      </c>
      <c r="AM744" s="5">
        <f t="shared" si="90"/>
        <v>0.90476190476190477</v>
      </c>
      <c r="AN744" s="4">
        <f t="shared" si="95"/>
        <v>1.3703323055841042E-3</v>
      </c>
      <c r="AO744" s="3"/>
      <c r="AP744">
        <v>1</v>
      </c>
      <c r="AQ744" t="s">
        <v>298</v>
      </c>
      <c r="AR744" t="s">
        <v>0</v>
      </c>
      <c r="AS744" t="s">
        <v>297</v>
      </c>
      <c r="AT744" s="2" t="s">
        <v>7</v>
      </c>
      <c r="AU744" s="1">
        <f t="shared" si="91"/>
        <v>3.0121999026983954</v>
      </c>
      <c r="AV744" s="1">
        <f t="shared" si="92"/>
        <v>2.1907237106583994</v>
      </c>
      <c r="AW744" s="1">
        <f t="shared" si="93"/>
        <v>1.3692475186184039</v>
      </c>
    </row>
    <row r="745" spans="1:49" x14ac:dyDescent="0.2">
      <c r="A745">
        <v>743</v>
      </c>
      <c r="B745" t="s">
        <v>1911</v>
      </c>
      <c r="C745" t="s">
        <v>1910</v>
      </c>
      <c r="E745">
        <v>11421674</v>
      </c>
      <c r="F745" t="s">
        <v>1909</v>
      </c>
      <c r="G745" t="s">
        <v>6</v>
      </c>
      <c r="H745" t="s">
        <v>5</v>
      </c>
      <c r="I745" t="s">
        <v>1908</v>
      </c>
      <c r="J745" t="s">
        <v>1907</v>
      </c>
      <c r="K745" t="s">
        <v>1906</v>
      </c>
      <c r="L745" t="s">
        <v>1905</v>
      </c>
      <c r="M745" t="s">
        <v>369</v>
      </c>
      <c r="N745">
        <v>7</v>
      </c>
      <c r="O745" t="s">
        <v>1904</v>
      </c>
      <c r="P745" t="s">
        <v>1903</v>
      </c>
      <c r="Q745" t="s">
        <v>1902</v>
      </c>
      <c r="R745" s="7">
        <v>37074</v>
      </c>
      <c r="S745" s="8">
        <f t="shared" si="88"/>
        <v>2001</v>
      </c>
      <c r="T745" s="8">
        <v>2001</v>
      </c>
      <c r="U745" s="8">
        <f t="shared" si="89"/>
        <v>21</v>
      </c>
      <c r="V745" s="7">
        <v>37074</v>
      </c>
      <c r="W745" t="s">
        <v>1901</v>
      </c>
      <c r="X745" s="2">
        <v>1.3480000000000001</v>
      </c>
      <c r="Y745" s="6">
        <f t="shared" si="94"/>
        <v>3.598409012039188E-2</v>
      </c>
      <c r="AA745">
        <v>201669</v>
      </c>
      <c r="AB745">
        <v>25264</v>
      </c>
      <c r="AD745" t="s">
        <v>1</v>
      </c>
      <c r="AE745">
        <v>40</v>
      </c>
      <c r="AF745">
        <v>14</v>
      </c>
      <c r="AH745" t="s">
        <v>1900</v>
      </c>
      <c r="AI745" t="s">
        <v>1899</v>
      </c>
      <c r="AK745" t="s">
        <v>1898</v>
      </c>
      <c r="AL745">
        <v>52</v>
      </c>
      <c r="AM745" s="5">
        <f t="shared" si="90"/>
        <v>2.4761904761904763</v>
      </c>
      <c r="AN745" s="4">
        <f t="shared" si="95"/>
        <v>3.7503831521249168E-3</v>
      </c>
      <c r="AO745" s="3"/>
      <c r="AP745">
        <v>0</v>
      </c>
      <c r="AR745" t="s">
        <v>0</v>
      </c>
      <c r="AT745" s="2">
        <v>5.165</v>
      </c>
      <c r="AU745" s="1">
        <f t="shared" si="91"/>
        <v>2.6313978029911791</v>
      </c>
      <c r="AV745" s="1">
        <f t="shared" si="92"/>
        <v>1.9867236636258401</v>
      </c>
      <c r="AW745" s="1">
        <f t="shared" si="93"/>
        <v>1.3420495242605004</v>
      </c>
    </row>
    <row r="746" spans="1:49" x14ac:dyDescent="0.2">
      <c r="A746">
        <v>744</v>
      </c>
      <c r="B746" t="s">
        <v>1897</v>
      </c>
      <c r="C746" t="s">
        <v>1896</v>
      </c>
      <c r="F746" t="s">
        <v>1895</v>
      </c>
      <c r="G746" t="s">
        <v>6</v>
      </c>
      <c r="H746" t="s">
        <v>5</v>
      </c>
      <c r="I746" t="s">
        <v>1894</v>
      </c>
      <c r="J746">
        <v>60025383</v>
      </c>
      <c r="K746" t="s">
        <v>510</v>
      </c>
      <c r="L746" t="s">
        <v>509</v>
      </c>
      <c r="M746" t="s">
        <v>197</v>
      </c>
      <c r="N746">
        <v>1</v>
      </c>
      <c r="O746" t="s">
        <v>1893</v>
      </c>
      <c r="P746">
        <v>6603007095</v>
      </c>
      <c r="Q746">
        <v>60025383</v>
      </c>
      <c r="R746" s="7">
        <v>37073</v>
      </c>
      <c r="S746" s="8">
        <f t="shared" si="88"/>
        <v>2001</v>
      </c>
      <c r="T746" s="8">
        <v>2001</v>
      </c>
      <c r="U746" s="8">
        <f t="shared" si="89"/>
        <v>21</v>
      </c>
      <c r="V746" s="7">
        <v>37073</v>
      </c>
      <c r="W746" t="s">
        <v>640</v>
      </c>
      <c r="X746" s="2">
        <v>0.318</v>
      </c>
      <c r="Y746" s="6">
        <f t="shared" si="94"/>
        <v>8.4888283815167786E-3</v>
      </c>
      <c r="AA746">
        <v>338443</v>
      </c>
      <c r="AB746">
        <v>27160</v>
      </c>
      <c r="AC746">
        <v>15739120</v>
      </c>
      <c r="AD746" t="s">
        <v>1</v>
      </c>
      <c r="AE746">
        <v>44</v>
      </c>
      <c r="AF746">
        <v>7</v>
      </c>
      <c r="AH746" t="s">
        <v>1892</v>
      </c>
      <c r="AI746" t="s">
        <v>1891</v>
      </c>
      <c r="AK746" t="s">
        <v>1890</v>
      </c>
      <c r="AL746">
        <v>3</v>
      </c>
      <c r="AM746" s="5">
        <f t="shared" si="90"/>
        <v>0.14285714285714285</v>
      </c>
      <c r="AN746" s="4">
        <f t="shared" si="95"/>
        <v>2.1636825877643749E-4</v>
      </c>
      <c r="AO746" s="3"/>
      <c r="AP746">
        <v>0</v>
      </c>
      <c r="AR746" t="s">
        <v>0</v>
      </c>
      <c r="AT746" s="2">
        <v>0.77</v>
      </c>
      <c r="AU746" s="1">
        <f t="shared" si="91"/>
        <v>0.60070903446946766</v>
      </c>
      <c r="AV746" s="1">
        <f t="shared" si="92"/>
        <v>0.43525983201466079</v>
      </c>
      <c r="AW746" s="1">
        <f t="shared" si="93"/>
        <v>0.26981062955985402</v>
      </c>
    </row>
    <row r="747" spans="1:49" x14ac:dyDescent="0.2">
      <c r="A747">
        <v>745</v>
      </c>
      <c r="B747" t="s">
        <v>1889</v>
      </c>
      <c r="C747" t="s">
        <v>1888</v>
      </c>
      <c r="F747" t="s">
        <v>1887</v>
      </c>
      <c r="G747" t="s">
        <v>6</v>
      </c>
      <c r="H747" t="s">
        <v>5</v>
      </c>
      <c r="I747" t="s">
        <v>1886</v>
      </c>
      <c r="J747">
        <v>60008673</v>
      </c>
      <c r="K747" t="s">
        <v>850</v>
      </c>
      <c r="L747" t="s">
        <v>641</v>
      </c>
      <c r="M747" t="s">
        <v>197</v>
      </c>
      <c r="N747">
        <v>2</v>
      </c>
      <c r="O747" t="s">
        <v>1885</v>
      </c>
      <c r="P747" t="s">
        <v>1884</v>
      </c>
      <c r="Q747" t="s">
        <v>1861</v>
      </c>
      <c r="R747" s="7">
        <v>37073</v>
      </c>
      <c r="S747" s="8">
        <f t="shared" si="88"/>
        <v>2001</v>
      </c>
      <c r="T747" s="8">
        <v>2001</v>
      </c>
      <c r="U747" s="8">
        <f t="shared" si="89"/>
        <v>21</v>
      </c>
      <c r="V747" s="7">
        <v>37073</v>
      </c>
      <c r="W747" t="s">
        <v>640</v>
      </c>
      <c r="X747" s="2">
        <v>0.318</v>
      </c>
      <c r="Y747" s="6">
        <f t="shared" si="94"/>
        <v>8.4888283815167786E-3</v>
      </c>
      <c r="AA747">
        <v>338443</v>
      </c>
      <c r="AB747">
        <v>27160</v>
      </c>
      <c r="AC747">
        <v>15739120</v>
      </c>
      <c r="AD747" t="s">
        <v>1</v>
      </c>
      <c r="AE747">
        <v>44</v>
      </c>
      <c r="AF747">
        <v>7</v>
      </c>
      <c r="AH747" t="s">
        <v>794</v>
      </c>
      <c r="AI747" t="s">
        <v>1883</v>
      </c>
      <c r="AK747" t="s">
        <v>1882</v>
      </c>
      <c r="AL747">
        <v>2</v>
      </c>
      <c r="AM747" s="5">
        <f t="shared" si="90"/>
        <v>9.5238095238095233E-2</v>
      </c>
      <c r="AN747" s="4">
        <f t="shared" si="95"/>
        <v>1.4424550585095833E-4</v>
      </c>
      <c r="AO747" s="3"/>
      <c r="AP747">
        <v>0</v>
      </c>
      <c r="AR747" t="s">
        <v>0</v>
      </c>
      <c r="AT747" s="2">
        <v>0.77</v>
      </c>
      <c r="AU747" s="1">
        <f t="shared" si="91"/>
        <v>0.59854535188170321</v>
      </c>
      <c r="AV747" s="1">
        <f t="shared" si="92"/>
        <v>0.4316536943683868</v>
      </c>
      <c r="AW747" s="1">
        <f t="shared" si="93"/>
        <v>0.26476203685507044</v>
      </c>
    </row>
    <row r="748" spans="1:49" x14ac:dyDescent="0.2">
      <c r="A748">
        <v>746</v>
      </c>
      <c r="B748" t="s">
        <v>1881</v>
      </c>
      <c r="C748" t="s">
        <v>1880</v>
      </c>
      <c r="F748" t="s">
        <v>1879</v>
      </c>
      <c r="G748" t="s">
        <v>6</v>
      </c>
      <c r="H748" t="s">
        <v>5</v>
      </c>
      <c r="I748" t="s">
        <v>985</v>
      </c>
      <c r="J748" t="s">
        <v>1878</v>
      </c>
      <c r="K748" t="s">
        <v>1877</v>
      </c>
      <c r="L748" t="s">
        <v>1876</v>
      </c>
      <c r="M748" t="s">
        <v>409</v>
      </c>
      <c r="N748">
        <v>3</v>
      </c>
      <c r="O748" t="s">
        <v>1875</v>
      </c>
      <c r="P748" t="s">
        <v>1874</v>
      </c>
      <c r="Q748" t="s">
        <v>1873</v>
      </c>
      <c r="R748" s="7">
        <v>37073</v>
      </c>
      <c r="S748" s="8">
        <f t="shared" si="88"/>
        <v>2001</v>
      </c>
      <c r="T748" s="8">
        <v>2001</v>
      </c>
      <c r="U748" s="8">
        <f t="shared" si="89"/>
        <v>21</v>
      </c>
      <c r="V748" s="7">
        <v>37073</v>
      </c>
      <c r="W748" t="s">
        <v>1872</v>
      </c>
      <c r="X748" s="2">
        <v>3.5459999999999998</v>
      </c>
      <c r="Y748" s="6">
        <f t="shared" si="94"/>
        <v>9.4658444782573875E-2</v>
      </c>
      <c r="AA748">
        <v>670049</v>
      </c>
      <c r="AB748">
        <v>26769</v>
      </c>
      <c r="AD748" t="s">
        <v>1</v>
      </c>
      <c r="AE748">
        <v>135</v>
      </c>
      <c r="AF748">
        <v>1</v>
      </c>
      <c r="AH748" t="s">
        <v>1871</v>
      </c>
      <c r="AI748" t="s">
        <v>1870</v>
      </c>
      <c r="AJ748" t="s">
        <v>1869</v>
      </c>
      <c r="AK748" t="s">
        <v>1868</v>
      </c>
      <c r="AL748">
        <v>38</v>
      </c>
      <c r="AM748" s="5">
        <f t="shared" si="90"/>
        <v>1.8095238095238095</v>
      </c>
      <c r="AN748" s="4">
        <f t="shared" si="95"/>
        <v>2.7406646111682084E-3</v>
      </c>
      <c r="AO748" s="3"/>
      <c r="AP748">
        <v>0</v>
      </c>
      <c r="AR748" t="s">
        <v>0</v>
      </c>
      <c r="AT748" s="2" t="s">
        <v>7</v>
      </c>
      <c r="AU748" s="1">
        <f t="shared" si="91"/>
        <v>6.7083110731152171</v>
      </c>
      <c r="AV748" s="1">
        <f t="shared" si="92"/>
        <v>4.8699554696871044</v>
      </c>
      <c r="AW748" s="1">
        <f t="shared" si="93"/>
        <v>3.0315998662589907</v>
      </c>
    </row>
    <row r="749" spans="1:49" x14ac:dyDescent="0.2">
      <c r="A749">
        <v>747</v>
      </c>
      <c r="B749" t="s">
        <v>1867</v>
      </c>
      <c r="C749" t="s">
        <v>1866</v>
      </c>
      <c r="F749" t="s">
        <v>1865</v>
      </c>
      <c r="G749" t="s">
        <v>6</v>
      </c>
      <c r="H749" t="s">
        <v>5</v>
      </c>
      <c r="I749" t="s">
        <v>1864</v>
      </c>
      <c r="J749">
        <v>60008673</v>
      </c>
      <c r="K749" t="s">
        <v>850</v>
      </c>
      <c r="L749" t="s">
        <v>641</v>
      </c>
      <c r="M749" t="s">
        <v>197</v>
      </c>
      <c r="N749">
        <v>2</v>
      </c>
      <c r="O749" t="s">
        <v>1863</v>
      </c>
      <c r="P749" t="s">
        <v>1862</v>
      </c>
      <c r="Q749" t="s">
        <v>1861</v>
      </c>
      <c r="R749" s="7">
        <v>37073</v>
      </c>
      <c r="S749" s="8">
        <f t="shared" si="88"/>
        <v>2001</v>
      </c>
      <c r="T749" s="8">
        <v>2001</v>
      </c>
      <c r="U749" s="8">
        <f t="shared" si="89"/>
        <v>21</v>
      </c>
      <c r="V749" s="7">
        <v>37073</v>
      </c>
      <c r="W749" t="s">
        <v>640</v>
      </c>
      <c r="X749" s="2">
        <v>0.318</v>
      </c>
      <c r="Y749" s="6">
        <f t="shared" si="94"/>
        <v>8.4888283815167786E-3</v>
      </c>
      <c r="AA749">
        <v>338443</v>
      </c>
      <c r="AB749">
        <v>27160</v>
      </c>
      <c r="AC749">
        <v>15739120</v>
      </c>
      <c r="AD749" t="s">
        <v>1</v>
      </c>
      <c r="AE749">
        <v>44</v>
      </c>
      <c r="AF749">
        <v>7</v>
      </c>
      <c r="AH749" t="s">
        <v>1860</v>
      </c>
      <c r="AI749" t="s">
        <v>1859</v>
      </c>
      <c r="AK749" t="s">
        <v>1858</v>
      </c>
      <c r="AL749">
        <v>3</v>
      </c>
      <c r="AM749" s="5">
        <f t="shared" si="90"/>
        <v>0.14285714285714285</v>
      </c>
      <c r="AN749" s="4">
        <f t="shared" si="95"/>
        <v>2.1636825877643749E-4</v>
      </c>
      <c r="AO749" s="3"/>
      <c r="AP749">
        <v>0</v>
      </c>
      <c r="AQ749" t="s">
        <v>707</v>
      </c>
      <c r="AR749" t="s">
        <v>1857</v>
      </c>
      <c r="AS749" t="s">
        <v>218</v>
      </c>
      <c r="AT749" s="2">
        <v>0.77</v>
      </c>
      <c r="AU749" s="1">
        <f t="shared" si="91"/>
        <v>0.60070903446946766</v>
      </c>
      <c r="AV749" s="1">
        <f t="shared" si="92"/>
        <v>0.43525983201466079</v>
      </c>
      <c r="AW749" s="1">
        <f t="shared" si="93"/>
        <v>0.26981062955985402</v>
      </c>
    </row>
    <row r="750" spans="1:49" x14ac:dyDescent="0.2">
      <c r="A750">
        <v>748</v>
      </c>
      <c r="B750" t="s">
        <v>1856</v>
      </c>
      <c r="C750" t="s">
        <v>1855</v>
      </c>
      <c r="D750" t="s">
        <v>1854</v>
      </c>
      <c r="F750" t="s">
        <v>1853</v>
      </c>
      <c r="G750" t="s">
        <v>6</v>
      </c>
      <c r="H750" t="s">
        <v>5</v>
      </c>
      <c r="I750" t="s">
        <v>815</v>
      </c>
      <c r="J750" t="s">
        <v>1852</v>
      </c>
      <c r="K750" t="s">
        <v>1851</v>
      </c>
      <c r="L750" t="s">
        <v>1850</v>
      </c>
      <c r="M750" t="s">
        <v>1849</v>
      </c>
      <c r="N750">
        <v>4</v>
      </c>
      <c r="O750" t="s">
        <v>1848</v>
      </c>
      <c r="P750" t="s">
        <v>1847</v>
      </c>
      <c r="Q750" t="s">
        <v>1846</v>
      </c>
      <c r="R750" s="7">
        <v>37073</v>
      </c>
      <c r="S750" s="8">
        <f t="shared" si="88"/>
        <v>2001</v>
      </c>
      <c r="T750" s="8">
        <v>2001</v>
      </c>
      <c r="U750" s="8">
        <f t="shared" si="89"/>
        <v>21</v>
      </c>
      <c r="V750" s="7">
        <v>37073</v>
      </c>
      <c r="W750" t="s">
        <v>279</v>
      </c>
      <c r="X750" s="2">
        <v>0.51500000000000001</v>
      </c>
      <c r="Y750" s="6">
        <f t="shared" si="94"/>
        <v>1.374763086943755E-2</v>
      </c>
      <c r="AA750">
        <v>13646826</v>
      </c>
      <c r="AB750">
        <v>28436</v>
      </c>
      <c r="AD750" t="s">
        <v>1</v>
      </c>
      <c r="AE750">
        <v>63</v>
      </c>
      <c r="AF750">
        <v>11</v>
      </c>
      <c r="AH750" t="s">
        <v>1845</v>
      </c>
      <c r="AI750" t="s">
        <v>1844</v>
      </c>
      <c r="AJ750" t="s">
        <v>1843</v>
      </c>
      <c r="AK750" t="s">
        <v>1842</v>
      </c>
      <c r="AL750">
        <v>6</v>
      </c>
      <c r="AM750" s="5">
        <f t="shared" si="90"/>
        <v>0.2857142857142857</v>
      </c>
      <c r="AN750" s="4">
        <f t="shared" si="95"/>
        <v>4.3273651755287499E-4</v>
      </c>
      <c r="AO750" s="3"/>
      <c r="AP750">
        <v>0</v>
      </c>
      <c r="AQ750" t="s">
        <v>999</v>
      </c>
      <c r="AR750" t="s">
        <v>1841</v>
      </c>
      <c r="AS750" t="s">
        <v>998</v>
      </c>
      <c r="AT750" s="2" t="s">
        <v>7</v>
      </c>
      <c r="AU750" s="1">
        <f t="shared" si="91"/>
        <v>0.97531625638721464</v>
      </c>
      <c r="AV750" s="1">
        <f t="shared" si="92"/>
        <v>0.70901836934952123</v>
      </c>
      <c r="AW750" s="1">
        <f t="shared" si="93"/>
        <v>0.4427204823118277</v>
      </c>
    </row>
    <row r="751" spans="1:49" x14ac:dyDescent="0.2">
      <c r="A751">
        <v>749</v>
      </c>
      <c r="B751" t="s">
        <v>1840</v>
      </c>
      <c r="C751" t="s">
        <v>1839</v>
      </c>
      <c r="F751" t="s">
        <v>1838</v>
      </c>
      <c r="G751" t="s">
        <v>6</v>
      </c>
      <c r="H751" t="s">
        <v>5</v>
      </c>
      <c r="I751" t="s">
        <v>1837</v>
      </c>
      <c r="J751" t="s">
        <v>1836</v>
      </c>
      <c r="K751" t="s">
        <v>1835</v>
      </c>
      <c r="L751" t="s">
        <v>1834</v>
      </c>
      <c r="M751" t="s">
        <v>1833</v>
      </c>
      <c r="N751">
        <v>3</v>
      </c>
      <c r="O751" t="s">
        <v>1832</v>
      </c>
      <c r="P751" t="s">
        <v>1831</v>
      </c>
      <c r="Q751" t="s">
        <v>1830</v>
      </c>
      <c r="R751" s="7">
        <v>37073</v>
      </c>
      <c r="S751" s="8">
        <f t="shared" si="88"/>
        <v>2001</v>
      </c>
      <c r="T751" s="8">
        <v>2001</v>
      </c>
      <c r="U751" s="8">
        <f t="shared" si="89"/>
        <v>21</v>
      </c>
      <c r="V751" s="7">
        <v>37073</v>
      </c>
      <c r="W751" t="s">
        <v>872</v>
      </c>
      <c r="X751" s="2">
        <v>0.22500000000000001</v>
      </c>
      <c r="Y751" s="6">
        <f t="shared" si="94"/>
        <v>6.0062464963562111E-3</v>
      </c>
      <c r="AA751">
        <v>2726343</v>
      </c>
      <c r="AB751">
        <v>16128</v>
      </c>
      <c r="AD751" t="s">
        <v>1</v>
      </c>
      <c r="AE751">
        <v>21</v>
      </c>
      <c r="AF751">
        <v>5</v>
      </c>
      <c r="AH751" t="s">
        <v>1829</v>
      </c>
      <c r="AI751" t="s">
        <v>1828</v>
      </c>
      <c r="AJ751" t="s">
        <v>1827</v>
      </c>
      <c r="AK751" t="s">
        <v>1826</v>
      </c>
      <c r="AL751">
        <v>2</v>
      </c>
      <c r="AM751" s="5">
        <f t="shared" si="90"/>
        <v>9.5238095238095233E-2</v>
      </c>
      <c r="AN751" s="4">
        <f t="shared" si="95"/>
        <v>1.4424550585095833E-4</v>
      </c>
      <c r="AO751" s="3"/>
      <c r="AP751">
        <v>0</v>
      </c>
      <c r="AR751" t="s">
        <v>0</v>
      </c>
      <c r="AT751" s="2">
        <v>1.099</v>
      </c>
      <c r="AU751" s="1">
        <f t="shared" si="91"/>
        <v>0.42476461992046355</v>
      </c>
      <c r="AV751" s="1">
        <f t="shared" si="92"/>
        <v>0.30752460011035848</v>
      </c>
      <c r="AW751" s="1">
        <f t="shared" si="93"/>
        <v>0.19028458030025341</v>
      </c>
    </row>
    <row r="752" spans="1:49" x14ac:dyDescent="0.2">
      <c r="A752">
        <v>750</v>
      </c>
      <c r="B752" t="s">
        <v>1825</v>
      </c>
      <c r="C752" t="s">
        <v>1824</v>
      </c>
      <c r="F752" t="s">
        <v>1823</v>
      </c>
      <c r="G752" t="s">
        <v>6</v>
      </c>
      <c r="H752" t="s">
        <v>5</v>
      </c>
      <c r="I752" t="s">
        <v>1822</v>
      </c>
      <c r="J752">
        <v>60027550</v>
      </c>
      <c r="K752" t="s">
        <v>144</v>
      </c>
      <c r="L752" t="s">
        <v>65</v>
      </c>
      <c r="M752" t="s">
        <v>3</v>
      </c>
      <c r="N752">
        <v>2</v>
      </c>
      <c r="O752" t="s">
        <v>1821</v>
      </c>
      <c r="P752" t="s">
        <v>1820</v>
      </c>
      <c r="Q752" t="s">
        <v>143</v>
      </c>
      <c r="R752" s="7">
        <v>37073</v>
      </c>
      <c r="S752" s="8">
        <f t="shared" si="88"/>
        <v>2001</v>
      </c>
      <c r="T752" s="8">
        <v>2001</v>
      </c>
      <c r="U752" s="8">
        <f t="shared" si="89"/>
        <v>21</v>
      </c>
      <c r="V752" s="7">
        <v>37073</v>
      </c>
      <c r="W752" t="s">
        <v>892</v>
      </c>
      <c r="X752" s="2">
        <v>0.75</v>
      </c>
      <c r="Y752" s="6">
        <f t="shared" si="94"/>
        <v>2.0020821654520703E-2</v>
      </c>
      <c r="AA752" t="s">
        <v>891</v>
      </c>
      <c r="AB752">
        <v>29221</v>
      </c>
      <c r="AD752" t="s">
        <v>1</v>
      </c>
      <c r="AE752">
        <v>8</v>
      </c>
      <c r="AF752">
        <v>7</v>
      </c>
      <c r="AH752" t="s">
        <v>1819</v>
      </c>
      <c r="AI752" t="s">
        <v>1818</v>
      </c>
      <c r="AK752" t="s">
        <v>1817</v>
      </c>
      <c r="AL752">
        <v>4</v>
      </c>
      <c r="AM752" s="5">
        <f t="shared" si="90"/>
        <v>0.19047619047619047</v>
      </c>
      <c r="AN752" s="4">
        <f t="shared" si="95"/>
        <v>2.8849101170191666E-4</v>
      </c>
      <c r="AO752" s="3"/>
      <c r="AP752">
        <v>0</v>
      </c>
      <c r="AR752" t="s">
        <v>0</v>
      </c>
      <c r="AT752" s="2">
        <v>2.0230000000000001</v>
      </c>
      <c r="AU752" s="1">
        <f t="shared" si="91"/>
        <v>1.4101122461675066</v>
      </c>
      <c r="AV752" s="1">
        <f t="shared" si="92"/>
        <v>1.0154656333111309</v>
      </c>
      <c r="AW752" s="1">
        <f t="shared" si="93"/>
        <v>0.62081902045475523</v>
      </c>
    </row>
    <row r="753" spans="1:49" x14ac:dyDescent="0.2">
      <c r="A753">
        <v>751</v>
      </c>
      <c r="B753" t="s">
        <v>1816</v>
      </c>
      <c r="C753" t="s">
        <v>1815</v>
      </c>
      <c r="F753" t="s">
        <v>1814</v>
      </c>
      <c r="G753" t="s">
        <v>6</v>
      </c>
      <c r="H753" t="s">
        <v>5</v>
      </c>
      <c r="I753" t="s">
        <v>1813</v>
      </c>
      <c r="J753" t="s">
        <v>1812</v>
      </c>
      <c r="K753" t="s">
        <v>1811</v>
      </c>
      <c r="L753" t="s">
        <v>1810</v>
      </c>
      <c r="M753" t="s">
        <v>1809</v>
      </c>
      <c r="N753">
        <v>6</v>
      </c>
      <c r="O753" t="s">
        <v>1808</v>
      </c>
      <c r="P753" t="s">
        <v>1807</v>
      </c>
      <c r="Q753" t="s">
        <v>1806</v>
      </c>
      <c r="R753" s="7">
        <v>37073</v>
      </c>
      <c r="S753" s="8">
        <f t="shared" si="88"/>
        <v>2001</v>
      </c>
      <c r="T753" s="8">
        <v>2001</v>
      </c>
      <c r="U753" s="8">
        <f t="shared" si="89"/>
        <v>21</v>
      </c>
      <c r="V753" s="7">
        <v>37073</v>
      </c>
      <c r="W753" t="s">
        <v>712</v>
      </c>
      <c r="X753" s="2">
        <v>2.0579999999999998</v>
      </c>
      <c r="Y753" s="6">
        <f t="shared" si="94"/>
        <v>5.4937134620004803E-2</v>
      </c>
      <c r="AA753">
        <v>358711</v>
      </c>
      <c r="AB753">
        <v>28218</v>
      </c>
      <c r="AD753" t="s">
        <v>1</v>
      </c>
      <c r="AE753">
        <v>324</v>
      </c>
      <c r="AF753">
        <v>3</v>
      </c>
      <c r="AH753" t="s">
        <v>1805</v>
      </c>
      <c r="AI753" t="s">
        <v>1804</v>
      </c>
      <c r="AJ753" t="s">
        <v>1803</v>
      </c>
      <c r="AK753" t="s">
        <v>1802</v>
      </c>
      <c r="AL753">
        <v>1</v>
      </c>
      <c r="AM753" s="5">
        <f t="shared" si="90"/>
        <v>4.7619047619047616E-2</v>
      </c>
      <c r="AN753" s="4">
        <f t="shared" si="95"/>
        <v>7.2122752925479164E-5</v>
      </c>
      <c r="AO753" s="3"/>
      <c r="AP753">
        <v>1</v>
      </c>
      <c r="AR753" t="s">
        <v>0</v>
      </c>
      <c r="AT753" s="2" t="s">
        <v>7</v>
      </c>
      <c r="AU753" s="1">
        <f t="shared" si="91"/>
        <v>3.8477631059881001</v>
      </c>
      <c r="AV753" s="1">
        <f t="shared" si="92"/>
        <v>2.750462868646514</v>
      </c>
      <c r="AW753" s="1">
        <f t="shared" si="93"/>
        <v>1.6531626313049275</v>
      </c>
    </row>
    <row r="754" spans="1:49" x14ac:dyDescent="0.2">
      <c r="A754">
        <v>752</v>
      </c>
      <c r="B754" t="s">
        <v>1801</v>
      </c>
      <c r="C754" t="s">
        <v>1800</v>
      </c>
      <c r="D754" t="s">
        <v>1799</v>
      </c>
      <c r="F754" t="s">
        <v>1798</v>
      </c>
      <c r="G754" t="s">
        <v>6</v>
      </c>
      <c r="H754" t="s">
        <v>5</v>
      </c>
      <c r="I754" t="s">
        <v>1797</v>
      </c>
      <c r="J754" t="s">
        <v>1796</v>
      </c>
      <c r="K754" t="s">
        <v>1795</v>
      </c>
      <c r="L754" t="s">
        <v>1794</v>
      </c>
      <c r="M754" t="s">
        <v>44</v>
      </c>
      <c r="N754">
        <v>5</v>
      </c>
      <c r="O754" t="s">
        <v>1793</v>
      </c>
      <c r="P754" t="s">
        <v>1792</v>
      </c>
      <c r="Q754" t="s">
        <v>1791</v>
      </c>
      <c r="R754" s="7">
        <v>37073</v>
      </c>
      <c r="S754" s="8">
        <f t="shared" si="88"/>
        <v>2001</v>
      </c>
      <c r="T754" s="8">
        <v>2001</v>
      </c>
      <c r="U754" s="8">
        <f t="shared" si="89"/>
        <v>21</v>
      </c>
      <c r="V754" s="7">
        <v>37073</v>
      </c>
      <c r="W754" t="s">
        <v>279</v>
      </c>
      <c r="X754" s="2">
        <v>0.51500000000000001</v>
      </c>
      <c r="Y754" s="6">
        <f t="shared" si="94"/>
        <v>1.374763086943755E-2</v>
      </c>
      <c r="AA754">
        <v>13646826</v>
      </c>
      <c r="AB754">
        <v>28436</v>
      </c>
      <c r="AD754" t="s">
        <v>1</v>
      </c>
      <c r="AE754">
        <v>63</v>
      </c>
      <c r="AF754">
        <v>11</v>
      </c>
      <c r="AH754" t="s">
        <v>1790</v>
      </c>
      <c r="AI754" t="s">
        <v>1789</v>
      </c>
      <c r="AJ754" t="s">
        <v>1788</v>
      </c>
      <c r="AK754" t="s">
        <v>1787</v>
      </c>
      <c r="AL754">
        <v>8</v>
      </c>
      <c r="AM754" s="5">
        <f t="shared" si="90"/>
        <v>0.38095238095238093</v>
      </c>
      <c r="AN754" s="4">
        <f t="shared" si="95"/>
        <v>5.7698202340383331E-4</v>
      </c>
      <c r="AO754" s="3"/>
      <c r="AP754">
        <v>0</v>
      </c>
      <c r="AQ754" t="s">
        <v>1786</v>
      </c>
      <c r="AR754" t="s">
        <v>1785</v>
      </c>
      <c r="AS754" t="s">
        <v>1784</v>
      </c>
      <c r="AT754" s="2" t="s">
        <v>7</v>
      </c>
      <c r="AU754" s="1">
        <f t="shared" si="91"/>
        <v>0.97964362156274343</v>
      </c>
      <c r="AV754" s="1">
        <f t="shared" si="92"/>
        <v>0.71623064464206909</v>
      </c>
      <c r="AW754" s="1">
        <f t="shared" si="93"/>
        <v>0.45281766772139481</v>
      </c>
    </row>
    <row r="755" spans="1:49" x14ac:dyDescent="0.2">
      <c r="A755">
        <v>753</v>
      </c>
      <c r="B755" t="s">
        <v>1783</v>
      </c>
      <c r="C755" t="s">
        <v>1782</v>
      </c>
      <c r="F755" t="s">
        <v>1781</v>
      </c>
      <c r="G755" t="s">
        <v>6</v>
      </c>
      <c r="H755" t="s">
        <v>5</v>
      </c>
      <c r="I755" t="s">
        <v>94</v>
      </c>
      <c r="J755">
        <v>60019200</v>
      </c>
      <c r="K755" t="s">
        <v>1780</v>
      </c>
      <c r="L755" t="s">
        <v>278</v>
      </c>
      <c r="M755" t="s">
        <v>3</v>
      </c>
      <c r="N755">
        <v>2</v>
      </c>
      <c r="O755" t="s">
        <v>1779</v>
      </c>
      <c r="P755" t="s">
        <v>1778</v>
      </c>
      <c r="Q755" t="s">
        <v>1777</v>
      </c>
      <c r="R755" s="7">
        <v>37073</v>
      </c>
      <c r="S755" s="8">
        <f t="shared" si="88"/>
        <v>2001</v>
      </c>
      <c r="T755" s="8">
        <v>2001</v>
      </c>
      <c r="U755" s="8">
        <f t="shared" si="89"/>
        <v>21</v>
      </c>
      <c r="V755" s="7">
        <v>37073</v>
      </c>
      <c r="W755" t="s">
        <v>682</v>
      </c>
      <c r="X755" s="2">
        <v>1.4950000000000001</v>
      </c>
      <c r="Y755" s="6">
        <f t="shared" si="94"/>
        <v>3.9908171164677937E-2</v>
      </c>
      <c r="AA755">
        <v>10805370</v>
      </c>
      <c r="AB755">
        <v>144827</v>
      </c>
      <c r="AC755">
        <v>15211886</v>
      </c>
      <c r="AD755" t="s">
        <v>1</v>
      </c>
      <c r="AE755">
        <v>5</v>
      </c>
      <c r="AF755">
        <v>1</v>
      </c>
      <c r="AH755" t="s">
        <v>1776</v>
      </c>
      <c r="AI755" t="s">
        <v>1775</v>
      </c>
      <c r="AJ755" t="s">
        <v>1774</v>
      </c>
      <c r="AK755" t="s">
        <v>1773</v>
      </c>
      <c r="AL755">
        <v>6</v>
      </c>
      <c r="AM755" s="5">
        <f t="shared" si="90"/>
        <v>0.2857142857142857</v>
      </c>
      <c r="AN755" s="4">
        <f t="shared" si="95"/>
        <v>4.3273651755287499E-4</v>
      </c>
      <c r="AO755" s="3"/>
      <c r="AP755">
        <v>0</v>
      </c>
      <c r="AR755" t="s">
        <v>0</v>
      </c>
      <c r="AT755" s="2">
        <v>4.0659999999999998</v>
      </c>
      <c r="AU755" s="1">
        <f t="shared" si="91"/>
        <v>2.8065540770540416</v>
      </c>
      <c r="AV755" s="1">
        <f t="shared" si="92"/>
        <v>2.0170453841115403</v>
      </c>
      <c r="AW755" s="1">
        <f t="shared" si="93"/>
        <v>1.2275366911690395</v>
      </c>
    </row>
    <row r="756" spans="1:49" x14ac:dyDescent="0.2">
      <c r="A756">
        <v>754</v>
      </c>
      <c r="B756" t="s">
        <v>1772</v>
      </c>
      <c r="C756" t="s">
        <v>1771</v>
      </c>
      <c r="F756" t="s">
        <v>1770</v>
      </c>
      <c r="G756" t="s">
        <v>6</v>
      </c>
      <c r="H756" t="s">
        <v>5</v>
      </c>
      <c r="I756" t="s">
        <v>1769</v>
      </c>
      <c r="J756">
        <v>60030359</v>
      </c>
      <c r="K756" t="s">
        <v>1768</v>
      </c>
      <c r="L756" t="s">
        <v>198</v>
      </c>
      <c r="M756" t="s">
        <v>197</v>
      </c>
      <c r="N756">
        <v>2</v>
      </c>
      <c r="O756" t="s">
        <v>1767</v>
      </c>
      <c r="P756" t="s">
        <v>1766</v>
      </c>
      <c r="Q756" t="s">
        <v>1765</v>
      </c>
      <c r="R756" s="7">
        <v>37073</v>
      </c>
      <c r="S756" s="8">
        <f t="shared" si="88"/>
        <v>2001</v>
      </c>
      <c r="T756" s="8">
        <v>2001</v>
      </c>
      <c r="U756" s="8">
        <f t="shared" si="89"/>
        <v>21</v>
      </c>
      <c r="V756" s="7">
        <v>37073</v>
      </c>
      <c r="W756" t="s">
        <v>1754</v>
      </c>
      <c r="X756" s="2">
        <v>0.36699999999999999</v>
      </c>
      <c r="Y756" s="6">
        <f t="shared" si="94"/>
        <v>9.7968553962787964E-3</v>
      </c>
      <c r="AA756">
        <v>10283358</v>
      </c>
      <c r="AB756">
        <v>27502</v>
      </c>
      <c r="AD756" t="s">
        <v>1</v>
      </c>
      <c r="AE756">
        <v>46</v>
      </c>
      <c r="AF756">
        <v>7</v>
      </c>
      <c r="AH756" t="s">
        <v>1764</v>
      </c>
      <c r="AL756">
        <v>4</v>
      </c>
      <c r="AM756" s="5">
        <f t="shared" si="90"/>
        <v>0.19047619047619047</v>
      </c>
      <c r="AN756" s="4">
        <f t="shared" si="95"/>
        <v>2.8849101170191666E-4</v>
      </c>
      <c r="AO756" s="3"/>
      <c r="AP756">
        <v>0</v>
      </c>
      <c r="AR756" t="s">
        <v>0</v>
      </c>
      <c r="AT756" s="2">
        <v>0.67900000000000005</v>
      </c>
      <c r="AU756" s="1">
        <f t="shared" si="91"/>
        <v>0.69443460809057322</v>
      </c>
      <c r="AV756" s="1">
        <f t="shared" si="92"/>
        <v>0.50426732039903566</v>
      </c>
      <c r="AW756" s="1">
        <f t="shared" si="93"/>
        <v>0.31410003270749803</v>
      </c>
    </row>
    <row r="757" spans="1:49" x14ac:dyDescent="0.2">
      <c r="A757">
        <v>755</v>
      </c>
      <c r="B757" t="s">
        <v>1763</v>
      </c>
      <c r="C757" t="s">
        <v>1762</v>
      </c>
      <c r="F757" t="s">
        <v>1761</v>
      </c>
      <c r="G757" t="s">
        <v>6</v>
      </c>
      <c r="H757" t="s">
        <v>5</v>
      </c>
      <c r="I757" t="s">
        <v>1760</v>
      </c>
      <c r="J757" t="s">
        <v>1759</v>
      </c>
      <c r="K757" t="s">
        <v>1758</v>
      </c>
      <c r="L757" t="s">
        <v>675</v>
      </c>
      <c r="M757" t="s">
        <v>240</v>
      </c>
      <c r="N757">
        <v>3</v>
      </c>
      <c r="O757" t="s">
        <v>1757</v>
      </c>
      <c r="P757" t="s">
        <v>1756</v>
      </c>
      <c r="Q757" t="s">
        <v>1755</v>
      </c>
      <c r="R757" s="7">
        <v>37073</v>
      </c>
      <c r="S757" s="8">
        <f t="shared" si="88"/>
        <v>2001</v>
      </c>
      <c r="T757" s="8">
        <v>2001</v>
      </c>
      <c r="U757" s="8">
        <f t="shared" si="89"/>
        <v>21</v>
      </c>
      <c r="V757" s="7">
        <v>37073</v>
      </c>
      <c r="W757" t="s">
        <v>1754</v>
      </c>
      <c r="X757" s="2">
        <v>0.36699999999999999</v>
      </c>
      <c r="Y757" s="6">
        <f t="shared" si="94"/>
        <v>9.7968553962787964E-3</v>
      </c>
      <c r="AA757">
        <v>10283358</v>
      </c>
      <c r="AB757">
        <v>27502</v>
      </c>
      <c r="AD757" t="s">
        <v>1</v>
      </c>
      <c r="AE757">
        <v>46</v>
      </c>
      <c r="AF757">
        <v>7</v>
      </c>
      <c r="AH757" t="s">
        <v>1753</v>
      </c>
      <c r="AL757">
        <v>0</v>
      </c>
      <c r="AM757" s="5">
        <f t="shared" si="90"/>
        <v>0</v>
      </c>
      <c r="AN757" s="4">
        <f t="shared" si="95"/>
        <v>0</v>
      </c>
      <c r="AO757" s="3"/>
      <c r="AP757">
        <v>0</v>
      </c>
      <c r="AR757" t="s">
        <v>0</v>
      </c>
      <c r="AT757" s="2">
        <v>0.67900000000000005</v>
      </c>
      <c r="AU757" s="1">
        <f t="shared" si="91"/>
        <v>0.68577987773951565</v>
      </c>
      <c r="AV757" s="1">
        <f t="shared" si="92"/>
        <v>0.48984276981393982</v>
      </c>
      <c r="AW757" s="1">
        <f t="shared" si="93"/>
        <v>0.29390566188836392</v>
      </c>
    </row>
    <row r="758" spans="1:49" x14ac:dyDescent="0.2">
      <c r="A758">
        <v>756</v>
      </c>
      <c r="B758" t="s">
        <v>1752</v>
      </c>
      <c r="C758" t="s">
        <v>1751</v>
      </c>
      <c r="E758">
        <v>11460540</v>
      </c>
      <c r="F758" t="s">
        <v>1750</v>
      </c>
      <c r="G758" t="s">
        <v>6</v>
      </c>
      <c r="H758" t="s">
        <v>5</v>
      </c>
      <c r="I758" t="s">
        <v>1749</v>
      </c>
      <c r="J758" t="s">
        <v>1748</v>
      </c>
      <c r="K758" t="s">
        <v>1747</v>
      </c>
      <c r="L758" t="s">
        <v>1746</v>
      </c>
      <c r="M758" t="s">
        <v>50</v>
      </c>
      <c r="N758">
        <v>3</v>
      </c>
      <c r="O758" t="s">
        <v>1745</v>
      </c>
      <c r="P758" t="s">
        <v>1744</v>
      </c>
      <c r="Q758" t="s">
        <v>1743</v>
      </c>
      <c r="R758" s="7">
        <v>37073</v>
      </c>
      <c r="S758" s="8">
        <f t="shared" si="88"/>
        <v>2001</v>
      </c>
      <c r="T758" s="8">
        <v>2001</v>
      </c>
      <c r="U758" s="8">
        <f t="shared" si="89"/>
        <v>21</v>
      </c>
      <c r="V758" s="7">
        <v>37073</v>
      </c>
      <c r="W758" t="s">
        <v>773</v>
      </c>
      <c r="X758" s="2">
        <v>0.81799999999999995</v>
      </c>
      <c r="Y758" s="6">
        <f t="shared" si="94"/>
        <v>2.1836042817863912E-2</v>
      </c>
      <c r="AA758">
        <v>318655</v>
      </c>
      <c r="AB758">
        <v>27010</v>
      </c>
      <c r="AD758" t="s">
        <v>1</v>
      </c>
      <c r="AE758">
        <v>74</v>
      </c>
      <c r="AF758">
        <v>1</v>
      </c>
      <c r="AH758" t="s">
        <v>1742</v>
      </c>
      <c r="AI758" t="s">
        <v>1741</v>
      </c>
      <c r="AK758" t="s">
        <v>1740</v>
      </c>
      <c r="AL758">
        <v>57</v>
      </c>
      <c r="AM758" s="5">
        <f t="shared" si="90"/>
        <v>2.7142857142857144</v>
      </c>
      <c r="AN758" s="4">
        <f t="shared" si="95"/>
        <v>4.1109969167523125E-3</v>
      </c>
      <c r="AO758" s="3"/>
      <c r="AP758">
        <v>0</v>
      </c>
      <c r="AR758" t="s">
        <v>0</v>
      </c>
      <c r="AT758" s="2">
        <v>3.4209999999999998</v>
      </c>
      <c r="AU758" s="1">
        <f t="shared" si="91"/>
        <v>1.6518529047530432</v>
      </c>
      <c r="AV758" s="1">
        <f t="shared" si="92"/>
        <v>1.2973519867308112</v>
      </c>
      <c r="AW758" s="1">
        <f t="shared" si="93"/>
        <v>0.94285106870857915</v>
      </c>
    </row>
    <row r="759" spans="1:49" x14ac:dyDescent="0.2">
      <c r="A759">
        <v>757</v>
      </c>
      <c r="B759" t="s">
        <v>1739</v>
      </c>
      <c r="F759" t="s">
        <v>1738</v>
      </c>
      <c r="G759" t="s">
        <v>6</v>
      </c>
      <c r="H759" t="s">
        <v>5</v>
      </c>
      <c r="I759" t="s">
        <v>1737</v>
      </c>
      <c r="N759">
        <v>1</v>
      </c>
      <c r="O759" t="s">
        <v>1736</v>
      </c>
      <c r="P759">
        <v>7101988783</v>
      </c>
      <c r="R759" s="7">
        <v>37073</v>
      </c>
      <c r="S759" s="8">
        <f t="shared" si="88"/>
        <v>2001</v>
      </c>
      <c r="T759" s="8">
        <v>2001</v>
      </c>
      <c r="U759" s="8">
        <f t="shared" si="89"/>
        <v>21</v>
      </c>
      <c r="V759" s="7">
        <v>37073</v>
      </c>
      <c r="W759" t="s">
        <v>1735</v>
      </c>
      <c r="X759" s="2" t="s">
        <v>7</v>
      </c>
      <c r="Y759" s="6" t="e">
        <f t="shared" si="94"/>
        <v>#VALUE!</v>
      </c>
      <c r="AA759" t="s">
        <v>1734</v>
      </c>
      <c r="AB759">
        <v>90046</v>
      </c>
      <c r="AD759" t="s">
        <v>1</v>
      </c>
      <c r="AE759">
        <v>21</v>
      </c>
      <c r="AF759">
        <v>7</v>
      </c>
      <c r="AH759" t="s">
        <v>1733</v>
      </c>
      <c r="AI759" t="s">
        <v>1732</v>
      </c>
      <c r="AK759" t="s">
        <v>1731</v>
      </c>
      <c r="AL759">
        <v>0</v>
      </c>
      <c r="AM759" s="5">
        <f t="shared" si="90"/>
        <v>0</v>
      </c>
      <c r="AN759" s="4">
        <f t="shared" si="95"/>
        <v>0</v>
      </c>
      <c r="AO759" s="3"/>
      <c r="AP759">
        <v>0</v>
      </c>
      <c r="AR759" t="s">
        <v>0</v>
      </c>
      <c r="AT759" s="2" t="s">
        <v>7</v>
      </c>
      <c r="AU759" s="1" t="e">
        <f t="shared" si="91"/>
        <v>#VALUE!</v>
      </c>
      <c r="AV759" s="1" t="e">
        <f t="shared" si="92"/>
        <v>#VALUE!</v>
      </c>
      <c r="AW759" s="1" t="e">
        <f t="shared" si="93"/>
        <v>#VALUE!</v>
      </c>
    </row>
    <row r="760" spans="1:49" x14ac:dyDescent="0.2">
      <c r="A760">
        <v>758</v>
      </c>
      <c r="B760" t="s">
        <v>1730</v>
      </c>
      <c r="C760" t="s">
        <v>1729</v>
      </c>
      <c r="D760" t="s">
        <v>1728</v>
      </c>
      <c r="F760" t="s">
        <v>1727</v>
      </c>
      <c r="G760" t="s">
        <v>6</v>
      </c>
      <c r="H760" t="s">
        <v>5</v>
      </c>
      <c r="I760" t="s">
        <v>1726</v>
      </c>
      <c r="J760" t="s">
        <v>1725</v>
      </c>
      <c r="K760" t="s">
        <v>1724</v>
      </c>
      <c r="L760" t="s">
        <v>1723</v>
      </c>
      <c r="M760" t="s">
        <v>429</v>
      </c>
      <c r="N760">
        <v>3</v>
      </c>
      <c r="O760" t="s">
        <v>1722</v>
      </c>
      <c r="P760" t="s">
        <v>1721</v>
      </c>
      <c r="Q760" t="s">
        <v>1720</v>
      </c>
      <c r="R760" s="7">
        <v>37073</v>
      </c>
      <c r="S760" s="8">
        <f t="shared" si="88"/>
        <v>2001</v>
      </c>
      <c r="T760" s="8">
        <v>2001</v>
      </c>
      <c r="U760" s="8">
        <f t="shared" si="89"/>
        <v>21</v>
      </c>
      <c r="V760" s="7">
        <v>37073</v>
      </c>
      <c r="W760" t="s">
        <v>1703</v>
      </c>
      <c r="X760" s="2">
        <v>1.131</v>
      </c>
      <c r="Y760" s="6">
        <f t="shared" si="94"/>
        <v>3.0191399055017221E-2</v>
      </c>
      <c r="AA760" t="s">
        <v>1702</v>
      </c>
      <c r="AB760">
        <v>26023</v>
      </c>
      <c r="AD760" t="s">
        <v>1</v>
      </c>
      <c r="AE760">
        <v>7</v>
      </c>
      <c r="AF760">
        <v>4</v>
      </c>
      <c r="AH760" t="s">
        <v>1719</v>
      </c>
      <c r="AI760" t="s">
        <v>1718</v>
      </c>
      <c r="AJ760" t="s">
        <v>1717</v>
      </c>
      <c r="AK760" t="s">
        <v>1716</v>
      </c>
      <c r="AL760">
        <v>2</v>
      </c>
      <c r="AM760" s="5">
        <f t="shared" si="90"/>
        <v>9.5238095238095233E-2</v>
      </c>
      <c r="AN760" s="4">
        <f t="shared" si="95"/>
        <v>1.4424550585095833E-4</v>
      </c>
      <c r="AO760" s="3"/>
      <c r="AP760">
        <v>0</v>
      </c>
      <c r="AQ760" t="s">
        <v>1715</v>
      </c>
      <c r="AR760" t="s">
        <v>0</v>
      </c>
      <c r="AS760" t="s">
        <v>1714</v>
      </c>
      <c r="AT760" s="2" t="s">
        <v>7</v>
      </c>
      <c r="AU760" s="1">
        <f t="shared" si="91"/>
        <v>2.1177252990267341</v>
      </c>
      <c r="AV760" s="1">
        <f t="shared" si="92"/>
        <v>1.5167822280434091</v>
      </c>
      <c r="AW760" s="1">
        <f t="shared" si="93"/>
        <v>0.91583915706008379</v>
      </c>
    </row>
    <row r="761" spans="1:49" x14ac:dyDescent="0.2">
      <c r="A761">
        <v>759</v>
      </c>
      <c r="B761" t="s">
        <v>1713</v>
      </c>
      <c r="C761" t="s">
        <v>1712</v>
      </c>
      <c r="D761" t="s">
        <v>1711</v>
      </c>
      <c r="F761" t="s">
        <v>1710</v>
      </c>
      <c r="G761" t="s">
        <v>6</v>
      </c>
      <c r="H761" t="s">
        <v>5</v>
      </c>
      <c r="I761" t="s">
        <v>1709</v>
      </c>
      <c r="J761">
        <v>60019513</v>
      </c>
      <c r="K761" t="s">
        <v>1708</v>
      </c>
      <c r="L761" t="s">
        <v>1707</v>
      </c>
      <c r="M761" t="s">
        <v>87</v>
      </c>
      <c r="N761">
        <v>4</v>
      </c>
      <c r="O761" t="s">
        <v>1706</v>
      </c>
      <c r="P761" t="s">
        <v>1705</v>
      </c>
      <c r="Q761" t="s">
        <v>1704</v>
      </c>
      <c r="R761" s="7">
        <v>37073</v>
      </c>
      <c r="S761" s="8">
        <f t="shared" si="88"/>
        <v>2001</v>
      </c>
      <c r="T761" s="8">
        <v>2001</v>
      </c>
      <c r="U761" s="8">
        <f t="shared" si="89"/>
        <v>21</v>
      </c>
      <c r="V761" s="7">
        <v>37073</v>
      </c>
      <c r="W761" t="s">
        <v>1703</v>
      </c>
      <c r="X761" s="2">
        <v>1.131</v>
      </c>
      <c r="Y761" s="6">
        <f t="shared" si="94"/>
        <v>3.0191399055017221E-2</v>
      </c>
      <c r="AA761" t="s">
        <v>1702</v>
      </c>
      <c r="AB761">
        <v>26023</v>
      </c>
      <c r="AD761" t="s">
        <v>1</v>
      </c>
      <c r="AE761">
        <v>7</v>
      </c>
      <c r="AF761">
        <v>4</v>
      </c>
      <c r="AH761" t="s">
        <v>1701</v>
      </c>
      <c r="AI761" t="s">
        <v>1700</v>
      </c>
      <c r="AJ761" t="s">
        <v>1699</v>
      </c>
      <c r="AK761" t="s">
        <v>1698</v>
      </c>
      <c r="AL761">
        <v>125</v>
      </c>
      <c r="AM761" s="5">
        <f t="shared" si="90"/>
        <v>5.9523809523809526</v>
      </c>
      <c r="AN761" s="4">
        <f t="shared" si="95"/>
        <v>9.0153441156848955E-3</v>
      </c>
      <c r="AO761" s="3"/>
      <c r="AP761">
        <v>0</v>
      </c>
      <c r="AR761" t="s">
        <v>0</v>
      </c>
      <c r="AT761" s="2" t="s">
        <v>7</v>
      </c>
      <c r="AU761" s="1">
        <f t="shared" si="91"/>
        <v>2.3838582573217519</v>
      </c>
      <c r="AV761" s="1">
        <f t="shared" si="92"/>
        <v>1.9603371585351057</v>
      </c>
      <c r="AW761" s="1">
        <f t="shared" si="93"/>
        <v>1.5368160597484593</v>
      </c>
    </row>
    <row r="762" spans="1:49" x14ac:dyDescent="0.2">
      <c r="A762">
        <v>760</v>
      </c>
      <c r="B762" t="s">
        <v>1697</v>
      </c>
      <c r="C762" t="s">
        <v>1696</v>
      </c>
      <c r="D762" t="s">
        <v>1695</v>
      </c>
      <c r="F762" t="s">
        <v>1694</v>
      </c>
      <c r="G762" t="s">
        <v>6</v>
      </c>
      <c r="H762" t="s">
        <v>5</v>
      </c>
      <c r="I762" t="s">
        <v>1693</v>
      </c>
      <c r="J762" t="s">
        <v>1692</v>
      </c>
      <c r="K762" t="s">
        <v>1691</v>
      </c>
      <c r="L762" t="s">
        <v>1690</v>
      </c>
      <c r="M762" t="s">
        <v>807</v>
      </c>
      <c r="N762">
        <v>2</v>
      </c>
      <c r="O762" t="s">
        <v>1689</v>
      </c>
      <c r="P762" t="s">
        <v>1688</v>
      </c>
      <c r="Q762" t="s">
        <v>1687</v>
      </c>
      <c r="R762" s="7">
        <v>37073</v>
      </c>
      <c r="S762" s="8">
        <f t="shared" si="88"/>
        <v>2001</v>
      </c>
      <c r="T762" s="8">
        <v>2001</v>
      </c>
      <c r="U762" s="8">
        <f t="shared" si="89"/>
        <v>21</v>
      </c>
      <c r="V762" s="7">
        <v>37073</v>
      </c>
      <c r="W762" t="s">
        <v>389</v>
      </c>
      <c r="X762" s="2">
        <v>0.94</v>
      </c>
      <c r="Y762" s="6">
        <f t="shared" si="94"/>
        <v>2.5092763140332611E-2</v>
      </c>
      <c r="AA762">
        <v>15311309</v>
      </c>
      <c r="AB762">
        <v>17295</v>
      </c>
      <c r="AD762" t="s">
        <v>1</v>
      </c>
      <c r="AE762">
        <v>11</v>
      </c>
      <c r="AF762">
        <v>7</v>
      </c>
      <c r="AH762" t="s">
        <v>1686</v>
      </c>
      <c r="AI762" t="s">
        <v>1685</v>
      </c>
      <c r="AJ762" t="s">
        <v>1684</v>
      </c>
      <c r="AK762" t="s">
        <v>1683</v>
      </c>
      <c r="AL762">
        <v>50</v>
      </c>
      <c r="AM762" s="5">
        <f t="shared" si="90"/>
        <v>2.3809523809523809</v>
      </c>
      <c r="AN762" s="4">
        <f t="shared" si="95"/>
        <v>3.6061376462739581E-3</v>
      </c>
      <c r="AO762" s="3"/>
      <c r="AP762">
        <v>0</v>
      </c>
      <c r="AQ762" t="s">
        <v>100</v>
      </c>
      <c r="AR762" t="s">
        <v>104</v>
      </c>
      <c r="AS762" t="s">
        <v>99</v>
      </c>
      <c r="AT762" s="2" t="s">
        <v>7</v>
      </c>
      <c r="AU762" s="1">
        <f t="shared" si="91"/>
        <v>1.8646775492115013</v>
      </c>
      <c r="AV762" s="1">
        <f t="shared" si="92"/>
        <v>1.4349450393303285</v>
      </c>
      <c r="AW762" s="1">
        <f t="shared" si="93"/>
        <v>1.0052125294491554</v>
      </c>
    </row>
    <row r="763" spans="1:49" x14ac:dyDescent="0.2">
      <c r="A763">
        <v>761</v>
      </c>
      <c r="B763" t="s">
        <v>1682</v>
      </c>
      <c r="C763" t="s">
        <v>1681</v>
      </c>
      <c r="F763" t="s">
        <v>1680</v>
      </c>
      <c r="G763" t="s">
        <v>6</v>
      </c>
      <c r="H763" t="s">
        <v>5</v>
      </c>
      <c r="I763" t="s">
        <v>1679</v>
      </c>
      <c r="J763" t="s">
        <v>1678</v>
      </c>
      <c r="K763" t="s">
        <v>1677</v>
      </c>
      <c r="L763" t="s">
        <v>1676</v>
      </c>
      <c r="M763" t="s">
        <v>583</v>
      </c>
      <c r="N763">
        <v>2</v>
      </c>
      <c r="O763" t="s">
        <v>1675</v>
      </c>
      <c r="P763" t="s">
        <v>1674</v>
      </c>
      <c r="Q763" t="s">
        <v>1673</v>
      </c>
      <c r="R763" s="7">
        <v>37073</v>
      </c>
      <c r="S763" s="8">
        <f t="shared" si="88"/>
        <v>2001</v>
      </c>
      <c r="T763" s="8">
        <v>2001</v>
      </c>
      <c r="U763" s="8">
        <f t="shared" si="89"/>
        <v>21</v>
      </c>
      <c r="V763" s="7">
        <v>37073</v>
      </c>
      <c r="W763" t="s">
        <v>210</v>
      </c>
      <c r="X763" s="2">
        <v>1.137</v>
      </c>
      <c r="Y763" s="6">
        <f t="shared" si="94"/>
        <v>3.0351565628253384E-2</v>
      </c>
      <c r="AA763">
        <v>189251</v>
      </c>
      <c r="AB763">
        <v>17336</v>
      </c>
      <c r="AD763" t="s">
        <v>1</v>
      </c>
      <c r="AE763">
        <v>37</v>
      </c>
      <c r="AF763">
        <v>3</v>
      </c>
      <c r="AH763" t="s">
        <v>1672</v>
      </c>
      <c r="AI763" t="s">
        <v>1671</v>
      </c>
      <c r="AK763" t="s">
        <v>1670</v>
      </c>
      <c r="AL763">
        <v>1</v>
      </c>
      <c r="AM763" s="5">
        <f t="shared" si="90"/>
        <v>4.7619047619047616E-2</v>
      </c>
      <c r="AN763" s="4">
        <f t="shared" si="95"/>
        <v>7.2122752925479164E-5</v>
      </c>
      <c r="AO763" s="3"/>
      <c r="AP763">
        <v>0</v>
      </c>
      <c r="AR763" t="s">
        <v>0</v>
      </c>
      <c r="AT763" s="2" t="s">
        <v>7</v>
      </c>
      <c r="AU763" s="1">
        <f t="shared" si="91"/>
        <v>2.1267732765655007</v>
      </c>
      <c r="AV763" s="1">
        <f t="shared" si="92"/>
        <v>1.5211844190589432</v>
      </c>
      <c r="AW763" s="1">
        <f t="shared" si="93"/>
        <v>0.91559556155238508</v>
      </c>
    </row>
    <row r="764" spans="1:49" x14ac:dyDescent="0.2">
      <c r="A764">
        <v>762</v>
      </c>
      <c r="B764" t="s">
        <v>1669</v>
      </c>
      <c r="C764" t="s">
        <v>1668</v>
      </c>
      <c r="F764" t="s">
        <v>1667</v>
      </c>
      <c r="G764" t="s">
        <v>6</v>
      </c>
      <c r="H764" t="s">
        <v>5</v>
      </c>
      <c r="I764" t="s">
        <v>1666</v>
      </c>
      <c r="J764">
        <v>60027392</v>
      </c>
      <c r="K764" t="s">
        <v>1665</v>
      </c>
      <c r="L764" t="s">
        <v>1664</v>
      </c>
      <c r="M764" t="s">
        <v>3</v>
      </c>
      <c r="N764">
        <v>2</v>
      </c>
      <c r="O764" t="s">
        <v>1663</v>
      </c>
      <c r="P764" t="s">
        <v>1662</v>
      </c>
      <c r="Q764" t="s">
        <v>1661</v>
      </c>
      <c r="R764" s="7">
        <v>37073</v>
      </c>
      <c r="S764" s="8">
        <f t="shared" si="88"/>
        <v>2001</v>
      </c>
      <c r="T764" s="8">
        <v>2001</v>
      </c>
      <c r="U764" s="8">
        <f t="shared" si="89"/>
        <v>21</v>
      </c>
      <c r="V764" s="7">
        <v>37073</v>
      </c>
      <c r="W764" t="s">
        <v>210</v>
      </c>
      <c r="X764" s="2">
        <v>1.137</v>
      </c>
      <c r="Y764" s="6">
        <f t="shared" si="94"/>
        <v>3.0351565628253384E-2</v>
      </c>
      <c r="AA764">
        <v>189251</v>
      </c>
      <c r="AB764">
        <v>17336</v>
      </c>
      <c r="AD764" t="s">
        <v>1</v>
      </c>
      <c r="AE764">
        <v>37</v>
      </c>
      <c r="AF764">
        <v>3</v>
      </c>
      <c r="AH764" t="s">
        <v>1660</v>
      </c>
      <c r="AI764" t="s">
        <v>1659</v>
      </c>
      <c r="AK764" t="s">
        <v>1658</v>
      </c>
      <c r="AL764">
        <v>9</v>
      </c>
      <c r="AM764" s="5">
        <f t="shared" si="90"/>
        <v>0.42857142857142855</v>
      </c>
      <c r="AN764" s="4">
        <f t="shared" si="95"/>
        <v>6.4910477632931242E-4</v>
      </c>
      <c r="AO764" s="3"/>
      <c r="AP764">
        <v>0</v>
      </c>
      <c r="AR764" t="s">
        <v>0</v>
      </c>
      <c r="AT764" s="2" t="s">
        <v>7</v>
      </c>
      <c r="AU764" s="1">
        <f t="shared" si="91"/>
        <v>2.1440827372676159</v>
      </c>
      <c r="AV764" s="1">
        <f t="shared" si="92"/>
        <v>1.5500335202291347</v>
      </c>
      <c r="AW764" s="1">
        <f t="shared" si="93"/>
        <v>0.95598430319065353</v>
      </c>
    </row>
    <row r="765" spans="1:49" x14ac:dyDescent="0.2">
      <c r="A765">
        <v>763</v>
      </c>
      <c r="B765" t="s">
        <v>1657</v>
      </c>
      <c r="C765" t="s">
        <v>1656</v>
      </c>
      <c r="D765" t="s">
        <v>1655</v>
      </c>
      <c r="F765" t="s">
        <v>1654</v>
      </c>
      <c r="G765" t="s">
        <v>6</v>
      </c>
      <c r="H765" t="s">
        <v>5</v>
      </c>
      <c r="I765" t="s">
        <v>1653</v>
      </c>
      <c r="J765">
        <v>60027272</v>
      </c>
      <c r="K765" t="s">
        <v>1629</v>
      </c>
      <c r="L765" t="s">
        <v>224</v>
      </c>
      <c r="M765" t="s">
        <v>37</v>
      </c>
      <c r="N765">
        <v>5</v>
      </c>
      <c r="O765" t="s">
        <v>1652</v>
      </c>
      <c r="P765" t="s">
        <v>1651</v>
      </c>
      <c r="Q765" t="s">
        <v>1650</v>
      </c>
      <c r="R765" s="7">
        <v>37073</v>
      </c>
      <c r="S765" s="8">
        <f t="shared" si="88"/>
        <v>2001</v>
      </c>
      <c r="T765" s="8">
        <v>2001</v>
      </c>
      <c r="U765" s="8">
        <f t="shared" si="89"/>
        <v>21</v>
      </c>
      <c r="V765" s="7">
        <v>37073</v>
      </c>
      <c r="W765" t="s">
        <v>479</v>
      </c>
      <c r="X765" s="2">
        <v>1.23</v>
      </c>
      <c r="Y765" s="6">
        <f t="shared" si="94"/>
        <v>3.2834147513413951E-2</v>
      </c>
      <c r="AA765">
        <v>9638695</v>
      </c>
      <c r="AB765">
        <v>17852</v>
      </c>
      <c r="AD765" t="s">
        <v>1</v>
      </c>
      <c r="AE765">
        <v>34</v>
      </c>
      <c r="AF765">
        <v>5</v>
      </c>
      <c r="AH765" t="s">
        <v>736</v>
      </c>
      <c r="AI765" t="s">
        <v>1649</v>
      </c>
      <c r="AJ765" t="s">
        <v>1648</v>
      </c>
      <c r="AK765" t="s">
        <v>1647</v>
      </c>
      <c r="AL765">
        <v>50</v>
      </c>
      <c r="AM765" s="5">
        <f t="shared" si="90"/>
        <v>2.3809523809523809</v>
      </c>
      <c r="AN765" s="4">
        <f t="shared" si="95"/>
        <v>3.6061376462739581E-3</v>
      </c>
      <c r="AO765" s="3"/>
      <c r="AP765">
        <v>0</v>
      </c>
      <c r="AR765" t="s">
        <v>0</v>
      </c>
      <c r="AS765" t="s">
        <v>1646</v>
      </c>
      <c r="AT765" s="2" t="s">
        <v>7</v>
      </c>
      <c r="AU765" s="1">
        <f t="shared" si="91"/>
        <v>2.4065744553271951</v>
      </c>
      <c r="AV765" s="1">
        <f t="shared" si="92"/>
        <v>1.8220142579843956</v>
      </c>
      <c r="AW765" s="1">
        <f t="shared" si="93"/>
        <v>1.2374540606415956</v>
      </c>
    </row>
    <row r="766" spans="1:49" x14ac:dyDescent="0.2">
      <c r="A766">
        <v>764</v>
      </c>
      <c r="B766" t="s">
        <v>1645</v>
      </c>
      <c r="F766" t="s">
        <v>1644</v>
      </c>
      <c r="G766" t="s">
        <v>6</v>
      </c>
      <c r="H766" t="s">
        <v>5</v>
      </c>
      <c r="I766" t="s">
        <v>1643</v>
      </c>
      <c r="J766">
        <v>60030514</v>
      </c>
      <c r="K766" t="s">
        <v>1642</v>
      </c>
      <c r="L766" t="s">
        <v>1641</v>
      </c>
      <c r="M766" t="s">
        <v>37</v>
      </c>
      <c r="N766">
        <v>4</v>
      </c>
      <c r="O766" t="s">
        <v>1640</v>
      </c>
      <c r="P766" t="s">
        <v>1639</v>
      </c>
      <c r="Q766" t="s">
        <v>1638</v>
      </c>
      <c r="R766" s="7">
        <v>37073</v>
      </c>
      <c r="S766" s="8">
        <f t="shared" si="88"/>
        <v>2001</v>
      </c>
      <c r="T766" s="8">
        <v>2001</v>
      </c>
      <c r="U766" s="8">
        <f t="shared" si="89"/>
        <v>21</v>
      </c>
      <c r="V766" s="7">
        <v>37073</v>
      </c>
      <c r="W766" t="s">
        <v>1637</v>
      </c>
      <c r="X766" s="2" t="s">
        <v>7</v>
      </c>
      <c r="Y766" s="6" t="e">
        <f t="shared" si="94"/>
        <v>#VALUE!</v>
      </c>
      <c r="AA766">
        <v>10709789</v>
      </c>
      <c r="AB766">
        <v>21137</v>
      </c>
      <c r="AD766" t="s">
        <v>1</v>
      </c>
      <c r="AE766">
        <v>33</v>
      </c>
      <c r="AF766">
        <v>3</v>
      </c>
      <c r="AH766" t="s">
        <v>1636</v>
      </c>
      <c r="AI766" t="s">
        <v>1635</v>
      </c>
      <c r="AK766" t="s">
        <v>1634</v>
      </c>
      <c r="AL766">
        <v>0</v>
      </c>
      <c r="AM766" s="5">
        <f t="shared" si="90"/>
        <v>0</v>
      </c>
      <c r="AN766" s="4">
        <f t="shared" si="95"/>
        <v>0</v>
      </c>
      <c r="AO766" s="3"/>
      <c r="AP766">
        <v>0</v>
      </c>
      <c r="AR766" t="s">
        <v>0</v>
      </c>
      <c r="AT766" s="2" t="s">
        <v>7</v>
      </c>
      <c r="AU766" s="1" t="e">
        <f t="shared" si="91"/>
        <v>#VALUE!</v>
      </c>
      <c r="AV766" s="1" t="e">
        <f t="shared" si="92"/>
        <v>#VALUE!</v>
      </c>
      <c r="AW766" s="1" t="e">
        <f t="shared" si="93"/>
        <v>#VALUE!</v>
      </c>
    </row>
    <row r="767" spans="1:49" x14ac:dyDescent="0.2">
      <c r="A767">
        <v>765</v>
      </c>
      <c r="B767" t="s">
        <v>1633</v>
      </c>
      <c r="C767" t="s">
        <v>1632</v>
      </c>
      <c r="F767" t="s">
        <v>1631</v>
      </c>
      <c r="G767" t="s">
        <v>6</v>
      </c>
      <c r="H767" t="s">
        <v>5</v>
      </c>
      <c r="I767" t="s">
        <v>1630</v>
      </c>
      <c r="J767">
        <v>60027272</v>
      </c>
      <c r="K767" t="s">
        <v>1629</v>
      </c>
      <c r="L767" t="s">
        <v>224</v>
      </c>
      <c r="M767" t="s">
        <v>37</v>
      </c>
      <c r="N767">
        <v>3</v>
      </c>
      <c r="O767" t="s">
        <v>1628</v>
      </c>
      <c r="P767" t="s">
        <v>1627</v>
      </c>
      <c r="Q767" t="s">
        <v>1626</v>
      </c>
      <c r="R767" s="7">
        <v>37073</v>
      </c>
      <c r="S767" s="8">
        <f t="shared" si="88"/>
        <v>2001</v>
      </c>
      <c r="T767" s="8">
        <v>2001</v>
      </c>
      <c r="U767" s="8">
        <f t="shared" si="89"/>
        <v>21</v>
      </c>
      <c r="V767" s="7">
        <v>37073</v>
      </c>
      <c r="W767" t="s">
        <v>1625</v>
      </c>
      <c r="X767" s="2">
        <v>1.3260000000000001</v>
      </c>
      <c r="Y767" s="6">
        <f t="shared" si="94"/>
        <v>3.5396812685192604E-2</v>
      </c>
      <c r="AA767">
        <v>10840702</v>
      </c>
      <c r="AB767">
        <v>16521</v>
      </c>
      <c r="AD767" t="s">
        <v>1</v>
      </c>
      <c r="AE767">
        <v>6</v>
      </c>
      <c r="AF767">
        <v>4</v>
      </c>
      <c r="AH767" t="s">
        <v>1624</v>
      </c>
      <c r="AI767" t="s">
        <v>1623</v>
      </c>
      <c r="AK767" t="s">
        <v>1622</v>
      </c>
      <c r="AL767">
        <v>5</v>
      </c>
      <c r="AM767" s="5">
        <f t="shared" si="90"/>
        <v>0.23809523809523808</v>
      </c>
      <c r="AN767" s="4">
        <f t="shared" si="95"/>
        <v>3.6061376462739582E-4</v>
      </c>
      <c r="AO767" s="3"/>
      <c r="AP767">
        <v>0</v>
      </c>
      <c r="AR767" t="s">
        <v>0</v>
      </c>
      <c r="AT767" s="2">
        <v>3.0659999999999998</v>
      </c>
      <c r="AU767" s="1">
        <f t="shared" si="91"/>
        <v>2.4885953009023041</v>
      </c>
      <c r="AV767" s="1">
        <f t="shared" si="92"/>
        <v>1.7878713224910001</v>
      </c>
      <c r="AW767" s="1">
        <f t="shared" si="93"/>
        <v>1.0871473440796957</v>
      </c>
    </row>
    <row r="768" spans="1:49" x14ac:dyDescent="0.2">
      <c r="A768">
        <v>766</v>
      </c>
      <c r="B768" t="s">
        <v>1621</v>
      </c>
      <c r="C768" t="s">
        <v>1620</v>
      </c>
      <c r="D768" t="s">
        <v>1619</v>
      </c>
      <c r="F768" t="s">
        <v>1618</v>
      </c>
      <c r="G768" t="s">
        <v>6</v>
      </c>
      <c r="H768" t="s">
        <v>5</v>
      </c>
      <c r="I768" t="s">
        <v>1617</v>
      </c>
      <c r="J768" t="s">
        <v>1616</v>
      </c>
      <c r="K768" t="s">
        <v>1615</v>
      </c>
      <c r="L768" t="s">
        <v>1614</v>
      </c>
      <c r="M768" t="s">
        <v>44</v>
      </c>
      <c r="N768">
        <v>2</v>
      </c>
      <c r="O768" t="s">
        <v>1613</v>
      </c>
      <c r="P768" t="s">
        <v>1612</v>
      </c>
      <c r="Q768" t="s">
        <v>1611</v>
      </c>
      <c r="R768" s="7">
        <v>37073</v>
      </c>
      <c r="S768" s="8">
        <f t="shared" si="88"/>
        <v>2001</v>
      </c>
      <c r="T768" s="8">
        <v>2001</v>
      </c>
      <c r="U768" s="8">
        <f t="shared" si="89"/>
        <v>21</v>
      </c>
      <c r="V768" s="7">
        <v>37073</v>
      </c>
      <c r="W768" t="s">
        <v>831</v>
      </c>
      <c r="X768" s="2">
        <v>1.778</v>
      </c>
      <c r="Y768" s="6">
        <f t="shared" si="94"/>
        <v>4.7462694535650413E-2</v>
      </c>
      <c r="AA768">
        <v>10577149</v>
      </c>
      <c r="AB768">
        <v>25534</v>
      </c>
      <c r="AD768" t="s">
        <v>1</v>
      </c>
      <c r="AE768">
        <v>10</v>
      </c>
      <c r="AF768">
        <v>7</v>
      </c>
      <c r="AH768" t="s">
        <v>1610</v>
      </c>
      <c r="AI768" t="s">
        <v>1609</v>
      </c>
      <c r="AJ768" t="s">
        <v>1608</v>
      </c>
      <c r="AK768" t="s">
        <v>1607</v>
      </c>
      <c r="AL768">
        <v>153</v>
      </c>
      <c r="AM768" s="5">
        <f t="shared" si="90"/>
        <v>7.2857142857142856</v>
      </c>
      <c r="AN768" s="4">
        <f t="shared" si="95"/>
        <v>1.1034781197598311E-2</v>
      </c>
      <c r="AO768" s="3"/>
      <c r="AP768">
        <v>0</v>
      </c>
      <c r="AQ768" t="s">
        <v>722</v>
      </c>
      <c r="AR768" t="s">
        <v>1606</v>
      </c>
      <c r="AS768" t="s">
        <v>721</v>
      </c>
      <c r="AT768" s="2">
        <v>10.856</v>
      </c>
      <c r="AU768" s="1">
        <f t="shared" si="91"/>
        <v>3.6534320534234785</v>
      </c>
      <c r="AV768" s="1">
        <f t="shared" si="92"/>
        <v>2.9248737866624364</v>
      </c>
      <c r="AW768" s="1">
        <f t="shared" si="93"/>
        <v>2.1963155199013942</v>
      </c>
    </row>
    <row r="769" spans="1:49" x14ac:dyDescent="0.2">
      <c r="A769">
        <v>767</v>
      </c>
      <c r="B769" t="s">
        <v>1605</v>
      </c>
      <c r="F769" t="s">
        <v>1604</v>
      </c>
      <c r="G769" t="s">
        <v>6</v>
      </c>
      <c r="H769" t="s">
        <v>5</v>
      </c>
      <c r="I769" t="s">
        <v>1603</v>
      </c>
      <c r="J769">
        <v>60020661</v>
      </c>
      <c r="K769" t="s">
        <v>526</v>
      </c>
      <c r="L769" t="s">
        <v>525</v>
      </c>
      <c r="M769" t="s">
        <v>37</v>
      </c>
      <c r="N769">
        <v>3</v>
      </c>
      <c r="O769" t="s">
        <v>1602</v>
      </c>
      <c r="P769" t="s">
        <v>1601</v>
      </c>
      <c r="Q769" t="s">
        <v>524</v>
      </c>
      <c r="R769" s="7">
        <v>37073</v>
      </c>
      <c r="S769" s="8">
        <f t="shared" si="88"/>
        <v>2001</v>
      </c>
      <c r="T769" s="8">
        <v>2001</v>
      </c>
      <c r="U769" s="8">
        <f t="shared" si="89"/>
        <v>21</v>
      </c>
      <c r="V769" s="7">
        <v>37073</v>
      </c>
      <c r="W769" t="s">
        <v>1600</v>
      </c>
      <c r="X769" s="2">
        <v>0.251</v>
      </c>
      <c r="Y769" s="6">
        <f t="shared" si="94"/>
        <v>6.7003016470462617E-3</v>
      </c>
      <c r="AA769">
        <v>13542575</v>
      </c>
      <c r="AB769">
        <v>21069</v>
      </c>
      <c r="AD769" t="s">
        <v>1</v>
      </c>
      <c r="AE769">
        <v>43</v>
      </c>
      <c r="AF769">
        <v>7</v>
      </c>
      <c r="AH769" t="s">
        <v>1599</v>
      </c>
      <c r="AI769" t="s">
        <v>1598</v>
      </c>
      <c r="AJ769" t="s">
        <v>1597</v>
      </c>
      <c r="AK769" t="s">
        <v>1596</v>
      </c>
      <c r="AL769">
        <v>6</v>
      </c>
      <c r="AM769" s="5">
        <f t="shared" si="90"/>
        <v>0.2857142857142857</v>
      </c>
      <c r="AN769" s="4">
        <f t="shared" si="95"/>
        <v>4.3273651755287499E-4</v>
      </c>
      <c r="AO769" s="3"/>
      <c r="AP769">
        <v>0</v>
      </c>
      <c r="AR769" t="s">
        <v>0</v>
      </c>
      <c r="AT769" s="2" t="s">
        <v>7</v>
      </c>
      <c r="AU769" s="1">
        <f t="shared" si="91"/>
        <v>0.4820032108198245</v>
      </c>
      <c r="AV769" s="1">
        <f t="shared" si="92"/>
        <v>0.35665190822995685</v>
      </c>
      <c r="AW769" s="1">
        <f t="shared" si="93"/>
        <v>0.23130060564008909</v>
      </c>
    </row>
    <row r="770" spans="1:49" x14ac:dyDescent="0.2">
      <c r="A770">
        <v>768</v>
      </c>
      <c r="B770" t="s">
        <v>1595</v>
      </c>
      <c r="C770" t="s">
        <v>1594</v>
      </c>
      <c r="D770" t="s">
        <v>1593</v>
      </c>
      <c r="F770" t="s">
        <v>1592</v>
      </c>
      <c r="G770" t="s">
        <v>6</v>
      </c>
      <c r="H770" t="s">
        <v>5</v>
      </c>
      <c r="I770" t="s">
        <v>1591</v>
      </c>
      <c r="J770">
        <v>60003858</v>
      </c>
      <c r="K770" t="s">
        <v>312</v>
      </c>
      <c r="L770" t="s">
        <v>311</v>
      </c>
      <c r="M770" t="s">
        <v>115</v>
      </c>
      <c r="N770">
        <v>2</v>
      </c>
      <c r="O770" t="s">
        <v>1590</v>
      </c>
      <c r="P770" t="s">
        <v>1589</v>
      </c>
      <c r="Q770" t="s">
        <v>310</v>
      </c>
      <c r="R770" s="7">
        <v>37073</v>
      </c>
      <c r="S770" s="8">
        <f t="shared" ref="S770:S812" si="96">YEAR(R770)</f>
        <v>2001</v>
      </c>
      <c r="T770" s="8">
        <v>2001</v>
      </c>
      <c r="U770" s="8">
        <f t="shared" ref="U770:U812" si="97">2022-T770</f>
        <v>21</v>
      </c>
      <c r="V770" s="7">
        <v>37073</v>
      </c>
      <c r="W770" t="s">
        <v>264</v>
      </c>
      <c r="X770" s="2">
        <v>1.218</v>
      </c>
      <c r="Y770" s="6">
        <f t="shared" si="94"/>
        <v>3.2513814366941618E-2</v>
      </c>
      <c r="AA770">
        <v>189448</v>
      </c>
      <c r="AB770">
        <v>15107</v>
      </c>
      <c r="AD770" t="s">
        <v>1</v>
      </c>
      <c r="AE770">
        <v>47</v>
      </c>
      <c r="AF770">
        <v>5</v>
      </c>
      <c r="AH770" t="s">
        <v>1588</v>
      </c>
      <c r="AI770" t="s">
        <v>1587</v>
      </c>
      <c r="AJ770" t="s">
        <v>1586</v>
      </c>
      <c r="AK770" t="s">
        <v>1585</v>
      </c>
      <c r="AL770">
        <v>12</v>
      </c>
      <c r="AM770" s="5">
        <f t="shared" ref="AM770:AM812" si="98">AL770/U770</f>
        <v>0.5714285714285714</v>
      </c>
      <c r="AN770" s="4">
        <f t="shared" si="95"/>
        <v>8.6547303510574997E-4</v>
      </c>
      <c r="AO770" s="3"/>
      <c r="AP770">
        <v>0</v>
      </c>
      <c r="AQ770" t="s">
        <v>309</v>
      </c>
      <c r="AR770" t="s">
        <v>0</v>
      </c>
      <c r="AS770" t="s">
        <v>308</v>
      </c>
      <c r="AT770" s="2" t="s">
        <v>7</v>
      </c>
      <c r="AU770" s="1">
        <f t="shared" ref="AU770:AU812" si="99">(Y770*0.7+AN770*0.3)*100</f>
        <v>2.3019311967390856</v>
      </c>
      <c r="AV770" s="1">
        <f t="shared" ref="AV770:AV812" si="100">(Y770*0.5+AN770*0.5)*100</f>
        <v>1.6689643701023684</v>
      </c>
      <c r="AW770" s="1">
        <f t="shared" ref="AW770:AW812" si="101">(Y770*0.3+AN770*0.7)*100</f>
        <v>1.035997543465651</v>
      </c>
    </row>
    <row r="771" spans="1:49" x14ac:dyDescent="0.2">
      <c r="A771">
        <v>769</v>
      </c>
      <c r="B771" t="s">
        <v>1584</v>
      </c>
      <c r="C771" t="s">
        <v>1583</v>
      </c>
      <c r="F771" t="s">
        <v>1582</v>
      </c>
      <c r="G771" t="s">
        <v>6</v>
      </c>
      <c r="H771" t="s">
        <v>5</v>
      </c>
      <c r="I771" t="s">
        <v>114</v>
      </c>
      <c r="J771">
        <v>60003217</v>
      </c>
      <c r="K771" t="s">
        <v>113</v>
      </c>
      <c r="L771" t="s">
        <v>112</v>
      </c>
      <c r="M771" t="s">
        <v>111</v>
      </c>
      <c r="N771">
        <v>1</v>
      </c>
      <c r="O771" t="s">
        <v>1581</v>
      </c>
      <c r="P771">
        <v>7005087231</v>
      </c>
      <c r="Q771">
        <v>60003217</v>
      </c>
      <c r="R771" s="7">
        <v>37073</v>
      </c>
      <c r="S771" s="8">
        <f t="shared" si="96"/>
        <v>2001</v>
      </c>
      <c r="T771" s="8">
        <v>2001</v>
      </c>
      <c r="U771" s="8">
        <f t="shared" si="97"/>
        <v>21</v>
      </c>
      <c r="V771" s="7">
        <v>37073</v>
      </c>
      <c r="W771" t="s">
        <v>520</v>
      </c>
      <c r="X771" s="2">
        <v>0.33500000000000002</v>
      </c>
      <c r="Y771" s="6">
        <f t="shared" ref="Y771:Y812" si="102">(X771-$Z$3)/($Z$2-$Z$3)</f>
        <v>8.94263367235258E-3</v>
      </c>
      <c r="AA771">
        <v>10964290</v>
      </c>
      <c r="AB771">
        <v>18201</v>
      </c>
      <c r="AD771" t="s">
        <v>1</v>
      </c>
      <c r="AE771">
        <v>11</v>
      </c>
      <c r="AF771">
        <v>4</v>
      </c>
      <c r="AH771" t="s">
        <v>1580</v>
      </c>
      <c r="AI771" t="s">
        <v>1579</v>
      </c>
      <c r="AJ771" t="s">
        <v>1578</v>
      </c>
      <c r="AK771" t="s">
        <v>1577</v>
      </c>
      <c r="AL771">
        <v>12</v>
      </c>
      <c r="AM771" s="5">
        <f t="shared" si="98"/>
        <v>0.5714285714285714</v>
      </c>
      <c r="AN771" s="4">
        <f t="shared" ref="AN771:AN812" si="103">(AM771-$AO$3)/($AO$2-$AO$3)</f>
        <v>8.6547303510574997E-4</v>
      </c>
      <c r="AO771" s="3"/>
      <c r="AP771">
        <v>0</v>
      </c>
      <c r="AR771" t="s">
        <v>0</v>
      </c>
      <c r="AT771" s="2">
        <v>1.694</v>
      </c>
      <c r="AU771" s="1">
        <f t="shared" si="99"/>
        <v>0.65194854811785308</v>
      </c>
      <c r="AV771" s="1">
        <f t="shared" si="100"/>
        <v>0.49040533537291653</v>
      </c>
      <c r="AW771" s="1">
        <f t="shared" si="101"/>
        <v>0.32886212262797987</v>
      </c>
    </row>
    <row r="772" spans="1:49" x14ac:dyDescent="0.2">
      <c r="A772">
        <v>770</v>
      </c>
      <c r="B772" t="s">
        <v>1576</v>
      </c>
      <c r="C772" t="s">
        <v>1575</v>
      </c>
      <c r="F772" t="s">
        <v>1574</v>
      </c>
      <c r="G772" t="s">
        <v>6</v>
      </c>
      <c r="H772" t="s">
        <v>5</v>
      </c>
      <c r="I772" t="s">
        <v>1573</v>
      </c>
      <c r="J772" t="s">
        <v>1572</v>
      </c>
      <c r="K772" t="s">
        <v>1571</v>
      </c>
      <c r="L772" t="s">
        <v>1570</v>
      </c>
      <c r="M772" t="s">
        <v>573</v>
      </c>
      <c r="N772">
        <v>4</v>
      </c>
      <c r="O772" t="s">
        <v>1569</v>
      </c>
      <c r="P772" t="s">
        <v>1568</v>
      </c>
      <c r="Q772" t="s">
        <v>1567</v>
      </c>
      <c r="R772" s="7">
        <v>37073</v>
      </c>
      <c r="S772" s="8">
        <f t="shared" si="96"/>
        <v>2001</v>
      </c>
      <c r="T772" s="8">
        <v>2001</v>
      </c>
      <c r="U772" s="8">
        <f t="shared" si="97"/>
        <v>21</v>
      </c>
      <c r="V772" s="7">
        <v>37073</v>
      </c>
      <c r="W772" t="s">
        <v>520</v>
      </c>
      <c r="X772" s="2">
        <v>0.33500000000000002</v>
      </c>
      <c r="Y772" s="6">
        <f t="shared" si="102"/>
        <v>8.94263367235258E-3</v>
      </c>
      <c r="AA772">
        <v>10964290</v>
      </c>
      <c r="AB772">
        <v>18201</v>
      </c>
      <c r="AD772" t="s">
        <v>1</v>
      </c>
      <c r="AE772">
        <v>11</v>
      </c>
      <c r="AF772">
        <v>4</v>
      </c>
      <c r="AH772" t="s">
        <v>1566</v>
      </c>
      <c r="AI772" t="s">
        <v>1565</v>
      </c>
      <c r="AJ772" t="s">
        <v>1564</v>
      </c>
      <c r="AK772" t="s">
        <v>1563</v>
      </c>
      <c r="AL772">
        <v>10</v>
      </c>
      <c r="AM772" s="5">
        <f t="shared" si="98"/>
        <v>0.47619047619047616</v>
      </c>
      <c r="AN772" s="4">
        <f t="shared" si="103"/>
        <v>7.2122752925479164E-4</v>
      </c>
      <c r="AO772" s="3"/>
      <c r="AP772">
        <v>0</v>
      </c>
      <c r="AR772" t="s">
        <v>0</v>
      </c>
      <c r="AT772" s="2">
        <v>1.694</v>
      </c>
      <c r="AU772" s="1">
        <f t="shared" si="99"/>
        <v>0.6476211829423244</v>
      </c>
      <c r="AV772" s="1">
        <f t="shared" si="100"/>
        <v>0.48319306008036861</v>
      </c>
      <c r="AW772" s="1">
        <f t="shared" si="101"/>
        <v>0.31876493721841281</v>
      </c>
    </row>
    <row r="773" spans="1:49" x14ac:dyDescent="0.2">
      <c r="A773">
        <v>771</v>
      </c>
      <c r="B773" t="s">
        <v>1562</v>
      </c>
      <c r="C773" t="s">
        <v>1561</v>
      </c>
      <c r="D773" t="s">
        <v>1560</v>
      </c>
      <c r="F773" t="s">
        <v>1559</v>
      </c>
      <c r="G773" t="s">
        <v>6</v>
      </c>
      <c r="H773" t="s">
        <v>5</v>
      </c>
      <c r="I773" t="s">
        <v>1558</v>
      </c>
      <c r="J773" t="s">
        <v>938</v>
      </c>
      <c r="K773" t="s">
        <v>937</v>
      </c>
      <c r="L773" t="s">
        <v>936</v>
      </c>
      <c r="M773" t="s">
        <v>295</v>
      </c>
      <c r="N773">
        <v>2</v>
      </c>
      <c r="O773" t="s">
        <v>1557</v>
      </c>
      <c r="P773" t="s">
        <v>1556</v>
      </c>
      <c r="Q773" t="s">
        <v>983</v>
      </c>
      <c r="R773" s="7">
        <v>37073</v>
      </c>
      <c r="S773" s="8">
        <f t="shared" si="96"/>
        <v>2001</v>
      </c>
      <c r="T773" s="8">
        <v>2001</v>
      </c>
      <c r="U773" s="8">
        <f t="shared" si="97"/>
        <v>21</v>
      </c>
      <c r="V773" s="7">
        <v>37073</v>
      </c>
      <c r="W773" t="s">
        <v>226</v>
      </c>
      <c r="X773" s="2">
        <v>1.6519999999999999</v>
      </c>
      <c r="Y773" s="6">
        <f t="shared" si="102"/>
        <v>4.409919649769093E-2</v>
      </c>
      <c r="AA773" t="s">
        <v>225</v>
      </c>
      <c r="AB773">
        <v>17337</v>
      </c>
      <c r="AD773" t="s">
        <v>1</v>
      </c>
      <c r="AE773">
        <v>49</v>
      </c>
      <c r="AF773">
        <v>7</v>
      </c>
      <c r="AH773" t="s">
        <v>1555</v>
      </c>
      <c r="AI773" t="s">
        <v>1554</v>
      </c>
      <c r="AJ773" t="s">
        <v>1553</v>
      </c>
      <c r="AK773" t="s">
        <v>1552</v>
      </c>
      <c r="AL773">
        <v>66</v>
      </c>
      <c r="AM773" s="5">
        <f t="shared" si="98"/>
        <v>3.1428571428571428</v>
      </c>
      <c r="AN773" s="4">
        <f t="shared" si="103"/>
        <v>4.7601016930816252E-3</v>
      </c>
      <c r="AO773" s="3"/>
      <c r="AP773">
        <v>0</v>
      </c>
      <c r="AQ773" t="s">
        <v>303</v>
      </c>
      <c r="AR773" t="s">
        <v>0</v>
      </c>
      <c r="AS773" t="s">
        <v>302</v>
      </c>
      <c r="AT773" s="2" t="s">
        <v>7</v>
      </c>
      <c r="AU773" s="1">
        <f t="shared" si="99"/>
        <v>3.2297468056308136</v>
      </c>
      <c r="AV773" s="1">
        <f t="shared" si="100"/>
        <v>2.4429649095386274</v>
      </c>
      <c r="AW773" s="1">
        <f t="shared" si="101"/>
        <v>1.6561830134464415</v>
      </c>
    </row>
    <row r="774" spans="1:49" x14ac:dyDescent="0.2">
      <c r="A774">
        <v>772</v>
      </c>
      <c r="B774" t="s">
        <v>1551</v>
      </c>
      <c r="C774" t="s">
        <v>1550</v>
      </c>
      <c r="D774" t="s">
        <v>1549</v>
      </c>
      <c r="F774" t="s">
        <v>1548</v>
      </c>
      <c r="G774" t="s">
        <v>6</v>
      </c>
      <c r="H774" t="s">
        <v>5</v>
      </c>
      <c r="I774" t="s">
        <v>808</v>
      </c>
      <c r="J774" t="s">
        <v>1547</v>
      </c>
      <c r="K774" t="s">
        <v>1546</v>
      </c>
      <c r="L774" t="s">
        <v>1545</v>
      </c>
      <c r="M774" t="s">
        <v>1544</v>
      </c>
      <c r="N774">
        <v>2</v>
      </c>
      <c r="O774" t="s">
        <v>1543</v>
      </c>
      <c r="P774" t="s">
        <v>1542</v>
      </c>
      <c r="Q774" t="s">
        <v>1541</v>
      </c>
      <c r="R774" s="7">
        <v>37073</v>
      </c>
      <c r="S774" s="8">
        <f t="shared" si="96"/>
        <v>2001</v>
      </c>
      <c r="T774" s="8">
        <v>2001</v>
      </c>
      <c r="U774" s="8">
        <f t="shared" si="97"/>
        <v>21</v>
      </c>
      <c r="V774" s="7">
        <v>37073</v>
      </c>
      <c r="W774" t="s">
        <v>226</v>
      </c>
      <c r="X774" s="2">
        <v>1.6519999999999999</v>
      </c>
      <c r="Y774" s="6">
        <f t="shared" si="102"/>
        <v>4.409919649769093E-2</v>
      </c>
      <c r="AA774" t="s">
        <v>225</v>
      </c>
      <c r="AB774">
        <v>17337</v>
      </c>
      <c r="AD774" t="s">
        <v>1</v>
      </c>
      <c r="AE774">
        <v>49</v>
      </c>
      <c r="AF774">
        <v>7</v>
      </c>
      <c r="AH774" t="s">
        <v>1540</v>
      </c>
      <c r="AI774" t="s">
        <v>1539</v>
      </c>
      <c r="AJ774" t="s">
        <v>1538</v>
      </c>
      <c r="AK774" t="s">
        <v>1537</v>
      </c>
      <c r="AL774">
        <v>19</v>
      </c>
      <c r="AM774" s="5">
        <f t="shared" si="98"/>
        <v>0.90476190476190477</v>
      </c>
      <c r="AN774" s="4">
        <f t="shared" si="103"/>
        <v>1.3703323055841042E-3</v>
      </c>
      <c r="AO774" s="3"/>
      <c r="AP774">
        <v>0</v>
      </c>
      <c r="AR774" t="s">
        <v>0</v>
      </c>
      <c r="AT774" s="2" t="s">
        <v>7</v>
      </c>
      <c r="AU774" s="1">
        <f t="shared" si="99"/>
        <v>3.1280537240058881</v>
      </c>
      <c r="AV774" s="1">
        <f t="shared" si="100"/>
        <v>2.2734764401637517</v>
      </c>
      <c r="AW774" s="1">
        <f t="shared" si="101"/>
        <v>1.4188991563216151</v>
      </c>
    </row>
    <row r="775" spans="1:49" x14ac:dyDescent="0.2">
      <c r="A775">
        <v>773</v>
      </c>
      <c r="B775" t="s">
        <v>1536</v>
      </c>
      <c r="C775" t="s">
        <v>1535</v>
      </c>
      <c r="D775" t="s">
        <v>1534</v>
      </c>
      <c r="F775" t="s">
        <v>1533</v>
      </c>
      <c r="G775" t="s">
        <v>6</v>
      </c>
      <c r="H775" t="s">
        <v>5</v>
      </c>
      <c r="I775" t="s">
        <v>1532</v>
      </c>
      <c r="J775" t="s">
        <v>239</v>
      </c>
      <c r="K775" t="s">
        <v>238</v>
      </c>
      <c r="L775" t="s">
        <v>237</v>
      </c>
      <c r="M775" t="s">
        <v>236</v>
      </c>
      <c r="N775">
        <v>2</v>
      </c>
      <c r="O775" t="s">
        <v>1531</v>
      </c>
      <c r="P775" t="s">
        <v>1530</v>
      </c>
      <c r="Q775" t="s">
        <v>1529</v>
      </c>
      <c r="R775" s="7">
        <v>37073</v>
      </c>
      <c r="S775" s="8">
        <f t="shared" si="96"/>
        <v>2001</v>
      </c>
      <c r="T775" s="8">
        <v>2001</v>
      </c>
      <c r="U775" s="8">
        <f t="shared" si="97"/>
        <v>21</v>
      </c>
      <c r="V775" s="7">
        <v>37073</v>
      </c>
      <c r="W775" t="s">
        <v>226</v>
      </c>
      <c r="X775" s="2">
        <v>1.6519999999999999</v>
      </c>
      <c r="Y775" s="6">
        <f t="shared" si="102"/>
        <v>4.409919649769093E-2</v>
      </c>
      <c r="AA775" t="s">
        <v>225</v>
      </c>
      <c r="AB775">
        <v>17337</v>
      </c>
      <c r="AD775" t="s">
        <v>1</v>
      </c>
      <c r="AE775">
        <v>49</v>
      </c>
      <c r="AF775">
        <v>7</v>
      </c>
      <c r="AH775" t="s">
        <v>1528</v>
      </c>
      <c r="AI775" t="s">
        <v>1527</v>
      </c>
      <c r="AJ775" t="s">
        <v>1526</v>
      </c>
      <c r="AK775" t="s">
        <v>1525</v>
      </c>
      <c r="AL775">
        <v>468</v>
      </c>
      <c r="AM775" s="5">
        <f t="shared" si="98"/>
        <v>22.285714285714285</v>
      </c>
      <c r="AN775" s="4">
        <f t="shared" si="103"/>
        <v>3.375344836912425E-2</v>
      </c>
      <c r="AO775" s="3"/>
      <c r="AP775">
        <v>0</v>
      </c>
      <c r="AR775" t="s">
        <v>0</v>
      </c>
      <c r="AT775" s="2" t="s">
        <v>7</v>
      </c>
      <c r="AU775" s="1">
        <f t="shared" si="99"/>
        <v>4.0995472059120921</v>
      </c>
      <c r="AV775" s="1">
        <f t="shared" si="100"/>
        <v>3.8926322433407585</v>
      </c>
      <c r="AW775" s="1">
        <f t="shared" si="101"/>
        <v>3.6857172807694254</v>
      </c>
    </row>
    <row r="776" spans="1:49" x14ac:dyDescent="0.2">
      <c r="A776">
        <v>774</v>
      </c>
      <c r="B776" t="s">
        <v>1524</v>
      </c>
      <c r="C776" t="s">
        <v>1523</v>
      </c>
      <c r="D776" t="s">
        <v>1522</v>
      </c>
      <c r="F776" t="s">
        <v>1521</v>
      </c>
      <c r="G776" t="s">
        <v>6</v>
      </c>
      <c r="H776" t="s">
        <v>5</v>
      </c>
      <c r="I776" t="s">
        <v>1520</v>
      </c>
      <c r="J776">
        <v>60027271</v>
      </c>
      <c r="K776" t="s">
        <v>646</v>
      </c>
      <c r="L776" t="s">
        <v>278</v>
      </c>
      <c r="M776" t="s">
        <v>3</v>
      </c>
      <c r="N776">
        <v>2</v>
      </c>
      <c r="O776" t="s">
        <v>1519</v>
      </c>
      <c r="P776" t="s">
        <v>1518</v>
      </c>
      <c r="Q776" t="s">
        <v>753</v>
      </c>
      <c r="R776" s="7">
        <v>37073</v>
      </c>
      <c r="S776" s="8">
        <f t="shared" si="96"/>
        <v>2001</v>
      </c>
      <c r="T776" s="8">
        <v>2001</v>
      </c>
      <c r="U776" s="8">
        <f t="shared" si="97"/>
        <v>21</v>
      </c>
      <c r="V776" s="7">
        <v>37073</v>
      </c>
      <c r="W776" t="s">
        <v>103</v>
      </c>
      <c r="X776" s="2">
        <v>1.3720000000000001</v>
      </c>
      <c r="Y776" s="6">
        <f t="shared" si="102"/>
        <v>3.662475641333654E-2</v>
      </c>
      <c r="AA776">
        <v>189480</v>
      </c>
      <c r="AB776">
        <v>17366</v>
      </c>
      <c r="AD776" t="s">
        <v>1</v>
      </c>
      <c r="AE776">
        <v>49</v>
      </c>
      <c r="AF776">
        <v>7</v>
      </c>
      <c r="AH776" t="s">
        <v>1517</v>
      </c>
      <c r="AI776" t="s">
        <v>1516</v>
      </c>
      <c r="AJ776" t="s">
        <v>1515</v>
      </c>
      <c r="AK776" t="s">
        <v>1514</v>
      </c>
      <c r="AL776">
        <v>16</v>
      </c>
      <c r="AM776" s="5">
        <f t="shared" si="98"/>
        <v>0.76190476190476186</v>
      </c>
      <c r="AN776" s="4">
        <f t="shared" si="103"/>
        <v>1.1539640468076666E-3</v>
      </c>
      <c r="AO776" s="3"/>
      <c r="AP776">
        <v>0</v>
      </c>
      <c r="AQ776" t="s">
        <v>256</v>
      </c>
      <c r="AR776" t="s">
        <v>0</v>
      </c>
      <c r="AS776" t="s">
        <v>217</v>
      </c>
      <c r="AT776" s="2" t="s">
        <v>7</v>
      </c>
      <c r="AU776" s="1">
        <f t="shared" si="99"/>
        <v>2.5983518703377877</v>
      </c>
      <c r="AV776" s="1">
        <f t="shared" si="100"/>
        <v>1.8889360230072105</v>
      </c>
      <c r="AW776" s="1">
        <f t="shared" si="101"/>
        <v>1.1795201756766329</v>
      </c>
    </row>
    <row r="777" spans="1:49" x14ac:dyDescent="0.2">
      <c r="A777">
        <v>775</v>
      </c>
      <c r="B777" t="s">
        <v>1513</v>
      </c>
      <c r="C777" t="s">
        <v>1512</v>
      </c>
      <c r="D777" t="s">
        <v>1511</v>
      </c>
      <c r="F777" t="s">
        <v>1510</v>
      </c>
      <c r="G777" t="s">
        <v>6</v>
      </c>
      <c r="H777" t="s">
        <v>5</v>
      </c>
      <c r="I777" t="s">
        <v>108</v>
      </c>
      <c r="J777">
        <v>60012370</v>
      </c>
      <c r="K777" t="s">
        <v>107</v>
      </c>
      <c r="L777" t="s">
        <v>106</v>
      </c>
      <c r="M777" t="s">
        <v>105</v>
      </c>
      <c r="N777">
        <v>2</v>
      </c>
      <c r="O777" t="s">
        <v>1509</v>
      </c>
      <c r="P777" t="s">
        <v>1508</v>
      </c>
      <c r="Q777" t="s">
        <v>528</v>
      </c>
      <c r="R777" s="7">
        <v>37073</v>
      </c>
      <c r="S777" s="8">
        <f t="shared" si="96"/>
        <v>2001</v>
      </c>
      <c r="T777" s="8">
        <v>2001</v>
      </c>
      <c r="U777" s="8">
        <f t="shared" si="97"/>
        <v>21</v>
      </c>
      <c r="V777" s="7">
        <v>37073</v>
      </c>
      <c r="W777" t="s">
        <v>252</v>
      </c>
      <c r="X777" s="2">
        <v>2.9860000000000002</v>
      </c>
      <c r="Y777" s="6">
        <f t="shared" si="102"/>
        <v>7.9709564613865094E-2</v>
      </c>
      <c r="AA777">
        <v>7338716</v>
      </c>
      <c r="AB777">
        <v>18902</v>
      </c>
      <c r="AD777" t="s">
        <v>1</v>
      </c>
      <c r="AE777">
        <v>19</v>
      </c>
      <c r="AF777">
        <v>7</v>
      </c>
      <c r="AH777" t="s">
        <v>1507</v>
      </c>
      <c r="AI777" t="s">
        <v>1506</v>
      </c>
      <c r="AJ777" t="s">
        <v>1505</v>
      </c>
      <c r="AK777" t="s">
        <v>1504</v>
      </c>
      <c r="AL777">
        <v>8</v>
      </c>
      <c r="AM777" s="5">
        <f t="shared" si="98"/>
        <v>0.38095238095238093</v>
      </c>
      <c r="AN777" s="4">
        <f t="shared" si="103"/>
        <v>5.7698202340383331E-4</v>
      </c>
      <c r="AO777" s="3"/>
      <c r="AP777">
        <v>0</v>
      </c>
      <c r="AQ777" t="s">
        <v>100</v>
      </c>
      <c r="AR777" t="s">
        <v>104</v>
      </c>
      <c r="AS777" t="s">
        <v>99</v>
      </c>
      <c r="AT777" s="2" t="s">
        <v>7</v>
      </c>
      <c r="AU777" s="1">
        <f t="shared" si="99"/>
        <v>5.5969789836726704</v>
      </c>
      <c r="AV777" s="1">
        <f t="shared" si="100"/>
        <v>4.0143273318634467</v>
      </c>
      <c r="AW777" s="1">
        <f t="shared" si="101"/>
        <v>2.4316756800542212</v>
      </c>
    </row>
    <row r="778" spans="1:49" x14ac:dyDescent="0.2">
      <c r="A778">
        <v>776</v>
      </c>
      <c r="B778" t="s">
        <v>1503</v>
      </c>
      <c r="C778" t="s">
        <v>1502</v>
      </c>
      <c r="D778" t="s">
        <v>1501</v>
      </c>
      <c r="F778" t="s">
        <v>1500</v>
      </c>
      <c r="G778" t="s">
        <v>6</v>
      </c>
      <c r="H778" t="s">
        <v>5</v>
      </c>
      <c r="I778" t="s">
        <v>301</v>
      </c>
      <c r="J778" t="s">
        <v>1499</v>
      </c>
      <c r="K778" t="s">
        <v>1498</v>
      </c>
      <c r="L778" t="s">
        <v>1497</v>
      </c>
      <c r="M778" t="s">
        <v>44</v>
      </c>
      <c r="N778">
        <v>2</v>
      </c>
      <c r="O778" t="s">
        <v>300</v>
      </c>
      <c r="P778" t="s">
        <v>299</v>
      </c>
      <c r="Q778" t="s">
        <v>1496</v>
      </c>
      <c r="R778" s="7">
        <v>37073</v>
      </c>
      <c r="S778" s="8">
        <f t="shared" si="96"/>
        <v>2001</v>
      </c>
      <c r="T778" s="8">
        <v>2001</v>
      </c>
      <c r="U778" s="8">
        <f t="shared" si="97"/>
        <v>21</v>
      </c>
      <c r="V778" s="7">
        <v>37073</v>
      </c>
      <c r="W778" t="s">
        <v>252</v>
      </c>
      <c r="X778" s="2">
        <v>2.9860000000000002</v>
      </c>
      <c r="Y778" s="6">
        <f t="shared" si="102"/>
        <v>7.9709564613865094E-2</v>
      </c>
      <c r="AA778">
        <v>7338716</v>
      </c>
      <c r="AB778">
        <v>18902</v>
      </c>
      <c r="AD778" t="s">
        <v>1</v>
      </c>
      <c r="AE778">
        <v>19</v>
      </c>
      <c r="AF778">
        <v>7</v>
      </c>
      <c r="AH778" t="s">
        <v>1495</v>
      </c>
      <c r="AI778" t="s">
        <v>1494</v>
      </c>
      <c r="AJ778" t="s">
        <v>1493</v>
      </c>
      <c r="AK778" t="s">
        <v>1492</v>
      </c>
      <c r="AL778">
        <v>17</v>
      </c>
      <c r="AM778" s="5">
        <f t="shared" si="98"/>
        <v>0.80952380952380953</v>
      </c>
      <c r="AN778" s="4">
        <f t="shared" si="103"/>
        <v>1.2260867997331457E-3</v>
      </c>
      <c r="AO778" s="3"/>
      <c r="AP778">
        <v>0</v>
      </c>
      <c r="AR778" t="s">
        <v>0</v>
      </c>
      <c r="AT778" s="2" t="s">
        <v>7</v>
      </c>
      <c r="AU778" s="1">
        <f t="shared" si="99"/>
        <v>5.6164521269625505</v>
      </c>
      <c r="AV778" s="1">
        <f t="shared" si="100"/>
        <v>4.0467825706799117</v>
      </c>
      <c r="AW778" s="1">
        <f t="shared" si="101"/>
        <v>2.4771130143972728</v>
      </c>
    </row>
    <row r="779" spans="1:49" x14ac:dyDescent="0.2">
      <c r="A779">
        <v>777</v>
      </c>
      <c r="B779" t="s">
        <v>1491</v>
      </c>
      <c r="C779" t="s">
        <v>1490</v>
      </c>
      <c r="D779" t="s">
        <v>1489</v>
      </c>
      <c r="F779" t="s">
        <v>1488</v>
      </c>
      <c r="G779" t="s">
        <v>6</v>
      </c>
      <c r="H779" t="s">
        <v>5</v>
      </c>
      <c r="I779" t="s">
        <v>1487</v>
      </c>
      <c r="J779">
        <v>60013983</v>
      </c>
      <c r="K779" t="s">
        <v>351</v>
      </c>
      <c r="L779" t="s">
        <v>350</v>
      </c>
      <c r="M779" t="s">
        <v>285</v>
      </c>
      <c r="N779">
        <v>5</v>
      </c>
      <c r="O779" t="s">
        <v>1486</v>
      </c>
      <c r="P779" t="s">
        <v>1485</v>
      </c>
      <c r="Q779" t="s">
        <v>1484</v>
      </c>
      <c r="R779" s="7">
        <v>37073</v>
      </c>
      <c r="S779" s="8">
        <f t="shared" si="96"/>
        <v>2001</v>
      </c>
      <c r="T779" s="8">
        <v>2001</v>
      </c>
      <c r="U779" s="8">
        <f t="shared" si="97"/>
        <v>21</v>
      </c>
      <c r="V779" s="7">
        <v>37073</v>
      </c>
      <c r="W779" t="s">
        <v>103</v>
      </c>
      <c r="X779" s="2">
        <v>1.3720000000000001</v>
      </c>
      <c r="Y779" s="6">
        <f t="shared" si="102"/>
        <v>3.662475641333654E-2</v>
      </c>
      <c r="AA779">
        <v>189480</v>
      </c>
      <c r="AB779">
        <v>17366</v>
      </c>
      <c r="AD779" t="s">
        <v>1</v>
      </c>
      <c r="AE779">
        <v>49</v>
      </c>
      <c r="AF779">
        <v>7</v>
      </c>
      <c r="AH779" t="s">
        <v>1483</v>
      </c>
      <c r="AI779" t="s">
        <v>1482</v>
      </c>
      <c r="AJ779" t="s">
        <v>1481</v>
      </c>
      <c r="AK779" t="s">
        <v>1480</v>
      </c>
      <c r="AL779">
        <v>48</v>
      </c>
      <c r="AM779" s="5">
        <f t="shared" si="98"/>
        <v>2.2857142857142856</v>
      </c>
      <c r="AN779" s="4">
        <f t="shared" si="103"/>
        <v>3.4618921404229999E-3</v>
      </c>
      <c r="AO779" s="3"/>
      <c r="AP779">
        <v>0</v>
      </c>
      <c r="AR779">
        <v>9040199</v>
      </c>
      <c r="AT779" s="2" t="s">
        <v>7</v>
      </c>
      <c r="AU779" s="1">
        <f t="shared" si="99"/>
        <v>2.6675897131462478</v>
      </c>
      <c r="AV779" s="1">
        <f t="shared" si="100"/>
        <v>2.0043324276879773</v>
      </c>
      <c r="AW779" s="1">
        <f t="shared" si="101"/>
        <v>1.3410751422297063</v>
      </c>
    </row>
    <row r="780" spans="1:49" x14ac:dyDescent="0.2">
      <c r="A780">
        <v>778</v>
      </c>
      <c r="B780" t="s">
        <v>1479</v>
      </c>
      <c r="C780" t="s">
        <v>1478</v>
      </c>
      <c r="D780" t="s">
        <v>1477</v>
      </c>
      <c r="F780" t="s">
        <v>1476</v>
      </c>
      <c r="G780" t="s">
        <v>6</v>
      </c>
      <c r="H780" t="s">
        <v>5</v>
      </c>
      <c r="I780" t="s">
        <v>1475</v>
      </c>
      <c r="J780" t="s">
        <v>1474</v>
      </c>
      <c r="K780" t="s">
        <v>1473</v>
      </c>
      <c r="L780" t="s">
        <v>1472</v>
      </c>
      <c r="M780" t="s">
        <v>1471</v>
      </c>
      <c r="N780">
        <v>4</v>
      </c>
      <c r="O780" t="s">
        <v>1470</v>
      </c>
      <c r="P780" t="s">
        <v>1469</v>
      </c>
      <c r="Q780" t="s">
        <v>1468</v>
      </c>
      <c r="R780" s="7">
        <v>37073</v>
      </c>
      <c r="S780" s="8">
        <f t="shared" si="96"/>
        <v>2001</v>
      </c>
      <c r="T780" s="8">
        <v>2001</v>
      </c>
      <c r="U780" s="8">
        <f t="shared" si="97"/>
        <v>21</v>
      </c>
      <c r="V780" s="7">
        <v>37073</v>
      </c>
      <c r="W780" t="s">
        <v>226</v>
      </c>
      <c r="X780" s="2">
        <v>1.6519999999999999</v>
      </c>
      <c r="Y780" s="6">
        <f t="shared" si="102"/>
        <v>4.409919649769093E-2</v>
      </c>
      <c r="AA780" t="s">
        <v>225</v>
      </c>
      <c r="AB780">
        <v>17337</v>
      </c>
      <c r="AD780" t="s">
        <v>1</v>
      </c>
      <c r="AE780">
        <v>49</v>
      </c>
      <c r="AF780">
        <v>7</v>
      </c>
      <c r="AH780" t="s">
        <v>1467</v>
      </c>
      <c r="AI780" t="s">
        <v>1466</v>
      </c>
      <c r="AJ780" t="s">
        <v>1465</v>
      </c>
      <c r="AK780" t="s">
        <v>1464</v>
      </c>
      <c r="AL780">
        <v>784</v>
      </c>
      <c r="AM780" s="5">
        <f t="shared" si="98"/>
        <v>37.333333333333336</v>
      </c>
      <c r="AN780" s="4">
        <f t="shared" si="103"/>
        <v>5.6544238293575667E-2</v>
      </c>
      <c r="AO780" s="3"/>
      <c r="AP780">
        <v>0</v>
      </c>
      <c r="AR780" t="s">
        <v>0</v>
      </c>
      <c r="AT780" s="2" t="s">
        <v>7</v>
      </c>
      <c r="AU780" s="1">
        <f t="shared" si="99"/>
        <v>4.7832709036456356</v>
      </c>
      <c r="AV780" s="1">
        <f t="shared" si="100"/>
        <v>5.0321717395633296</v>
      </c>
      <c r="AW780" s="1">
        <f t="shared" si="101"/>
        <v>5.2810725754810246</v>
      </c>
    </row>
    <row r="781" spans="1:49" x14ac:dyDescent="0.2">
      <c r="A781">
        <v>779</v>
      </c>
      <c r="B781" t="s">
        <v>1463</v>
      </c>
      <c r="C781" t="s">
        <v>1462</v>
      </c>
      <c r="F781" t="s">
        <v>1461</v>
      </c>
      <c r="G781" t="s">
        <v>6</v>
      </c>
      <c r="H781" t="s">
        <v>5</v>
      </c>
      <c r="I781" t="s">
        <v>1460</v>
      </c>
      <c r="J781">
        <v>101215382</v>
      </c>
      <c r="K781" t="s">
        <v>1459</v>
      </c>
      <c r="L781" t="s">
        <v>1458</v>
      </c>
      <c r="M781" t="s">
        <v>126</v>
      </c>
      <c r="N781">
        <v>1</v>
      </c>
      <c r="O781" t="s">
        <v>1457</v>
      </c>
      <c r="P781">
        <v>7006960245</v>
      </c>
      <c r="Q781">
        <v>101215382</v>
      </c>
      <c r="R781" s="7">
        <v>37073</v>
      </c>
      <c r="S781" s="8">
        <f t="shared" si="96"/>
        <v>2001</v>
      </c>
      <c r="T781" s="8">
        <v>2001</v>
      </c>
      <c r="U781" s="8">
        <f t="shared" si="97"/>
        <v>21</v>
      </c>
      <c r="V781" s="7">
        <v>37073</v>
      </c>
      <c r="W781" t="s">
        <v>888</v>
      </c>
      <c r="X781" s="2">
        <v>0.39600000000000002</v>
      </c>
      <c r="Y781" s="6">
        <f t="shared" si="102"/>
        <v>1.0570993833586931E-2</v>
      </c>
      <c r="AA781">
        <v>8858985</v>
      </c>
      <c r="AB781">
        <v>25993</v>
      </c>
      <c r="AD781" t="s">
        <v>1</v>
      </c>
      <c r="AE781">
        <v>16</v>
      </c>
      <c r="AF781">
        <v>7</v>
      </c>
      <c r="AH781" t="s">
        <v>723</v>
      </c>
      <c r="AI781" t="s">
        <v>1456</v>
      </c>
      <c r="AK781" t="s">
        <v>1455</v>
      </c>
      <c r="AL781">
        <v>0</v>
      </c>
      <c r="AM781" s="5">
        <f t="shared" si="98"/>
        <v>0</v>
      </c>
      <c r="AN781" s="4">
        <f t="shared" si="103"/>
        <v>0</v>
      </c>
      <c r="AO781" s="3"/>
      <c r="AP781">
        <v>0</v>
      </c>
      <c r="AR781" t="s">
        <v>0</v>
      </c>
      <c r="AT781" s="2" t="s">
        <v>7</v>
      </c>
      <c r="AU781" s="1">
        <f t="shared" si="99"/>
        <v>0.73996956835108518</v>
      </c>
      <c r="AV781" s="1">
        <f t="shared" si="100"/>
        <v>0.52854969167934651</v>
      </c>
      <c r="AW781" s="1">
        <f t="shared" si="101"/>
        <v>0.3171298150076079</v>
      </c>
    </row>
    <row r="782" spans="1:49" x14ac:dyDescent="0.2">
      <c r="A782">
        <v>780</v>
      </c>
      <c r="B782" t="s">
        <v>1454</v>
      </c>
      <c r="C782" t="s">
        <v>1453</v>
      </c>
      <c r="D782" t="s">
        <v>1452</v>
      </c>
      <c r="F782" t="s">
        <v>1451</v>
      </c>
      <c r="G782" t="s">
        <v>6</v>
      </c>
      <c r="H782" t="s">
        <v>5</v>
      </c>
      <c r="I782" t="s">
        <v>740</v>
      </c>
      <c r="J782" t="s">
        <v>739</v>
      </c>
      <c r="K782" t="s">
        <v>738</v>
      </c>
      <c r="L782" t="s">
        <v>231</v>
      </c>
      <c r="M782" t="s">
        <v>230</v>
      </c>
      <c r="N782">
        <v>2</v>
      </c>
      <c r="O782" t="s">
        <v>1450</v>
      </c>
      <c r="P782" t="s">
        <v>737</v>
      </c>
      <c r="Q782" t="s">
        <v>1449</v>
      </c>
      <c r="R782" s="7">
        <v>37073</v>
      </c>
      <c r="S782" s="8">
        <f t="shared" si="96"/>
        <v>2001</v>
      </c>
      <c r="T782" s="8">
        <v>2001</v>
      </c>
      <c r="U782" s="8">
        <f t="shared" si="97"/>
        <v>21</v>
      </c>
      <c r="V782" s="7">
        <v>37073</v>
      </c>
      <c r="W782" t="s">
        <v>252</v>
      </c>
      <c r="X782" s="2">
        <v>2.9860000000000002</v>
      </c>
      <c r="Y782" s="6">
        <f t="shared" si="102"/>
        <v>7.9709564613865094E-2</v>
      </c>
      <c r="AA782">
        <v>7338716</v>
      </c>
      <c r="AB782">
        <v>18902</v>
      </c>
      <c r="AD782" t="s">
        <v>1</v>
      </c>
      <c r="AE782">
        <v>19</v>
      </c>
      <c r="AF782">
        <v>7</v>
      </c>
      <c r="AH782" t="s">
        <v>1448</v>
      </c>
      <c r="AI782" t="s">
        <v>1447</v>
      </c>
      <c r="AJ782" t="s">
        <v>1446</v>
      </c>
      <c r="AK782" t="s">
        <v>1445</v>
      </c>
      <c r="AL782">
        <v>14</v>
      </c>
      <c r="AM782" s="5">
        <f t="shared" si="98"/>
        <v>0.66666666666666663</v>
      </c>
      <c r="AN782" s="4">
        <f t="shared" si="103"/>
        <v>1.0097185409567082E-3</v>
      </c>
      <c r="AO782" s="3"/>
      <c r="AP782">
        <v>0</v>
      </c>
      <c r="AR782" t="s">
        <v>0</v>
      </c>
      <c r="AT782" s="2" t="s">
        <v>7</v>
      </c>
      <c r="AU782" s="1">
        <f t="shared" si="99"/>
        <v>5.6099610791992571</v>
      </c>
      <c r="AV782" s="1">
        <f t="shared" si="100"/>
        <v>4.0359641577410894</v>
      </c>
      <c r="AW782" s="1">
        <f t="shared" si="101"/>
        <v>2.4619672362829226</v>
      </c>
    </row>
    <row r="783" spans="1:49" x14ac:dyDescent="0.2">
      <c r="A783">
        <v>781</v>
      </c>
      <c r="B783" t="s">
        <v>1444</v>
      </c>
      <c r="C783" t="s">
        <v>1443</v>
      </c>
      <c r="D783" t="s">
        <v>1442</v>
      </c>
      <c r="F783" t="s">
        <v>1441</v>
      </c>
      <c r="G783" t="s">
        <v>6</v>
      </c>
      <c r="H783" t="s">
        <v>5</v>
      </c>
      <c r="I783" t="s">
        <v>992</v>
      </c>
      <c r="J783" t="s">
        <v>1440</v>
      </c>
      <c r="K783" t="s">
        <v>1439</v>
      </c>
      <c r="L783" t="s">
        <v>1438</v>
      </c>
      <c r="M783" t="s">
        <v>1437</v>
      </c>
      <c r="N783">
        <v>4</v>
      </c>
      <c r="O783" t="s">
        <v>1436</v>
      </c>
      <c r="P783" t="s">
        <v>1435</v>
      </c>
      <c r="Q783" t="s">
        <v>1434</v>
      </c>
      <c r="R783" s="7">
        <v>37073</v>
      </c>
      <c r="S783" s="8">
        <f t="shared" si="96"/>
        <v>2001</v>
      </c>
      <c r="T783" s="8">
        <v>2001</v>
      </c>
      <c r="U783" s="8">
        <f t="shared" si="97"/>
        <v>21</v>
      </c>
      <c r="V783" s="7">
        <v>37073</v>
      </c>
      <c r="W783" t="s">
        <v>252</v>
      </c>
      <c r="X783" s="2">
        <v>2.9860000000000002</v>
      </c>
      <c r="Y783" s="6">
        <f t="shared" si="102"/>
        <v>7.9709564613865094E-2</v>
      </c>
      <c r="AA783">
        <v>7338716</v>
      </c>
      <c r="AB783">
        <v>18902</v>
      </c>
      <c r="AD783" t="s">
        <v>1</v>
      </c>
      <c r="AE783">
        <v>19</v>
      </c>
      <c r="AF783">
        <v>7</v>
      </c>
      <c r="AH783" t="s">
        <v>1433</v>
      </c>
      <c r="AI783" t="s">
        <v>1432</v>
      </c>
      <c r="AJ783" t="s">
        <v>1431</v>
      </c>
      <c r="AK783" t="s">
        <v>1430</v>
      </c>
      <c r="AL783">
        <v>133</v>
      </c>
      <c r="AM783" s="5">
        <f t="shared" si="98"/>
        <v>6.333333333333333</v>
      </c>
      <c r="AN783" s="4">
        <f t="shared" si="103"/>
        <v>9.5923261390887284E-3</v>
      </c>
      <c r="AO783" s="3"/>
      <c r="AP783">
        <v>0</v>
      </c>
      <c r="AQ783" t="s">
        <v>823</v>
      </c>
      <c r="AR783" t="s">
        <v>987</v>
      </c>
      <c r="AS783" t="s">
        <v>822</v>
      </c>
      <c r="AT783" s="2" t="s">
        <v>7</v>
      </c>
      <c r="AU783" s="1">
        <f t="shared" si="99"/>
        <v>5.8674393071432176</v>
      </c>
      <c r="AV783" s="1">
        <f t="shared" si="100"/>
        <v>4.4650945376476914</v>
      </c>
      <c r="AW783" s="1">
        <f t="shared" si="101"/>
        <v>3.0627497681521634</v>
      </c>
    </row>
    <row r="784" spans="1:49" x14ac:dyDescent="0.2">
      <c r="A784">
        <v>782</v>
      </c>
      <c r="B784" t="s">
        <v>1429</v>
      </c>
      <c r="C784" t="s">
        <v>1428</v>
      </c>
      <c r="D784" t="s">
        <v>1427</v>
      </c>
      <c r="F784" t="s">
        <v>1426</v>
      </c>
      <c r="G784" t="s">
        <v>6</v>
      </c>
      <c r="H784" t="s">
        <v>5</v>
      </c>
      <c r="I784" t="s">
        <v>137</v>
      </c>
      <c r="J784" t="s">
        <v>938</v>
      </c>
      <c r="K784" t="s">
        <v>937</v>
      </c>
      <c r="L784" t="s">
        <v>936</v>
      </c>
      <c r="M784" t="s">
        <v>295</v>
      </c>
      <c r="N784">
        <v>3</v>
      </c>
      <c r="O784" t="s">
        <v>1425</v>
      </c>
      <c r="P784" t="s">
        <v>1424</v>
      </c>
      <c r="Q784" t="s">
        <v>1423</v>
      </c>
      <c r="R784" s="7">
        <v>37073</v>
      </c>
      <c r="S784" s="8">
        <f t="shared" si="96"/>
        <v>2001</v>
      </c>
      <c r="T784" s="8">
        <v>2001</v>
      </c>
      <c r="U784" s="8">
        <f t="shared" si="97"/>
        <v>21</v>
      </c>
      <c r="V784" s="7">
        <v>37073</v>
      </c>
      <c r="W784" t="s">
        <v>252</v>
      </c>
      <c r="X784" s="2">
        <v>2.9860000000000002</v>
      </c>
      <c r="Y784" s="6">
        <f t="shared" si="102"/>
        <v>7.9709564613865094E-2</v>
      </c>
      <c r="AA784">
        <v>7338716</v>
      </c>
      <c r="AB784">
        <v>18902</v>
      </c>
      <c r="AD784" t="s">
        <v>1</v>
      </c>
      <c r="AE784">
        <v>19</v>
      </c>
      <c r="AF784">
        <v>7</v>
      </c>
      <c r="AH784" t="s">
        <v>1422</v>
      </c>
      <c r="AI784" t="s">
        <v>1421</v>
      </c>
      <c r="AJ784" t="s">
        <v>1420</v>
      </c>
      <c r="AK784" t="s">
        <v>1419</v>
      </c>
      <c r="AL784">
        <v>40</v>
      </c>
      <c r="AM784" s="5">
        <f t="shared" si="98"/>
        <v>1.9047619047619047</v>
      </c>
      <c r="AN784" s="4">
        <f t="shared" si="103"/>
        <v>2.8849101170191666E-3</v>
      </c>
      <c r="AO784" s="3"/>
      <c r="AP784">
        <v>0</v>
      </c>
      <c r="AQ784" t="s">
        <v>303</v>
      </c>
      <c r="AR784" t="s">
        <v>1418</v>
      </c>
      <c r="AS784" t="s">
        <v>302</v>
      </c>
      <c r="AT784" s="2" t="s">
        <v>7</v>
      </c>
      <c r="AU784" s="1">
        <f t="shared" si="99"/>
        <v>5.666216826481131</v>
      </c>
      <c r="AV784" s="1">
        <f t="shared" si="100"/>
        <v>4.1297237365442125</v>
      </c>
      <c r="AW784" s="1">
        <f t="shared" si="101"/>
        <v>2.5932306466072941</v>
      </c>
    </row>
    <row r="785" spans="1:49" x14ac:dyDescent="0.2">
      <c r="A785">
        <v>783</v>
      </c>
      <c r="B785" t="s">
        <v>1417</v>
      </c>
      <c r="C785" t="s">
        <v>1416</v>
      </c>
      <c r="D785" t="s">
        <v>1415</v>
      </c>
      <c r="F785" t="s">
        <v>1414</v>
      </c>
      <c r="G785" t="s">
        <v>6</v>
      </c>
      <c r="H785" t="s">
        <v>5</v>
      </c>
      <c r="I785" t="s">
        <v>156</v>
      </c>
      <c r="J785" t="s">
        <v>1413</v>
      </c>
      <c r="K785" t="s">
        <v>1412</v>
      </c>
      <c r="L785" t="s">
        <v>1411</v>
      </c>
      <c r="M785" t="s">
        <v>14</v>
      </c>
      <c r="N785">
        <v>3</v>
      </c>
      <c r="O785" t="s">
        <v>1410</v>
      </c>
      <c r="P785" t="s">
        <v>1409</v>
      </c>
      <c r="Q785" t="s">
        <v>1408</v>
      </c>
      <c r="R785" s="7">
        <v>37073</v>
      </c>
      <c r="S785" s="8">
        <f t="shared" si="96"/>
        <v>2001</v>
      </c>
      <c r="T785" s="8">
        <v>2001</v>
      </c>
      <c r="U785" s="8">
        <f t="shared" si="97"/>
        <v>21</v>
      </c>
      <c r="V785" s="7">
        <v>37073</v>
      </c>
      <c r="W785" t="s">
        <v>252</v>
      </c>
      <c r="X785" s="2">
        <v>2.9860000000000002</v>
      </c>
      <c r="Y785" s="6">
        <f t="shared" si="102"/>
        <v>7.9709564613865094E-2</v>
      </c>
      <c r="AA785">
        <v>7338716</v>
      </c>
      <c r="AB785">
        <v>18902</v>
      </c>
      <c r="AD785" t="s">
        <v>1</v>
      </c>
      <c r="AE785">
        <v>19</v>
      </c>
      <c r="AF785">
        <v>7</v>
      </c>
      <c r="AH785" t="s">
        <v>1407</v>
      </c>
      <c r="AI785" t="s">
        <v>1406</v>
      </c>
      <c r="AJ785" t="s">
        <v>1405</v>
      </c>
      <c r="AK785" t="s">
        <v>1404</v>
      </c>
      <c r="AL785">
        <v>12</v>
      </c>
      <c r="AM785" s="5">
        <f t="shared" si="98"/>
        <v>0.5714285714285714</v>
      </c>
      <c r="AN785" s="4">
        <f t="shared" si="103"/>
        <v>8.6547303510574997E-4</v>
      </c>
      <c r="AO785" s="3"/>
      <c r="AP785">
        <v>0</v>
      </c>
      <c r="AQ785" t="s">
        <v>21</v>
      </c>
      <c r="AR785" t="s">
        <v>1403</v>
      </c>
      <c r="AS785" t="s">
        <v>20</v>
      </c>
      <c r="AT785" s="2" t="s">
        <v>7</v>
      </c>
      <c r="AU785" s="1">
        <f t="shared" si="99"/>
        <v>5.6056337140237282</v>
      </c>
      <c r="AV785" s="1">
        <f t="shared" si="100"/>
        <v>4.0287518824485415</v>
      </c>
      <c r="AW785" s="1">
        <f t="shared" si="101"/>
        <v>2.4518700508733553</v>
      </c>
    </row>
    <row r="786" spans="1:49" x14ac:dyDescent="0.2">
      <c r="A786">
        <v>784</v>
      </c>
      <c r="B786" t="s">
        <v>1402</v>
      </c>
      <c r="C786" t="s">
        <v>1401</v>
      </c>
      <c r="D786" t="s">
        <v>1400</v>
      </c>
      <c r="F786" t="s">
        <v>1399</v>
      </c>
      <c r="G786" t="s">
        <v>6</v>
      </c>
      <c r="H786" t="s">
        <v>5</v>
      </c>
      <c r="I786" t="s">
        <v>1398</v>
      </c>
      <c r="J786">
        <v>60103653</v>
      </c>
      <c r="K786" t="s">
        <v>291</v>
      </c>
      <c r="L786" t="s">
        <v>146</v>
      </c>
      <c r="M786" t="s">
        <v>145</v>
      </c>
      <c r="N786">
        <v>1</v>
      </c>
      <c r="O786" t="s">
        <v>1397</v>
      </c>
      <c r="P786">
        <v>7102492958</v>
      </c>
      <c r="Q786">
        <v>60103653</v>
      </c>
      <c r="R786" s="7">
        <v>37073</v>
      </c>
      <c r="S786" s="8">
        <f t="shared" si="96"/>
        <v>2001</v>
      </c>
      <c r="T786" s="8">
        <v>2001</v>
      </c>
      <c r="U786" s="8">
        <f t="shared" si="97"/>
        <v>21</v>
      </c>
      <c r="V786" s="7">
        <v>37073</v>
      </c>
      <c r="W786" t="s">
        <v>226</v>
      </c>
      <c r="X786" s="2">
        <v>1.6519999999999999</v>
      </c>
      <c r="Y786" s="6">
        <f t="shared" si="102"/>
        <v>4.409919649769093E-2</v>
      </c>
      <c r="AA786" t="s">
        <v>225</v>
      </c>
      <c r="AB786">
        <v>17337</v>
      </c>
      <c r="AD786" t="s">
        <v>1</v>
      </c>
      <c r="AE786">
        <v>49</v>
      </c>
      <c r="AF786">
        <v>7</v>
      </c>
      <c r="AH786" t="s">
        <v>1396</v>
      </c>
      <c r="AI786" t="s">
        <v>1395</v>
      </c>
      <c r="AJ786" t="s">
        <v>1394</v>
      </c>
      <c r="AK786" t="s">
        <v>1393</v>
      </c>
      <c r="AL786">
        <v>7</v>
      </c>
      <c r="AM786" s="5">
        <f t="shared" si="98"/>
        <v>0.33333333333333331</v>
      </c>
      <c r="AN786" s="4">
        <f t="shared" si="103"/>
        <v>5.048592704783541E-4</v>
      </c>
      <c r="AO786" s="3"/>
      <c r="AP786">
        <v>0</v>
      </c>
      <c r="AR786" t="s">
        <v>0</v>
      </c>
      <c r="AT786" s="2" t="s">
        <v>7</v>
      </c>
      <c r="AU786" s="1">
        <f t="shared" si="99"/>
        <v>3.1020895329527156</v>
      </c>
      <c r="AV786" s="1">
        <f t="shared" si="100"/>
        <v>2.2302027884084641</v>
      </c>
      <c r="AW786" s="1">
        <f t="shared" si="101"/>
        <v>1.3583160438642126</v>
      </c>
    </row>
    <row r="787" spans="1:49" x14ac:dyDescent="0.2">
      <c r="A787">
        <v>785</v>
      </c>
      <c r="B787" t="s">
        <v>1392</v>
      </c>
      <c r="C787" t="s">
        <v>1391</v>
      </c>
      <c r="D787" t="s">
        <v>1390</v>
      </c>
      <c r="F787" t="s">
        <v>1389</v>
      </c>
      <c r="G787" t="s">
        <v>6</v>
      </c>
      <c r="H787" t="s">
        <v>5</v>
      </c>
      <c r="I787" t="s">
        <v>1388</v>
      </c>
      <c r="J787" t="s">
        <v>1387</v>
      </c>
      <c r="K787" t="s">
        <v>1386</v>
      </c>
      <c r="L787" t="s">
        <v>1385</v>
      </c>
      <c r="M787" t="s">
        <v>1384</v>
      </c>
      <c r="N787">
        <v>4</v>
      </c>
      <c r="O787" t="s">
        <v>1383</v>
      </c>
      <c r="P787" t="s">
        <v>1382</v>
      </c>
      <c r="Q787" t="s">
        <v>1381</v>
      </c>
      <c r="R787" s="7">
        <v>37073</v>
      </c>
      <c r="S787" s="8">
        <f t="shared" si="96"/>
        <v>2001</v>
      </c>
      <c r="T787" s="8">
        <v>2001</v>
      </c>
      <c r="U787" s="8">
        <f t="shared" si="97"/>
        <v>21</v>
      </c>
      <c r="V787" s="7">
        <v>37073</v>
      </c>
      <c r="W787" t="s">
        <v>258</v>
      </c>
      <c r="X787" s="2">
        <v>0.92900000000000005</v>
      </c>
      <c r="Y787" s="6">
        <f t="shared" si="102"/>
        <v>2.4799124422732979E-2</v>
      </c>
      <c r="AA787">
        <v>10897798</v>
      </c>
      <c r="AB787">
        <v>18896</v>
      </c>
      <c r="AD787" t="s">
        <v>1</v>
      </c>
      <c r="AE787">
        <v>5</v>
      </c>
      <c r="AF787">
        <v>7</v>
      </c>
      <c r="AH787" t="s">
        <v>1380</v>
      </c>
      <c r="AI787" t="s">
        <v>1379</v>
      </c>
      <c r="AJ787" t="s">
        <v>1378</v>
      </c>
      <c r="AK787" t="s">
        <v>1377</v>
      </c>
      <c r="AL787">
        <v>68</v>
      </c>
      <c r="AM787" s="5">
        <f t="shared" si="98"/>
        <v>3.2380952380952381</v>
      </c>
      <c r="AN787" s="4">
        <f t="shared" si="103"/>
        <v>4.904347198932583E-3</v>
      </c>
      <c r="AO787" s="3"/>
      <c r="AP787">
        <v>0</v>
      </c>
      <c r="AR787" t="s">
        <v>0</v>
      </c>
      <c r="AT787" s="2">
        <v>3.4359999999999999</v>
      </c>
      <c r="AU787" s="1">
        <f t="shared" si="99"/>
        <v>1.883069125559286</v>
      </c>
      <c r="AV787" s="1">
        <f t="shared" si="100"/>
        <v>1.485173581083278</v>
      </c>
      <c r="AW787" s="1">
        <f t="shared" si="101"/>
        <v>1.0872780366072703</v>
      </c>
    </row>
    <row r="788" spans="1:49" x14ac:dyDescent="0.2">
      <c r="A788">
        <v>786</v>
      </c>
      <c r="B788" t="s">
        <v>1376</v>
      </c>
      <c r="C788" t="s">
        <v>1375</v>
      </c>
      <c r="D788" t="s">
        <v>1374</v>
      </c>
      <c r="F788" t="s">
        <v>1373</v>
      </c>
      <c r="G788" t="s">
        <v>6</v>
      </c>
      <c r="H788" t="s">
        <v>5</v>
      </c>
      <c r="I788" t="s">
        <v>1372</v>
      </c>
      <c r="J788" t="s">
        <v>1371</v>
      </c>
      <c r="K788" t="s">
        <v>1370</v>
      </c>
      <c r="L788" t="s">
        <v>1369</v>
      </c>
      <c r="M788" t="s">
        <v>370</v>
      </c>
      <c r="N788">
        <v>2</v>
      </c>
      <c r="O788" t="s">
        <v>1368</v>
      </c>
      <c r="P788" t="s">
        <v>1367</v>
      </c>
      <c r="Q788" t="s">
        <v>1366</v>
      </c>
      <c r="R788" s="7">
        <v>37073</v>
      </c>
      <c r="S788" s="8">
        <f t="shared" si="96"/>
        <v>2001</v>
      </c>
      <c r="T788" s="8">
        <v>2001</v>
      </c>
      <c r="U788" s="8">
        <f t="shared" si="97"/>
        <v>21</v>
      </c>
      <c r="V788" s="7">
        <v>37073</v>
      </c>
      <c r="W788" t="s">
        <v>283</v>
      </c>
      <c r="X788" s="2">
        <v>2.141</v>
      </c>
      <c r="Y788" s="6">
        <f t="shared" si="102"/>
        <v>5.7152772216438434E-2</v>
      </c>
      <c r="AA788">
        <v>1962892</v>
      </c>
      <c r="AB788">
        <v>17360</v>
      </c>
      <c r="AD788" t="s">
        <v>1</v>
      </c>
      <c r="AE788">
        <v>39</v>
      </c>
      <c r="AF788">
        <v>7</v>
      </c>
      <c r="AH788" t="s">
        <v>1365</v>
      </c>
      <c r="AI788" t="s">
        <v>1364</v>
      </c>
      <c r="AJ788" t="s">
        <v>1363</v>
      </c>
      <c r="AK788" t="s">
        <v>1362</v>
      </c>
      <c r="AL788">
        <v>22</v>
      </c>
      <c r="AM788" s="5">
        <f t="shared" si="98"/>
        <v>1.0476190476190477</v>
      </c>
      <c r="AN788" s="4">
        <f t="shared" si="103"/>
        <v>1.5867005643605417E-3</v>
      </c>
      <c r="AO788" s="3"/>
      <c r="AP788">
        <v>0</v>
      </c>
      <c r="AR788" t="s">
        <v>0</v>
      </c>
      <c r="AT788" s="2" t="s">
        <v>7</v>
      </c>
      <c r="AU788" s="1">
        <f t="shared" si="99"/>
        <v>4.0482950720815065</v>
      </c>
      <c r="AV788" s="1">
        <f t="shared" si="100"/>
        <v>2.9369736390399486</v>
      </c>
      <c r="AW788" s="1">
        <f t="shared" si="101"/>
        <v>1.8256522059983911</v>
      </c>
    </row>
    <row r="789" spans="1:49" x14ac:dyDescent="0.2">
      <c r="A789">
        <v>787</v>
      </c>
      <c r="B789" t="s">
        <v>1361</v>
      </c>
      <c r="C789" t="s">
        <v>1360</v>
      </c>
      <c r="D789" t="s">
        <v>1359</v>
      </c>
      <c r="F789" t="s">
        <v>1358</v>
      </c>
      <c r="G789" t="s">
        <v>6</v>
      </c>
      <c r="H789" t="s">
        <v>5</v>
      </c>
      <c r="I789" t="s">
        <v>410</v>
      </c>
      <c r="J789" t="s">
        <v>268</v>
      </c>
      <c r="K789" t="s">
        <v>267</v>
      </c>
      <c r="L789" t="s">
        <v>266</v>
      </c>
      <c r="M789" t="s">
        <v>44</v>
      </c>
      <c r="N789">
        <v>1</v>
      </c>
      <c r="O789" t="s">
        <v>1357</v>
      </c>
      <c r="P789">
        <v>7006800187</v>
      </c>
      <c r="Q789" t="s">
        <v>265</v>
      </c>
      <c r="R789" s="7">
        <v>37073</v>
      </c>
      <c r="S789" s="8">
        <f t="shared" si="96"/>
        <v>2001</v>
      </c>
      <c r="T789" s="8">
        <v>2001</v>
      </c>
      <c r="U789" s="8">
        <f t="shared" si="97"/>
        <v>21</v>
      </c>
      <c r="V789" s="7">
        <v>37073</v>
      </c>
      <c r="W789" t="s">
        <v>258</v>
      </c>
      <c r="X789" s="2">
        <v>0.92900000000000005</v>
      </c>
      <c r="Y789" s="6">
        <f t="shared" si="102"/>
        <v>2.4799124422732979E-2</v>
      </c>
      <c r="AA789">
        <v>10897798</v>
      </c>
      <c r="AB789">
        <v>18896</v>
      </c>
      <c r="AD789" t="s">
        <v>1</v>
      </c>
      <c r="AE789">
        <v>5</v>
      </c>
      <c r="AF789">
        <v>7</v>
      </c>
      <c r="AH789" t="s">
        <v>1356</v>
      </c>
      <c r="AI789" t="s">
        <v>1355</v>
      </c>
      <c r="AJ789" t="s">
        <v>1354</v>
      </c>
      <c r="AK789" t="s">
        <v>1353</v>
      </c>
      <c r="AL789">
        <v>311</v>
      </c>
      <c r="AM789" s="5">
        <f t="shared" si="98"/>
        <v>14.80952380952381</v>
      </c>
      <c r="AN789" s="4">
        <f t="shared" si="103"/>
        <v>2.2430176159824022E-2</v>
      </c>
      <c r="AO789" s="3"/>
      <c r="AP789">
        <v>0</v>
      </c>
      <c r="AR789" t="s">
        <v>0</v>
      </c>
      <c r="AT789" s="2">
        <v>3.4359999999999999</v>
      </c>
      <c r="AU789" s="1">
        <f t="shared" si="99"/>
        <v>2.4088439943860291</v>
      </c>
      <c r="AV789" s="1">
        <f t="shared" si="100"/>
        <v>2.3614650291278503</v>
      </c>
      <c r="AW789" s="1">
        <f t="shared" si="101"/>
        <v>2.3140860638696705</v>
      </c>
    </row>
    <row r="790" spans="1:49" x14ac:dyDescent="0.2">
      <c r="A790">
        <v>788</v>
      </c>
      <c r="B790" t="s">
        <v>1352</v>
      </c>
      <c r="C790" t="s">
        <v>1351</v>
      </c>
      <c r="D790" t="s">
        <v>1350</v>
      </c>
      <c r="F790" t="s">
        <v>1349</v>
      </c>
      <c r="G790" t="s">
        <v>6</v>
      </c>
      <c r="H790" t="s">
        <v>5</v>
      </c>
      <c r="I790" t="s">
        <v>1348</v>
      </c>
      <c r="J790" t="s">
        <v>1347</v>
      </c>
      <c r="K790" t="s">
        <v>1346</v>
      </c>
      <c r="L790" t="s">
        <v>1345</v>
      </c>
      <c r="M790" t="s">
        <v>1344</v>
      </c>
      <c r="N790">
        <v>2</v>
      </c>
      <c r="O790" t="s">
        <v>1343</v>
      </c>
      <c r="P790" t="s">
        <v>1342</v>
      </c>
      <c r="Q790" t="s">
        <v>1341</v>
      </c>
      <c r="R790" s="7">
        <v>37073</v>
      </c>
      <c r="S790" s="8">
        <f t="shared" si="96"/>
        <v>2001</v>
      </c>
      <c r="T790" s="8">
        <v>2001</v>
      </c>
      <c r="U790" s="8">
        <f t="shared" si="97"/>
        <v>21</v>
      </c>
      <c r="V790" s="7">
        <v>37073</v>
      </c>
      <c r="W790" t="s">
        <v>283</v>
      </c>
      <c r="X790" s="2">
        <v>2.141</v>
      </c>
      <c r="Y790" s="6">
        <f t="shared" si="102"/>
        <v>5.7152772216438434E-2</v>
      </c>
      <c r="AA790">
        <v>1962892</v>
      </c>
      <c r="AB790">
        <v>17360</v>
      </c>
      <c r="AD790" t="s">
        <v>1</v>
      </c>
      <c r="AE790">
        <v>39</v>
      </c>
      <c r="AF790">
        <v>7</v>
      </c>
      <c r="AH790" t="s">
        <v>1340</v>
      </c>
      <c r="AI790" t="s">
        <v>1339</v>
      </c>
      <c r="AJ790" t="s">
        <v>1338</v>
      </c>
      <c r="AK790" t="s">
        <v>1337</v>
      </c>
      <c r="AL790">
        <v>20</v>
      </c>
      <c r="AM790" s="5">
        <f t="shared" si="98"/>
        <v>0.95238095238095233</v>
      </c>
      <c r="AN790" s="4">
        <f t="shared" si="103"/>
        <v>1.4424550585095833E-3</v>
      </c>
      <c r="AO790" s="3"/>
      <c r="AP790">
        <v>0</v>
      </c>
      <c r="AQ790" t="s">
        <v>1336</v>
      </c>
      <c r="AR790" t="s">
        <v>0</v>
      </c>
      <c r="AS790" t="s">
        <v>1335</v>
      </c>
      <c r="AT790" s="2" t="s">
        <v>7</v>
      </c>
      <c r="AU790" s="1">
        <f t="shared" si="99"/>
        <v>4.0439677069059776</v>
      </c>
      <c r="AV790" s="1">
        <f t="shared" si="100"/>
        <v>2.9297613637474007</v>
      </c>
      <c r="AW790" s="1">
        <f t="shared" si="101"/>
        <v>1.815555020588824</v>
      </c>
    </row>
    <row r="791" spans="1:49" x14ac:dyDescent="0.2">
      <c r="A791">
        <v>789</v>
      </c>
      <c r="B791" t="s">
        <v>1334</v>
      </c>
      <c r="C791" t="s">
        <v>1333</v>
      </c>
      <c r="D791" t="s">
        <v>1332</v>
      </c>
      <c r="F791" t="s">
        <v>1331</v>
      </c>
      <c r="G791" t="s">
        <v>6</v>
      </c>
      <c r="H791" t="s">
        <v>5</v>
      </c>
      <c r="I791" t="s">
        <v>426</v>
      </c>
      <c r="J791" t="s">
        <v>1330</v>
      </c>
      <c r="K791" t="s">
        <v>1329</v>
      </c>
      <c r="L791" t="s">
        <v>1328</v>
      </c>
      <c r="M791" t="s">
        <v>14</v>
      </c>
      <c r="N791">
        <v>3</v>
      </c>
      <c r="O791" t="s">
        <v>1327</v>
      </c>
      <c r="P791" t="s">
        <v>1326</v>
      </c>
      <c r="Q791" t="s">
        <v>1325</v>
      </c>
      <c r="R791" s="7">
        <v>37073</v>
      </c>
      <c r="S791" s="8">
        <f t="shared" si="96"/>
        <v>2001</v>
      </c>
      <c r="T791" s="8">
        <v>2001</v>
      </c>
      <c r="U791" s="8">
        <f t="shared" si="97"/>
        <v>21</v>
      </c>
      <c r="V791" s="7">
        <v>37073</v>
      </c>
      <c r="W791" t="s">
        <v>284</v>
      </c>
      <c r="X791" s="2">
        <v>1.468</v>
      </c>
      <c r="Y791" s="6">
        <f t="shared" si="102"/>
        <v>3.9187421585115186E-2</v>
      </c>
      <c r="AA791">
        <v>906778</v>
      </c>
      <c r="AB791">
        <v>18931</v>
      </c>
      <c r="AD791" t="s">
        <v>1</v>
      </c>
      <c r="AE791">
        <v>49</v>
      </c>
      <c r="AF791">
        <v>7</v>
      </c>
      <c r="AH791" t="s">
        <v>1324</v>
      </c>
      <c r="AI791" t="s">
        <v>1323</v>
      </c>
      <c r="AJ791" t="s">
        <v>1322</v>
      </c>
      <c r="AK791" t="s">
        <v>1321</v>
      </c>
      <c r="AL791">
        <v>88</v>
      </c>
      <c r="AM791" s="5">
        <f t="shared" si="98"/>
        <v>4.1904761904761907</v>
      </c>
      <c r="AN791" s="4">
        <f t="shared" si="103"/>
        <v>6.3468022574421669E-3</v>
      </c>
      <c r="AO791" s="3"/>
      <c r="AP791">
        <v>0</v>
      </c>
      <c r="AR791" t="s">
        <v>0</v>
      </c>
      <c r="AT791" s="2">
        <v>5.0830000000000002</v>
      </c>
      <c r="AU791" s="1">
        <f t="shared" si="99"/>
        <v>2.9335235786813278</v>
      </c>
      <c r="AV791" s="1">
        <f t="shared" si="100"/>
        <v>2.276711192127868</v>
      </c>
      <c r="AW791" s="1">
        <f t="shared" si="101"/>
        <v>1.6198988055744072</v>
      </c>
    </row>
    <row r="792" spans="1:49" x14ac:dyDescent="0.2">
      <c r="A792">
        <v>790</v>
      </c>
      <c r="B792" t="s">
        <v>1320</v>
      </c>
      <c r="C792" t="s">
        <v>1319</v>
      </c>
      <c r="D792" t="s">
        <v>1318</v>
      </c>
      <c r="F792" t="s">
        <v>1317</v>
      </c>
      <c r="G792" t="s">
        <v>6</v>
      </c>
      <c r="H792" t="s">
        <v>5</v>
      </c>
      <c r="I792" t="s">
        <v>1316</v>
      </c>
      <c r="J792" t="s">
        <v>1315</v>
      </c>
      <c r="K792" t="s">
        <v>1314</v>
      </c>
      <c r="L792" t="s">
        <v>1313</v>
      </c>
      <c r="M792" t="s">
        <v>1312</v>
      </c>
      <c r="N792">
        <v>5</v>
      </c>
      <c r="O792" t="s">
        <v>1311</v>
      </c>
      <c r="P792" t="s">
        <v>1310</v>
      </c>
      <c r="Q792" t="s">
        <v>1309</v>
      </c>
      <c r="R792" s="7">
        <v>37073</v>
      </c>
      <c r="S792" s="8">
        <f t="shared" si="96"/>
        <v>2001</v>
      </c>
      <c r="T792" s="8">
        <v>2001</v>
      </c>
      <c r="U792" s="8">
        <f t="shared" si="97"/>
        <v>21</v>
      </c>
      <c r="V792" s="7">
        <v>37073</v>
      </c>
      <c r="W792" t="s">
        <v>463</v>
      </c>
      <c r="X792" s="2">
        <v>2.5710000000000002</v>
      </c>
      <c r="Y792" s="6">
        <f t="shared" si="102"/>
        <v>6.8631376631696966E-2</v>
      </c>
      <c r="AA792">
        <v>189200</v>
      </c>
      <c r="AB792">
        <v>17278</v>
      </c>
      <c r="AD792" t="s">
        <v>1</v>
      </c>
      <c r="AE792">
        <v>36</v>
      </c>
      <c r="AF792">
        <v>7</v>
      </c>
      <c r="AH792" t="s">
        <v>1308</v>
      </c>
      <c r="AI792" t="s">
        <v>1307</v>
      </c>
      <c r="AJ792" t="s">
        <v>1306</v>
      </c>
      <c r="AK792" t="s">
        <v>1305</v>
      </c>
      <c r="AL792">
        <v>39</v>
      </c>
      <c r="AM792" s="5">
        <f t="shared" si="98"/>
        <v>1.8571428571428572</v>
      </c>
      <c r="AN792" s="4">
        <f t="shared" si="103"/>
        <v>2.8127873640936877E-3</v>
      </c>
      <c r="AO792" s="3"/>
      <c r="AP792">
        <v>0</v>
      </c>
      <c r="AQ792" t="s">
        <v>1304</v>
      </c>
      <c r="AR792" t="s">
        <v>1303</v>
      </c>
      <c r="AS792" t="s">
        <v>1302</v>
      </c>
      <c r="AT792" s="2">
        <v>5.0129999999999999</v>
      </c>
      <c r="AU792" s="1">
        <f t="shared" si="99"/>
        <v>4.8885799851415976</v>
      </c>
      <c r="AV792" s="1">
        <f t="shared" si="100"/>
        <v>3.5722081997895323</v>
      </c>
      <c r="AW792" s="1">
        <f t="shared" si="101"/>
        <v>2.2558364144374674</v>
      </c>
    </row>
    <row r="793" spans="1:49" x14ac:dyDescent="0.2">
      <c r="A793">
        <v>791</v>
      </c>
      <c r="B793" t="s">
        <v>1301</v>
      </c>
      <c r="C793" t="s">
        <v>1300</v>
      </c>
      <c r="D793" t="s">
        <v>1299</v>
      </c>
      <c r="F793" t="s">
        <v>1298</v>
      </c>
      <c r="G793" t="s">
        <v>6</v>
      </c>
      <c r="H793" t="s">
        <v>5</v>
      </c>
      <c r="I793" t="s">
        <v>1297</v>
      </c>
      <c r="J793" t="s">
        <v>1296</v>
      </c>
      <c r="K793" t="s">
        <v>1295</v>
      </c>
      <c r="L793" t="s">
        <v>1294</v>
      </c>
      <c r="M793" t="s">
        <v>1293</v>
      </c>
      <c r="N793">
        <v>5</v>
      </c>
      <c r="O793" t="s">
        <v>1292</v>
      </c>
      <c r="P793" t="s">
        <v>1291</v>
      </c>
      <c r="Q793" t="s">
        <v>1290</v>
      </c>
      <c r="R793" s="7">
        <v>37073</v>
      </c>
      <c r="S793" s="8">
        <f t="shared" si="96"/>
        <v>2001</v>
      </c>
      <c r="T793" s="8">
        <v>2001</v>
      </c>
      <c r="U793" s="8">
        <f t="shared" si="97"/>
        <v>21</v>
      </c>
      <c r="V793" s="7">
        <v>37073</v>
      </c>
      <c r="W793" t="s">
        <v>463</v>
      </c>
      <c r="X793" s="2">
        <v>2.5710000000000002</v>
      </c>
      <c r="Y793" s="6">
        <f t="shared" si="102"/>
        <v>6.8631376631696966E-2</v>
      </c>
      <c r="AA793">
        <v>189200</v>
      </c>
      <c r="AB793">
        <v>17278</v>
      </c>
      <c r="AD793" t="s">
        <v>1</v>
      </c>
      <c r="AE793">
        <v>36</v>
      </c>
      <c r="AF793">
        <v>7</v>
      </c>
      <c r="AH793" t="s">
        <v>1289</v>
      </c>
      <c r="AI793" t="s">
        <v>1288</v>
      </c>
      <c r="AJ793" t="s">
        <v>1287</v>
      </c>
      <c r="AK793" t="s">
        <v>1286</v>
      </c>
      <c r="AL793">
        <v>84</v>
      </c>
      <c r="AM793" s="5">
        <f t="shared" si="98"/>
        <v>4</v>
      </c>
      <c r="AN793" s="4">
        <f t="shared" si="103"/>
        <v>6.0583112457402496E-3</v>
      </c>
      <c r="AO793" s="3"/>
      <c r="AP793">
        <v>0</v>
      </c>
      <c r="AR793" t="s">
        <v>0</v>
      </c>
      <c r="AT793" s="2">
        <v>5.0129999999999999</v>
      </c>
      <c r="AU793" s="1">
        <f t="shared" si="99"/>
        <v>4.9859457015909951</v>
      </c>
      <c r="AV793" s="1">
        <f t="shared" si="100"/>
        <v>3.7344843938718606</v>
      </c>
      <c r="AW793" s="1">
        <f t="shared" si="101"/>
        <v>2.4830230861527265</v>
      </c>
    </row>
    <row r="794" spans="1:49" x14ac:dyDescent="0.2">
      <c r="A794">
        <v>792</v>
      </c>
      <c r="B794" t="s">
        <v>1285</v>
      </c>
      <c r="C794" t="s">
        <v>1284</v>
      </c>
      <c r="D794" t="s">
        <v>1283</v>
      </c>
      <c r="F794" t="s">
        <v>1282</v>
      </c>
      <c r="G794" t="s">
        <v>6</v>
      </c>
      <c r="H794" t="s">
        <v>5</v>
      </c>
      <c r="I794" t="s">
        <v>740</v>
      </c>
      <c r="J794" t="s">
        <v>1281</v>
      </c>
      <c r="K794" t="s">
        <v>1280</v>
      </c>
      <c r="L794" t="s">
        <v>1279</v>
      </c>
      <c r="M794" t="s">
        <v>584</v>
      </c>
      <c r="N794">
        <v>3</v>
      </c>
      <c r="O794" t="s">
        <v>1278</v>
      </c>
      <c r="P794" t="s">
        <v>1277</v>
      </c>
      <c r="Q794" t="s">
        <v>1276</v>
      </c>
      <c r="R794" s="7">
        <v>37073</v>
      </c>
      <c r="S794" s="8">
        <f t="shared" si="96"/>
        <v>2001</v>
      </c>
      <c r="T794" s="8">
        <v>2001</v>
      </c>
      <c r="U794" s="8">
        <f t="shared" si="97"/>
        <v>21</v>
      </c>
      <c r="V794" s="7">
        <v>37073</v>
      </c>
      <c r="W794" t="s">
        <v>284</v>
      </c>
      <c r="X794" s="2">
        <v>1.468</v>
      </c>
      <c r="Y794" s="6">
        <f t="shared" si="102"/>
        <v>3.9187421585115186E-2</v>
      </c>
      <c r="AA794">
        <v>906778</v>
      </c>
      <c r="AB794">
        <v>18931</v>
      </c>
      <c r="AD794" t="s">
        <v>1</v>
      </c>
      <c r="AE794">
        <v>49</v>
      </c>
      <c r="AF794">
        <v>7</v>
      </c>
      <c r="AH794" t="s">
        <v>1275</v>
      </c>
      <c r="AI794" t="s">
        <v>1274</v>
      </c>
      <c r="AJ794" t="s">
        <v>1273</v>
      </c>
      <c r="AK794" t="s">
        <v>1272</v>
      </c>
      <c r="AL794">
        <v>40</v>
      </c>
      <c r="AM794" s="5">
        <f t="shared" si="98"/>
        <v>1.9047619047619047</v>
      </c>
      <c r="AN794" s="4">
        <f t="shared" si="103"/>
        <v>2.8849101170191666E-3</v>
      </c>
      <c r="AO794" s="3"/>
      <c r="AP794">
        <v>0</v>
      </c>
      <c r="AR794" t="s">
        <v>0</v>
      </c>
      <c r="AT794" s="2">
        <v>5.0830000000000002</v>
      </c>
      <c r="AU794" s="1">
        <f t="shared" si="99"/>
        <v>2.8296668144686379</v>
      </c>
      <c r="AV794" s="1">
        <f t="shared" si="100"/>
        <v>2.1036165851067179</v>
      </c>
      <c r="AW794" s="1">
        <f t="shared" si="101"/>
        <v>1.3775663557447972</v>
      </c>
    </row>
    <row r="795" spans="1:49" x14ac:dyDescent="0.2">
      <c r="A795">
        <v>793</v>
      </c>
      <c r="B795" t="s">
        <v>1271</v>
      </c>
      <c r="C795" t="s">
        <v>1270</v>
      </c>
      <c r="F795" t="s">
        <v>1269</v>
      </c>
      <c r="G795" t="s">
        <v>6</v>
      </c>
      <c r="H795" t="s">
        <v>5</v>
      </c>
      <c r="I795" t="s">
        <v>456</v>
      </c>
      <c r="J795" t="s">
        <v>962</v>
      </c>
      <c r="K795" t="s">
        <v>455</v>
      </c>
      <c r="L795" t="s">
        <v>961</v>
      </c>
      <c r="M795" t="s">
        <v>45</v>
      </c>
      <c r="N795">
        <v>4</v>
      </c>
      <c r="O795" t="s">
        <v>1268</v>
      </c>
      <c r="P795" t="s">
        <v>1267</v>
      </c>
      <c r="Q795" t="s">
        <v>1266</v>
      </c>
      <c r="R795" s="7">
        <v>37073</v>
      </c>
      <c r="S795" s="8">
        <f t="shared" si="96"/>
        <v>2001</v>
      </c>
      <c r="T795" s="8">
        <v>2001</v>
      </c>
      <c r="U795" s="8">
        <f t="shared" si="97"/>
        <v>21</v>
      </c>
      <c r="V795" s="7">
        <v>37073</v>
      </c>
      <c r="W795" t="s">
        <v>960</v>
      </c>
      <c r="X795" s="2">
        <v>1.276</v>
      </c>
      <c r="Y795" s="6">
        <f t="shared" si="102"/>
        <v>3.4062091241557887E-2</v>
      </c>
      <c r="AA795">
        <v>214922</v>
      </c>
      <c r="AB795">
        <v>75087</v>
      </c>
      <c r="AD795" t="s">
        <v>1</v>
      </c>
      <c r="AE795">
        <v>40</v>
      </c>
      <c r="AF795" s="12">
        <v>0.29166666666666669</v>
      </c>
      <c r="AI795" t="s">
        <v>1265</v>
      </c>
      <c r="AJ795" t="s">
        <v>1264</v>
      </c>
      <c r="AK795" t="s">
        <v>1263</v>
      </c>
      <c r="AL795">
        <v>9</v>
      </c>
      <c r="AM795" s="5">
        <f t="shared" si="98"/>
        <v>0.42857142857142855</v>
      </c>
      <c r="AN795" s="4">
        <f t="shared" si="103"/>
        <v>6.4910477632931242E-4</v>
      </c>
      <c r="AO795" s="3"/>
      <c r="AP795">
        <v>0</v>
      </c>
      <c r="AR795" t="s">
        <v>0</v>
      </c>
      <c r="AT795" s="2" t="s">
        <v>7</v>
      </c>
      <c r="AU795" s="1">
        <f t="shared" si="99"/>
        <v>2.4038195301989314</v>
      </c>
      <c r="AV795" s="1">
        <f t="shared" si="100"/>
        <v>1.73555980089436</v>
      </c>
      <c r="AW795" s="1">
        <f t="shared" si="101"/>
        <v>1.0673000715897885</v>
      </c>
    </row>
    <row r="796" spans="1:49" x14ac:dyDescent="0.2">
      <c r="A796">
        <v>794</v>
      </c>
      <c r="B796" t="s">
        <v>1262</v>
      </c>
      <c r="C796" t="s">
        <v>1261</v>
      </c>
      <c r="F796" t="s">
        <v>1260</v>
      </c>
      <c r="G796" t="s">
        <v>6</v>
      </c>
      <c r="H796" t="s">
        <v>5</v>
      </c>
      <c r="I796" t="s">
        <v>1259</v>
      </c>
      <c r="J796" t="s">
        <v>1258</v>
      </c>
      <c r="K796" t="s">
        <v>1257</v>
      </c>
      <c r="L796" t="s">
        <v>1256</v>
      </c>
      <c r="M796" t="s">
        <v>50</v>
      </c>
      <c r="N796">
        <v>4</v>
      </c>
      <c r="O796" t="s">
        <v>1255</v>
      </c>
      <c r="P796" t="s">
        <v>1254</v>
      </c>
      <c r="Q796" t="s">
        <v>1253</v>
      </c>
      <c r="R796" s="7">
        <v>37073</v>
      </c>
      <c r="S796" s="8">
        <f t="shared" si="96"/>
        <v>2001</v>
      </c>
      <c r="T796" s="8">
        <v>2001</v>
      </c>
      <c r="U796" s="8">
        <f t="shared" si="97"/>
        <v>21</v>
      </c>
      <c r="V796" s="7">
        <v>37073</v>
      </c>
      <c r="W796" t="s">
        <v>960</v>
      </c>
      <c r="X796" s="2">
        <v>1.276</v>
      </c>
      <c r="Y796" s="6">
        <f t="shared" si="102"/>
        <v>3.4062091241557887E-2</v>
      </c>
      <c r="AA796">
        <v>214922</v>
      </c>
      <c r="AB796">
        <v>75087</v>
      </c>
      <c r="AD796" t="s">
        <v>1</v>
      </c>
      <c r="AE796">
        <v>40</v>
      </c>
      <c r="AF796" s="12">
        <v>0.29166666666666669</v>
      </c>
      <c r="AI796" t="s">
        <v>1252</v>
      </c>
      <c r="AJ796" t="s">
        <v>1251</v>
      </c>
      <c r="AK796" t="s">
        <v>1250</v>
      </c>
      <c r="AL796">
        <v>21</v>
      </c>
      <c r="AM796" s="5">
        <f t="shared" si="98"/>
        <v>1</v>
      </c>
      <c r="AN796" s="4">
        <f t="shared" si="103"/>
        <v>1.5145778114350624E-3</v>
      </c>
      <c r="AO796" s="3"/>
      <c r="AP796">
        <v>0</v>
      </c>
      <c r="AR796" t="s">
        <v>0</v>
      </c>
      <c r="AT796" s="2" t="s">
        <v>7</v>
      </c>
      <c r="AU796" s="1">
        <f t="shared" si="99"/>
        <v>2.4297837212521038</v>
      </c>
      <c r="AV796" s="1">
        <f t="shared" si="100"/>
        <v>1.7788334526496474</v>
      </c>
      <c r="AW796" s="1">
        <f t="shared" si="101"/>
        <v>1.1278831840471908</v>
      </c>
    </row>
    <row r="797" spans="1:49" x14ac:dyDescent="0.2">
      <c r="A797">
        <v>795</v>
      </c>
      <c r="B797" t="s">
        <v>1249</v>
      </c>
      <c r="C797" t="s">
        <v>1248</v>
      </c>
      <c r="D797" t="s">
        <v>1247</v>
      </c>
      <c r="F797" t="s">
        <v>1246</v>
      </c>
      <c r="G797" t="s">
        <v>6</v>
      </c>
      <c r="H797" t="s">
        <v>5</v>
      </c>
      <c r="I797" t="s">
        <v>1245</v>
      </c>
      <c r="J797" t="s">
        <v>1002</v>
      </c>
      <c r="K797" t="s">
        <v>1001</v>
      </c>
      <c r="L797" t="s">
        <v>878</v>
      </c>
      <c r="M797" t="s">
        <v>44</v>
      </c>
      <c r="N797">
        <v>2</v>
      </c>
      <c r="O797" t="s">
        <v>1244</v>
      </c>
      <c r="P797" t="s">
        <v>1243</v>
      </c>
      <c r="Q797" t="s">
        <v>1000</v>
      </c>
      <c r="R797" s="7">
        <v>37073</v>
      </c>
      <c r="S797" s="8">
        <f t="shared" si="96"/>
        <v>2001</v>
      </c>
      <c r="T797" s="8">
        <v>2001</v>
      </c>
      <c r="U797" s="8">
        <f t="shared" si="97"/>
        <v>21</v>
      </c>
      <c r="V797" s="7">
        <v>37073</v>
      </c>
      <c r="W797" t="s">
        <v>204</v>
      </c>
      <c r="X797" s="2">
        <v>1.365</v>
      </c>
      <c r="Y797" s="6">
        <f t="shared" si="102"/>
        <v>3.6437895411227675E-2</v>
      </c>
      <c r="AA797">
        <v>189545</v>
      </c>
      <c r="AB797">
        <v>17393</v>
      </c>
      <c r="AD797" t="s">
        <v>1</v>
      </c>
      <c r="AE797">
        <v>50</v>
      </c>
      <c r="AF797">
        <v>4</v>
      </c>
      <c r="AH797" t="s">
        <v>1242</v>
      </c>
      <c r="AI797" t="s">
        <v>1241</v>
      </c>
      <c r="AJ797" t="s">
        <v>1240</v>
      </c>
      <c r="AK797" t="s">
        <v>1239</v>
      </c>
      <c r="AL797">
        <v>33</v>
      </c>
      <c r="AM797" s="5">
        <f t="shared" si="98"/>
        <v>1.5714285714285714</v>
      </c>
      <c r="AN797" s="4">
        <f t="shared" si="103"/>
        <v>2.3800508465408126E-3</v>
      </c>
      <c r="AO797" s="3"/>
      <c r="AP797">
        <v>0</v>
      </c>
      <c r="AQ797" t="s">
        <v>21</v>
      </c>
      <c r="AR797" t="s">
        <v>1238</v>
      </c>
      <c r="AS797" t="s">
        <v>20</v>
      </c>
      <c r="AT797" s="2" t="s">
        <v>7</v>
      </c>
      <c r="AU797" s="1">
        <f t="shared" si="99"/>
        <v>2.6220542041821613</v>
      </c>
      <c r="AV797" s="1">
        <f t="shared" si="100"/>
        <v>1.9408973128884244</v>
      </c>
      <c r="AW797" s="1">
        <f t="shared" si="101"/>
        <v>1.259740421594687</v>
      </c>
    </row>
    <row r="798" spans="1:49" x14ac:dyDescent="0.2">
      <c r="A798">
        <v>796</v>
      </c>
      <c r="B798" t="s">
        <v>1237</v>
      </c>
      <c r="C798" t="s">
        <v>1236</v>
      </c>
      <c r="D798" t="s">
        <v>1235</v>
      </c>
      <c r="F798" t="s">
        <v>1234</v>
      </c>
      <c r="G798" t="s">
        <v>6</v>
      </c>
      <c r="H798" t="s">
        <v>5</v>
      </c>
      <c r="I798" t="s">
        <v>222</v>
      </c>
      <c r="J798" t="s">
        <v>1233</v>
      </c>
      <c r="K798" t="s">
        <v>1232</v>
      </c>
      <c r="L798" t="s">
        <v>1231</v>
      </c>
      <c r="M798" t="s">
        <v>529</v>
      </c>
      <c r="N798">
        <v>3</v>
      </c>
      <c r="O798" t="s">
        <v>1230</v>
      </c>
      <c r="P798" t="s">
        <v>1229</v>
      </c>
      <c r="Q798" t="s">
        <v>1228</v>
      </c>
      <c r="R798" s="7">
        <v>37073</v>
      </c>
      <c r="S798" s="8">
        <f t="shared" si="96"/>
        <v>2001</v>
      </c>
      <c r="T798" s="8">
        <v>2001</v>
      </c>
      <c r="U798" s="8">
        <f t="shared" si="97"/>
        <v>21</v>
      </c>
      <c r="V798" s="7">
        <v>37073</v>
      </c>
      <c r="W798" t="s">
        <v>204</v>
      </c>
      <c r="X798" s="2">
        <v>1.365</v>
      </c>
      <c r="Y798" s="6">
        <f t="shared" si="102"/>
        <v>3.6437895411227675E-2</v>
      </c>
      <c r="AA798">
        <v>189545</v>
      </c>
      <c r="AB798">
        <v>17393</v>
      </c>
      <c r="AD798" t="s">
        <v>1</v>
      </c>
      <c r="AE798">
        <v>50</v>
      </c>
      <c r="AF798">
        <v>4</v>
      </c>
      <c r="AH798" t="s">
        <v>1227</v>
      </c>
      <c r="AI798" t="s">
        <v>1226</v>
      </c>
      <c r="AJ798" t="s">
        <v>1225</v>
      </c>
      <c r="AK798" t="s">
        <v>1224</v>
      </c>
      <c r="AL798">
        <v>0</v>
      </c>
      <c r="AM798" s="5">
        <f t="shared" si="98"/>
        <v>0</v>
      </c>
      <c r="AN798" s="4">
        <f t="shared" si="103"/>
        <v>0</v>
      </c>
      <c r="AO798" s="3"/>
      <c r="AP798">
        <v>0</v>
      </c>
      <c r="AR798" t="s">
        <v>0</v>
      </c>
      <c r="AT798" s="2" t="s">
        <v>7</v>
      </c>
      <c r="AU798" s="1">
        <f t="shared" si="99"/>
        <v>2.5506526787859372</v>
      </c>
      <c r="AV798" s="1">
        <f t="shared" si="100"/>
        <v>1.8218947705613837</v>
      </c>
      <c r="AW798" s="1">
        <f t="shared" si="101"/>
        <v>1.0931368623368303</v>
      </c>
    </row>
    <row r="799" spans="1:49" x14ac:dyDescent="0.2">
      <c r="A799">
        <v>797</v>
      </c>
      <c r="B799" t="s">
        <v>1223</v>
      </c>
      <c r="C799" t="s">
        <v>1222</v>
      </c>
      <c r="D799" t="s">
        <v>1221</v>
      </c>
      <c r="F799" t="s">
        <v>1220</v>
      </c>
      <c r="G799" t="s">
        <v>6</v>
      </c>
      <c r="H799" t="s">
        <v>5</v>
      </c>
      <c r="I799" t="s">
        <v>410</v>
      </c>
      <c r="J799" t="s">
        <v>1219</v>
      </c>
      <c r="K799" t="s">
        <v>1218</v>
      </c>
      <c r="L799" t="s">
        <v>1217</v>
      </c>
      <c r="M799" t="s">
        <v>44</v>
      </c>
      <c r="N799">
        <v>3</v>
      </c>
      <c r="O799" t="s">
        <v>1216</v>
      </c>
      <c r="P799" t="s">
        <v>1215</v>
      </c>
      <c r="Q799" t="s">
        <v>1214</v>
      </c>
      <c r="R799" s="7">
        <v>37073</v>
      </c>
      <c r="S799" s="8">
        <f t="shared" si="96"/>
        <v>2001</v>
      </c>
      <c r="T799" s="8">
        <v>2001</v>
      </c>
      <c r="U799" s="8">
        <f t="shared" si="97"/>
        <v>21</v>
      </c>
      <c r="V799" s="7">
        <v>37073</v>
      </c>
      <c r="W799" t="s">
        <v>204</v>
      </c>
      <c r="X799" s="2">
        <v>1.365</v>
      </c>
      <c r="Y799" s="6">
        <f t="shared" si="102"/>
        <v>3.6437895411227675E-2</v>
      </c>
      <c r="AA799">
        <v>189545</v>
      </c>
      <c r="AB799">
        <v>17393</v>
      </c>
      <c r="AD799" t="s">
        <v>1</v>
      </c>
      <c r="AE799">
        <v>50</v>
      </c>
      <c r="AF799">
        <v>4</v>
      </c>
      <c r="AH799" t="s">
        <v>1213</v>
      </c>
      <c r="AI799" t="s">
        <v>1212</v>
      </c>
      <c r="AJ799" t="s">
        <v>1211</v>
      </c>
      <c r="AK799" t="s">
        <v>1210</v>
      </c>
      <c r="AL799">
        <v>47</v>
      </c>
      <c r="AM799" s="5">
        <f t="shared" si="98"/>
        <v>2.2380952380952381</v>
      </c>
      <c r="AN799" s="4">
        <f t="shared" si="103"/>
        <v>3.389769387497521E-3</v>
      </c>
      <c r="AO799" s="3"/>
      <c r="AP799">
        <v>0</v>
      </c>
      <c r="AR799" t="s">
        <v>0</v>
      </c>
      <c r="AT799" s="2" t="s">
        <v>7</v>
      </c>
      <c r="AU799" s="1">
        <f t="shared" si="99"/>
        <v>2.6523457604108627</v>
      </c>
      <c r="AV799" s="1">
        <f t="shared" si="100"/>
        <v>1.9913832399362599</v>
      </c>
      <c r="AW799" s="1">
        <f t="shared" si="101"/>
        <v>1.3304207194616566</v>
      </c>
    </row>
    <row r="800" spans="1:49" x14ac:dyDescent="0.2">
      <c r="A800">
        <v>798</v>
      </c>
      <c r="B800" t="s">
        <v>1209</v>
      </c>
      <c r="C800" t="s">
        <v>1208</v>
      </c>
      <c r="D800" t="s">
        <v>1207</v>
      </c>
      <c r="F800" t="s">
        <v>1206</v>
      </c>
      <c r="G800" t="s">
        <v>6</v>
      </c>
      <c r="H800" t="s">
        <v>5</v>
      </c>
      <c r="I800" t="s">
        <v>1205</v>
      </c>
      <c r="J800" t="s">
        <v>1204</v>
      </c>
      <c r="K800" t="s">
        <v>1203</v>
      </c>
      <c r="L800" t="s">
        <v>1202</v>
      </c>
      <c r="M800" t="s">
        <v>1201</v>
      </c>
      <c r="N800">
        <v>4</v>
      </c>
      <c r="O800" t="s">
        <v>1200</v>
      </c>
      <c r="P800" t="s">
        <v>1199</v>
      </c>
      <c r="Q800" t="s">
        <v>1198</v>
      </c>
      <c r="R800" s="7">
        <v>37073</v>
      </c>
      <c r="S800" s="8">
        <f t="shared" si="96"/>
        <v>2001</v>
      </c>
      <c r="T800" s="8">
        <v>2001</v>
      </c>
      <c r="U800" s="8">
        <f t="shared" si="97"/>
        <v>21</v>
      </c>
      <c r="V800" s="7">
        <v>37073</v>
      </c>
      <c r="W800" t="s">
        <v>204</v>
      </c>
      <c r="X800" s="2">
        <v>1.365</v>
      </c>
      <c r="Y800" s="6">
        <f t="shared" si="102"/>
        <v>3.6437895411227675E-2</v>
      </c>
      <c r="AA800">
        <v>189545</v>
      </c>
      <c r="AB800">
        <v>17393</v>
      </c>
      <c r="AD800" t="s">
        <v>1</v>
      </c>
      <c r="AE800">
        <v>50</v>
      </c>
      <c r="AF800">
        <v>4</v>
      </c>
      <c r="AH800" t="s">
        <v>1197</v>
      </c>
      <c r="AI800" t="s">
        <v>1196</v>
      </c>
      <c r="AJ800" t="s">
        <v>1195</v>
      </c>
      <c r="AK800" t="s">
        <v>1194</v>
      </c>
      <c r="AL800">
        <v>20</v>
      </c>
      <c r="AM800" s="5">
        <f t="shared" si="98"/>
        <v>0.95238095238095233</v>
      </c>
      <c r="AN800" s="4">
        <f t="shared" si="103"/>
        <v>1.4424550585095833E-3</v>
      </c>
      <c r="AO800" s="3"/>
      <c r="AP800">
        <v>0</v>
      </c>
      <c r="AQ800" t="s">
        <v>747</v>
      </c>
      <c r="AR800" t="s">
        <v>0</v>
      </c>
      <c r="AS800" t="s">
        <v>746</v>
      </c>
      <c r="AT800" s="2" t="s">
        <v>7</v>
      </c>
      <c r="AU800" s="1">
        <f t="shared" si="99"/>
        <v>2.5939263305412243</v>
      </c>
      <c r="AV800" s="1">
        <f t="shared" si="100"/>
        <v>1.8940175234868628</v>
      </c>
      <c r="AW800" s="1">
        <f t="shared" si="101"/>
        <v>1.194108716432501</v>
      </c>
    </row>
    <row r="801" spans="1:49" x14ac:dyDescent="0.2">
      <c r="A801">
        <v>799</v>
      </c>
      <c r="B801" t="s">
        <v>1193</v>
      </c>
      <c r="F801" t="s">
        <v>1192</v>
      </c>
      <c r="G801" t="s">
        <v>6</v>
      </c>
      <c r="H801" t="s">
        <v>5</v>
      </c>
      <c r="I801" t="s">
        <v>1191</v>
      </c>
      <c r="J801">
        <v>60014966</v>
      </c>
      <c r="K801" t="s">
        <v>1190</v>
      </c>
      <c r="L801" t="s">
        <v>63</v>
      </c>
      <c r="M801" t="s">
        <v>62</v>
      </c>
      <c r="N801">
        <v>2</v>
      </c>
      <c r="O801" t="s">
        <v>1189</v>
      </c>
      <c r="P801" t="s">
        <v>1188</v>
      </c>
      <c r="Q801" t="s">
        <v>1187</v>
      </c>
      <c r="R801" s="7">
        <v>37073</v>
      </c>
      <c r="S801" s="8">
        <f t="shared" si="96"/>
        <v>2001</v>
      </c>
      <c r="T801" s="8">
        <v>2001</v>
      </c>
      <c r="U801" s="8">
        <f t="shared" si="97"/>
        <v>21</v>
      </c>
      <c r="V801" s="7">
        <v>37073</v>
      </c>
      <c r="W801" t="s">
        <v>95</v>
      </c>
      <c r="X801" s="2">
        <v>0.26700000000000002</v>
      </c>
      <c r="Y801" s="6">
        <f t="shared" si="102"/>
        <v>7.1274125090093707E-3</v>
      </c>
      <c r="AA801">
        <v>10224653</v>
      </c>
      <c r="AB801">
        <v>24184</v>
      </c>
      <c r="AD801" t="s">
        <v>1</v>
      </c>
      <c r="AE801">
        <v>10</v>
      </c>
      <c r="AF801">
        <v>3</v>
      </c>
      <c r="AH801" t="s">
        <v>1186</v>
      </c>
      <c r="AI801" t="s">
        <v>1185</v>
      </c>
      <c r="AJ801" t="s">
        <v>1184</v>
      </c>
      <c r="AK801" t="s">
        <v>1183</v>
      </c>
      <c r="AL801">
        <v>0</v>
      </c>
      <c r="AM801" s="5">
        <f t="shared" si="98"/>
        <v>0</v>
      </c>
      <c r="AN801" s="4">
        <f t="shared" si="103"/>
        <v>0</v>
      </c>
      <c r="AO801" s="3"/>
      <c r="AP801">
        <v>0</v>
      </c>
      <c r="AR801" t="s">
        <v>0</v>
      </c>
      <c r="AT801" s="2">
        <v>1.014</v>
      </c>
      <c r="AU801" s="1">
        <f t="shared" si="99"/>
        <v>0.49891887563065596</v>
      </c>
      <c r="AV801" s="1">
        <f t="shared" si="100"/>
        <v>0.35637062545046855</v>
      </c>
      <c r="AW801" s="1">
        <f t="shared" si="101"/>
        <v>0.21382237527028108</v>
      </c>
    </row>
    <row r="802" spans="1:49" x14ac:dyDescent="0.2">
      <c r="A802">
        <v>800</v>
      </c>
      <c r="B802" t="s">
        <v>1182</v>
      </c>
      <c r="F802" t="s">
        <v>1181</v>
      </c>
      <c r="G802" t="s">
        <v>6</v>
      </c>
      <c r="H802" t="s">
        <v>5</v>
      </c>
      <c r="I802" t="s">
        <v>1180</v>
      </c>
      <c r="J802">
        <v>60005244</v>
      </c>
      <c r="K802" t="s">
        <v>928</v>
      </c>
      <c r="L802" t="s">
        <v>367</v>
      </c>
      <c r="M802" t="s">
        <v>62</v>
      </c>
      <c r="N802">
        <v>2</v>
      </c>
      <c r="O802" t="s">
        <v>1179</v>
      </c>
      <c r="P802" t="s">
        <v>1178</v>
      </c>
      <c r="Q802" t="s">
        <v>1177</v>
      </c>
      <c r="R802" s="7">
        <v>37073</v>
      </c>
      <c r="S802" s="8">
        <f t="shared" si="96"/>
        <v>2001</v>
      </c>
      <c r="T802" s="8">
        <v>2001</v>
      </c>
      <c r="U802" s="8">
        <f t="shared" si="97"/>
        <v>21</v>
      </c>
      <c r="V802" s="7">
        <v>37073</v>
      </c>
      <c r="W802" t="s">
        <v>95</v>
      </c>
      <c r="X802" s="2">
        <v>0.26700000000000002</v>
      </c>
      <c r="Y802" s="6">
        <f t="shared" si="102"/>
        <v>7.1274125090093707E-3</v>
      </c>
      <c r="AA802">
        <v>10224653</v>
      </c>
      <c r="AB802">
        <v>24184</v>
      </c>
      <c r="AD802" t="s">
        <v>1</v>
      </c>
      <c r="AE802">
        <v>10</v>
      </c>
      <c r="AF802">
        <v>3</v>
      </c>
      <c r="AH802" t="s">
        <v>1176</v>
      </c>
      <c r="AI802" t="s">
        <v>1175</v>
      </c>
      <c r="AJ802" t="s">
        <v>1174</v>
      </c>
      <c r="AK802" t="s">
        <v>1173</v>
      </c>
      <c r="AL802">
        <v>0</v>
      </c>
      <c r="AM802" s="5">
        <f t="shared" si="98"/>
        <v>0</v>
      </c>
      <c r="AN802" s="4">
        <f t="shared" si="103"/>
        <v>0</v>
      </c>
      <c r="AO802" s="3"/>
      <c r="AP802">
        <v>0</v>
      </c>
      <c r="AR802" t="s">
        <v>0</v>
      </c>
      <c r="AT802" s="2">
        <v>1.014</v>
      </c>
      <c r="AU802" s="1">
        <f t="shared" si="99"/>
        <v>0.49891887563065596</v>
      </c>
      <c r="AV802" s="1">
        <f t="shared" si="100"/>
        <v>0.35637062545046855</v>
      </c>
      <c r="AW802" s="1">
        <f t="shared" si="101"/>
        <v>0.21382237527028108</v>
      </c>
    </row>
    <row r="803" spans="1:49" x14ac:dyDescent="0.2">
      <c r="A803">
        <v>801</v>
      </c>
      <c r="B803" t="s">
        <v>1172</v>
      </c>
      <c r="C803" t="s">
        <v>1171</v>
      </c>
      <c r="D803" t="s">
        <v>1170</v>
      </c>
      <c r="F803" t="s">
        <v>1169</v>
      </c>
      <c r="G803" t="s">
        <v>6</v>
      </c>
      <c r="H803" t="s">
        <v>5</v>
      </c>
      <c r="I803" t="s">
        <v>1168</v>
      </c>
      <c r="J803" t="s">
        <v>1167</v>
      </c>
      <c r="K803" t="s">
        <v>1166</v>
      </c>
      <c r="L803" t="s">
        <v>435</v>
      </c>
      <c r="M803" t="s">
        <v>434</v>
      </c>
      <c r="N803">
        <v>4</v>
      </c>
      <c r="O803" t="s">
        <v>1165</v>
      </c>
      <c r="P803" t="s">
        <v>1164</v>
      </c>
      <c r="Q803" t="s">
        <v>1163</v>
      </c>
      <c r="R803" s="7">
        <v>37073</v>
      </c>
      <c r="S803" s="8">
        <f t="shared" si="96"/>
        <v>2001</v>
      </c>
      <c r="T803" s="8">
        <v>2001</v>
      </c>
      <c r="U803" s="8">
        <f t="shared" si="97"/>
        <v>21</v>
      </c>
      <c r="V803" s="7">
        <v>37073</v>
      </c>
      <c r="W803" t="s">
        <v>506</v>
      </c>
      <c r="X803" s="2">
        <v>0.627</v>
      </c>
      <c r="Y803" s="6">
        <f t="shared" si="102"/>
        <v>1.6737406903179305E-2</v>
      </c>
      <c r="AA803">
        <v>9269851</v>
      </c>
      <c r="AB803">
        <v>28435</v>
      </c>
      <c r="AD803" t="s">
        <v>1</v>
      </c>
      <c r="AE803">
        <v>47</v>
      </c>
      <c r="AF803" s="10">
        <v>44289</v>
      </c>
      <c r="AH803" t="s">
        <v>1162</v>
      </c>
      <c r="AI803" t="s">
        <v>1161</v>
      </c>
      <c r="AJ803" t="s">
        <v>1160</v>
      </c>
      <c r="AK803" t="s">
        <v>1159</v>
      </c>
      <c r="AL803">
        <v>20</v>
      </c>
      <c r="AM803" s="5">
        <f t="shared" si="98"/>
        <v>0.95238095238095233</v>
      </c>
      <c r="AN803" s="4">
        <f t="shared" si="103"/>
        <v>1.4424550585095833E-3</v>
      </c>
      <c r="AO803" s="3"/>
      <c r="AP803">
        <v>0</v>
      </c>
      <c r="AR803" t="s">
        <v>0</v>
      </c>
      <c r="AS803" t="s">
        <v>1158</v>
      </c>
      <c r="AT803" s="2">
        <v>2.121</v>
      </c>
      <c r="AU803" s="1">
        <f t="shared" si="99"/>
        <v>1.2148921349778388</v>
      </c>
      <c r="AV803" s="1">
        <f t="shared" si="100"/>
        <v>0.90899309808444451</v>
      </c>
      <c r="AW803" s="1">
        <f t="shared" si="101"/>
        <v>0.60309406119104991</v>
      </c>
    </row>
    <row r="804" spans="1:49" x14ac:dyDescent="0.2">
      <c r="A804">
        <v>802</v>
      </c>
      <c r="B804" t="s">
        <v>1157</v>
      </c>
      <c r="C804" t="s">
        <v>1156</v>
      </c>
      <c r="D804" t="s">
        <v>1155</v>
      </c>
      <c r="F804" t="s">
        <v>1154</v>
      </c>
      <c r="G804" t="s">
        <v>6</v>
      </c>
      <c r="H804" t="s">
        <v>5</v>
      </c>
      <c r="I804" t="s">
        <v>1153</v>
      </c>
      <c r="J804" t="s">
        <v>1148</v>
      </c>
      <c r="K804" t="s">
        <v>1152</v>
      </c>
      <c r="L804" t="s">
        <v>1151</v>
      </c>
      <c r="M804" t="s">
        <v>44</v>
      </c>
      <c r="N804">
        <v>2</v>
      </c>
      <c r="O804" t="s">
        <v>1150</v>
      </c>
      <c r="P804" t="s">
        <v>1149</v>
      </c>
      <c r="Q804" t="s">
        <v>1148</v>
      </c>
      <c r="R804" s="7">
        <v>37073</v>
      </c>
      <c r="S804" s="8">
        <f t="shared" si="96"/>
        <v>2001</v>
      </c>
      <c r="T804" s="8">
        <v>2001</v>
      </c>
      <c r="U804" s="8">
        <f t="shared" si="97"/>
        <v>21</v>
      </c>
      <c r="V804" s="7">
        <v>37073</v>
      </c>
      <c r="W804" t="s">
        <v>506</v>
      </c>
      <c r="X804" s="2">
        <v>0.627</v>
      </c>
      <c r="Y804" s="6">
        <f t="shared" si="102"/>
        <v>1.6737406903179305E-2</v>
      </c>
      <c r="AA804">
        <v>9269851</v>
      </c>
      <c r="AB804">
        <v>28435</v>
      </c>
      <c r="AD804" t="s">
        <v>1</v>
      </c>
      <c r="AE804">
        <v>47</v>
      </c>
      <c r="AF804" s="10">
        <v>44289</v>
      </c>
      <c r="AH804" t="s">
        <v>1147</v>
      </c>
      <c r="AI804" t="s">
        <v>1146</v>
      </c>
      <c r="AJ804" t="s">
        <v>1145</v>
      </c>
      <c r="AK804" t="s">
        <v>1144</v>
      </c>
      <c r="AL804">
        <v>0</v>
      </c>
      <c r="AM804" s="5">
        <f t="shared" si="98"/>
        <v>0</v>
      </c>
      <c r="AN804" s="4">
        <f t="shared" si="103"/>
        <v>0</v>
      </c>
      <c r="AO804" s="3"/>
      <c r="AP804">
        <v>0</v>
      </c>
      <c r="AQ804" t="s">
        <v>21</v>
      </c>
      <c r="AR804" t="s">
        <v>1143</v>
      </c>
      <c r="AS804" t="s">
        <v>20</v>
      </c>
      <c r="AT804" s="2">
        <v>2.121</v>
      </c>
      <c r="AU804" s="1">
        <f t="shared" si="99"/>
        <v>1.1716184832225514</v>
      </c>
      <c r="AV804" s="1">
        <f t="shared" si="100"/>
        <v>0.8368703451589653</v>
      </c>
      <c r="AW804" s="1">
        <f t="shared" si="101"/>
        <v>0.50212220709537914</v>
      </c>
    </row>
    <row r="805" spans="1:49" x14ac:dyDescent="0.2">
      <c r="A805">
        <v>803</v>
      </c>
      <c r="B805" t="s">
        <v>1142</v>
      </c>
      <c r="C805" t="s">
        <v>1141</v>
      </c>
      <c r="D805" t="s">
        <v>1140</v>
      </c>
      <c r="F805" t="s">
        <v>1139</v>
      </c>
      <c r="G805" t="s">
        <v>6</v>
      </c>
      <c r="H805" t="s">
        <v>5</v>
      </c>
      <c r="I805" t="s">
        <v>997</v>
      </c>
      <c r="J805">
        <v>60003500</v>
      </c>
      <c r="K805" t="s">
        <v>83</v>
      </c>
      <c r="L805" t="s">
        <v>82</v>
      </c>
      <c r="M805" t="s">
        <v>3</v>
      </c>
      <c r="N805">
        <v>3</v>
      </c>
      <c r="O805" t="s">
        <v>1138</v>
      </c>
      <c r="P805" t="s">
        <v>1137</v>
      </c>
      <c r="Q805" t="s">
        <v>1136</v>
      </c>
      <c r="R805" s="7">
        <v>37073</v>
      </c>
      <c r="S805" s="8">
        <f t="shared" si="96"/>
        <v>2001</v>
      </c>
      <c r="T805" s="8">
        <v>2001</v>
      </c>
      <c r="U805" s="8">
        <f t="shared" si="97"/>
        <v>21</v>
      </c>
      <c r="V805" s="7">
        <v>37073</v>
      </c>
      <c r="W805" t="s">
        <v>506</v>
      </c>
      <c r="X805" s="2">
        <v>0.627</v>
      </c>
      <c r="Y805" s="6">
        <f t="shared" si="102"/>
        <v>1.6737406903179305E-2</v>
      </c>
      <c r="AA805">
        <v>9269851</v>
      </c>
      <c r="AB805">
        <v>28435</v>
      </c>
      <c r="AD805" t="s">
        <v>1</v>
      </c>
      <c r="AE805">
        <v>47</v>
      </c>
      <c r="AF805" s="10">
        <v>44289</v>
      </c>
      <c r="AH805" t="s">
        <v>1135</v>
      </c>
      <c r="AI805" t="s">
        <v>1134</v>
      </c>
      <c r="AJ805" t="s">
        <v>1133</v>
      </c>
      <c r="AK805" t="s">
        <v>1132</v>
      </c>
      <c r="AL805">
        <v>16</v>
      </c>
      <c r="AM805" s="5">
        <f t="shared" si="98"/>
        <v>0.76190476190476186</v>
      </c>
      <c r="AN805" s="4">
        <f t="shared" si="103"/>
        <v>1.1539640468076666E-3</v>
      </c>
      <c r="AO805" s="3"/>
      <c r="AP805">
        <v>0</v>
      </c>
      <c r="AR805" t="s">
        <v>0</v>
      </c>
      <c r="AT805" s="2">
        <v>2.121</v>
      </c>
      <c r="AU805" s="1">
        <f t="shared" si="99"/>
        <v>1.2062374046267814</v>
      </c>
      <c r="AV805" s="1">
        <f t="shared" si="100"/>
        <v>0.89456854749934855</v>
      </c>
      <c r="AW805" s="1">
        <f t="shared" si="101"/>
        <v>0.5828996903719158</v>
      </c>
    </row>
    <row r="806" spans="1:49" x14ac:dyDescent="0.2">
      <c r="A806">
        <v>804</v>
      </c>
      <c r="B806" t="s">
        <v>1131</v>
      </c>
      <c r="C806" t="s">
        <v>1130</v>
      </c>
      <c r="D806" t="s">
        <v>1129</v>
      </c>
      <c r="F806" t="s">
        <v>1128</v>
      </c>
      <c r="G806" t="s">
        <v>6</v>
      </c>
      <c r="H806" t="s">
        <v>5</v>
      </c>
      <c r="I806" t="s">
        <v>1127</v>
      </c>
      <c r="J806" t="s">
        <v>1126</v>
      </c>
      <c r="K806" t="s">
        <v>1125</v>
      </c>
      <c r="L806" t="s">
        <v>1124</v>
      </c>
      <c r="M806" t="s">
        <v>971</v>
      </c>
      <c r="N806">
        <v>3</v>
      </c>
      <c r="O806" t="s">
        <v>1123</v>
      </c>
      <c r="P806" t="s">
        <v>1122</v>
      </c>
      <c r="Q806" t="s">
        <v>1121</v>
      </c>
      <c r="R806" s="7">
        <v>37073</v>
      </c>
      <c r="S806" s="8">
        <f t="shared" si="96"/>
        <v>2001</v>
      </c>
      <c r="T806" s="8">
        <v>2001</v>
      </c>
      <c r="U806" s="8">
        <f t="shared" si="97"/>
        <v>21</v>
      </c>
      <c r="V806" s="7">
        <v>37073</v>
      </c>
      <c r="W806" t="s">
        <v>506</v>
      </c>
      <c r="X806" s="2">
        <v>0.627</v>
      </c>
      <c r="Y806" s="6">
        <f t="shared" si="102"/>
        <v>1.6737406903179305E-2</v>
      </c>
      <c r="AA806">
        <v>9269851</v>
      </c>
      <c r="AB806">
        <v>28435</v>
      </c>
      <c r="AD806" t="s">
        <v>1</v>
      </c>
      <c r="AE806">
        <v>47</v>
      </c>
      <c r="AF806" s="10">
        <v>44289</v>
      </c>
      <c r="AH806" t="s">
        <v>1120</v>
      </c>
      <c r="AI806" t="s">
        <v>1119</v>
      </c>
      <c r="AJ806" t="s">
        <v>1118</v>
      </c>
      <c r="AK806" t="s">
        <v>1117</v>
      </c>
      <c r="AL806">
        <v>15</v>
      </c>
      <c r="AM806" s="5">
        <f t="shared" si="98"/>
        <v>0.7142857142857143</v>
      </c>
      <c r="AN806" s="4">
        <f t="shared" si="103"/>
        <v>1.0818412938821875E-3</v>
      </c>
      <c r="AO806" s="3"/>
      <c r="AP806">
        <v>0</v>
      </c>
      <c r="AR806" t="s">
        <v>0</v>
      </c>
      <c r="AT806" s="2">
        <v>2.121</v>
      </c>
      <c r="AU806" s="1">
        <f t="shared" si="99"/>
        <v>1.204073722039017</v>
      </c>
      <c r="AV806" s="1">
        <f t="shared" si="100"/>
        <v>0.89096240985307462</v>
      </c>
      <c r="AW806" s="1">
        <f t="shared" si="101"/>
        <v>0.57785109766713227</v>
      </c>
    </row>
    <row r="807" spans="1:49" x14ac:dyDescent="0.2">
      <c r="A807">
        <v>805</v>
      </c>
      <c r="B807" t="s">
        <v>1116</v>
      </c>
      <c r="C807" t="s">
        <v>1115</v>
      </c>
      <c r="D807" t="s">
        <v>1114</v>
      </c>
      <c r="F807" t="s">
        <v>1113</v>
      </c>
      <c r="G807" t="s">
        <v>6</v>
      </c>
      <c r="H807" t="s">
        <v>5</v>
      </c>
      <c r="I807" t="s">
        <v>1112</v>
      </c>
      <c r="J807" t="s">
        <v>1111</v>
      </c>
      <c r="K807" t="s">
        <v>1110</v>
      </c>
      <c r="L807" t="s">
        <v>1109</v>
      </c>
      <c r="M807" t="s">
        <v>275</v>
      </c>
      <c r="N807">
        <v>6</v>
      </c>
      <c r="O807" t="s">
        <v>1108</v>
      </c>
      <c r="P807" t="s">
        <v>1107</v>
      </c>
      <c r="Q807" t="s">
        <v>1106</v>
      </c>
      <c r="R807" s="7">
        <v>37073</v>
      </c>
      <c r="S807" s="8">
        <f t="shared" si="96"/>
        <v>2001</v>
      </c>
      <c r="T807" s="8">
        <v>2001</v>
      </c>
      <c r="U807" s="8">
        <f t="shared" si="97"/>
        <v>21</v>
      </c>
      <c r="V807" s="7">
        <v>37073</v>
      </c>
      <c r="W807" t="s">
        <v>506</v>
      </c>
      <c r="X807" s="2">
        <v>0.627</v>
      </c>
      <c r="Y807" s="6">
        <f t="shared" si="102"/>
        <v>1.6737406903179305E-2</v>
      </c>
      <c r="AA807">
        <v>9269851</v>
      </c>
      <c r="AB807">
        <v>28435</v>
      </c>
      <c r="AD807" t="s">
        <v>1</v>
      </c>
      <c r="AE807">
        <v>47</v>
      </c>
      <c r="AF807" s="10">
        <v>44289</v>
      </c>
      <c r="AH807" t="s">
        <v>1105</v>
      </c>
      <c r="AI807" t="s">
        <v>1104</v>
      </c>
      <c r="AJ807" t="s">
        <v>1103</v>
      </c>
      <c r="AK807" t="s">
        <v>1102</v>
      </c>
      <c r="AL807">
        <v>43</v>
      </c>
      <c r="AM807" s="5">
        <f t="shared" si="98"/>
        <v>2.0476190476190474</v>
      </c>
      <c r="AN807" s="4">
        <f t="shared" si="103"/>
        <v>3.1012783757956037E-3</v>
      </c>
      <c r="AO807" s="3"/>
      <c r="AP807">
        <v>0</v>
      </c>
      <c r="AR807" t="s">
        <v>0</v>
      </c>
      <c r="AT807" s="2">
        <v>2.121</v>
      </c>
      <c r="AU807" s="1">
        <f t="shared" si="99"/>
        <v>1.2646568344964195</v>
      </c>
      <c r="AV807" s="1">
        <f t="shared" si="100"/>
        <v>0.9919342639487454</v>
      </c>
      <c r="AW807" s="1">
        <f t="shared" si="101"/>
        <v>0.71921169340107138</v>
      </c>
    </row>
    <row r="808" spans="1:49" x14ac:dyDescent="0.2">
      <c r="A808">
        <v>806</v>
      </c>
      <c r="B808" t="s">
        <v>1101</v>
      </c>
      <c r="C808" t="s">
        <v>1100</v>
      </c>
      <c r="D808" t="s">
        <v>1099</v>
      </c>
      <c r="F808" t="s">
        <v>1098</v>
      </c>
      <c r="G808" t="s">
        <v>6</v>
      </c>
      <c r="H808" t="s">
        <v>5</v>
      </c>
      <c r="I808" t="s">
        <v>849</v>
      </c>
      <c r="J808">
        <v>60011047</v>
      </c>
      <c r="K808" t="s">
        <v>848</v>
      </c>
      <c r="L808" t="s">
        <v>847</v>
      </c>
      <c r="M808" t="s">
        <v>26</v>
      </c>
      <c r="N808">
        <v>2</v>
      </c>
      <c r="O808" t="s">
        <v>1097</v>
      </c>
      <c r="P808" t="s">
        <v>846</v>
      </c>
      <c r="Q808" t="s">
        <v>845</v>
      </c>
      <c r="R808" s="7">
        <v>37073</v>
      </c>
      <c r="S808" s="8">
        <f t="shared" si="96"/>
        <v>2001</v>
      </c>
      <c r="T808" s="8">
        <v>2001</v>
      </c>
      <c r="U808" s="8">
        <f t="shared" si="97"/>
        <v>21</v>
      </c>
      <c r="V808" s="7">
        <v>37073</v>
      </c>
      <c r="W808" t="s">
        <v>507</v>
      </c>
      <c r="X808" s="2">
        <v>0.90400000000000003</v>
      </c>
      <c r="Y808" s="6">
        <f t="shared" si="102"/>
        <v>2.4131763700915621E-2</v>
      </c>
      <c r="AA808">
        <v>2578972</v>
      </c>
      <c r="AB808">
        <v>24537</v>
      </c>
      <c r="AD808" t="s">
        <v>1</v>
      </c>
      <c r="AE808" t="s">
        <v>885</v>
      </c>
      <c r="AH808" t="s">
        <v>1096</v>
      </c>
      <c r="AI808" t="s">
        <v>1095</v>
      </c>
      <c r="AJ808" t="s">
        <v>1094</v>
      </c>
      <c r="AK808" t="s">
        <v>1093</v>
      </c>
      <c r="AL808">
        <v>10</v>
      </c>
      <c r="AM808" s="5">
        <f t="shared" si="98"/>
        <v>0.47619047619047616</v>
      </c>
      <c r="AN808" s="4">
        <f t="shared" si="103"/>
        <v>7.2122752925479164E-4</v>
      </c>
      <c r="AO808" s="3"/>
      <c r="AP808">
        <v>0</v>
      </c>
      <c r="AR808" t="s">
        <v>0</v>
      </c>
      <c r="AT808" s="2" t="s">
        <v>7</v>
      </c>
      <c r="AU808" s="1">
        <f t="shared" si="99"/>
        <v>1.7108602849417371</v>
      </c>
      <c r="AV808" s="1">
        <f t="shared" si="100"/>
        <v>1.2426495615085207</v>
      </c>
      <c r="AW808" s="1">
        <f t="shared" si="101"/>
        <v>0.774438838075304</v>
      </c>
    </row>
    <row r="809" spans="1:49" x14ac:dyDescent="0.2">
      <c r="A809">
        <v>807</v>
      </c>
      <c r="B809" t="s">
        <v>1092</v>
      </c>
      <c r="C809" t="s">
        <v>1091</v>
      </c>
      <c r="D809" t="s">
        <v>1090</v>
      </c>
      <c r="F809" t="s">
        <v>1089</v>
      </c>
      <c r="G809" t="s">
        <v>6</v>
      </c>
      <c r="H809" t="s">
        <v>5</v>
      </c>
      <c r="I809" t="s">
        <v>1088</v>
      </c>
      <c r="J809" t="s">
        <v>1087</v>
      </c>
      <c r="K809" t="s">
        <v>1086</v>
      </c>
      <c r="L809" t="s">
        <v>1085</v>
      </c>
      <c r="M809" t="s">
        <v>379</v>
      </c>
      <c r="N809">
        <v>6</v>
      </c>
      <c r="O809" t="s">
        <v>1084</v>
      </c>
      <c r="P809" t="s">
        <v>1083</v>
      </c>
      <c r="Q809" t="s">
        <v>1082</v>
      </c>
      <c r="R809" s="7">
        <v>37073</v>
      </c>
      <c r="S809" s="8">
        <f t="shared" si="96"/>
        <v>2001</v>
      </c>
      <c r="T809" s="8">
        <v>2001</v>
      </c>
      <c r="U809" s="8">
        <f t="shared" si="97"/>
        <v>21</v>
      </c>
      <c r="V809" s="7">
        <v>37073</v>
      </c>
      <c r="W809" t="s">
        <v>507</v>
      </c>
      <c r="X809" s="2">
        <v>0.90400000000000003</v>
      </c>
      <c r="Y809" s="6">
        <f t="shared" si="102"/>
        <v>2.4131763700915621E-2</v>
      </c>
      <c r="AA809">
        <v>2578972</v>
      </c>
      <c r="AB809">
        <v>24537</v>
      </c>
      <c r="AD809" t="s">
        <v>1</v>
      </c>
      <c r="AE809" t="s">
        <v>885</v>
      </c>
      <c r="AH809" t="s">
        <v>1081</v>
      </c>
      <c r="AI809" t="s">
        <v>1080</v>
      </c>
      <c r="AJ809" t="s">
        <v>1079</v>
      </c>
      <c r="AK809" t="s">
        <v>1078</v>
      </c>
      <c r="AL809">
        <v>7</v>
      </c>
      <c r="AM809" s="5">
        <f t="shared" si="98"/>
        <v>0.33333333333333331</v>
      </c>
      <c r="AN809" s="4">
        <f t="shared" si="103"/>
        <v>5.048592704783541E-4</v>
      </c>
      <c r="AO809" s="3"/>
      <c r="AP809">
        <v>0</v>
      </c>
      <c r="AR809" t="s">
        <v>0</v>
      </c>
      <c r="AT809" s="2" t="s">
        <v>7</v>
      </c>
      <c r="AU809" s="1">
        <f t="shared" si="99"/>
        <v>1.704369237178444</v>
      </c>
      <c r="AV809" s="1">
        <f t="shared" si="100"/>
        <v>1.2318311485696989</v>
      </c>
      <c r="AW809" s="1">
        <f t="shared" si="101"/>
        <v>0.75929305996095331</v>
      </c>
    </row>
    <row r="810" spans="1:49" x14ac:dyDescent="0.2">
      <c r="A810">
        <v>808</v>
      </c>
      <c r="B810" t="s">
        <v>1077</v>
      </c>
      <c r="C810" t="s">
        <v>1076</v>
      </c>
      <c r="D810" t="s">
        <v>1075</v>
      </c>
      <c r="F810" t="s">
        <v>1074</v>
      </c>
      <c r="G810" t="s">
        <v>6</v>
      </c>
      <c r="H810" t="s">
        <v>5</v>
      </c>
      <c r="I810" t="s">
        <v>1073</v>
      </c>
      <c r="J810">
        <v>60022791</v>
      </c>
      <c r="K810" t="s">
        <v>1072</v>
      </c>
      <c r="L810" t="s">
        <v>1071</v>
      </c>
      <c r="M810" t="s">
        <v>3</v>
      </c>
      <c r="N810">
        <v>2</v>
      </c>
      <c r="O810" t="s">
        <v>1070</v>
      </c>
      <c r="P810" t="s">
        <v>1069</v>
      </c>
      <c r="Q810" t="s">
        <v>1068</v>
      </c>
      <c r="R810" s="7">
        <v>37073</v>
      </c>
      <c r="S810" s="8">
        <f t="shared" si="96"/>
        <v>2001</v>
      </c>
      <c r="T810" s="8">
        <v>2001</v>
      </c>
      <c r="U810" s="8">
        <f t="shared" si="97"/>
        <v>21</v>
      </c>
      <c r="V810" s="7">
        <v>37073</v>
      </c>
      <c r="W810" t="s">
        <v>1067</v>
      </c>
      <c r="X810" s="2">
        <v>0.752</v>
      </c>
      <c r="Y810" s="6">
        <f t="shared" si="102"/>
        <v>2.0074210512266089E-2</v>
      </c>
      <c r="AA810">
        <v>3649059</v>
      </c>
      <c r="AB810">
        <v>17277</v>
      </c>
      <c r="AD810" t="s">
        <v>1</v>
      </c>
      <c r="AE810">
        <v>26</v>
      </c>
      <c r="AF810">
        <v>3</v>
      </c>
      <c r="AH810" t="s">
        <v>1066</v>
      </c>
      <c r="AI810" t="s">
        <v>1065</v>
      </c>
      <c r="AJ810" t="s">
        <v>1064</v>
      </c>
      <c r="AK810" t="s">
        <v>1063</v>
      </c>
      <c r="AL810">
        <v>18</v>
      </c>
      <c r="AM810" s="5">
        <f t="shared" si="98"/>
        <v>0.8571428571428571</v>
      </c>
      <c r="AN810" s="4">
        <f t="shared" si="103"/>
        <v>1.2982095526586248E-3</v>
      </c>
      <c r="AO810" s="3"/>
      <c r="AP810">
        <v>0</v>
      </c>
      <c r="AR810" t="s">
        <v>0</v>
      </c>
      <c r="AT810" s="2">
        <v>3.5539999999999998</v>
      </c>
      <c r="AU810" s="1">
        <f t="shared" si="99"/>
        <v>1.444141022438385</v>
      </c>
      <c r="AV810" s="1">
        <f t="shared" si="100"/>
        <v>1.0686210032462358</v>
      </c>
      <c r="AW810" s="1">
        <f t="shared" si="101"/>
        <v>0.69310098405408638</v>
      </c>
    </row>
    <row r="811" spans="1:49" x14ac:dyDescent="0.2">
      <c r="A811">
        <v>809</v>
      </c>
      <c r="B811" t="s">
        <v>1062</v>
      </c>
      <c r="C811" t="s">
        <v>1061</v>
      </c>
      <c r="E811">
        <v>11477786</v>
      </c>
      <c r="F811" t="s">
        <v>1060</v>
      </c>
      <c r="G811" t="s">
        <v>6</v>
      </c>
      <c r="H811" t="s">
        <v>5</v>
      </c>
      <c r="I811" t="s">
        <v>1059</v>
      </c>
      <c r="J811" t="s">
        <v>1058</v>
      </c>
      <c r="K811" t="s">
        <v>1057</v>
      </c>
      <c r="L811" t="s">
        <v>1056</v>
      </c>
      <c r="M811" t="s">
        <v>1055</v>
      </c>
      <c r="N811">
        <v>4</v>
      </c>
      <c r="O811" t="s">
        <v>1054</v>
      </c>
      <c r="P811" t="s">
        <v>1053</v>
      </c>
      <c r="Q811" t="s">
        <v>1052</v>
      </c>
      <c r="R811" s="7">
        <v>37073</v>
      </c>
      <c r="S811" s="8">
        <f t="shared" si="96"/>
        <v>2001</v>
      </c>
      <c r="T811" s="8">
        <v>2001</v>
      </c>
      <c r="U811" s="8">
        <f t="shared" si="97"/>
        <v>21</v>
      </c>
      <c r="V811" s="7">
        <v>37073</v>
      </c>
      <c r="W811" t="s">
        <v>929</v>
      </c>
      <c r="X811" s="2">
        <v>1.159</v>
      </c>
      <c r="Y811" s="6">
        <f t="shared" si="102"/>
        <v>3.093884306345266E-2</v>
      </c>
      <c r="AA811">
        <v>8853010</v>
      </c>
      <c r="AB811">
        <v>12998</v>
      </c>
      <c r="AD811" t="s">
        <v>1</v>
      </c>
      <c r="AE811">
        <v>48</v>
      </c>
      <c r="AF811">
        <v>4</v>
      </c>
      <c r="AH811" t="s">
        <v>1051</v>
      </c>
      <c r="AI811" t="s">
        <v>1050</v>
      </c>
      <c r="AK811" t="s">
        <v>1049</v>
      </c>
      <c r="AL811">
        <v>36</v>
      </c>
      <c r="AM811" s="5">
        <f t="shared" si="98"/>
        <v>1.7142857142857142</v>
      </c>
      <c r="AN811" s="4">
        <f t="shared" si="103"/>
        <v>2.5964191053172497E-3</v>
      </c>
      <c r="AO811" s="3"/>
      <c r="AP811">
        <v>0</v>
      </c>
      <c r="AR811" t="s">
        <v>0</v>
      </c>
      <c r="AT811" s="2" t="s">
        <v>7</v>
      </c>
      <c r="AU811" s="1">
        <f t="shared" si="99"/>
        <v>2.2436115876012037</v>
      </c>
      <c r="AV811" s="1">
        <f t="shared" si="100"/>
        <v>1.6767631084384955</v>
      </c>
      <c r="AW811" s="1">
        <f t="shared" si="101"/>
        <v>1.1099146292757873</v>
      </c>
    </row>
    <row r="812" spans="1:49" x14ac:dyDescent="0.2">
      <c r="A812">
        <v>810</v>
      </c>
      <c r="B812" t="s">
        <v>1048</v>
      </c>
      <c r="C812" t="s">
        <v>1047</v>
      </c>
      <c r="F812" t="s">
        <v>1046</v>
      </c>
      <c r="G812" t="s">
        <v>6</v>
      </c>
      <c r="H812" t="s">
        <v>5</v>
      </c>
      <c r="I812" t="s">
        <v>777</v>
      </c>
      <c r="J812">
        <v>60014039</v>
      </c>
      <c r="K812" t="s">
        <v>776</v>
      </c>
      <c r="L812" t="s">
        <v>198</v>
      </c>
      <c r="M812" t="s">
        <v>197</v>
      </c>
      <c r="N812">
        <v>1</v>
      </c>
      <c r="O812" t="s">
        <v>775</v>
      </c>
      <c r="P812">
        <v>55575119100</v>
      </c>
      <c r="Q812">
        <v>60014039</v>
      </c>
      <c r="R812" s="7">
        <v>37073</v>
      </c>
      <c r="S812" s="8">
        <f t="shared" si="96"/>
        <v>2001</v>
      </c>
      <c r="T812" s="8">
        <v>2001</v>
      </c>
      <c r="U812" s="8">
        <f t="shared" si="97"/>
        <v>21</v>
      </c>
      <c r="V812" s="7">
        <v>37073</v>
      </c>
      <c r="W812" t="s">
        <v>1045</v>
      </c>
      <c r="X812" s="2">
        <v>0.28299999999999997</v>
      </c>
      <c r="Y812" s="6">
        <f t="shared" si="102"/>
        <v>7.5545233709724781E-3</v>
      </c>
      <c r="AA812" t="s">
        <v>1044</v>
      </c>
      <c r="AB812">
        <v>12351</v>
      </c>
      <c r="AD812" t="s">
        <v>1</v>
      </c>
      <c r="AE812">
        <v>91</v>
      </c>
      <c r="AF812">
        <v>1</v>
      </c>
      <c r="AH812" t="s">
        <v>257</v>
      </c>
      <c r="AI812" t="s">
        <v>1043</v>
      </c>
      <c r="AK812" t="s">
        <v>1042</v>
      </c>
      <c r="AL812">
        <v>2</v>
      </c>
      <c r="AM812" s="5">
        <f t="shared" si="98"/>
        <v>9.5238095238095233E-2</v>
      </c>
      <c r="AN812" s="4">
        <f t="shared" si="103"/>
        <v>1.4424550585095833E-4</v>
      </c>
      <c r="AO812" s="3"/>
      <c r="AP812">
        <v>0</v>
      </c>
      <c r="AQ812" t="s">
        <v>219</v>
      </c>
      <c r="AR812" t="s">
        <v>1041</v>
      </c>
      <c r="AS812" t="s">
        <v>218</v>
      </c>
      <c r="AT812" s="2" t="s">
        <v>7</v>
      </c>
      <c r="AU812" s="1">
        <f t="shared" si="99"/>
        <v>0.53314400114360216</v>
      </c>
      <c r="AV812" s="1">
        <f t="shared" si="100"/>
        <v>0.38493844384117182</v>
      </c>
      <c r="AW812" s="1">
        <f t="shared" si="101"/>
        <v>0.23673288653874142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2021-11-09T16:49:04Z</dcterms:created>
  <dcterms:modified xsi:type="dcterms:W3CDTF">2022-01-19T20:32:15Z</dcterms:modified>
</cp:coreProperties>
</file>