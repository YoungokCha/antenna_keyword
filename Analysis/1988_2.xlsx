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1"/>
  <workbookPr defaultThemeVersion="166925"/>
  <mc:AlternateContent xmlns:mc="http://schemas.openxmlformats.org/markup-compatibility/2006">
    <mc:Choice Requires="x15">
      <x15ac:absPath xmlns:x15ac="http://schemas.microsoft.com/office/spreadsheetml/2010/11/ac" url="https://qmulprod-my.sharepoint.com/personal/eex760_qmul_ac_uk/Documents/1MyProject/0LSTM_keyword_predict/3.Antenna/antenna_new/"/>
    </mc:Choice>
  </mc:AlternateContent>
  <xr:revisionPtr revIDLastSave="1" documentId="8_{B0763850-B744-8949-AED1-9AF5BD0B156D}" xr6:coauthVersionLast="47" xr6:coauthVersionMax="47" xr10:uidLastSave="{D909BF13-4AAD-3446-A887-63BEEB6D8E4C}"/>
  <bookViews>
    <workbookView xWindow="7940" yWindow="6140" windowWidth="27640" windowHeight="16940" xr2:uid="{280A805B-0586-3644-8479-A581261C2769}"/>
  </bookViews>
  <sheets>
    <sheet name="1988" sheetId="1" r:id="rId1"/>
  </sheets>
  <externalReferences>
    <externalReference r:id="rId2"/>
  </externalReferences>
  <definedNames>
    <definedName name="s0">[1]antenna_all!#REF!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2" i="1" l="1"/>
  <c r="U2" i="1"/>
  <c r="AM2" i="1" s="1"/>
  <c r="AN2" i="1" s="1"/>
  <c r="Y2" i="1"/>
  <c r="AU2" i="1" s="1"/>
  <c r="S3" i="1"/>
  <c r="U3" i="1"/>
  <c r="AM3" i="1" s="1"/>
  <c r="AN3" i="1" s="1"/>
  <c r="Y3" i="1"/>
  <c r="S4" i="1"/>
  <c r="U4" i="1"/>
  <c r="AM4" i="1" s="1"/>
  <c r="AN4" i="1" s="1"/>
  <c r="Y4" i="1"/>
  <c r="S5" i="1"/>
  <c r="U5" i="1"/>
  <c r="AM5" i="1" s="1"/>
  <c r="AN5" i="1" s="1"/>
  <c r="Y5" i="1"/>
  <c r="S6" i="1"/>
  <c r="U6" i="1"/>
  <c r="AM6" i="1" s="1"/>
  <c r="AN6" i="1" s="1"/>
  <c r="Y6" i="1"/>
  <c r="AU6" i="1" s="1"/>
  <c r="S7" i="1"/>
  <c r="U7" i="1"/>
  <c r="AM7" i="1" s="1"/>
  <c r="AN7" i="1" s="1"/>
  <c r="AV7" i="1" s="1"/>
  <c r="Y7" i="1"/>
  <c r="S8" i="1"/>
  <c r="U8" i="1"/>
  <c r="Y8" i="1"/>
  <c r="AM8" i="1"/>
  <c r="AN8" i="1"/>
  <c r="S9" i="1"/>
  <c r="U9" i="1"/>
  <c r="AM9" i="1" s="1"/>
  <c r="AN9" i="1" s="1"/>
  <c r="Y9" i="1"/>
  <c r="S10" i="1"/>
  <c r="U10" i="1"/>
  <c r="Y10" i="1"/>
  <c r="AM10" i="1"/>
  <c r="AN10" i="1" s="1"/>
  <c r="AV10" i="1" s="1"/>
  <c r="S11" i="1"/>
  <c r="U11" i="1"/>
  <c r="AM11" i="1" s="1"/>
  <c r="AN11" i="1" s="1"/>
  <c r="Y11" i="1"/>
  <c r="S12" i="1"/>
  <c r="U12" i="1"/>
  <c r="AM12" i="1" s="1"/>
  <c r="AN12" i="1" s="1"/>
  <c r="Y12" i="1"/>
  <c r="S13" i="1"/>
  <c r="U13" i="1"/>
  <c r="AM13" i="1" s="1"/>
  <c r="AN13" i="1" s="1"/>
  <c r="AV13" i="1" s="1"/>
  <c r="Y13" i="1"/>
  <c r="S14" i="1"/>
  <c r="U14" i="1"/>
  <c r="AM14" i="1" s="1"/>
  <c r="AN14" i="1" s="1"/>
  <c r="Y14" i="1"/>
  <c r="AU14" i="1" s="1"/>
  <c r="S15" i="1"/>
  <c r="U15" i="1"/>
  <c r="Y15" i="1"/>
  <c r="AM15" i="1"/>
  <c r="AN15" i="1" s="1"/>
  <c r="AV15" i="1" s="1"/>
  <c r="S16" i="1"/>
  <c r="U16" i="1"/>
  <c r="AM16" i="1" s="1"/>
  <c r="AN16" i="1" s="1"/>
  <c r="Y16" i="1"/>
  <c r="S17" i="1"/>
  <c r="U17" i="1"/>
  <c r="AM17" i="1" s="1"/>
  <c r="AN17" i="1" s="1"/>
  <c r="Y17" i="1"/>
  <c r="S18" i="1"/>
  <c r="U18" i="1"/>
  <c r="AM18" i="1" s="1"/>
  <c r="AN18" i="1" s="1"/>
  <c r="AV18" i="1" s="1"/>
  <c r="Y18" i="1"/>
  <c r="S19" i="1"/>
  <c r="U19" i="1"/>
  <c r="AM19" i="1" s="1"/>
  <c r="AN19" i="1" s="1"/>
  <c r="Y19" i="1"/>
  <c r="S20" i="1"/>
  <c r="U20" i="1"/>
  <c r="AM20" i="1" s="1"/>
  <c r="AN20" i="1" s="1"/>
  <c r="AV20" i="1" s="1"/>
  <c r="Y20" i="1"/>
  <c r="S21" i="1"/>
  <c r="U21" i="1"/>
  <c r="AM21" i="1" s="1"/>
  <c r="AN21" i="1" s="1"/>
  <c r="Y21" i="1"/>
  <c r="S22" i="1"/>
  <c r="U22" i="1"/>
  <c r="AM22" i="1" s="1"/>
  <c r="AN22" i="1" s="1"/>
  <c r="Y22" i="1"/>
  <c r="AU22" i="1"/>
  <c r="S23" i="1"/>
  <c r="U23" i="1"/>
  <c r="AM23" i="1" s="1"/>
  <c r="AN23" i="1" s="1"/>
  <c r="AV23" i="1" s="1"/>
  <c r="Y23" i="1"/>
  <c r="S24" i="1"/>
  <c r="U24" i="1"/>
  <c r="AM24" i="1" s="1"/>
  <c r="AN24" i="1" s="1"/>
  <c r="Y24" i="1"/>
  <c r="S25" i="1"/>
  <c r="U25" i="1"/>
  <c r="AM25" i="1" s="1"/>
  <c r="AN25" i="1" s="1"/>
  <c r="AV25" i="1" s="1"/>
  <c r="Y25" i="1"/>
  <c r="S26" i="1"/>
  <c r="U26" i="1"/>
  <c r="AM26" i="1" s="1"/>
  <c r="AN26" i="1" s="1"/>
  <c r="Y26" i="1"/>
  <c r="S27" i="1"/>
  <c r="U27" i="1"/>
  <c r="AM27" i="1" s="1"/>
  <c r="AN27" i="1" s="1"/>
  <c r="Y27" i="1"/>
  <c r="S28" i="1"/>
  <c r="U28" i="1"/>
  <c r="AM28" i="1" s="1"/>
  <c r="AN28" i="1" s="1"/>
  <c r="Y28" i="1"/>
  <c r="S29" i="1"/>
  <c r="U29" i="1"/>
  <c r="AM29" i="1" s="1"/>
  <c r="AN29" i="1" s="1"/>
  <c r="Y29" i="1"/>
  <c r="S30" i="1"/>
  <c r="U30" i="1"/>
  <c r="AM30" i="1" s="1"/>
  <c r="AN30" i="1" s="1"/>
  <c r="Y30" i="1"/>
  <c r="S31" i="1"/>
  <c r="U31" i="1"/>
  <c r="AM31" i="1" s="1"/>
  <c r="AN31" i="1" s="1"/>
  <c r="Y31" i="1"/>
  <c r="S32" i="1"/>
  <c r="U32" i="1"/>
  <c r="AM32" i="1" s="1"/>
  <c r="AN32" i="1" s="1"/>
  <c r="Y32" i="1"/>
  <c r="S33" i="1"/>
  <c r="U33" i="1"/>
  <c r="Y33" i="1"/>
  <c r="AM33" i="1"/>
  <c r="AN33" i="1"/>
  <c r="AV33" i="1" s="1"/>
  <c r="S34" i="1"/>
  <c r="U34" i="1"/>
  <c r="AM34" i="1" s="1"/>
  <c r="AN34" i="1" s="1"/>
  <c r="Y34" i="1"/>
  <c r="AU34" i="1" s="1"/>
  <c r="S35" i="1"/>
  <c r="U35" i="1"/>
  <c r="AM35" i="1" s="1"/>
  <c r="AN35" i="1" s="1"/>
  <c r="Y35" i="1"/>
  <c r="S36" i="1"/>
  <c r="U36" i="1"/>
  <c r="AM36" i="1" s="1"/>
  <c r="AN36" i="1" s="1"/>
  <c r="Y36" i="1"/>
  <c r="S37" i="1"/>
  <c r="U37" i="1"/>
  <c r="AM37" i="1" s="1"/>
  <c r="AN37" i="1" s="1"/>
  <c r="AW37" i="1" s="1"/>
  <c r="Y37" i="1"/>
  <c r="AV37" i="1" s="1"/>
  <c r="S38" i="1"/>
  <c r="U38" i="1"/>
  <c r="AM38" i="1" s="1"/>
  <c r="AN38" i="1" s="1"/>
  <c r="Y38" i="1"/>
  <c r="S39" i="1"/>
  <c r="U39" i="1"/>
  <c r="AM39" i="1" s="1"/>
  <c r="AN39" i="1" s="1"/>
  <c r="Y39" i="1"/>
  <c r="AU39" i="1" s="1"/>
  <c r="S40" i="1"/>
  <c r="U40" i="1"/>
  <c r="AM40" i="1" s="1"/>
  <c r="AN40" i="1" s="1"/>
  <c r="AV40" i="1" s="1"/>
  <c r="Y40" i="1"/>
  <c r="S41" i="1"/>
  <c r="U41" i="1"/>
  <c r="AM41" i="1" s="1"/>
  <c r="AN41" i="1" s="1"/>
  <c r="Y41" i="1"/>
  <c r="S42" i="1"/>
  <c r="U42" i="1"/>
  <c r="Y42" i="1"/>
  <c r="AM42" i="1"/>
  <c r="AN42" i="1" s="1"/>
  <c r="AV42" i="1" s="1"/>
  <c r="S43" i="1"/>
  <c r="U43" i="1"/>
  <c r="AM43" i="1" s="1"/>
  <c r="AN43" i="1" s="1"/>
  <c r="Y43" i="1"/>
  <c r="AV43" i="1" s="1"/>
  <c r="S44" i="1"/>
  <c r="U44" i="1"/>
  <c r="AM44" i="1" s="1"/>
  <c r="AN44" i="1" s="1"/>
  <c r="Y44" i="1"/>
  <c r="S45" i="1"/>
  <c r="U45" i="1"/>
  <c r="AM45" i="1" s="1"/>
  <c r="AN45" i="1" s="1"/>
  <c r="Y45" i="1"/>
  <c r="AU45" i="1" s="1"/>
  <c r="S46" i="1"/>
  <c r="U46" i="1"/>
  <c r="AM46" i="1" s="1"/>
  <c r="AN46" i="1" s="1"/>
  <c r="Y46" i="1"/>
  <c r="AU46" i="1" s="1"/>
  <c r="S47" i="1"/>
  <c r="U47" i="1"/>
  <c r="AM47" i="1" s="1"/>
  <c r="AN47" i="1" s="1"/>
  <c r="AV47" i="1" s="1"/>
  <c r="Y47" i="1"/>
  <c r="S48" i="1"/>
  <c r="U48" i="1"/>
  <c r="AM48" i="1" s="1"/>
  <c r="AN48" i="1" s="1"/>
  <c r="Y48" i="1"/>
  <c r="S49" i="1"/>
  <c r="U49" i="1"/>
  <c r="AM49" i="1" s="1"/>
  <c r="AN49" i="1" s="1"/>
  <c r="Y49" i="1"/>
  <c r="AU49" i="1" s="1"/>
  <c r="S50" i="1"/>
  <c r="U50" i="1"/>
  <c r="AM50" i="1" s="1"/>
  <c r="AN50" i="1" s="1"/>
  <c r="Y50" i="1"/>
  <c r="S51" i="1"/>
  <c r="U51" i="1"/>
  <c r="AM51" i="1" s="1"/>
  <c r="AN51" i="1" s="1"/>
  <c r="Y51" i="1"/>
  <c r="S52" i="1"/>
  <c r="U52" i="1"/>
  <c r="AM52" i="1" s="1"/>
  <c r="AN52" i="1" s="1"/>
  <c r="Y52" i="1"/>
  <c r="S53" i="1"/>
  <c r="U53" i="1"/>
  <c r="AM53" i="1" s="1"/>
  <c r="AN53" i="1" s="1"/>
  <c r="Y53" i="1"/>
  <c r="S54" i="1"/>
  <c r="U54" i="1"/>
  <c r="AM54" i="1" s="1"/>
  <c r="AN54" i="1" s="1"/>
  <c r="Y54" i="1"/>
  <c r="S55" i="1"/>
  <c r="U55" i="1"/>
  <c r="Y55" i="1"/>
  <c r="AM55" i="1"/>
  <c r="AN55" i="1" s="1"/>
  <c r="S56" i="1"/>
  <c r="U56" i="1"/>
  <c r="AM56" i="1" s="1"/>
  <c r="AN56" i="1" s="1"/>
  <c r="Y56" i="1"/>
  <c r="S57" i="1"/>
  <c r="U57" i="1"/>
  <c r="AM57" i="1" s="1"/>
  <c r="AN57" i="1" s="1"/>
  <c r="Y57" i="1"/>
  <c r="AV57" i="1" s="1"/>
  <c r="S58" i="1"/>
  <c r="U58" i="1"/>
  <c r="AM58" i="1" s="1"/>
  <c r="AN58" i="1" s="1"/>
  <c r="AV58" i="1" s="1"/>
  <c r="Y58" i="1"/>
  <c r="S59" i="1"/>
  <c r="U59" i="1"/>
  <c r="AM59" i="1" s="1"/>
  <c r="AN59" i="1" s="1"/>
  <c r="Y59" i="1"/>
  <c r="S60" i="1"/>
  <c r="U60" i="1"/>
  <c r="Y60" i="1"/>
  <c r="AM60" i="1"/>
  <c r="AN60" i="1" s="1"/>
  <c r="AV60" i="1" s="1"/>
  <c r="S61" i="1"/>
  <c r="U61" i="1"/>
  <c r="AM61" i="1" s="1"/>
  <c r="AN61" i="1" s="1"/>
  <c r="Y61" i="1"/>
  <c r="AU61" i="1" s="1"/>
  <c r="S62" i="1"/>
  <c r="U62" i="1"/>
  <c r="AM62" i="1" s="1"/>
  <c r="AN62" i="1" s="1"/>
  <c r="Y62" i="1"/>
  <c r="AV62" i="1" s="1"/>
  <c r="S63" i="1"/>
  <c r="U63" i="1"/>
  <c r="Y63" i="1"/>
  <c r="AM63" i="1"/>
  <c r="AN63" i="1" s="1"/>
  <c r="S64" i="1"/>
  <c r="U64" i="1"/>
  <c r="AM64" i="1" s="1"/>
  <c r="AN64" i="1" s="1"/>
  <c r="Y64" i="1"/>
  <c r="S65" i="1"/>
  <c r="U65" i="1"/>
  <c r="AM65" i="1" s="1"/>
  <c r="AN65" i="1" s="1"/>
  <c r="AV65" i="1" s="1"/>
  <c r="Y65" i="1"/>
  <c r="S66" i="1"/>
  <c r="U66" i="1"/>
  <c r="AM66" i="1" s="1"/>
  <c r="AN66" i="1" s="1"/>
  <c r="Y66" i="1"/>
  <c r="AU66" i="1" s="1"/>
  <c r="S67" i="1"/>
  <c r="U67" i="1"/>
  <c r="AM67" i="1" s="1"/>
  <c r="AN67" i="1" s="1"/>
  <c r="Y67" i="1"/>
  <c r="S68" i="1"/>
  <c r="U68" i="1"/>
  <c r="AM68" i="1" s="1"/>
  <c r="AN68" i="1" s="1"/>
  <c r="Y68" i="1"/>
  <c r="AU68" i="1" s="1"/>
  <c r="S69" i="1"/>
  <c r="U69" i="1"/>
  <c r="AM69" i="1" s="1"/>
  <c r="AN69" i="1" s="1"/>
  <c r="Y69" i="1"/>
  <c r="S70" i="1"/>
  <c r="U70" i="1"/>
  <c r="AM70" i="1" s="1"/>
  <c r="AN70" i="1" s="1"/>
  <c r="Y70" i="1"/>
  <c r="S71" i="1"/>
  <c r="U71" i="1"/>
  <c r="AM71" i="1" s="1"/>
  <c r="AN71" i="1" s="1"/>
  <c r="Y71" i="1"/>
  <c r="S72" i="1"/>
  <c r="U72" i="1"/>
  <c r="AM72" i="1" s="1"/>
  <c r="AN72" i="1" s="1"/>
  <c r="AV72" i="1" s="1"/>
  <c r="Y72" i="1"/>
  <c r="S73" i="1"/>
  <c r="U73" i="1"/>
  <c r="AM73" i="1" s="1"/>
  <c r="AN73" i="1" s="1"/>
  <c r="AV73" i="1" s="1"/>
  <c r="Y73" i="1"/>
  <c r="S74" i="1"/>
  <c r="U74" i="1"/>
  <c r="AM74" i="1" s="1"/>
  <c r="AN74" i="1" s="1"/>
  <c r="Y74" i="1"/>
  <c r="S75" i="1"/>
  <c r="U75" i="1"/>
  <c r="AM75" i="1" s="1"/>
  <c r="AN75" i="1" s="1"/>
  <c r="Y75" i="1"/>
  <c r="S76" i="1"/>
  <c r="U76" i="1"/>
  <c r="AM76" i="1" s="1"/>
  <c r="AN76" i="1" s="1"/>
  <c r="Y76" i="1"/>
  <c r="S77" i="1"/>
  <c r="U77" i="1"/>
  <c r="AM77" i="1" s="1"/>
  <c r="AN77" i="1" s="1"/>
  <c r="AV77" i="1" s="1"/>
  <c r="Y77" i="1"/>
  <c r="S78" i="1"/>
  <c r="U78" i="1"/>
  <c r="AM78" i="1" s="1"/>
  <c r="AN78" i="1" s="1"/>
  <c r="Y78" i="1"/>
  <c r="S79" i="1"/>
  <c r="U79" i="1"/>
  <c r="AM79" i="1" s="1"/>
  <c r="AN79" i="1" s="1"/>
  <c r="Y79" i="1"/>
  <c r="AU79" i="1" s="1"/>
  <c r="S80" i="1"/>
  <c r="U80" i="1"/>
  <c r="Y80" i="1"/>
  <c r="AM80" i="1"/>
  <c r="AN80" i="1" s="1"/>
  <c r="S81" i="1"/>
  <c r="U81" i="1"/>
  <c r="AM81" i="1" s="1"/>
  <c r="AN81" i="1" s="1"/>
  <c r="Y81" i="1"/>
  <c r="AU81" i="1" s="1"/>
  <c r="S82" i="1"/>
  <c r="U82" i="1"/>
  <c r="AM82" i="1" s="1"/>
  <c r="AN82" i="1" s="1"/>
  <c r="AV82" i="1" s="1"/>
  <c r="Y82" i="1"/>
  <c r="S83" i="1"/>
  <c r="U83" i="1"/>
  <c r="AM83" i="1" s="1"/>
  <c r="AN83" i="1" s="1"/>
  <c r="Y83" i="1"/>
  <c r="S84" i="1"/>
  <c r="U84" i="1"/>
  <c r="AM84" i="1" s="1"/>
  <c r="AN84" i="1" s="1"/>
  <c r="Y84" i="1"/>
  <c r="S85" i="1"/>
  <c r="U85" i="1"/>
  <c r="AM85" i="1" s="1"/>
  <c r="AN85" i="1" s="1"/>
  <c r="Y85" i="1"/>
  <c r="AU85" i="1" s="1"/>
  <c r="S86" i="1"/>
  <c r="U86" i="1"/>
  <c r="Y86" i="1"/>
  <c r="AM86" i="1"/>
  <c r="AN86" i="1"/>
  <c r="S87" i="1"/>
  <c r="U87" i="1"/>
  <c r="Y87" i="1"/>
  <c r="AM87" i="1"/>
  <c r="AN87" i="1" s="1"/>
  <c r="S88" i="1"/>
  <c r="U88" i="1"/>
  <c r="Y88" i="1"/>
  <c r="AM88" i="1"/>
  <c r="AN88" i="1" s="1"/>
  <c r="S89" i="1"/>
  <c r="U89" i="1"/>
  <c r="AM89" i="1" s="1"/>
  <c r="AN89" i="1" s="1"/>
  <c r="Y89" i="1"/>
  <c r="S90" i="1"/>
  <c r="U90" i="1"/>
  <c r="Y90" i="1"/>
  <c r="AM90" i="1"/>
  <c r="AN90" i="1" s="1"/>
  <c r="S91" i="1"/>
  <c r="U91" i="1"/>
  <c r="Y91" i="1"/>
  <c r="AM91" i="1"/>
  <c r="AN91" i="1" s="1"/>
  <c r="S92" i="1"/>
  <c r="U92" i="1"/>
  <c r="AM92" i="1" s="1"/>
  <c r="AN92" i="1" s="1"/>
  <c r="Y92" i="1"/>
  <c r="AU92" i="1" s="1"/>
  <c r="S93" i="1"/>
  <c r="U93" i="1"/>
  <c r="AM93" i="1" s="1"/>
  <c r="AN93" i="1" s="1"/>
  <c r="Y93" i="1"/>
  <c r="S94" i="1"/>
  <c r="U94" i="1"/>
  <c r="AM94" i="1" s="1"/>
  <c r="AN94" i="1" s="1"/>
  <c r="Y94" i="1"/>
  <c r="S95" i="1"/>
  <c r="U95" i="1"/>
  <c r="AM95" i="1" s="1"/>
  <c r="AN95" i="1" s="1"/>
  <c r="AV95" i="1" s="1"/>
  <c r="Y95" i="1"/>
  <c r="S96" i="1"/>
  <c r="U96" i="1"/>
  <c r="Y96" i="1"/>
  <c r="AM96" i="1"/>
  <c r="AN96" i="1" s="1"/>
  <c r="S97" i="1"/>
  <c r="U97" i="1"/>
  <c r="AM97" i="1" s="1"/>
  <c r="AN97" i="1" s="1"/>
  <c r="Y97" i="1"/>
  <c r="S98" i="1"/>
  <c r="U98" i="1"/>
  <c r="AM98" i="1" s="1"/>
  <c r="AN98" i="1" s="1"/>
  <c r="Y98" i="1"/>
  <c r="AV98" i="1"/>
  <c r="S99" i="1"/>
  <c r="U99" i="1"/>
  <c r="AM99" i="1" s="1"/>
  <c r="AN99" i="1" s="1"/>
  <c r="Y99" i="1"/>
  <c r="S100" i="1"/>
  <c r="U100" i="1"/>
  <c r="AM100" i="1" s="1"/>
  <c r="AN100" i="1" s="1"/>
  <c r="AV100" i="1" s="1"/>
  <c r="Y100" i="1"/>
  <c r="S101" i="1"/>
  <c r="U101" i="1"/>
  <c r="AM101" i="1" s="1"/>
  <c r="AN101" i="1" s="1"/>
  <c r="Y101" i="1"/>
  <c r="S102" i="1"/>
  <c r="U102" i="1"/>
  <c r="Y102" i="1"/>
  <c r="AM102" i="1"/>
  <c r="AN102" i="1" s="1"/>
  <c r="S103" i="1"/>
  <c r="U103" i="1"/>
  <c r="AM103" i="1" s="1"/>
  <c r="AN103" i="1" s="1"/>
  <c r="Y103" i="1"/>
  <c r="S104" i="1"/>
  <c r="U104" i="1"/>
  <c r="AM104" i="1" s="1"/>
  <c r="AN104" i="1" s="1"/>
  <c r="Y104" i="1"/>
  <c r="AU104" i="1" s="1"/>
  <c r="S105" i="1"/>
  <c r="U105" i="1"/>
  <c r="Y105" i="1"/>
  <c r="AM105" i="1"/>
  <c r="AN105" i="1" s="1"/>
  <c r="S106" i="1"/>
  <c r="U106" i="1"/>
  <c r="AM106" i="1" s="1"/>
  <c r="AN106" i="1" s="1"/>
  <c r="Y106" i="1"/>
  <c r="S107" i="1"/>
  <c r="U107" i="1"/>
  <c r="AM107" i="1" s="1"/>
  <c r="AN107" i="1" s="1"/>
  <c r="Y107" i="1"/>
  <c r="AU107" i="1" s="1"/>
  <c r="S108" i="1"/>
  <c r="U108" i="1"/>
  <c r="AM108" i="1" s="1"/>
  <c r="AN108" i="1" s="1"/>
  <c r="Y108" i="1"/>
  <c r="AU108" i="1" s="1"/>
  <c r="S109" i="1"/>
  <c r="U109" i="1"/>
  <c r="AM109" i="1" s="1"/>
  <c r="AN109" i="1" s="1"/>
  <c r="Y109" i="1"/>
  <c r="S110" i="1"/>
  <c r="U110" i="1"/>
  <c r="Y110" i="1"/>
  <c r="AM110" i="1"/>
  <c r="AN110" i="1" s="1"/>
  <c r="AV110" i="1" s="1"/>
  <c r="S111" i="1"/>
  <c r="U111" i="1"/>
  <c r="Y111" i="1"/>
  <c r="AM111" i="1"/>
  <c r="AN111" i="1" s="1"/>
  <c r="S112" i="1"/>
  <c r="U112" i="1"/>
  <c r="Y112" i="1"/>
  <c r="AM112" i="1"/>
  <c r="AN112" i="1" s="1"/>
  <c r="AV112" i="1" s="1"/>
  <c r="S113" i="1"/>
  <c r="U113" i="1"/>
  <c r="AM113" i="1" s="1"/>
  <c r="AN113" i="1" s="1"/>
  <c r="Y113" i="1"/>
  <c r="AU113" i="1" s="1"/>
  <c r="S114" i="1"/>
  <c r="U114" i="1"/>
  <c r="AM114" i="1" s="1"/>
  <c r="AN114" i="1" s="1"/>
  <c r="Y114" i="1"/>
  <c r="S115" i="1"/>
  <c r="U115" i="1"/>
  <c r="Y115" i="1"/>
  <c r="AM115" i="1"/>
  <c r="AN115" i="1" s="1"/>
  <c r="AV115" i="1" s="1"/>
  <c r="S116" i="1"/>
  <c r="U116" i="1"/>
  <c r="AM116" i="1" s="1"/>
  <c r="AN116" i="1" s="1"/>
  <c r="Y116" i="1"/>
  <c r="S117" i="1"/>
  <c r="U117" i="1"/>
  <c r="AM117" i="1" s="1"/>
  <c r="AN117" i="1" s="1"/>
  <c r="Y117" i="1"/>
  <c r="S118" i="1"/>
  <c r="U118" i="1"/>
  <c r="AM118" i="1" s="1"/>
  <c r="AN118" i="1" s="1"/>
  <c r="Y118" i="1"/>
  <c r="S119" i="1"/>
  <c r="U119" i="1"/>
  <c r="AM119" i="1" s="1"/>
  <c r="AN119" i="1" s="1"/>
  <c r="Y119" i="1"/>
  <c r="S120" i="1"/>
  <c r="U120" i="1"/>
  <c r="AM120" i="1" s="1"/>
  <c r="AN120" i="1" s="1"/>
  <c r="Y120" i="1"/>
  <c r="AU120" i="1" s="1"/>
  <c r="S121" i="1"/>
  <c r="U121" i="1"/>
  <c r="Y121" i="1"/>
  <c r="AM121" i="1"/>
  <c r="AN121" i="1"/>
  <c r="S122" i="1"/>
  <c r="U122" i="1"/>
  <c r="AM122" i="1" s="1"/>
  <c r="AN122" i="1" s="1"/>
  <c r="Y122" i="1"/>
  <c r="S123" i="1"/>
  <c r="U123" i="1"/>
  <c r="AM123" i="1" s="1"/>
  <c r="AN123" i="1" s="1"/>
  <c r="Y123" i="1"/>
  <c r="S124" i="1"/>
  <c r="U124" i="1"/>
  <c r="AM124" i="1" s="1"/>
  <c r="AN124" i="1" s="1"/>
  <c r="Y124" i="1"/>
  <c r="S125" i="1"/>
  <c r="U125" i="1"/>
  <c r="Y125" i="1"/>
  <c r="AM125" i="1"/>
  <c r="AN125" i="1" s="1"/>
  <c r="S126" i="1"/>
  <c r="U126" i="1"/>
  <c r="Y126" i="1"/>
  <c r="AM126" i="1"/>
  <c r="AN126" i="1" s="1"/>
  <c r="S127" i="1"/>
  <c r="U127" i="1"/>
  <c r="AM127" i="1" s="1"/>
  <c r="AN127" i="1" s="1"/>
  <c r="Y127" i="1"/>
  <c r="AV127" i="1" s="1"/>
  <c r="S128" i="1"/>
  <c r="U128" i="1"/>
  <c r="AM128" i="1" s="1"/>
  <c r="AN128" i="1" s="1"/>
  <c r="Y128" i="1"/>
  <c r="S129" i="1"/>
  <c r="U129" i="1"/>
  <c r="AM129" i="1" s="1"/>
  <c r="AN129" i="1" s="1"/>
  <c r="Y129" i="1"/>
  <c r="S130" i="1"/>
  <c r="U130" i="1"/>
  <c r="AM130" i="1" s="1"/>
  <c r="AN130" i="1" s="1"/>
  <c r="Y130" i="1"/>
  <c r="S131" i="1"/>
  <c r="U131" i="1"/>
  <c r="AM131" i="1" s="1"/>
  <c r="AN131" i="1" s="1"/>
  <c r="Y131" i="1"/>
  <c r="S132" i="1"/>
  <c r="U132" i="1"/>
  <c r="AM132" i="1" s="1"/>
  <c r="AN132" i="1" s="1"/>
  <c r="Y132" i="1"/>
  <c r="AU132" i="1" s="1"/>
  <c r="S133" i="1"/>
  <c r="U133" i="1"/>
  <c r="Y133" i="1"/>
  <c r="AM133" i="1"/>
  <c r="AN133" i="1" s="1"/>
  <c r="S134" i="1"/>
  <c r="U134" i="1"/>
  <c r="AM134" i="1" s="1"/>
  <c r="AN134" i="1" s="1"/>
  <c r="Y134" i="1"/>
  <c r="S135" i="1"/>
  <c r="U135" i="1"/>
  <c r="AM135" i="1" s="1"/>
  <c r="AN135" i="1" s="1"/>
  <c r="Y135" i="1"/>
  <c r="S136" i="1"/>
  <c r="U136" i="1"/>
  <c r="AM136" i="1" s="1"/>
  <c r="AN136" i="1" s="1"/>
  <c r="Y136" i="1"/>
  <c r="S137" i="1"/>
  <c r="U137" i="1"/>
  <c r="AM137" i="1" s="1"/>
  <c r="AN137" i="1" s="1"/>
  <c r="Y137" i="1"/>
  <c r="S138" i="1"/>
  <c r="U138" i="1"/>
  <c r="AM138" i="1" s="1"/>
  <c r="AN138" i="1" s="1"/>
  <c r="Y138" i="1"/>
  <c r="AV138" i="1" s="1"/>
  <c r="S139" i="1"/>
  <c r="U139" i="1"/>
  <c r="AM139" i="1" s="1"/>
  <c r="AN139" i="1" s="1"/>
  <c r="Y139" i="1"/>
  <c r="S140" i="1"/>
  <c r="U140" i="1"/>
  <c r="AM140" i="1" s="1"/>
  <c r="AN140" i="1" s="1"/>
  <c r="Y140" i="1"/>
  <c r="AV140" i="1" s="1"/>
  <c r="S141" i="1"/>
  <c r="U141" i="1"/>
  <c r="AM141" i="1" s="1"/>
  <c r="AN141" i="1" s="1"/>
  <c r="Y141" i="1"/>
  <c r="S142" i="1"/>
  <c r="U142" i="1"/>
  <c r="AM142" i="1" s="1"/>
  <c r="AN142" i="1" s="1"/>
  <c r="Y142" i="1"/>
  <c r="S143" i="1"/>
  <c r="U143" i="1"/>
  <c r="AM143" i="1" s="1"/>
  <c r="AN143" i="1" s="1"/>
  <c r="Y143" i="1"/>
  <c r="S144" i="1"/>
  <c r="U144" i="1"/>
  <c r="AM144" i="1" s="1"/>
  <c r="AN144" i="1" s="1"/>
  <c r="Y144" i="1"/>
  <c r="S145" i="1"/>
  <c r="U145" i="1"/>
  <c r="AM145" i="1" s="1"/>
  <c r="AN145" i="1" s="1"/>
  <c r="Y145" i="1"/>
  <c r="S146" i="1"/>
  <c r="U146" i="1"/>
  <c r="Y146" i="1"/>
  <c r="AM146" i="1"/>
  <c r="AN146" i="1" s="1"/>
  <c r="S147" i="1"/>
  <c r="U147" i="1"/>
  <c r="AM147" i="1" s="1"/>
  <c r="AN147" i="1" s="1"/>
  <c r="Y147" i="1"/>
  <c r="S148" i="1"/>
  <c r="U148" i="1"/>
  <c r="AM148" i="1" s="1"/>
  <c r="AN148" i="1" s="1"/>
  <c r="Y148" i="1"/>
  <c r="S149" i="1"/>
  <c r="U149" i="1"/>
  <c r="AM149" i="1" s="1"/>
  <c r="AN149" i="1" s="1"/>
  <c r="Y149" i="1"/>
  <c r="S150" i="1"/>
  <c r="U150" i="1"/>
  <c r="AM150" i="1" s="1"/>
  <c r="AN150" i="1" s="1"/>
  <c r="Y150" i="1"/>
  <c r="AV150" i="1" s="1"/>
  <c r="S151" i="1"/>
  <c r="U151" i="1"/>
  <c r="Y151" i="1"/>
  <c r="AM151" i="1"/>
  <c r="AN151" i="1" s="1"/>
  <c r="S152" i="1"/>
  <c r="U152" i="1"/>
  <c r="AM152" i="1" s="1"/>
  <c r="AN152" i="1" s="1"/>
  <c r="Y152" i="1"/>
  <c r="S153" i="1"/>
  <c r="U153" i="1"/>
  <c r="AM153" i="1" s="1"/>
  <c r="AN153" i="1" s="1"/>
  <c r="Y153" i="1"/>
  <c r="S154" i="1"/>
  <c r="U154" i="1"/>
  <c r="AM154" i="1" s="1"/>
  <c r="AN154" i="1" s="1"/>
  <c r="Y154" i="1"/>
  <c r="S155" i="1"/>
  <c r="U155" i="1"/>
  <c r="AM155" i="1" s="1"/>
  <c r="AN155" i="1" s="1"/>
  <c r="Y155" i="1"/>
  <c r="S156" i="1"/>
  <c r="U156" i="1"/>
  <c r="AM156" i="1" s="1"/>
  <c r="AN156" i="1" s="1"/>
  <c r="Y156" i="1"/>
  <c r="AV156" i="1" s="1"/>
  <c r="S157" i="1"/>
  <c r="U157" i="1"/>
  <c r="Y157" i="1"/>
  <c r="AM157" i="1"/>
  <c r="AN157" i="1" s="1"/>
  <c r="S158" i="1"/>
  <c r="U158" i="1"/>
  <c r="AM158" i="1" s="1"/>
  <c r="AN158" i="1" s="1"/>
  <c r="Y158" i="1"/>
  <c r="S159" i="1"/>
  <c r="U159" i="1"/>
  <c r="AM159" i="1" s="1"/>
  <c r="AN159" i="1" s="1"/>
  <c r="Y159" i="1"/>
  <c r="S160" i="1"/>
  <c r="U160" i="1"/>
  <c r="AM160" i="1" s="1"/>
  <c r="AN160" i="1" s="1"/>
  <c r="Y160" i="1"/>
  <c r="S161" i="1"/>
  <c r="U161" i="1"/>
  <c r="AM161" i="1" s="1"/>
  <c r="AN161" i="1" s="1"/>
  <c r="Y161" i="1"/>
  <c r="S162" i="1"/>
  <c r="U162" i="1"/>
  <c r="AM162" i="1" s="1"/>
  <c r="AN162" i="1" s="1"/>
  <c r="AV162" i="1" s="1"/>
  <c r="Y162" i="1"/>
  <c r="S163" i="1"/>
  <c r="U163" i="1"/>
  <c r="AM163" i="1" s="1"/>
  <c r="AN163" i="1" s="1"/>
  <c r="Y163" i="1"/>
  <c r="S164" i="1"/>
  <c r="U164" i="1"/>
  <c r="AM164" i="1" s="1"/>
  <c r="AN164" i="1" s="1"/>
  <c r="Y164" i="1"/>
  <c r="S165" i="1"/>
  <c r="U165" i="1"/>
  <c r="AM165" i="1" s="1"/>
  <c r="AN165" i="1" s="1"/>
  <c r="Y165" i="1"/>
  <c r="AV165" i="1" s="1"/>
  <c r="S166" i="1"/>
  <c r="U166" i="1"/>
  <c r="AM166" i="1" s="1"/>
  <c r="AN166" i="1" s="1"/>
  <c r="Y166" i="1"/>
  <c r="S167" i="1"/>
  <c r="U167" i="1"/>
  <c r="Y167" i="1"/>
  <c r="AM167" i="1"/>
  <c r="AN167" i="1"/>
  <c r="AV167" i="1" s="1"/>
  <c r="S168" i="1"/>
  <c r="U168" i="1"/>
  <c r="Y168" i="1"/>
  <c r="AM168" i="1"/>
  <c r="AN168" i="1"/>
  <c r="AV168" i="1" s="1"/>
  <c r="S169" i="1"/>
  <c r="U169" i="1"/>
  <c r="AM169" i="1" s="1"/>
  <c r="AN169" i="1" s="1"/>
  <c r="AV169" i="1" s="1"/>
  <c r="Y169" i="1"/>
  <c r="S170" i="1"/>
  <c r="U170" i="1"/>
  <c r="Y170" i="1"/>
  <c r="AM170" i="1"/>
  <c r="AN170" i="1" s="1"/>
  <c r="AV170" i="1" s="1"/>
  <c r="S171" i="1"/>
  <c r="U171" i="1"/>
  <c r="Y171" i="1"/>
  <c r="AM171" i="1"/>
  <c r="AN171" i="1" s="1"/>
  <c r="S172" i="1"/>
  <c r="U172" i="1"/>
  <c r="AM172" i="1" s="1"/>
  <c r="AN172" i="1" s="1"/>
  <c r="AV172" i="1" s="1"/>
  <c r="Y172" i="1"/>
  <c r="S173" i="1"/>
  <c r="U173" i="1"/>
  <c r="Y173" i="1"/>
  <c r="AM173" i="1"/>
  <c r="AN173" i="1" s="1"/>
  <c r="S174" i="1"/>
  <c r="U174" i="1"/>
  <c r="AM174" i="1" s="1"/>
  <c r="AN174" i="1" s="1"/>
  <c r="Y174" i="1"/>
  <c r="AV174" i="1" s="1"/>
  <c r="S175" i="1"/>
  <c r="U175" i="1"/>
  <c r="Y175" i="1"/>
  <c r="AM175" i="1"/>
  <c r="AN175" i="1" s="1"/>
  <c r="S176" i="1"/>
  <c r="U176" i="1"/>
  <c r="AM176" i="1" s="1"/>
  <c r="AN176" i="1" s="1"/>
  <c r="Y176" i="1"/>
  <c r="AV176" i="1" s="1"/>
  <c r="S177" i="1"/>
  <c r="U177" i="1"/>
  <c r="AM177" i="1" s="1"/>
  <c r="AN177" i="1" s="1"/>
  <c r="AV177" i="1" s="1"/>
  <c r="Y177" i="1"/>
  <c r="S178" i="1"/>
  <c r="U178" i="1"/>
  <c r="Y178" i="1"/>
  <c r="AM178" i="1"/>
  <c r="AN178" i="1" s="1"/>
  <c r="S179" i="1"/>
  <c r="U179" i="1"/>
  <c r="AM179" i="1" s="1"/>
  <c r="AN179" i="1" s="1"/>
  <c r="Y179" i="1"/>
  <c r="AV179" i="1" s="1"/>
  <c r="S180" i="1"/>
  <c r="U180" i="1"/>
  <c r="AM180" i="1" s="1"/>
  <c r="AN180" i="1" s="1"/>
  <c r="Y180" i="1"/>
  <c r="S181" i="1"/>
  <c r="U181" i="1"/>
  <c r="Y181" i="1"/>
  <c r="AM181" i="1"/>
  <c r="AN181" i="1" s="1"/>
  <c r="S182" i="1"/>
  <c r="U182" i="1"/>
  <c r="AM182" i="1" s="1"/>
  <c r="AN182" i="1" s="1"/>
  <c r="Y182" i="1"/>
  <c r="AV182" i="1" s="1"/>
  <c r="S183" i="1"/>
  <c r="U183" i="1"/>
  <c r="Y183" i="1"/>
  <c r="AM183" i="1"/>
  <c r="AN183" i="1" s="1"/>
  <c r="AV183" i="1" s="1"/>
  <c r="S184" i="1"/>
  <c r="U184" i="1"/>
  <c r="AM184" i="1" s="1"/>
  <c r="AN184" i="1" s="1"/>
  <c r="Y184" i="1"/>
  <c r="S185" i="1"/>
  <c r="U185" i="1"/>
  <c r="AM185" i="1" s="1"/>
  <c r="AN185" i="1" s="1"/>
  <c r="Y185" i="1"/>
  <c r="S186" i="1"/>
  <c r="U186" i="1"/>
  <c r="Y186" i="1"/>
  <c r="AM186" i="1"/>
  <c r="AN186" i="1" s="1"/>
  <c r="AV186" i="1" s="1"/>
  <c r="S187" i="1"/>
  <c r="U187" i="1"/>
  <c r="AM187" i="1" s="1"/>
  <c r="AN187" i="1" s="1"/>
  <c r="Y187" i="1"/>
  <c r="AV187" i="1" s="1"/>
  <c r="S188" i="1"/>
  <c r="U188" i="1"/>
  <c r="AM188" i="1" s="1"/>
  <c r="AN188" i="1" s="1"/>
  <c r="Y188" i="1"/>
  <c r="AV146" i="1" l="1"/>
  <c r="AV137" i="1"/>
  <c r="AV148" i="1"/>
  <c r="AW3" i="1"/>
  <c r="AV75" i="1"/>
  <c r="AV188" i="1"/>
  <c r="AU16" i="1"/>
  <c r="AV160" i="1"/>
  <c r="AV142" i="1"/>
  <c r="AV67" i="1"/>
  <c r="AW2" i="1"/>
  <c r="AV50" i="1"/>
  <c r="AU135" i="1"/>
  <c r="AV2" i="1"/>
  <c r="AV70" i="1"/>
  <c r="AV103" i="1"/>
  <c r="AV143" i="1"/>
  <c r="AV97" i="1"/>
  <c r="AV141" i="1"/>
  <c r="AV118" i="1"/>
  <c r="AV48" i="1"/>
  <c r="AV28" i="1"/>
  <c r="AU21" i="1"/>
  <c r="AV184" i="1"/>
  <c r="AV163" i="1"/>
  <c r="AV78" i="1"/>
  <c r="AV31" i="1"/>
  <c r="AV157" i="1"/>
  <c r="AU117" i="1"/>
  <c r="AV83" i="1"/>
  <c r="AU105" i="1"/>
  <c r="AV41" i="1"/>
  <c r="AV30" i="1"/>
  <c r="AW27" i="1"/>
  <c r="AV145" i="1"/>
  <c r="AV122" i="1"/>
  <c r="AV93" i="1"/>
  <c r="AV63" i="1"/>
  <c r="AV22" i="1"/>
  <c r="AV45" i="1"/>
  <c r="AV87" i="1"/>
  <c r="AV102" i="1"/>
  <c r="AU17" i="1"/>
  <c r="AV17" i="1"/>
  <c r="AW17" i="1"/>
  <c r="AV136" i="1"/>
  <c r="AV3" i="1"/>
  <c r="AV85" i="1"/>
  <c r="AV32" i="1"/>
  <c r="AU32" i="1"/>
  <c r="AW32" i="1"/>
  <c r="AV52" i="1"/>
  <c r="AV158" i="1"/>
  <c r="AU152" i="1"/>
  <c r="AV152" i="1"/>
  <c r="AV123" i="1"/>
  <c r="AV53" i="1"/>
  <c r="AU12" i="1"/>
  <c r="AV88" i="1"/>
  <c r="AV173" i="1"/>
  <c r="AU147" i="1"/>
  <c r="AU133" i="1"/>
  <c r="AU128" i="1"/>
  <c r="AV113" i="1"/>
  <c r="AV36" i="1"/>
  <c r="AU142" i="1"/>
  <c r="AV108" i="1"/>
  <c r="AU98" i="1"/>
  <c r="AU84" i="1"/>
  <c r="AV80" i="1"/>
  <c r="AU75" i="1"/>
  <c r="AU58" i="1"/>
  <c r="AU44" i="1"/>
  <c r="AU31" i="1"/>
  <c r="AU13" i="1"/>
  <c r="AU93" i="1"/>
  <c r="AU63" i="1"/>
  <c r="AV181" i="1"/>
  <c r="AV132" i="1"/>
  <c r="AU123" i="1"/>
  <c r="AV107" i="1"/>
  <c r="AU102" i="1"/>
  <c r="AU88" i="1"/>
  <c r="AU53" i="1"/>
  <c r="AV117" i="1"/>
  <c r="AU112" i="1"/>
  <c r="AU74" i="1"/>
  <c r="AV68" i="1"/>
  <c r="AV21" i="1"/>
  <c r="AW12" i="1"/>
  <c r="AU8" i="1"/>
  <c r="AU127" i="1"/>
  <c r="AU48" i="1"/>
  <c r="AV12" i="1"/>
  <c r="AV185" i="1"/>
  <c r="AV180" i="1"/>
  <c r="AV92" i="1"/>
  <c r="AV131" i="1"/>
  <c r="AU106" i="1"/>
  <c r="AU83" i="1"/>
  <c r="AU73" i="1"/>
  <c r="AU57" i="1"/>
  <c r="AU43" i="1"/>
  <c r="AU24" i="1"/>
  <c r="AW7" i="1"/>
  <c r="AU3" i="1"/>
  <c r="AU116" i="1"/>
  <c r="AU101" i="1"/>
  <c r="AU62" i="1"/>
  <c r="AU38" i="1"/>
  <c r="AU7" i="1"/>
  <c r="AU111" i="1"/>
  <c r="AU96" i="1"/>
  <c r="AU87" i="1"/>
  <c r="AU52" i="1"/>
  <c r="AU126" i="1"/>
  <c r="AV105" i="1"/>
  <c r="AU91" i="1"/>
  <c r="AV175" i="1"/>
  <c r="AU167" i="1"/>
  <c r="AU162" i="1"/>
  <c r="AV135" i="1"/>
  <c r="AV130" i="1"/>
  <c r="AU121" i="1"/>
  <c r="AU47" i="1"/>
  <c r="AU33" i="1"/>
  <c r="AU28" i="1"/>
  <c r="AU19" i="1"/>
  <c r="AV153" i="1"/>
  <c r="AU129" i="1"/>
  <c r="AV125" i="1"/>
  <c r="AU95" i="1"/>
  <c r="AV90" i="1"/>
  <c r="AU82" i="1"/>
  <c r="AU71" i="1"/>
  <c r="AV55" i="1"/>
  <c r="AU42" i="1"/>
  <c r="AU23" i="1"/>
  <c r="AU11" i="1"/>
  <c r="AU86" i="1"/>
  <c r="AU77" i="1"/>
  <c r="AU157" i="1"/>
  <c r="AV120" i="1"/>
  <c r="AU37" i="1"/>
  <c r="AV166" i="1"/>
  <c r="AV161" i="1"/>
  <c r="AV147" i="1"/>
  <c r="AV133" i="1"/>
  <c r="AV128" i="1"/>
  <c r="AW22" i="1"/>
  <c r="AU70" i="1"/>
  <c r="AU27" i="1"/>
  <c r="AU18" i="1"/>
  <c r="AU155" i="1"/>
  <c r="AW155" i="1"/>
  <c r="AU59" i="1"/>
  <c r="AU36" i="1"/>
  <c r="AU5" i="1"/>
  <c r="AV5" i="1"/>
  <c r="AW5" i="1"/>
  <c r="AU171" i="1"/>
  <c r="AW171" i="1"/>
  <c r="AU151" i="1"/>
  <c r="AW151" i="1"/>
  <c r="AU9" i="1"/>
  <c r="AU182" i="1"/>
  <c r="AW182" i="1"/>
  <c r="AU178" i="1"/>
  <c r="AW178" i="1"/>
  <c r="AU137" i="1"/>
  <c r="AU118" i="1"/>
  <c r="AU69" i="1"/>
  <c r="AU40" i="1"/>
  <c r="AW26" i="1"/>
  <c r="AU4" i="1"/>
  <c r="AU186" i="1"/>
  <c r="AW186" i="1"/>
  <c r="AU174" i="1"/>
  <c r="AW174" i="1"/>
  <c r="AU154" i="1"/>
  <c r="AV154" i="1"/>
  <c r="AW154" i="1"/>
  <c r="AU26" i="1"/>
  <c r="AV26" i="1"/>
  <c r="AU158" i="1"/>
  <c r="AW158" i="1"/>
  <c r="AU146" i="1"/>
  <c r="AW146" i="1"/>
  <c r="AU80" i="1"/>
  <c r="AU35" i="1"/>
  <c r="AU150" i="1"/>
  <c r="AW150" i="1"/>
  <c r="AU170" i="1"/>
  <c r="AW170" i="1"/>
  <c r="AU141" i="1"/>
  <c r="AW141" i="1"/>
  <c r="AU97" i="1"/>
  <c r="AU25" i="1"/>
  <c r="AU30" i="1"/>
  <c r="AU185" i="1"/>
  <c r="AW185" i="1"/>
  <c r="AU181" i="1"/>
  <c r="AW181" i="1"/>
  <c r="AU177" i="1"/>
  <c r="AW177" i="1"/>
  <c r="AU166" i="1"/>
  <c r="AW166" i="1"/>
  <c r="AU149" i="1"/>
  <c r="AV149" i="1"/>
  <c r="AW149" i="1"/>
  <c r="AU145" i="1"/>
  <c r="AU136" i="1"/>
  <c r="AW136" i="1"/>
  <c r="AU122" i="1"/>
  <c r="AU67" i="1"/>
  <c r="AU173" i="1"/>
  <c r="AW173" i="1"/>
  <c r="AU153" i="1"/>
  <c r="AW153" i="1"/>
  <c r="AU131" i="1"/>
  <c r="AW131" i="1"/>
  <c r="AU169" i="1"/>
  <c r="AW169" i="1"/>
  <c r="AU140" i="1"/>
  <c r="AU78" i="1"/>
  <c r="AU29" i="1"/>
  <c r="AU20" i="1"/>
  <c r="AV16" i="1"/>
  <c r="AU161" i="1"/>
  <c r="AW161" i="1"/>
  <c r="AU144" i="1"/>
  <c r="AV144" i="1"/>
  <c r="AW144" i="1"/>
  <c r="AU184" i="1"/>
  <c r="AW184" i="1"/>
  <c r="AU180" i="1"/>
  <c r="AW180" i="1"/>
  <c r="AU165" i="1"/>
  <c r="AW165" i="1"/>
  <c r="AU148" i="1"/>
  <c r="AW148" i="1"/>
  <c r="AU130" i="1"/>
  <c r="AU72" i="1"/>
  <c r="AU56" i="1"/>
  <c r="AU188" i="1"/>
  <c r="AW188" i="1"/>
  <c r="AU139" i="1"/>
  <c r="AV139" i="1"/>
  <c r="AW139" i="1"/>
  <c r="AU176" i="1"/>
  <c r="AW176" i="1"/>
  <c r="AU134" i="1"/>
  <c r="AV134" i="1"/>
  <c r="AW134" i="1"/>
  <c r="AU115" i="1"/>
  <c r="AU100" i="1"/>
  <c r="AU51" i="1"/>
  <c r="AU15" i="1"/>
  <c r="AV11" i="1"/>
  <c r="AU172" i="1"/>
  <c r="AW172" i="1"/>
  <c r="AU164" i="1"/>
  <c r="AV164" i="1"/>
  <c r="AW164" i="1"/>
  <c r="AU160" i="1"/>
  <c r="AW160" i="1"/>
  <c r="AU110" i="1"/>
  <c r="AU65" i="1"/>
  <c r="AU179" i="1"/>
  <c r="AW179" i="1"/>
  <c r="AU168" i="1"/>
  <c r="AW168" i="1"/>
  <c r="AU156" i="1"/>
  <c r="AW156" i="1"/>
  <c r="AU125" i="1"/>
  <c r="AU90" i="1"/>
  <c r="AU55" i="1"/>
  <c r="AU187" i="1"/>
  <c r="AW187" i="1"/>
  <c r="AU143" i="1"/>
  <c r="AW143" i="1"/>
  <c r="AU114" i="1"/>
  <c r="AU99" i="1"/>
  <c r="AU60" i="1"/>
  <c r="AV6" i="1"/>
  <c r="AW6" i="1"/>
  <c r="AU183" i="1"/>
  <c r="AW183" i="1"/>
  <c r="AV171" i="1"/>
  <c r="AU159" i="1"/>
  <c r="AV159" i="1"/>
  <c r="AW159" i="1"/>
  <c r="AV151" i="1"/>
  <c r="AU109" i="1"/>
  <c r="AU94" i="1"/>
  <c r="AU64" i="1"/>
  <c r="AU50" i="1"/>
  <c r="AU41" i="1"/>
  <c r="AU10" i="1"/>
  <c r="AV178" i="1"/>
  <c r="AU175" i="1"/>
  <c r="AW175" i="1"/>
  <c r="AU163" i="1"/>
  <c r="AW163" i="1"/>
  <c r="AV155" i="1"/>
  <c r="AU138" i="1"/>
  <c r="AW138" i="1"/>
  <c r="AU124" i="1"/>
  <c r="AU119" i="1"/>
  <c r="AU103" i="1"/>
  <c r="AU89" i="1"/>
  <c r="AU76" i="1"/>
  <c r="AU54" i="1"/>
  <c r="AW126" i="1"/>
  <c r="AW121" i="1"/>
  <c r="AW116" i="1"/>
  <c r="AW111" i="1"/>
  <c r="AW106" i="1"/>
  <c r="AW101" i="1"/>
  <c r="AW96" i="1"/>
  <c r="AW91" i="1"/>
  <c r="AW86" i="1"/>
  <c r="AW81" i="1"/>
  <c r="AW76" i="1"/>
  <c r="AW71" i="1"/>
  <c r="AW66" i="1"/>
  <c r="AW61" i="1"/>
  <c r="AW56" i="1"/>
  <c r="AW51" i="1"/>
  <c r="AW46" i="1"/>
  <c r="AW41" i="1"/>
  <c r="AW36" i="1"/>
  <c r="AW31" i="1"/>
  <c r="AW21" i="1"/>
  <c r="AW16" i="1"/>
  <c r="AW11" i="1"/>
  <c r="AV126" i="1"/>
  <c r="AV121" i="1"/>
  <c r="AV116" i="1"/>
  <c r="AV111" i="1"/>
  <c r="AV106" i="1"/>
  <c r="AV101" i="1"/>
  <c r="AV96" i="1"/>
  <c r="AV91" i="1"/>
  <c r="AV86" i="1"/>
  <c r="AV81" i="1"/>
  <c r="AV76" i="1"/>
  <c r="AV71" i="1"/>
  <c r="AV66" i="1"/>
  <c r="AV61" i="1"/>
  <c r="AV56" i="1"/>
  <c r="AV51" i="1"/>
  <c r="AV46" i="1"/>
  <c r="AW133" i="1"/>
  <c r="AW128" i="1"/>
  <c r="AW123" i="1"/>
  <c r="AW118" i="1"/>
  <c r="AW113" i="1"/>
  <c r="AW108" i="1"/>
  <c r="AW103" i="1"/>
  <c r="AW98" i="1"/>
  <c r="AW93" i="1"/>
  <c r="AW88" i="1"/>
  <c r="AW83" i="1"/>
  <c r="AW78" i="1"/>
  <c r="AW73" i="1"/>
  <c r="AW68" i="1"/>
  <c r="AW63" i="1"/>
  <c r="AW58" i="1"/>
  <c r="AW53" i="1"/>
  <c r="AW48" i="1"/>
  <c r="AW43" i="1"/>
  <c r="AW38" i="1"/>
  <c r="AW33" i="1"/>
  <c r="AW28" i="1"/>
  <c r="AW23" i="1"/>
  <c r="AW18" i="1"/>
  <c r="AW13" i="1"/>
  <c r="AW8" i="1"/>
  <c r="AV38" i="1"/>
  <c r="AV8" i="1"/>
  <c r="AW145" i="1"/>
  <c r="AW140" i="1"/>
  <c r="AW135" i="1"/>
  <c r="AW130" i="1"/>
  <c r="AW125" i="1"/>
  <c r="AW120" i="1"/>
  <c r="AW115" i="1"/>
  <c r="AW110" i="1"/>
  <c r="AW105" i="1"/>
  <c r="AW100" i="1"/>
  <c r="AW95" i="1"/>
  <c r="AW90" i="1"/>
  <c r="AW85" i="1"/>
  <c r="AW80" i="1"/>
  <c r="AW75" i="1"/>
  <c r="AW70" i="1"/>
  <c r="AW65" i="1"/>
  <c r="AW60" i="1"/>
  <c r="AW55" i="1"/>
  <c r="AW50" i="1"/>
  <c r="AW45" i="1"/>
  <c r="AW40" i="1"/>
  <c r="AW35" i="1"/>
  <c r="AW30" i="1"/>
  <c r="AW25" i="1"/>
  <c r="AW20" i="1"/>
  <c r="AW15" i="1"/>
  <c r="AW10" i="1"/>
  <c r="AV35" i="1"/>
  <c r="AW167" i="1"/>
  <c r="AW162" i="1"/>
  <c r="AW157" i="1"/>
  <c r="AW152" i="1"/>
  <c r="AW147" i="1"/>
  <c r="AW142" i="1"/>
  <c r="AW137" i="1"/>
  <c r="AW132" i="1"/>
  <c r="AW127" i="1"/>
  <c r="AW122" i="1"/>
  <c r="AW117" i="1"/>
  <c r="AW112" i="1"/>
  <c r="AW107" i="1"/>
  <c r="AW102" i="1"/>
  <c r="AW97" i="1"/>
  <c r="AW92" i="1"/>
  <c r="AW87" i="1"/>
  <c r="AW82" i="1"/>
  <c r="AW77" i="1"/>
  <c r="AW72" i="1"/>
  <c r="AW67" i="1"/>
  <c r="AW62" i="1"/>
  <c r="AW57" i="1"/>
  <c r="AW52" i="1"/>
  <c r="AW47" i="1"/>
  <c r="AW42" i="1"/>
  <c r="AV27" i="1"/>
  <c r="AW129" i="1"/>
  <c r="AW124" i="1"/>
  <c r="AW119" i="1"/>
  <c r="AW114" i="1"/>
  <c r="AW109" i="1"/>
  <c r="AW104" i="1"/>
  <c r="AW99" i="1"/>
  <c r="AW94" i="1"/>
  <c r="AW89" i="1"/>
  <c r="AW84" i="1"/>
  <c r="AW79" i="1"/>
  <c r="AW74" i="1"/>
  <c r="AW69" i="1"/>
  <c r="AW64" i="1"/>
  <c r="AW59" i="1"/>
  <c r="AW54" i="1"/>
  <c r="AW49" i="1"/>
  <c r="AW44" i="1"/>
  <c r="AW39" i="1"/>
  <c r="AW34" i="1"/>
  <c r="AW29" i="1"/>
  <c r="AW24" i="1"/>
  <c r="AW19" i="1"/>
  <c r="AW14" i="1"/>
  <c r="AW9" i="1"/>
  <c r="AW4" i="1"/>
  <c r="AV129" i="1"/>
  <c r="AV124" i="1"/>
  <c r="AV119" i="1"/>
  <c r="AV114" i="1"/>
  <c r="AV109" i="1"/>
  <c r="AV104" i="1"/>
  <c r="AV99" i="1"/>
  <c r="AV94" i="1"/>
  <c r="AV89" i="1"/>
  <c r="AV84" i="1"/>
  <c r="AV79" i="1"/>
  <c r="AV74" i="1"/>
  <c r="AV69" i="1"/>
  <c r="AV64" i="1"/>
  <c r="AV59" i="1"/>
  <c r="AV54" i="1"/>
  <c r="AV49" i="1"/>
  <c r="AV44" i="1"/>
  <c r="AV39" i="1"/>
  <c r="AV34" i="1"/>
  <c r="AV29" i="1"/>
  <c r="AV24" i="1"/>
  <c r="AV19" i="1"/>
  <c r="AV14" i="1"/>
  <c r="AV9" i="1"/>
  <c r="AV4" i="1"/>
</calcChain>
</file>

<file path=xl/sharedStrings.xml><?xml version="1.0" encoding="utf-8"?>
<sst xmlns="http://schemas.openxmlformats.org/spreadsheetml/2006/main" count="3270" uniqueCount="2024">
  <si>
    <t>undefined</t>
  </si>
  <si>
    <t>Journal</t>
  </si>
  <si>
    <t>United States;United States</t>
  </si>
  <si>
    <t>Article</t>
  </si>
  <si>
    <t>ar</t>
  </si>
  <si>
    <t>n</t>
  </si>
  <si>
    <t>U.S. Department of Energy</t>
  </si>
  <si>
    <t>USDOE</t>
  </si>
  <si>
    <t>C</t>
  </si>
  <si>
    <t>BBA - Bioenergetics</t>
  </si>
  <si>
    <t>United States</t>
  </si>
  <si>
    <t>Germany</t>
  </si>
  <si>
    <t>Norway</t>
  </si>
  <si>
    <t>Trondheim</t>
  </si>
  <si>
    <t>Norges Teknisk-Naturvitenskapelige Universitet</t>
  </si>
  <si>
    <t>0018926X</t>
  </si>
  <si>
    <t>IEEE Transactions on Antennas and Propagation</t>
  </si>
  <si>
    <t>60025038;60025038</t>
  </si>
  <si>
    <t>Berkeley</t>
  </si>
  <si>
    <t>University of California, Berkeley</t>
  </si>
  <si>
    <t>France</t>
  </si>
  <si>
    <t>145-151</t>
  </si>
  <si>
    <t>Journal of Chemical Ecology</t>
  </si>
  <si>
    <t>United States;United States;United States</t>
  </si>
  <si>
    <t>Japan</t>
  </si>
  <si>
    <t>Tokyo</t>
  </si>
  <si>
    <t>India</t>
  </si>
  <si>
    <t>Paris</t>
  </si>
  <si>
    <t>CNRS Centre National de la Recherche Scientifique</t>
  </si>
  <si>
    <t>1559128X</t>
  </si>
  <si>
    <t>Applied Optics</t>
  </si>
  <si>
    <t>Japan;Japan</t>
  </si>
  <si>
    <t>Cambridge</t>
  </si>
  <si>
    <t>Pasadena</t>
  </si>
  <si>
    <t>Jet Propulsion Laboratory</t>
  </si>
  <si>
    <t>Stuttgart</t>
  </si>
  <si>
    <t>Pizzella, G.</t>
  </si>
  <si>
    <t>Pizzella G.</t>
  </si>
  <si>
    <t>China</t>
  </si>
  <si>
    <t>Canada</t>
  </si>
  <si>
    <t>Montreal</t>
  </si>
  <si>
    <t>Soviet journal of communications technology &amp; electronics</t>
  </si>
  <si>
    <t>;</t>
  </si>
  <si>
    <t>;;;</t>
  </si>
  <si>
    <t>;;</t>
  </si>
  <si>
    <t>34-37</t>
  </si>
  <si>
    <t>National Institutes of Health</t>
  </si>
  <si>
    <t>NIH</t>
  </si>
  <si>
    <t>National Science Foundation</t>
  </si>
  <si>
    <t>NSF</t>
  </si>
  <si>
    <t>60009037;60009037</t>
  </si>
  <si>
    <t>Nippon Telegraph and Telephone Corporation</t>
  </si>
  <si>
    <t>Telecommunications and Radio Engineering (English translation of Elektrosvyaz and Radiotekhnika)</t>
  </si>
  <si>
    <t>Manzhos V.</t>
  </si>
  <si>
    <t>99-101</t>
  </si>
  <si>
    <t>Vasil'yev Y.</t>
  </si>
  <si>
    <t>United Kingdom</t>
  </si>
  <si>
    <t>Sheffield</t>
  </si>
  <si>
    <t>The University of Sheffield</t>
  </si>
  <si>
    <t>Australia</t>
  </si>
  <si>
    <t>139-141</t>
  </si>
  <si>
    <t>Netherlands</t>
  </si>
  <si>
    <t>19-26</t>
  </si>
  <si>
    <t>Kyoto</t>
  </si>
  <si>
    <t>Kyoto University</t>
  </si>
  <si>
    <t>Japan;United States</t>
  </si>
  <si>
    <t>;;;;</t>
  </si>
  <si>
    <t>Davies W.</t>
  </si>
  <si>
    <t>15-26</t>
  </si>
  <si>
    <t>Columbus</t>
  </si>
  <si>
    <t>The Ohio State University</t>
  </si>
  <si>
    <t>France;France</t>
  </si>
  <si>
    <t>Italy</t>
  </si>
  <si>
    <t>SERC</t>
  </si>
  <si>
    <t>United Kingdom;United Kingdom</t>
  </si>
  <si>
    <t>National Institute of Diabetes and Digestive and Kidney Diseases</t>
  </si>
  <si>
    <t>NIDDK</t>
  </si>
  <si>
    <t>Journal of Biological Chemistry</t>
  </si>
  <si>
    <t>0950107X</t>
  </si>
  <si>
    <t>IEE Proceedings H: Microwaves, Antennas and Propagation</t>
  </si>
  <si>
    <t>Schloemann E.</t>
  </si>
  <si>
    <t>London</t>
  </si>
  <si>
    <t>Queen Mary University of London</t>
  </si>
  <si>
    <t>103-112</t>
  </si>
  <si>
    <t>61-64</t>
  </si>
  <si>
    <t>Rome</t>
  </si>
  <si>
    <t>Sakai</t>
  </si>
  <si>
    <t>Osaka Prefecture University</t>
  </si>
  <si>
    <t>Kominami M.</t>
  </si>
  <si>
    <t>Beijing</t>
  </si>
  <si>
    <t>121-126</t>
  </si>
  <si>
    <t>98-102</t>
  </si>
  <si>
    <t>Germany;Germany</t>
  </si>
  <si>
    <t>7201591225;7202185170</t>
  </si>
  <si>
    <t>Casey J.</t>
  </si>
  <si>
    <t>Cleveland</t>
  </si>
  <si>
    <t>University of Cambridge</t>
  </si>
  <si>
    <t>129-131</t>
  </si>
  <si>
    <t>Toulouse</t>
  </si>
  <si>
    <t>Kuwait</t>
  </si>
  <si>
    <t>561-566</t>
  </si>
  <si>
    <t>Sydney</t>
  </si>
  <si>
    <t>Tadros M.</t>
  </si>
  <si>
    <t>60022109;60022109;60022109</t>
  </si>
  <si>
    <t>60025555;60020661</t>
  </si>
  <si>
    <t>Japan;United Kingdom</t>
  </si>
  <si>
    <t>Tokyo;Liverpool</t>
  </si>
  <si>
    <t>Nippon Telegraph and Telephone Corporation;University of Liverpool</t>
  </si>
  <si>
    <t>Adachi F.</t>
  </si>
  <si>
    <t>Nanjing</t>
  </si>
  <si>
    <t>Puteaux</t>
  </si>
  <si>
    <t>Thales Group</t>
  </si>
  <si>
    <t>Mitsubishi Electric Corporation</t>
  </si>
  <si>
    <t>Case Western Reserve University</t>
  </si>
  <si>
    <t>Macromolecules</t>
  </si>
  <si>
    <t>South Africa</t>
  </si>
  <si>
    <t>Pretoria</t>
  </si>
  <si>
    <t>University of Pretoria</t>
  </si>
  <si>
    <t>Sapienza Universit√† di Roma</t>
  </si>
  <si>
    <t>Canton</t>
  </si>
  <si>
    <t>L-3 Communications</t>
  </si>
  <si>
    <t>237-240</t>
  </si>
  <si>
    <t>Spain;Spain</t>
  </si>
  <si>
    <t>Boulder</t>
  </si>
  <si>
    <t>284-290</t>
  </si>
  <si>
    <t>60031828;60031828</t>
  </si>
  <si>
    <t>Hamilton</t>
  </si>
  <si>
    <t>McMaster University</t>
  </si>
  <si>
    <t>60028333;60028333</t>
  </si>
  <si>
    <t>UNSW Sydney</t>
  </si>
  <si>
    <t>Fusion Technology</t>
  </si>
  <si>
    <t>Toronto</t>
  </si>
  <si>
    <t>University of Toronto</t>
  </si>
  <si>
    <t>Hungary</t>
  </si>
  <si>
    <t>Budapest</t>
  </si>
  <si>
    <t>849-864</t>
  </si>
  <si>
    <t>60025555;60025555</t>
  </si>
  <si>
    <t>Clarksburg</t>
  </si>
  <si>
    <t>Poulton G.</t>
  </si>
  <si>
    <t>60019947;60022659</t>
  </si>
  <si>
    <t>Casey, John P.;Bansal, Rajeev</t>
  </si>
  <si>
    <t>Storrs;New London</t>
  </si>
  <si>
    <t>University of Connecticut;US Naval Underwater Systems Center</t>
  </si>
  <si>
    <t>60022659;60019947</t>
  </si>
  <si>
    <t>Darmstadt</t>
  </si>
  <si>
    <t>1141-1151</t>
  </si>
  <si>
    <t>Radiocommunication | Receivers</t>
  </si>
  <si>
    <t>IEE Proceedings F: Communications Radar and Signal Processing</t>
  </si>
  <si>
    <t>60025555;60020661;60020661</t>
  </si>
  <si>
    <t>University of California</t>
  </si>
  <si>
    <t>109-117</t>
  </si>
  <si>
    <t>Dallas</t>
  </si>
  <si>
    <t>Texas Instruments</t>
  </si>
  <si>
    <t>United States;Israel</t>
  </si>
  <si>
    <t>65-67</t>
  </si>
  <si>
    <t>Columbia</t>
  </si>
  <si>
    <t>National Institute of Neurological Disorders and Stroke</t>
  </si>
  <si>
    <t>NINDS</t>
  </si>
  <si>
    <t>University of Montreal</t>
  </si>
  <si>
    <t>60029170;60029170;60029170;60029170</t>
  </si>
  <si>
    <t>Sweden</t>
  </si>
  <si>
    <t>Lund</t>
  </si>
  <si>
    <t>Lunds Universitet</t>
  </si>
  <si>
    <t>Physics of Fluids</t>
  </si>
  <si>
    <t>Athens</t>
  </si>
  <si>
    <t>Pass G.</t>
  </si>
  <si>
    <t>United Kingdom;United Kingdom;United Kingdom</t>
  </si>
  <si>
    <t>Journal of Electronics (China)</t>
  </si>
  <si>
    <t>Princeton;Livermore;Albuquerque</t>
  </si>
  <si>
    <t>Princeton Plasma Physics Laboratory;Sandia National Laboratories, California;Sandia National Laboratories, New Mexico</t>
  </si>
  <si>
    <t>60018020;60015900;60007843</t>
  </si>
  <si>
    <t>Milan</t>
  </si>
  <si>
    <t>The University of Tokyo</t>
  </si>
  <si>
    <t>FEBS Letters</t>
  </si>
  <si>
    <t>K√ºhlbrandt W.</t>
  </si>
  <si>
    <t>27-32</t>
  </si>
  <si>
    <t>96-99</t>
  </si>
  <si>
    <t>Microwave journal</t>
  </si>
  <si>
    <t>College Park</t>
  </si>
  <si>
    <t>International Journal of Infrared and Millimeter Waves</t>
  </si>
  <si>
    <t>Alta frequenza</t>
  </si>
  <si>
    <t>Journal of Experimental Marine Biology and Ecology</t>
  </si>
  <si>
    <t>60026415;60026415</t>
  </si>
  <si>
    <t>Stony Brook</t>
  </si>
  <si>
    <t>Stony Brook University</t>
  </si>
  <si>
    <t>37-41</t>
  </si>
  <si>
    <t>Chaplin A.</t>
  </si>
  <si>
    <t>Tereshin O.</t>
  </si>
  <si>
    <t>Ball Aerospace</t>
  </si>
  <si>
    <t>Journal of Electrical and Electronics Engineering, Australia</t>
  </si>
  <si>
    <t>Berlin</t>
  </si>
  <si>
    <t>Technical University of Berlin</t>
  </si>
  <si>
    <t>109-111</t>
  </si>
  <si>
    <t>Scientia sinica. Series A. Mathematical, physical, astronomical and technical sciences</t>
  </si>
  <si>
    <t>Radiophysics and Quantum Electronics</t>
  </si>
  <si>
    <t>Karpman V.</t>
  </si>
  <si>
    <t>Shijiazhuang</t>
  </si>
  <si>
    <t>Shijiazhuang Communication Lab</t>
  </si>
  <si>
    <t>Physics Letters A</t>
  </si>
  <si>
    <t>Pisa</t>
  </si>
  <si>
    <t>Istituto Nazionale di Fisica Nucleare, Sezione di Pisa</t>
  </si>
  <si>
    <t>Karpman, V. I.</t>
  </si>
  <si>
    <t>Russian Federation</t>
  </si>
  <si>
    <t>Troitsk</t>
  </si>
  <si>
    <t>Pushkov Institute of Terrestrial Magnetism, Ionosphere and Radiowave Propagation, Russian Academy of Sciences</t>
  </si>
  <si>
    <t>60004156;60004156</t>
  </si>
  <si>
    <t>Wageningen</t>
  </si>
  <si>
    <t>Wageningen University &amp; Research</t>
  </si>
  <si>
    <t>Hydrobiologia</t>
  </si>
  <si>
    <t>European Biophysics Journal</t>
  </si>
  <si>
    <t>Journal of the Institution of Engineers. India. Electronics and telecommunication engineering division</t>
  </si>
  <si>
    <t>Vijayawada</t>
  </si>
  <si>
    <t>Velagapudi Ramakrishna Siddhartha Engineering College</t>
  </si>
  <si>
    <t>Kondrat'yev, A. S.</t>
  </si>
  <si>
    <t>Kondrat'yev A.</t>
  </si>
  <si>
    <t>60072226;60072226;60072226;60072226</t>
  </si>
  <si>
    <t>Anikeyenko G.</t>
  </si>
  <si>
    <t>AEU. Archiv fur Elektronik und Ubertragungstechnik</t>
  </si>
  <si>
    <t>Braunschweig</t>
  </si>
  <si>
    <t>Technische Universit√§t Braunschweig</t>
  </si>
  <si>
    <t>Measurement Techniques</t>
  </si>
  <si>
    <t>Kyurkchan A.</t>
  </si>
  <si>
    <t>0497137X</t>
  </si>
  <si>
    <t>Telecommunication journal</t>
  </si>
  <si>
    <t>136-138</t>
  </si>
  <si>
    <t>['unit responds', 'stimulus onset', 'steps larger', 'step changes', 'step amplitudes', 'steady temperature', 'slow warming', 'slow cooling', 'resolving power', 'like projections', 'larger responses', 'initial temperatures', 'initial temperature', 'impulse frequency', 'highest values', 'higher temperatures', 'higher frequencies', 'given temperature', 'frequency peaked', 'either direction', 'differential sensitivity', 'cooling developed', 'constant temperature', 'conditioning temperature', 'cold unit', 'ambient temperature', '6 ).', '5 ).', '4 ).', '340 imp', '3 ).', '23 curves', '1 ).', ')/¬∞ c', ')/(¬∞ c']</t>
  </si>
  <si>
    <t>The dendritic outer segment of the cell which is most likely the cold unit in the poreless coeloconic sensilla on Locusta migratoria antennae, has finger-like projections up to 1.5 Œºm long and 0.13 Œºm thick (Fig. 1). This unit responds to constant temperature, to slowly changing temperature and to step changes. Under stationary conditions impulse frequency attained 35 imp/s. Between 14 ¬∞C and 41 ¬∞C the higher frequencies were associated with the higher temperatures (Fig. 5). In this range the differential sensitivity is positive but not large: + 0.8 (imp/s)/¬∞C. Its resolving power for steady temperature is 4.7 ¬∞C. Downward step changes produced by shifting between airstreams at different temperatures yield far higher frequencies (Figs. 2, 3). Step amplitudes were between -0.1 ¬∞C and -12 ¬∞C; the conditioning temperature from which the steps were initiated, was between 16 ¬∞C and 33 ¬∞C. Frequency peaked during the first 50 ms after stimulus onset (Fig. 2) and reached its highest values (310-340 imp/s) at initial temperatures above 30 ¬∞C and steps larger than -10 ¬∞C (Fig. 4). The mean differential sensitivity from 23 curves was -19 (imp/s)/¬∞C and the resolving power 0.6 ¬∞C. During slowly changing temperature the impulse frequency was governed by two parameters simultaneously: ambient temperature and its rate of change. Rates were between 0.001 ¬∞C/s or less, and 0.03 ¬∞C/s in either direction. Frequency was higher during slow cooling at a given temperature than during slow warming (Fig. 6). The average differential sensitivity to the rate of change was -210 (imp/s)/(¬∞C/s). Further, the larger responses to cooling developed at lower ambient temperatures (differential sensitivity: -1.0 (imp/s)/¬∞C). It is to be noted that this sign is negative, in contrast to the sign for differential sensitivity to constant temperature and also for the influence of initial temperature on the response to downward step changes. ¬© 1988 Springer-Verlag.</t>
  </si>
  <si>
    <t>507-516</t>
  </si>
  <si>
    <t>Journal of Comparative Physiology A</t>
  </si>
  <si>
    <t>60030807;60030807</t>
  </si>
  <si>
    <t>16451036000;7003421668</t>
  </si>
  <si>
    <t>Ameismeier, Franz;Loftus, Richard</t>
  </si>
  <si>
    <t>Regensburg</t>
  </si>
  <si>
    <t>Universit√§t Regensburg</t>
  </si>
  <si>
    <t>Ameismeier F.</t>
  </si>
  <si>
    <t>Response characteristics of cold cell on the antenna of Locusta migratoria L.</t>
  </si>
  <si>
    <t>10.1007/BF00604904</t>
  </si>
  <si>
    <t>2-s2.0-0000192653</t>
  </si>
  <si>
    <t>DMB-8400169</t>
  </si>
  <si>
    <t>['¬© 1988', 'variable content', 'variable chl', 'thylakoid membrane', 'rubp carboxylase', 'results support', 'ps ii', 'plant physiologists', 'measured efficiency', 'lower efficiency', 'low photosystem', 'low light', 'low irradiance', 'light utilization', 'jspp ).', 'japanese society', 'hl cells', 'high light', 'grown cells', 'fucoxanthin light', 'fucoxanthin carotenoids', 'chl c', 'cells grown', 'cells ).', 'absorbed energy', '670 nm', '481 nm', '30 %).', '100 %)']</t>
  </si>
  <si>
    <t>Blue-light utilization | Cylindrotheca fusiformis | Diatoms | Photosynthetic unit size | Photosystem stoichiometry</t>
  </si>
  <si>
    <t>The photochemical apparatus organization in the thylakoid membrane of the diatom Cylindrotheca fusiformis was investigated in cells grown under high and low irradiance. High light (HL, 200ŒºE.m-2.s-1) grown cells displayed a relatively low fucoxanthin to chlorophyll (Chl) ratio, a low photosystem (PS) stoichiometry (PSII/PS I=1.3/1.0) and a smaller photosynthetic unit size in both PS I and PS II. Low light (LL, 30ŒºE.m-2.s-1) grown cells displayed a 30% elevated fucoxanthin content, elevated PS II/PS I=3.9/1.0 and larger photosynthetic unit size for PS II (a change of about 100%) and for PS I (by about 30%). In agreement, SDS polyacrylamide gel electrophoresis of thylakoid membrane polypeptides showed greater abundance of PS I, RuBP carboxylase and ATP synthase polypeptides in HL cells. In contrast, LL grown cells exhibited greater abundance of light-harvesting complex polypeptides. Assuming an efficiency of red (670 nm) light utilization of 1.0, the measured efficiency of blue (481 nm) light utilization was 0.64 (HL cells) and 0.72 (LL cells). The lower efficiency of blue versus red light utilization is attributed to the quenching of absorbed energy by non-fucoxanthin carotenoids. Differences in the efficiency of blue light utilization between HL and LL grown cells are attributed to the variable content of fucoxanthin. The results support the hypothesis of a variable Chl a-Chl c-fucoxanthin light-harvesting antenna associated with PS II and PS I in Cylindrotheca. ¬© 1988 The Japanese Society of Plant Physiologists (JSPP).</t>
  </si>
  <si>
    <t>761-769</t>
  </si>
  <si>
    <t>Plant and Cell Physiology</t>
  </si>
  <si>
    <t>55476057200;57203081985</t>
  </si>
  <si>
    <t>Smith, Barbara M.;Melis, Anastasios</t>
  </si>
  <si>
    <t>Smith B.</t>
  </si>
  <si>
    <t>Photochemical apparatus organization in the diatom cylindrotheca fusiformis: Photosystem stoichiometry and excitation distribution in cells grown under high and low irradiance</t>
  </si>
  <si>
    <t>2-s2.0-0009814432</t>
  </si>
  <si>
    <t>['wave frequencies', 'used throughout', 'radio telescope', 'radio astronomy', 'radiation characteristics', 'large aperture', 'improved resolution', 'design values', 'agree well']</t>
  </si>
  <si>
    <t>In radio astronomy, a high precision antenna with a large aperture that can be used throughout the microwave and millimeter-wave frequencies is required for improved resolution. Using lens system analogy, the beam waveguide feed system for multiple frequency bands of the 45-m radio telescope has been designed. For these design values, the radiation characteristics have been evaluated by the beam mode expansion method effective for the analysis of a beam waveguide feed. It is found that both agree well.</t>
  </si>
  <si>
    <t>111-121</t>
  </si>
  <si>
    <t>Electronics and Communications in Japan, Part I: Communications (English translation of Denshi Tsushin Gakkai Ronbunshi)</t>
  </si>
  <si>
    <t>60101699;60101699;60101699;60101699;60101699</t>
  </si>
  <si>
    <t>7003628822;7004304668;6701371445;7402182464;6701467402</t>
  </si>
  <si>
    <t>Urasaki, Shuji;Katagi, Takashi;Mizusawa, Motoo;Masuda, Masanori;Betsudan, Shin ichi</t>
  </si>
  <si>
    <t>Urasaki S.</t>
  </si>
  <si>
    <t>Design of beam waveguide feeds for multifrequency bands by lens system analogy</t>
  </si>
  <si>
    <t>2-s2.0-0024036190</t>
  </si>
  <si>
    <t>['recursive relation', 'product series', 'power series', 'imaginary parts', 'expression evolves', 'complex roots']</t>
  </si>
  <si>
    <t>A recursive relation is derived for calculation of the coefficients of a power series from the roots of a product series. For complex roots the expression evolves into two real recursive relations, one each for the real and imaginary parts of the coefficients. The usefulness of the algorithm is illustrated by calculating the weights of a steerable antenna array from its zeros.</t>
  </si>
  <si>
    <t>40-42</t>
  </si>
  <si>
    <t>Transactions of the South African Institute of Electrical Engineers</t>
  </si>
  <si>
    <t>60000717;60000717;60000717</t>
  </si>
  <si>
    <t>35582918900;7102848240;35553675500</t>
  </si>
  <si>
    <t>Lacquet, B. M.;Swart, P. L.;van Wyk, M. A.</t>
  </si>
  <si>
    <t>Johannesburg</t>
  </si>
  <si>
    <t>University of Johannesburg</t>
  </si>
  <si>
    <t>Lacquet B.</t>
  </si>
  <si>
    <t>Coefficients of a power series from the roots of the product series: application to antenna arrays</t>
  </si>
  <si>
    <t>2-s2.0-0024036197</t>
  </si>
  <si>
    <t>['sufficiently close', 'rotation angle', 'reaction equation', 'printed dipole', 'placed perpendicular', 'paper analyzes', 'ground plane', 'frequency characteristics', 'feed line', 'experimental results', 'equivalent impedances', 'electromagnetically coupled', 'dipole forms', 'attracted attention']</t>
  </si>
  <si>
    <t>Recently, the printed dipole antenna has attracted attention as a two-dimensional array element which is electromagnetically coupled to an open-type feed line. This paper analyzes the characteristics of the printed dipole which is excited by an infinitely long microstrip line, by applying the method of moment to Richmond's reaction equation. If we assume that the feed line is sufficiently close to the ground plane, the dipole which is placed perpendicular to the feed line is treated as an equivalent parallel element. If the dipole forms a rotation angle with the feed line at the center of the dipole, it is regarded as an equivalent series element. Through a comparison of theoretical and experimental results for their frequency characteristics of equivalent impedances, the appropriateness of the theory has been confirmed.</t>
  </si>
  <si>
    <t>100-110</t>
  </si>
  <si>
    <t>60008107;60008107;60008107</t>
  </si>
  <si>
    <t>7003938202;7102076103;6701865440</t>
  </si>
  <si>
    <t>Kominami, Masanobu;Takei, Tamotsu;Rokushima, Katsu</t>
  </si>
  <si>
    <t>Printed dipole coupled electromagnetically to a microstrip feed line</t>
  </si>
  <si>
    <t>2-s2.0-0024038646</t>
  </si>
  <si>
    <t>['rectangular waveguides', 'reasonable approximation', 'readily integrated', 'rapid flare', 'propagation properties', 'paper design', 'paper described', 'low sidelopes', 'horn antenna', 'free space', 'flat surface', 'estimated source', 'distance inside', 'aircraft fuselage']</t>
  </si>
  <si>
    <t>A horn antenna that is designed as a match between a rectangular metal waveguide and free space is described. The antenna has a very low return loss and low sidelopes. The design is based on the paper described by R.P. Hecken. In the paper design the cutoff and propagation properties of rectangular waveguides were used. Due to the estimated source of radiation being some distance inside the throat of the horn, and in view of the good results obtained, it can be concluded that, at least in the 'active region', the rectangular TE10 waveguide mode is a reasonable approximation. Due to the very rapid flare of the horn, it can be readily integrated into a flat surface such as an aircraft fuselage.</t>
  </si>
  <si>
    <t>38-39</t>
  </si>
  <si>
    <t>Malherbe, J. A.G.</t>
  </si>
  <si>
    <t>Malherbe J.</t>
  </si>
  <si>
    <t>Compact horn antenna with low return loss</t>
  </si>
  <si>
    <t>2-s2.0-0024038652</t>
  </si>
  <si>
    <t>['visible angles', 'uniform level', 'suppress effectively', 'stable gain', 'signal frequency', 'secondary radiation', 'radiation pattern', 'falling within', 'efficient method', 'directional properties', 'antenna arrays']</t>
  </si>
  <si>
    <t>It is established that the arrangement of the emitters of linear nonequidistant antenna arrays (NEEA) in accordance with the law of least ordered sequences makes it possible to suppress effectively the secondary diffraction maxima of the radiation pattern, falling within the range of visible angles for an increase of the signal frequency that provides for a uniform level of secondary radiation and a stable gain over a broad frequency band. The broadband and directional properties of such antenna arrays are analyzed and an efficient method of synthesizing them is proposed.</t>
  </si>
  <si>
    <t>33-40</t>
  </si>
  <si>
    <t>7006076565;6507312236</t>
  </si>
  <si>
    <t>Chaplin, A. F.;Koval', B. V.</t>
  </si>
  <si>
    <t>Frequency-compensating antenna arrays</t>
  </si>
  <si>
    <t>2-s2.0-0024045238</t>
  </si>
  <si>
    <t>['spatial correlation', 'radar sounding', 'microwave bands', 'kirchhoff method', 'finite width']</t>
  </si>
  <si>
    <t>The Kirchhoff method is used to analyze the spatial correlation of radio signals reflected from the surface of the sea. The formulas obtained take into account the finite width of the antenna radiation pattern, the inclinations of the surface and their correlation in two mutually perpendicular directions. Radar sounding in the short-wave and microwave bands is analyzed.</t>
  </si>
  <si>
    <t>149-153</t>
  </si>
  <si>
    <t>6603319930;6507069478;7005543267;6603404604</t>
  </si>
  <si>
    <t>Orekhov, B. I.;Garnaker'yan, A. A.;Bukharin, V. D.;Afanas'yev, A. S.</t>
  </si>
  <si>
    <t>Orekhov B.</t>
  </si>
  <si>
    <t>Spatial correlation of radio signals reflected from the surface of the sea</t>
  </si>
  <si>
    <t>2-s2.0-0024045249</t>
  </si>
  <si>
    <t>['simple formulas', 'electromagnetic waves', 'also presented']</t>
  </si>
  <si>
    <t>Existing approximate methods for calculating the scattering of electromagnetic waves by antennas, including the calculation of integral and differential scattering surfaces, are reviewed, and simple formulas are presented for estimating these quantities. Separate results obtained by the authors are also presented.</t>
  </si>
  <si>
    <t>6603193828;7003805994</t>
  </si>
  <si>
    <t>Benenson, L. S.;Fel'd, Ya N.</t>
  </si>
  <si>
    <t>Benenson L.</t>
  </si>
  <si>
    <t>Scattering of electromagnetic waves by antennas (review)</t>
  </si>
  <si>
    <t>2-s2.0-0024045484</t>
  </si>
  <si>
    <t>['providing within', 'plane perpendicular', 'numerical results', 'maximum radiation', 'mathematical programming', 'linear dipole', 'high level', 'antenna matching']</t>
  </si>
  <si>
    <t>The problem of choosing capacitive loads, connected to a linear dipole and providing within a given frequency band a high level of antenna matching to a cable and maximum radiation in the plane perpendicular to the axis of the antenna, is considered. The problem is solved by mathematical programming. Numerical results are given.</t>
  </si>
  <si>
    <t>26-33</t>
  </si>
  <si>
    <t>57225688610;57198074732</t>
  </si>
  <si>
    <t>Levin, B. M.;Yakovlev, A. D.</t>
  </si>
  <si>
    <t>Levin B.M.</t>
  </si>
  <si>
    <t>Synthesis of antennas with loads by mathematical programming</t>
  </si>
  <si>
    <t>2-s2.0-0024045567</t>
  </si>
  <si>
    <t>['much higher', 'emission power', 'electromagnetic waves', '90 ¬∞']</t>
  </si>
  <si>
    <t>The dependence of the emission power of a low-frequency frame antenna, placed in a magnetoactive ionospheric plasma, on the angle Œ≥0 between the axis of the frame and the direction of the constant magnetic field is investigated. It is shown that the efficiency of the radiation of electromagnetic waves of the 'whistler' type is much higher at Œ≥0 = 90¬∞ than at Œ≥0 = 0.</t>
  </si>
  <si>
    <t>130-134</t>
  </si>
  <si>
    <t>6603779009;6506340936;6701398779;6602454680</t>
  </si>
  <si>
    <t>Akindinov, V. V.;Bukharova, A. M.;Lishin, I. V.;Sorokin, R. K.</t>
  </si>
  <si>
    <t>Akindinov V.</t>
  </si>
  <si>
    <t>Radiation efficiency of a low-frequency frame antenna in an ionospheric plasma</t>
  </si>
  <si>
    <t>2-s2.0-0024045591</t>
  </si>
  <si>
    <t>['matching device', 'frequency decoupler', 'common antenna', 'bandwidth matching']</t>
  </si>
  <si>
    <t>The problem of bandwidth matching of several transmitters operating into a common antenna through a frequency decoupler is examined. A design of a decoupling-matching device is proposed.</t>
  </si>
  <si>
    <t>134-136</t>
  </si>
  <si>
    <t>Zamulin, O. L.</t>
  </si>
  <si>
    <t>Zamulin O.</t>
  </si>
  <si>
    <t>Operation of several transmitters into a common antenna in nonoverlapping frequency bands</t>
  </si>
  <si>
    <t>2-s2.0-0024045906</t>
  </si>
  <si>
    <t>['transient conditions', 'phase distortions', 'investigated taking', 'end circuits', 'account amplitude']</t>
  </si>
  <si>
    <t>The characteristics of a modified adaptive Applebaum array under steady-state and transient conditions are investigated taking into account amplitude-phase distortions in the front-end circuits of the array and the weighting-factor control circuits.</t>
  </si>
  <si>
    <t>7004486751;12039053300;7004903129</t>
  </si>
  <si>
    <t>Tarasenko, O. M.;Kukin, V. N.;Gabriel'yan, D. D.</t>
  </si>
  <si>
    <t>Tarasenko O.</t>
  </si>
  <si>
    <t>Characteristics of an adaptive array taking amplitude-phase distortions into account</t>
  </si>
  <si>
    <t>2-s2.0-0024045910</t>
  </si>
  <si>
    <t>['relative position', 'reactive components', 'mutual impedances', 'minor axis', 'focal length', 'elliptical cylinder', 'ellipitical cylinder', 'analytical expressions']</t>
  </si>
  <si>
    <t>Analytical expressions are obtained for determining the complex mutual impedances of radial and longitudinal electrical dipoles on an ellipitical cylinder. The results of calculations of the resistive and reactive components of the mutual impedances of the antennas are as a function of the dimensions of the minor axis and the focal length of the ellipse as well as the relative position of the antennas on the elliptical cylinder are given.</t>
  </si>
  <si>
    <t>7102485268;7004442376;6603273479</t>
  </si>
  <si>
    <t>Kravtsov, V. A.;Kravtsova, G. V.;Ulasik, O. L.</t>
  </si>
  <si>
    <t>Kravtsov V.</t>
  </si>
  <si>
    <t>Mutual influence of dipole antennas on an elliptical cylinder</t>
  </si>
  <si>
    <t>2-s2.0-0024045920</t>
  </si>
  <si>
    <t>['radiation patterns', 'paper presents', 'immediate proximity', 'experimental investigation', 'antenna parameters']</t>
  </si>
  <si>
    <t>A method of correcting the radiation patterns of antennas and for isolating the nearby aperture radiators by means of longitudinal conducting plates is proposed. The paper presents the results of an experimental investigation of the influence of the plates on the antenna parameters when the plates are located in the immediate proximity of the antennas.</t>
  </si>
  <si>
    <t>126-128</t>
  </si>
  <si>
    <t>6603488444;6504712612;6603314024</t>
  </si>
  <si>
    <t>Dagurov, P. N.;Lomuzhin, Yu L.;Chimitdorzhiev, N. B.</t>
  </si>
  <si>
    <t>Dagurov P.</t>
  </si>
  <si>
    <t>Suppression of antenna sidelobe radiation by means of conducting plates</t>
  </si>
  <si>
    <t>2-s2.0-0024045995</t>
  </si>
  <si>
    <t>['turnstile antenna', 'polarization purity', 'perfect feeding', 'desired direction', 'computed results', 'beam direction', 'arbitrary feeding']</t>
  </si>
  <si>
    <t>The problem of generating pure circular polarization for a desired direction is investigated by means of circularly polarized spherical waves. In the case of perfect feeding a class of antennas is estimated yielding ideal circular polarization in main-beam direction. At arbitrary feeding the polarization purity is determined by the sum of a feeding-network-factor and an antenna-shape-factor. The theory is illustrated by computed results for a turnstile antenna and an archimedian spiral antenna.</t>
  </si>
  <si>
    <t>242-247</t>
  </si>
  <si>
    <t>Kraft, Ulrich</t>
  </si>
  <si>
    <t>Kraft U.</t>
  </si>
  <si>
    <t>ANTENNA STRUCTURES FOR PERFECT CIRCULAR POLARIZATION IN MAIN-BEAM DIRECTION.</t>
  </si>
  <si>
    <t>2-s2.0-0024048576</t>
  </si>
  <si>
    <t>['translate towards', 'time course', 'three components', 'target position', 'take depends', 'stimulation along', 'simultaneously rotate', 'sensory feedback', 'second antenna', 'position relative', 'move towards', 'lightly touched', 'fine brush', 'detectable effect', 'chordotonal organs', 'chordotonal organ', 'blinded crayfish', 'bent laterally', 'basal joints', 'attack accordingly', 'animals correct', 'animal withdraws', 'angular position', '9 ).', '8 ).', '7 ).', '6 ).', '3 ).']</t>
  </si>
  <si>
    <t>1. When the flagellum of the second antenna of a blinded crayfish is lightly touched with a fine brush, the animal withdraws its antenna and attacks the point of stimulation. We studied the dynamics of this attack and describe experiments designed to identify the sensory information used by the animals to guide their actions. 2. For a successful attack crayfish simultaneously turn and move towards the 'target position', while making grasping movements with their chelae (Figs. 2, 3). The time course of all three components of this preprogrammed action pattern depends on the angular position of the antennae and on the distance between the point of stimulation along the flagellum and the animal's body (Fig. 6). 3. During an attack the animals have no sensory feedback about their position relative to the 'target position'. Since they simultaneously rotate and translate towards the 'target position' the direction they have to take depends on how much they translate while rotating. It can be shown that the animals correct the angular position errors introduced by their own translation (Fig. 9). 4. The angular position of the flagellum is monitored by chordotonal organs in the basal joints of the antenna. Splinting the basal joints, however, has no detectable effect on the accuracy of attacks (Fig. 7). This means that the angular position must be monitored by non-adapting tonic position sensitive receptors in the chordotonal organ. 5. To test whether crayfish gain positional information from their flagella, these were bent and splinted. The direction of the attacks before and after this operation were recorded. When flagella are bent laterally the animals correct the direction of the attack accordingly. With medially bent flagella the direction of attack is not modified (Fig. 8). ¬© 1988 Springer-Verlag.</t>
  </si>
  <si>
    <t>525-536</t>
  </si>
  <si>
    <t>7004629105;24313994200</t>
  </si>
  <si>
    <t>Sandeman, D. C.;Varju, D.</t>
  </si>
  <si>
    <t>Sandeman D.</t>
  </si>
  <si>
    <t>A behavioural study of tactile localization in the crayfish Cherax destructor</t>
  </si>
  <si>
    <t>10.1007/BF00604906</t>
  </si>
  <si>
    <t>2-s2.0-0242378482</t>
  </si>
  <si>
    <t>['reflector antennas', 'radiation integral', 'physical optics', 'bessel series']</t>
  </si>
  <si>
    <t>FFT algorithm | Reflector antennas | The Chebyshev-Bessel series</t>
  </si>
  <si>
    <t>A rapidly convergent series-the Chebyshev-Bessel series for representation of the physical optics (PO) radiation integral is developed, which is applicable to evaluating radiated field of reflector antennas. ¬© 1988 Science press.</t>
  </si>
  <si>
    <t>197-205</t>
  </si>
  <si>
    <t>Li, Yi</t>
  </si>
  <si>
    <t>China Academy of Space Technology</t>
  </si>
  <si>
    <t>Li Y.</t>
  </si>
  <si>
    <t>A new method for computing radiated field of reflector antennas-The chebyshev-Bessel series technique</t>
  </si>
  <si>
    <t>10.1007/BF02778785</t>
  </si>
  <si>
    <t>2-s2.0-51649148901</t>
  </si>
  <si>
    <t>['¬© 1988', 'wall samples', 'wall materials', 'vacuum properties', 'tritium retention', 'torus environment', 'thermal effects', 'surface analysis', 'significant damage', 'particle control', 'paper reviews', 'last series', 'laboratory tests', 'important thermal', 'graphite tiles', 'getter material', 'deuterium retention', 'designed using', 'composite material', 'c c', 'bumper limiter', '2d carbon']</t>
  </si>
  <si>
    <t>This paper reviews the experience with first-wall materials in TFTR over a 20 month period of operatiori during 1985-1987. Experience with the axisymmetric inner wall limiter, constructed of graphite tiles, is described, including the necessary conditioning procedures needed for impurity and particle control of high power (‚â§ 20 MW) neutral injection experiments. The thermal effects in disruptions have been quantified and no significant damage to the bumper limiter has occurred as a result of disruptions. Carbon and metal impurity redeposition effects have been quantified through surface analysis of wall samples. Estimates of the tritium retention in the graphite limiter tiles and redeposited carbon films have been made, based on analysis of deuterium retention in removed graphite tiles and wall samples. New limiter structures have been designed using a 2D carbon/carbon ( C C) composite material for RF antenna protection. Laboratory tests of the important thermal, mechanical, and vacuum properties of C C materials are described. Finally, the last series of experiments in TFTR with in-situ Zr Al surface pumps are discussed. Problems with Zr Al embrittlement have led to the removal of the getter material from the in-torus environment. ¬© 1988.</t>
  </si>
  <si>
    <t>PART 1</t>
  </si>
  <si>
    <t>155-157</t>
  </si>
  <si>
    <t>Journal of Nuclear Materials</t>
  </si>
  <si>
    <t>60018020;60018020;60018020;60018020;60015900;60015900;60007843;60007843;60007843;60007843;60007843</t>
  </si>
  <si>
    <t>7004488985;7005030951;24364190000;6701447129;16219742100;6603727480;7006531934;16499342900;8243303000;7403652816;6601964836</t>
  </si>
  <si>
    <t>Dylla, H. F.;Ulrickson, M. A.;Owens, D. K.;Heifetz, D. B.;Mills, B. E.;Pontau, A. E.;Wampler, W. R.;Doyle, B. L.;Lee, S. R.;Watson, R. D.;Croessmann, C. D.</t>
  </si>
  <si>
    <t>Dylla H.</t>
  </si>
  <si>
    <t>Material behavior and materials problems in TFTR</t>
  </si>
  <si>
    <t>10.1016/0022-3115(88)90223-1</t>
  </si>
  <si>
    <t>2-s2.0-0024035705</t>
  </si>
  <si>
    <t>Alfried Krupp von Bohlen und Halbach-Stiftung</t>
  </si>
  <si>
    <t>['¬© 1988', 'using solutions', 'triplet p', 'time longer', 'results obtained', 'reaction centers', 'quinone acceptors', 'photosystem ii', 'optoacoustic spectroscopy', 'midpoint potentials', 'laser flash', 'isolated particles', 'inhibiting photochemistry', 'ii particles', 'heat released', 'heat production', 'heat dissipation', 'energy partitioning', 'e .,', 'calorimetric standard', 'calibrated either', 'antenna pigments', '680 iq', '677 nm', '4 œºs', '1 œºs', '1 a1']</t>
  </si>
  <si>
    <t>(Cyanobacterium) | Electron transport | Energy storage | Optoacoustics | Photosynthesis</t>
  </si>
  <si>
    <t>The heat released by all primary processes occurring within the first few microseconds after a laser flash of 677 nm was measured by optoacoustic spectroscopy of Photosystem I and II particles isolated from the cyanobacterium Synechococcus sp. The heat production was calibrated either 'internally' by inhibiting photochemistry, i.e., closing the reaction centers, or by using solutions of CuCl2 as calorimetric standard. By this method detailed information on the energy partitioning between fluorescence, photochemistry and heat dissipation is obtained for each photosystem. The photoproducts formed within 1.4 ¬± 0.1 Œºs in the Photosystem I and II particles, i.e., the states P+-700 A-1 and Z+ P-680 IQ-A, were found to be associated with a relative energy storage of 0.83 (¬±0.08) and 0.65 (¬±0.07), respectively. From these data a difference of midpoint potentials (ŒîEm) between P+-700 P-700 and A-1 A1 of 1520 ¬± 150 meV was calculated, which implies an Em( A-1 A1) of -(1040 ¬± 160) meV. The midpoint potential difference between Z+ Z and Q-A QA was 1190 ¬± 100 meV. The consequences for the value of Em( Z+ Z) are discussed on the basis of the variability of Em values reported for the quinone acceptors in the literature. In the case of Photosystem II particles with closed reaction centers a fraction of 5% of the absorbed energy stored for a time longer than 1.4 Œºs is attributed to the formation of triplet P-680. Data from intact Synechococcus cells, excited at 628 and 677 nm, is explained in terms of the results obtained from the isolated particles and the coupling of the antenna pigments in the phycobilisomes to Photosystem II. ¬© 1988.</t>
  </si>
  <si>
    <t>201-212</t>
  </si>
  <si>
    <t>60072285;60072285;60072285</t>
  </si>
  <si>
    <t>24388755800;7006817417;16460158600</t>
  </si>
  <si>
    <t>Nitsch, Christian;Braslavsky, Silvia E.;Schatz, G√ºnther H.</t>
  </si>
  <si>
    <t>Mulheim an der Ruhr</t>
  </si>
  <si>
    <t>Max Planck Institute for Chemical Energy Conversion</t>
  </si>
  <si>
    <t>Nitsch C.</t>
  </si>
  <si>
    <t>Laser-induced optoacoustic calorimetry of primary processes in isolated Photosystem I and Photosystem II particles</t>
  </si>
  <si>
    <t>10.1016/0005-2728(88)90183-1</t>
  </si>
  <si>
    <t>2-s2.0-0000146838</t>
  </si>
  <si>
    <t>['¬© 1988', 'transitions present', 'transitions arising', 'transition arising', 'reaction center', 'ps ii', 'primary reactants', 'polypeptide composition', 'photosystem ii', 'photoactive pigments', 'pheophytin molecules', 'cpiv ),', 'bind alone', 'antenna size']</t>
  </si>
  <si>
    <t>(C reinhardtii) | Linear dichroism | Pheophytin | Photosystem II | Pigment orientation</t>
  </si>
  <si>
    <t>We investigated by polarized light spectroscopy the organization of the pigments in the Photosystem II (PS II) reaction center of Chlamydomonas reinhardtii using PS II particles and subparticles of varying photochemical activity, antenna size and polypeptide composition. We demonstrate that the amplitude of the pheophytin photoreduction varies in parallel with the presence of a transition arising from the pheophytin molecules. We show that the transitions arising from the photoactive pigments are absent in the chlorophyll-protein complexes III and IV (CPIII and CPIV), and that all the other transitions present in the PS II particles are conserved, suggesting that CPIII is more likely to act as an antenna, as is the case for CPIV, rather than to bind alone the primary reactants. ¬© 1988.</t>
  </si>
  <si>
    <t>389-395</t>
  </si>
  <si>
    <t>60014849;60014849;60014849;60014849;105885553</t>
  </si>
  <si>
    <t>7004225828;57207664122;6603693512;7006770347;24520620200</t>
  </si>
  <si>
    <t>Choquet, Y.;de Vitry, C.;Delepelaire, P.;Wollman, F. A.;Tapie, P.</t>
  </si>
  <si>
    <t>Paris;</t>
  </si>
  <si>
    <t>Institut de Biologie Physico-Chimique;ARBS CEN Cadarache</t>
  </si>
  <si>
    <t>60014849;105885553</t>
  </si>
  <si>
    <t>Choquet Y.</t>
  </si>
  <si>
    <t>Spectroscopic characterization of the Photosystem II chlorophyll-protein complexes</t>
  </si>
  <si>
    <t>10.1016/0005-2728(88)90096-5</t>
  </si>
  <si>
    <t>2-s2.0-45549121589</t>
  </si>
  <si>
    <t>Science and Engineering Research Council</t>
  </si>
  <si>
    <t>['¬© 1988', 'rhodopseudomonas acidophila', 'exchange mechanism', 'efficient transfer', '3 ps']</t>
  </si>
  <si>
    <t>(Rhodopseudomonas acidophila) | B800-820 complex | Carotenoid | Energy transfer | Picosecond spectroscopy</t>
  </si>
  <si>
    <t>We have resolved the excitation energy transfer from carotenoids to bacteriochlorophyll a in the B800-820 antenna complex of Rhodopseudomonas acidophila and found it to be about 3 ps. This efficient transfer can best be explained by the electron-exchange mechanism with a distance of about 4.5 √Ö between the molecules. ¬© 1988.</t>
  </si>
  <si>
    <t>169-172</t>
  </si>
  <si>
    <t>60031040;60001490;60031040</t>
  </si>
  <si>
    <t>7004029175;7006465617;7006706612</t>
  </si>
  <si>
    <t>Gillbro, Tomas;Cogdell, Richard J.;Sundstr√∂m, Villy</t>
  </si>
  <si>
    <t>Sweden;United Kingdom</t>
  </si>
  <si>
    <t>Umea;Glasgow</t>
  </si>
  <si>
    <t>Ume√• Universitet;University of Glasgow</t>
  </si>
  <si>
    <t>60031040;60001490</t>
  </si>
  <si>
    <t>Gillbro T.</t>
  </si>
  <si>
    <t>Energy transfer from carotenoid to bacteriochlorophyll a in the B800-820 antenna complexes from Rhodopseudomonas acidophila strain 7050</t>
  </si>
  <si>
    <t>10.1016/0014-5793(88)81256-0</t>
  </si>
  <si>
    <t>2-s2.0-0000018432</t>
  </si>
  <si>
    <t>['underlying surface', 'output signal', 'fields reflected', 'field distribution', 'antenna aperture']</t>
  </si>
  <si>
    <t>A method and experiment, enabling the effect of the underlying surface on the operation of large 360¬∞ antennas to be evaluated, are proposed. The method is based on establishing a relationship between the distortions of the field distribution in the antenna aperture, introduced by fields reflected from the ground, and the output signal of the antenna.</t>
  </si>
  <si>
    <t>22-25</t>
  </si>
  <si>
    <t>Gazazyan, E. D.</t>
  </si>
  <si>
    <t>Gazazyan E.</t>
  </si>
  <si>
    <t>Determination of the effect of the underlying surface on measurements of the characteristics of large antennas</t>
  </si>
  <si>
    <t>2-s2.0-0024054938</t>
  </si>
  <si>
    <t>['wedges based', 'reflectivity levels', 'reflectivity level', 'ray tracing', 'quiet zone', 'paper presents', 'inner surfaces', 'fitting wedges', 'either rectangular']</t>
  </si>
  <si>
    <t>The reflectivity level in the quiet zone of a microwave anechoic chamber (either rectangular or tapered) can be improved by fitting wedges on the inner surfaces. This paper presents the design of these wedges based on ray tracing. Reflectivity levels are computed with and without the wedges, to adjudge the betterment of performance.</t>
  </si>
  <si>
    <t>69 pt 1</t>
  </si>
  <si>
    <t>6603665624;57224552217;6505835092;57198104502</t>
  </si>
  <si>
    <t>Chandra Mouly, M. C.;Sridevi, P. V.;Mrudula, G.;Reddy, M. S.K.</t>
  </si>
  <si>
    <t>Chandra Mouly M.C.</t>
  </si>
  <si>
    <t>Design of wedge type structures for augmented performance of microwave anechoic chambers</t>
  </si>
  <si>
    <t>2-s2.0-0024055712</t>
  </si>
  <si>
    <t>['small variations', 'relations determining', 'random arrangement', 'power characteristics', 'large enough', 'average spacing', 'aperture plane', 'angle scanning']</t>
  </si>
  <si>
    <t>Relations determining the dependence of the gain of phased antenna arrays (PAA) with a random arrangement of the radiators on the parameters of the array with wide-angle scanning, right up to beam positions glancing along the aperture plane, are derived. It is shown that if the average spacing of the radiators is large enough, small variations of the power characteristics of the PAA in a hemispherical scanning sector can be obtained.</t>
  </si>
  <si>
    <t>6506561012;6701734082;6602279572</t>
  </si>
  <si>
    <t>Volynskiy, V. V.;Zimin, D. B.;Kaplun, I. V.</t>
  </si>
  <si>
    <t>Volynskiy V.</t>
  </si>
  <si>
    <t>Power characteristics of two-dimensional antenna arrays with randomly distributed radiators with wide-angle scanning</t>
  </si>
  <si>
    <t>2-s2.0-0024056727</t>
  </si>
  <si>
    <t>['special orthogonalization', 'physical interpretation', 'integral equation', 'ideally conducting', 'horn antenna', 'first kind', 'finite impedance', 'dimensional problem', 'cylindrical envelope', 'backscattering diagrams']</t>
  </si>
  <si>
    <t>The two-dimensional problem of the scattering of an electromagnetic plane wave by a horn antenna in a cylindrical envelope, ideally conducting or with a finite impedance, is studied. The problem is reduced to an integral equation of the first kind, which is solved by the method of special orthogonalization. The computed scattering diagrams are presented, and their physical interpretation is given. It is shown that this model can be employed to evaluate the backscattering diagrams of real horn antennas.</t>
  </si>
  <si>
    <t>13-21</t>
  </si>
  <si>
    <t>7005873528;6603717894</t>
  </si>
  <si>
    <t>Kyurkchan, A. G.;Melikhov, A. V.</t>
  </si>
  <si>
    <t>Scattering of electromagnetic waves by a horn antenna in a cylindrical envelope</t>
  </si>
  <si>
    <t>2-s2.0-0024056728</t>
  </si>
  <si>
    <t>['phase synthesis', 'optimal solutions', 'leading terms', 'explicit form', 'directional patterns', 'branching solutions', 'branch points', 'alternating solutions']</t>
  </si>
  <si>
    <t>The branches of the solutions of the problem of amplitude-phase synthesis of a linear antenna based on a given amplitude directional pattern are studied. Equations for determining the branch points of sign-alternating solutions are derived, the leading terms of the branching solutions are obtained in an explicit form, the directional patterns and the currents for these solutions are calculated, and the optimal solutions are determined for an example.</t>
  </si>
  <si>
    <t>Gis, O. M.</t>
  </si>
  <si>
    <t>Gis O.</t>
  </si>
  <si>
    <t>Branching of the solutions of the problem of linear antenna synthesis</t>
  </si>
  <si>
    <t>2-s2.0-0024057171</t>
  </si>
  <si>
    <t>['two types', 'sampling efficiency', 'feed elements', 'discuss trade', 'aperture efficiency']</t>
  </si>
  <si>
    <t>Arrays | heterodyne receivers | millimeter telescopes</t>
  </si>
  <si>
    <t>In this paper we consider the maximization of the throughput of a single large antenna, for two possible array configurations: focal plane imaging arrays and aperture plane phased arrays. We discuss trade-offs between the two types of array in terms of field of view, sampling efficiency and time to map, a source. We also discuss limits on the number of feed elements in an imaging array imposed by the deterioration in aperture efficiency off-axis. ¬© 1988 Plenum Press Corporation.</t>
  </si>
  <si>
    <t>667-704</t>
  </si>
  <si>
    <t>60029024;60101780</t>
  </si>
  <si>
    <t>55587645400;7005970572</t>
  </si>
  <si>
    <t>Murphy, J. Anthony;Padman, Rachael</t>
  </si>
  <si>
    <t>United Kingdom;Ireland</t>
  </si>
  <si>
    <t>Cambridge;Maynooth</t>
  </si>
  <si>
    <t>Mullard Radio Astronomy Observatory;St Patrick's College, Maynooth</t>
  </si>
  <si>
    <t>60101780;60029024</t>
  </si>
  <si>
    <t>Murphy J.</t>
  </si>
  <si>
    <t>Focal-plane and aperture-plane heterodyne array receivers for millimeter-wave radioastronomy-A comparison</t>
  </si>
  <si>
    <t>10.1007/BF01026393</t>
  </si>
  <si>
    <t>2-s2.0-0024057693</t>
  </si>
  <si>
    <t>['suboesophageal ganglion', 'small pair', 'possible functions', 'obviously release', 'numerous branches', 'neurones located', 'neurones associated', 'muscles associated', 'modulatory input', 'mandibular neuromere', 'lateral borders', 'generally considered', 'exit anteriorly', 'dilator muscles', 'corpora cardiaca', 'circumoesophageal connectives', 'circulatory motor', 'antennal heart', 'ampullar walls']</t>
  </si>
  <si>
    <t>Antennal heart | DUM-neurone | Neurohaemal organ | Neurone morphology | Periplaneta americana (Insecta) | Suboesophageal ganglion</t>
  </si>
  <si>
    <t>Innervation of the antennal heart, an independent accessory circulatory motor in the head of insects, was investigated in the cockroach Periplaneta americana by use of axonal cobalt filling and transmission electron microscopy. The muscles associated with this organ are innervated by neurones located in a part of the suboesophageal ganglion, generally considered to be formed by the mandibular neuromere. Dorsal unpaired median (DUM) and paired contralateral neurones were stained. The axons of all these neurones run along the circumoesophageal connectives and through the paired nervus corporis cardiaci III into the corpora cardiaca. They pass through these organs forming fine arborizations there and exit anteriorly as a small pair of nerves which terminate at the antennal heart-dilator muscles. Numerous branches of these nerves extend beyond the lateral borders of the large transverse dilator muscle and terminate in the ampullar walls of the antennal heart. These neurosecretory fibres form neurohaemal areas which obviously release their products into the haemolymph, which is pumped into the antennae. The possible functions of the neurones associated with the antennal heart are discussed with respect to both, their role as a modulatory input for the circulatory motor and as a neurohormonal release site. ¬© 1988 Springer-Verlag.</t>
  </si>
  <si>
    <t>319-326</t>
  </si>
  <si>
    <t>0302766X</t>
  </si>
  <si>
    <t>Cell And Tissue Research</t>
  </si>
  <si>
    <t>60025988;60029507;60029507;60029507</t>
  </si>
  <si>
    <t>6701671159;6602823823;6603595596;6603730015</t>
  </si>
  <si>
    <t>Pass, G√ºnther;Agricola, Hans;Birkenbeil, Heiner;Penzlin, Heinz</t>
  </si>
  <si>
    <t>Germany;Austria</t>
  </si>
  <si>
    <t>Jena;Vienna</t>
  </si>
  <si>
    <t>Friedrich-Schiller-Universit√§t Jena;Universit√§t Wien</t>
  </si>
  <si>
    <t>60029507;60025988</t>
  </si>
  <si>
    <t>Morphology of neurones associated with the antennal heart of Periplaneta americana (Blattodea, Insecta)</t>
  </si>
  <si>
    <t>10.1007/BF00222288</t>
  </si>
  <si>
    <t>2-s2.0-0024059963</t>
  </si>
  <si>
    <t>['radiation pattern', 'phase distributions', 'nonuniform displacements', 'nonlinear conversion', 'measured apd', 'main lobe', 'individual parts', 'hologram plane', 'fields using', 'correlation criterion', 'antenna systems', 'angular position']</t>
  </si>
  <si>
    <t>An algorithm is presented for correcting spatial distortions of holograms, which manifest themselves as nonuniform displacements of individual parts and readouts of a hologram in the hologram plane. The algorithm is based on nonlinear conversion of amplitude-phase distributions (APD) of fields using the correlation criterion. Examples are given of the correction of measured APD in problems of determining the angular position of the main lobe of the radiation pattern of antenna systems.</t>
  </si>
  <si>
    <t>6507946573;6507363907</t>
  </si>
  <si>
    <t>Vil'kotskiy, M. A.;Lichko, G. P.</t>
  </si>
  <si>
    <t>Vil'kotskiy M.</t>
  </si>
  <si>
    <t>Correction of distortions in the case of field measurements</t>
  </si>
  <si>
    <t>2-s2.0-0024062227</t>
  </si>
  <si>
    <t>['receiving antennas', 'quantitative evaluation', 'quantitative estimate', 'propagation medium', 'polarization effectiveness', 'polarization decoupling', 'noise immunity', 'linear polarization', 'frequency recycling', 'depolarizing properties', 'csfr ),', 'communications systems', 'communications system', 'channel interference']</t>
  </si>
  <si>
    <t>Relations were obtained by G.N. Anikeyenko et al for evaluating the noise immunity of communications systems with frequency recycling (CSFR), which take into account the polarization effectiveness of the receiving antennas and the depolarizing properties of the propagation medium. For the purpose of a quantitative evaluation of channel interference we introduce the concept of polarization decoupling. A quantitative estimate of the reduction in the interference of orthogonally polarized channels by correcting the angle of orientation of the receiving antennas with linear polarization is made for a communications system with frequency recycling.</t>
  </si>
  <si>
    <t>84-86</t>
  </si>
  <si>
    <t>6603254376;6603224201</t>
  </si>
  <si>
    <t>Anikeyenko, G. N.;Luk'yanchikov, V. D.</t>
  </si>
  <si>
    <t>Estimate of the effectiveness of quasi-adaptive polarization reception of signals</t>
  </si>
  <si>
    <t>2-s2.0-0024062236</t>
  </si>
  <si>
    <t>['source radiation', 'scanning method', 'scanning algorithm', 'radio emission', 'polarization parameters', 'evaluating spatial', 'analyzed using']</t>
  </si>
  <si>
    <t>A scanning algorithm is considered for use in an adaptive antenna system for evaluating spatial-polarization parameters. Its characteristics are analyzed using as an example the estimate of the range to a source radiation from the curvature of the wavefront. The purpose is to analyze a scanning method, and to consider its characteristics when evaluating the range to a source of radio emission.</t>
  </si>
  <si>
    <t>86-89</t>
  </si>
  <si>
    <t>6602100380;36961592200;6506847635</t>
  </si>
  <si>
    <t>Komarovich, V. F.;Nikitchenko, V. V.;Vikhlyantsev, P. S.</t>
  </si>
  <si>
    <t>Komarovich V.</t>
  </si>
  <si>
    <t>Estimate of the spatial-polarization parameters of radio signals using a scanning method</t>
  </si>
  <si>
    <t>2-s2.0-0024062305</t>
  </si>
  <si>
    <t>['useful signals', 'two types', 'synthesized algorithms', 'statistical modeling', 'received signal', 'physical treatment', 'multipurpose direction', 'likelihood method', 'interference signals', 'interacting sources', 'finding technique', 'angular parameters']</t>
  </si>
  <si>
    <t>A number of studies have been devoted to a multipurpose direction-finding technique. Nevertheless, many problems require further refinement: the selection of a model of the received signal, the modeling and physical treatment of the synthesized algorithms, the determination of the number of interacting sources, as well as an analysis of the quality of the estimation of the parameters. An algorithm, synthesized by means of the maximum-likelihood method and employed for the joint discrete estimation of the angular parameters of two types of useful signals against a background of interference signals is examined and an analysis of the results of statistical modeling is given.</t>
  </si>
  <si>
    <t>128-131</t>
  </si>
  <si>
    <t>6603712016;7003568179;7003630480</t>
  </si>
  <si>
    <t>Manzhos, V. N.;Kokin, V. N.;Parfenyuk, V. G.</t>
  </si>
  <si>
    <t>Computer modeling of an algorithm for the joint multichannel estimation of the angular parameters of correlated signals</t>
  </si>
  <si>
    <t>2-s2.0-0024062315</t>
  </si>
  <si>
    <t>['œ ∏', 'spherical coordinates', 'scanning sector', 'scanning directions', 'geometrical parameters', 'also give']</t>
  </si>
  <si>
    <t>The dependence of the width of the scanning sector of a phased antenna array on the geometrical parameters of its cell are determined in the case of a triangular network arrangement of the radiators. Formulas for an equally spaced phased antenna array (PAA) with an arbitrary triangular net whose cell dimensions are dx and dy are analyzed. We also give, in a generalized angular coordinate plane Tx = sin Œ∏ cos œÜ and Ty = sin Œ∏ sin œÜ, where Œ∏ and œÜ are spherical coordinates, a diagram of the PAA interference lobes and the scanning directions.</t>
  </si>
  <si>
    <t>107-109</t>
  </si>
  <si>
    <t>6701371017;7801335308</t>
  </si>
  <si>
    <t>Polukhin, G. A.;Shubov, A. G.</t>
  </si>
  <si>
    <t>Polukhin G.</t>
  </si>
  <si>
    <t>Estimate of the width of the scanning sector of a phased antenna array</t>
  </si>
  <si>
    <t>2-s2.0-0024062323</t>
  </si>
  <si>
    <t>['versions used', 'transmission characteristics', 'transfer function', 'sensitivity function', 'practical devices', 'magnetic antennas', 'field sensitivity', 'experimental investigations', 'enable one', 'correcting elements']</t>
  </si>
  <si>
    <t>The effect of a method of increasing the field sensitivity of magnetic antennas by means of correcting elements on the linearity of their transmission characteristics is considered. Relationships are obtained, which enable one to evaluate the linearity of versions used in practical devices by means of the sensitivity function of the transfer function and the amplifier transfer constant. Results of experimental investigations are presented and recommendations are made for using various types of magnetic antennas.</t>
  </si>
  <si>
    <t>Kurochkin, A. Ye</t>
  </si>
  <si>
    <t>Kurochkin A.</t>
  </si>
  <si>
    <t>Linearity of the characteristics of broadband active magnetic antennas</t>
  </si>
  <si>
    <t>2-s2.0-0024062353</t>
  </si>
  <si>
    <t>['using equipment', 'scattering matrix', 'received signals', 'radar targets', 'proposed procedure', 'polarization orthogonality', 'gain constancy', 'existing equipment', 'entire sector', 'enables one', 'electronic scanning', 'design stage', 'account changes']</t>
  </si>
  <si>
    <t>A method is proposed for taking into account changes in the polarization of the emitted and received signals when measuring the scattering matrix of radar targets by means of equipment with a phased antenna array. The proposed procedure for measuring the scattering matrix when using equipment with phased antenna arrays (PAA) enables one to increase the accuracy of measurements of the scattering matrix by means of existing equipment of this type or to remove in the design stage such requirements on the PAA as provision in the entire sector of electronic scanning of the conditions of the polarization orthogonality and gain constancy for pairs of emitted and received signals.</t>
  </si>
  <si>
    <t>Polikarpov, S. N.</t>
  </si>
  <si>
    <t>Polikarpov S.</t>
  </si>
  <si>
    <t>Measurement of the scattering matrix using phased antenna arrays</t>
  </si>
  <si>
    <t>2-s2.0-0024062369</t>
  </si>
  <si>
    <t>['radiation performance', 'practical example', 'new method', 'load slots', 'line manner', 'hand sides', 'corrugated horn']</t>
  </si>
  <si>
    <t>Corrugated horns whose parameters change continuously or in a broken-line manner have been analyzed by a new method and their computation formulas derived from matrix and coupled wave theories. In these formulas, the electromagnetic waves incident upon discontinuous section from its left-hand and right-hand sides have been taken into consideration. As a practical example, the mode conversion characteristics and radiation performance of a corrugated horn with ring-load slots are computed with the formulas and the results are discussed. Comparison of theory and experiment shows good agreement.</t>
  </si>
  <si>
    <t>1011-1024</t>
  </si>
  <si>
    <t>100381148;100381148;100381148;100381148</t>
  </si>
  <si>
    <t>55568509107;56163992800;55862312700;56134487800</t>
  </si>
  <si>
    <t>Liu, Gang;Zhang, Rirong;Wang, Hanli;Chen, Muhua</t>
  </si>
  <si>
    <t>Liu G.</t>
  </si>
  <si>
    <t>ANALYSIS AND COMPUTATION OF CORRUGATED HORNS WITH VARIABLE PARAMETERS.</t>
  </si>
  <si>
    <t>2-s2.0-0024065627</t>
  </si>
  <si>
    <t>['tem wave', 'horn antennas', 'hard horns', 'design frequency', 'crosspolar bandwidth', 'compact elements', 'cluster feeds', 'characteristic equation']</t>
  </si>
  <si>
    <t>Horn antennas with dielectrically-filled longitudinal corrugations have recently been presented, and have been referred to as hard horns. Cylindrical hard horns can support a TEM wave at the design frequency, providing uniform aperture distribution and zero cross polarization: this makes them attractive to use as compact elements in cluster feeds. In the paper the characteristic equation of a square hard waveguide is presented, and the crosspolar bandwidth is determined.</t>
  </si>
  <si>
    <t>275-278</t>
  </si>
  <si>
    <t>Kidal, P. S.</t>
  </si>
  <si>
    <t>Kidal P.</t>
  </si>
  <si>
    <t>BANDWIDTH OF A SQUARE HARD HORN.</t>
  </si>
  <si>
    <t>2-s2.0-0024067019</t>
  </si>
  <si>
    <t>796-798</t>
  </si>
  <si>
    <t>6506007792;7103313639</t>
  </si>
  <si>
    <t>Vasenkov, L. V.;Tishchenko, V. A.</t>
  </si>
  <si>
    <t>Vasenkov L.</t>
  </si>
  <si>
    <t>Design of a shielded loop antenna</t>
  </si>
  <si>
    <t>10.1007/BF00863499</t>
  </si>
  <si>
    <t>2-s2.0-0024481689</t>
  </si>
  <si>
    <t>793-795</t>
  </si>
  <si>
    <t>6508001285;6601924365;57196573383</t>
  </si>
  <si>
    <t>Bitushkin, L. F.;Razumovskii, N. A.;Smirnov, M. Z.</t>
  </si>
  <si>
    <t>Bitushkin L.</t>
  </si>
  <si>
    <t>Two laser-interference gravitation-wave antennas</t>
  </si>
  <si>
    <t>10.1007/BF00863498</t>
  </si>
  <si>
    <t>2-s2.0-0024482663</t>
  </si>
  <si>
    <t>['¬© 1988', 'two images', 'trimeric complex', 'trimer composed', 'thin three', 'symmetrized average', 'structure analysis', 'stacked layers', 'single layer', 'resolution projection', 'refined phases', 'reference map', 'projection map', 'projected structure', 'photosynthetic membrane', 'phase shifts', 'phase residual', 'phase origin', 'p321 symmetry', 'map showed', 'image processing', 'harvesting chlorophyll', 'fold symmetry', 'electron diffraction', 'dimensional crystals', 'different images', 'density matter', 'crystal plane', 'averaged phases', 'antenna chlorophylls', '1 nm']</t>
  </si>
  <si>
    <t>The structure of thin three-dimensional crystals of the light-harvesting chlorophyll a b protein complex, an integral membrane protein from the photosynthetic membrane of chloroplasts, has been determined at 7 √Ö (1 √Ö = 0.1 nm) resolution in projection. The structure analysis was carried out by image processing of low-dose electron micrographs, and electron diffraction of thin three-dimensional crystals preserved in tannin. The three-dimensional crystals appeared to be stacks of two-dimensional crystals having p321 symmetry. Results of the image analysis indicated that the crystals were disordered, due to random translational displacement of stacked layers. This was established by a translation search routine that used the low-resolution projection of a single layer as a reference. The reference map was derived from the symmetrized average of two images that showed features consistent with the projected structure of negatively stained two-dimensional crystals. The phase shift resulting from the displacement of each layer was corrected. Phase shifts were then refined by minimizing the phase residual, bringing all layers to the same phase origin. Refined phases from different images were in agreement and reliable to 7 √Ö resolution. A projection map was generated from the averaged phases and electron diffraction amplitudes. The map showed that the complex was a trimer composed of three protein monomers related by 3-fold symmetry. The projected density within the protein monomer suggested membrane-spanning Œ±-helices roughly perpendicular to the crystal plane. The density in the centre and on the periphery of the trimeric complex was lower than that of the protein, indicating that this region contained low-density matter, such as lipids and antenna chlorophylls. ¬© 1988.</t>
  </si>
  <si>
    <t>Journal of Molecular Biology</t>
  </si>
  <si>
    <t>60015150-60010269</t>
  </si>
  <si>
    <t>K√ºhlbrandt, W.</t>
  </si>
  <si>
    <t>London;Cambridge</t>
  </si>
  <si>
    <t>Imperial College London;The Medical Research Council Laboratory of Molecular Biology</t>
  </si>
  <si>
    <t>60015150;60010269</t>
  </si>
  <si>
    <t>Structure of light-harvesting chlorophyll a b protein complex from plant photosynthetic membranes at 7 √Ö resolution in projection</t>
  </si>
  <si>
    <t>10.1016/0022-2836(88)90563-3</t>
  </si>
  <si>
    <t>2-s2.0-0024293096</t>
  </si>
  <si>
    <t>['visual interneurones', 'unlike mammals', 'two bees', 'sleep phase', 'prolonged rest', 'profound rest', 'previous investigations', 'laboratory investigations', 'experimental methods', 'diurnal insects', 'controlled process', 'bees experience', '9 h', '9 ).', '6 h', '6 ).', '4 ).', '24 h', '12 ).']</t>
  </si>
  <si>
    <t>1. The behaviour of isolated individual forager honeybees during the night has been investigated with a variety of experimental methods. Prolonged rest in these diurnal insects is accompanied by: reduced muscle tone (Figs. 1, 6, 10-12), decreased motility (Figs. 2, 3, Table 1), lowered body temperature (Figs. 7, 8) and raised reaction threshold (Fig. 9). These phenomena strongly resemble four characteristic features of sleep in humans, mammals and birds. It is thus very likely that the profound rest which forager bees experience at night is sleep. This assumption is further supported by the results of previous investigations of visual interneurones in the bee. 2. The antennae of sleeping bees manifest characteristic postural constellations (Fig. 6). High reaction thresholds are associated with particular antennal positions. 3. The total sleep time (duration of antennal immobility plus duration of small antennal movements) in 24 h for two bees was 7.6 h and 4.9 h (Table 1). 4. Bees which rest in a hive at night also display phenomena which have been encountered during the laboratory investigations. 5. Sleep in mammals is an active, controlled process; the same seems to be true of sleep in honeybees (Figs. 3, 4). Unlike mammals, bees experience their deepest sleep towards the end of the sleep phase (Figs. 3, 9, 10, 12). ¬© 1988 Springer-Verlag.</t>
  </si>
  <si>
    <t>565-584</t>
  </si>
  <si>
    <t>Kaiser, Walter</t>
  </si>
  <si>
    <t>Technische Universit√§t Darmstadt</t>
  </si>
  <si>
    <t>Kaiser W.</t>
  </si>
  <si>
    <t>Busy bees need rest, too - Behavioural and electromyographical sleep signs in honeybees</t>
  </si>
  <si>
    <t>10.1007/BF00603841</t>
  </si>
  <si>
    <t>2-s2.0-0000263904</t>
  </si>
  <si>
    <t>F32NS007913</t>
  </si>
  <si>
    <t>['without regard', 'two types', 'tetradecenyl acetate', 'tested combinations', 'stimuli included', 'sensillum responded', 'responses elicited', 'response properties', 'respond uniquely', 'receptor neurons', 'receptor neuron', 'pheromone blend', 'particular ratios', 'male antenna', 'individual components', 'five compounds', 'evaluate whether', 'equivalent amounts', 'effective stimulus', 'earlier results', 'behavioral sensitivity', 'appropriate ratios', 'ac used', '9 ratio']</t>
  </si>
  <si>
    <t>(Z)-11-tetradecenyl acetate (Z-11, 14:AC) must be in a 100:9 ratio with (E)-11-tetradecenyl acetate (E-11,14:AC) to produce maximal wing fanning and attraction in male redbanded leafrollers. Earlier electrophysiological studies had indicated that mixtures of these pheromone components elicited responses from olfactory receptor neurons that appeared to differ from those expected on the basis of the responses to the individual components. Here we evaluate whether the behavioral sensitivity to particular ratios of Z- and E-11,14:AC has a correlate in the response properties of olfactory receptor neurons. The stimuli included the ratios of Z- and E-11, 14:AC used in earlier behavioral work plus several different mixtures of the seven components found in the pheromone blend, and equivalent amounts of the individual components. These stimuli were presented over a range of intensities to individual trichoid sensilla on the male antenna. In common with earlier results, the receptor neuron with the larger amplitude action potential responded most strongly to Z-11,14:AC, whereas the companion receptor neuron in the sensillum responded most strongly to E-11,14:AC. In contrast with earlier results, each receptor neuron responded exclusively to its own most effective stimulus, without regard to the presence of any other compound. They failed to respond uniquely to any of the other five compounds in the female pheromone blend, or to any of the tested combinations of these compounds. These minor components also failed to modulate the responses elicited in receptor neurons by appropriate ratios of Z- and E-11,14:AC. Thus, the responses of the two types of olfactory receptor neurons found in trichoid sensilla failed to show an optimum at the pheromone ratio known to elicit peak behavioral activity. ¬© 1988 Springer-Verlag.</t>
  </si>
  <si>
    <t>641-650</t>
  </si>
  <si>
    <t>60000986;60000986</t>
  </si>
  <si>
    <t>7102196650;7103138825</t>
  </si>
  <si>
    <t>Akers, R. Patrick;O'Connell, Robert J.</t>
  </si>
  <si>
    <t>Worcester</t>
  </si>
  <si>
    <t>University of Massachusetts Medical School</t>
  </si>
  <si>
    <t>Akers R.</t>
  </si>
  <si>
    <t>The contribution of olfactory receptor neurons to the perception of pheromone component ratios in male redbanded leafroller moths</t>
  </si>
  <si>
    <t>10.1007/BF00603848</t>
  </si>
  <si>
    <t>2-s2.0-0023782043</t>
  </si>
  <si>
    <t>['¬© 1988', 'vehicle motion', 'value obtainable', 'unified treatment', 'two antennas', 'rights reserved', 'received signals', 'previous investigations', 'numerical results', 'mobile station', 'loosely dependent', 'general expressions', 'fade independently', 'electrical engineers', 'diversity case', 'approximately half', 'antenna spacing', 'antenna axis']</t>
  </si>
  <si>
    <t>General expressions for the level crossing rate (LCR) and average fade duration (AFD) are obtained for several diversity combining schemes employing two-branch predetection reception of correlated Rayleigh fading signals. These expressions are obtained from joint and conditional probability density functions (PDFs) of the received signals, and lead to a unified treatment. This simplified method contrasts with the characteristic function approach used in previous investigations. Numerical results are presented for a space-diversity system using horizontally spaced antennas at a mobile station. It is shown that while the angle between the antenna axis and the direction of vehicle motion does not appear in the cumulative distribution function (CDF) of the combined output signal envelopes, it affects the LCR and AFD when the two fading signals are correlated. When the two antennas parallel with the direction of vehicle motion are used, the LCR can be reduced below the value obtainable from signals which fade independently. When the two antennas are perpendicular to the direction of vehicle motion, the AFD is loosely dependent on the antenna spacing and, provided the antenna spacing is not too small, is approximately half that for the no-diversity case. ¬© 1988, The Institution of Electrical Engineers. All rights reserved.</t>
  </si>
  <si>
    <t>7103400688;7005186888;7402708406</t>
  </si>
  <si>
    <t>Adachi, F.;Feeney, M. T.;Parsons, J. D.</t>
  </si>
  <si>
    <t>Effects of correlated fading on level crossing rates and average fade durations with predetection diversity reception</t>
  </si>
  <si>
    <t>10.1049/ip-f-1.1988.0003</t>
  </si>
  <si>
    <t>2-s2.0-0023963411</t>
  </si>
  <si>
    <t>['¬© 1988', 'suitable use', 'rights reserved', 'optimum techniques', 'optimum setting', 'implementation aspects', 'electrical engineers', 'also discussed']</t>
  </si>
  <si>
    <t>Electromagnetic theory | Radar and radionavigation | Signal processing</t>
  </si>
  <si>
    <t>In the paper some suboptimum adaptive polarisation techniques for the cancellation of partially polarised disturbances are analysed. They are based on suitable use of the estimates of the crosscorrelation between the dual-polarisation received signals. The performances of these techniques are evaluated and compared with that of the optimum setting of polarisation on reception. It is shown that the performances of the sub-optimum techniques are affected by a quite limited cancellation loss, and related to the antenna polarisation basis used on reception. Some implementation aspects of these techniques are also discussed. ¬© 1988, The Institution of Electrical Engineers. All rights reserved.</t>
  </si>
  <si>
    <t>60-72</t>
  </si>
  <si>
    <t>60021859;60021859;60021859</t>
  </si>
  <si>
    <t>6602107538;7006020332;7006654571</t>
  </si>
  <si>
    <t>Gherardelli, M.;Giuli, D.;Fossi, M.</t>
  </si>
  <si>
    <t>Florence</t>
  </si>
  <si>
    <t>Universit√† degli Studi di Firenze</t>
  </si>
  <si>
    <t>Gherardelli M.</t>
  </si>
  <si>
    <t>Suboptimum adaptive polarisation cancellers for dual-polarisation radars</t>
  </si>
  <si>
    <t>10.1049/ip-f-1.1988.0008</t>
  </si>
  <si>
    <t>2-s2.0-0023963983</t>
  </si>
  <si>
    <t>['¬© 1988', 'smoothed version', 'rights reserved', 'paper gives', 'new formulation', 'kt method', 'formulation shows', 'enhanced resolution', 'electrical engineers', 'eigenvector projection', 'antenna array']</t>
  </si>
  <si>
    <t>Antennas (arrays) | Radar and radionavigation | Signal processing</t>
  </si>
  <si>
    <t>The paper gives a new formulation for the Kumaresan-Tufts (KT) method for enhanced resolution with an antenna array. This formulation shows the relation of this method to the maximum-entropy (ME) method and the eigenvector projection method (MUSIC algorithm). It is shown that the eigenvector projection is a smoothed version of the KT method, and that the KT method is equivalent to the ME method if the signal/noise ratio goes to infinity. This explains the observed increased resolution of the KT method at the expense of a strongly fluctuating pattern. The relation is very similar to the one between Capon's method and the ME method. ¬© 1988, The Institution of Electrical Engineers. All rights reserved.</t>
  </si>
  <si>
    <t>Nickel, U.</t>
  </si>
  <si>
    <t>Munich</t>
  </si>
  <si>
    <t>Fraunhofer-Gesellschaft</t>
  </si>
  <si>
    <t>Nickel U.</t>
  </si>
  <si>
    <t>Algebraic formulation of Kumaresan-Tufts superresoiution method, showing relation to ME and MUSIC methods</t>
  </si>
  <si>
    <t>10.1049/ip-f-1.1988.0002</t>
  </si>
  <si>
    <t>2-s2.0-0023964446</t>
  </si>
  <si>
    <t>['¬© 1988', 'whose separation', 'two cones', 'surface illuminated', 'spectral width', 'rights reserved', 'moving targets', 'main beam', 'long dimension', 'inversely proportional', 'electrical engineers', 'detect slow', 'design maximises', 'constant velocity', 'beam return', 'based radars', 'aspect ratio', 'antenna design']</t>
  </si>
  <si>
    <t>Antennas | Detection | Noise and interference | Radar and radionavigation</t>
  </si>
  <si>
    <t>With a space-based surveillance radar, the ability to detect slow-moving targets is compromised by returns from the earth's surface illuminated by the main beam of the antenna. An antenna design is presented that minimises the spectral width of main-beam earth clutter returned to space-based radars. The design maximises the aspect ratio of the antenna and aligns its long dimension with the satellite velocity vector. This ensures that the main-beam return is concentrated between two cones of constant velocity (isodops) whose separation is inversely proportional to the length of the antenna. ¬© 1988, The Institution of Electrical Engineers. All rights reserved.</t>
  </si>
  <si>
    <t>73-81</t>
  </si>
  <si>
    <t>56811811100;7101764513</t>
  </si>
  <si>
    <t>Weber, Peter;Haykin, Simon</t>
  </si>
  <si>
    <t>Weber P.</t>
  </si>
  <si>
    <t>Space-Based Radar: Narrowing the Main-Beam Clutter Spectrum Through the use of a High-Aspect-Ratio Antenna</t>
  </si>
  <si>
    <t>10.1049/ip-f-1.1988.0009</t>
  </si>
  <si>
    <t>2-s2.0-0023964983</t>
  </si>
  <si>
    <t>['¬© 1988', 'wavelength ratio', 'urban areas', 'study indicates', 'spectral efficiency', 'single channel', 'several thousand', 'several hundred', 'rights reserved', 'predicted capacities', 'paper presents', 'millimetre wavebands', 'millimetre wave', 'high incentive', 'high degree', 'employ equipment', 'electrical engineers', 'demonstrated furthermore', 'cost point', 'cochannel operation', 'centimetre wave', 'available channels', 'area capacity', 'area capacities', 'antenna diameter', '39 ghz', '13 ghz']</t>
  </si>
  <si>
    <t>Interference | Microwave communications | Radiocommunication | Radiowave propagation (microwave)</t>
  </si>
  <si>
    <t>Low-cost point-to-point radio systems are available at a number of frequencies in both the centimetre and millimetre wavebands for local business applications. In urban areas a high degree of cochannel operation is predicted, both for reasons of spectral efficiency, and because forecast demands greatly exceed the number of available channels. The paper presents an initial probabilistic study of the limiting cochannel interference effects, based on an idealized flat circular locality model. The study indicates that high system populations, or area capacities, should be achievable. For example in a typical large metropolitan area, the predicted capacities for one way systems sharing a single channel, are several hundred for centimetre wave (13 GHz) systems, and several thousand for millimetre wave (39 GHz) systems. It is demonstrated furthermore that the area capacity is proportional to the square of the antenna diameter to wavelength ratio. There is thus a high incentive to employ equipment with relatively large antennas, and to operate wherever possible in the millimetre wavebands. ¬© 1988, The Institution of Electrical Engineers. All rights reserved.</t>
  </si>
  <si>
    <t>225-232</t>
  </si>
  <si>
    <t>60006359;118847981</t>
  </si>
  <si>
    <t>7202338079;6506310101</t>
  </si>
  <si>
    <t>Davies, W. S.;Wende, D.</t>
  </si>
  <si>
    <t>Australia;Israel</t>
  </si>
  <si>
    <t>Melbourne;</t>
  </si>
  <si>
    <t>Telstra;Kidron Digital Systems</t>
  </si>
  <si>
    <t>Cochannel interference between point-to-point urban microwave radio systems</t>
  </si>
  <si>
    <t>10.1049/ip-f-1.1988.0030</t>
  </si>
  <si>
    <t>2-s2.0-0024034371</t>
  </si>
  <si>
    <t>['¬© 1988', 'wet soil', 'thereby preventing', 'theoretical investigation', 'take advantage', 'synthetic aperture', 'soil attenuation', 'significant increase', 'scan height', 'rights reserved', 'plastic pipes', 'limited primarily', 'interface increase', 'important consideration', 'height fluctuations', 'experimental results', 'environmental effects', 'electrical engineers', 'dimensional model', 'dimensional grid', 'depth resolution', 'covering layer', 'conditions quoted', 'antenna response', '1 œª']</t>
  </si>
  <si>
    <t>Holography | Microwave systems | Radar</t>
  </si>
  <si>
    <t>Experimental results are presented which illustrate the capabilitity of a single-frequency microwave holographic scheme to image both metallic and plastic pipes at a depth of 0.33 m in wet soil with a covering layer of concrete paving stones. The data acquisition system utilises a crossed dipole antenna scanning above the interface recording two orthogonal polarisations at each point on a two-dimensional grid, from which improved surface rejection is obtained. Maximum imaging depth is limited primarily by the ratio of soil attenuation to surface and environmental effects on the antenna response, thereby preventing any significant increase in the conditions quoted. Theoretical investigation into the influence of the lossy dielectric half-space on the synthetic aperture in a one-dimensional model has illustrated that scan height is an important consideration for resolution and antenna system design. It is shown that scanning in close proximity (‚â§0.1 Œª) to the interface increase both lateral and depth resolution. To take advantage of this effect, it is concluded that a noncontacting antenna operating in close surface proximity must be insensitive to height fluctuations. ¬© 1988, The Institution of Electrical Engineers. All rights reserved.</t>
  </si>
  <si>
    <t>321-329</t>
  </si>
  <si>
    <t>60001881;60001881</t>
  </si>
  <si>
    <t>6603451186;7403369332</t>
  </si>
  <si>
    <t>Junkin, G.;Anderson, A. P.</t>
  </si>
  <si>
    <t>Junkin G.</t>
  </si>
  <si>
    <t>Limitations in microwave holographic synthetic aperture imaging over a lossy half-space</t>
  </si>
  <si>
    <t>10.1049/ip-f-1.1988.0039</t>
  </si>
  <si>
    <t>2-s2.0-0024063886</t>
  </si>
  <si>
    <t>['¬© 1988', 'work done', 'upper regions', 'system design', 'suitable antennas', 'structures within', 'signal processing', 'rights reserved', 'radar technology', 'paper reviews', 'laying emphasis', 'intended application', 'future prospects', 'electrical engineers', 'earth materials', 'dielectric properties', 'developing area', 'detailed treatment', 'buried artefacts']</t>
  </si>
  <si>
    <t>Geophysics | Radar | Subsurface radar</t>
  </si>
  <si>
    <t>Subsurface radar techniques are increasingly being used for the detection and location of buried artefacts and structures within the upper regions of the earth's surface. The paper reviews the work done to date in this field, laying emphasis on the range of applications and the need for system design to match the intended application. An overall design strategy is outlined, together with a more detailed treatment of a range of topics which are relevant to effective subsurface radar operation. These include the dielectric properties of earth materials, signal modulation schemes, design and construction of suitable antennas, and methods of signal processing. Finally, an assessment is made of future prospects, both technical and commercial, for this developing area of radar technology. ¬© 1988, The Institution of Electrical Engineers. All rights reserved.</t>
  </si>
  <si>
    <t>278-320</t>
  </si>
  <si>
    <t>60000453;60000453;60011897</t>
  </si>
  <si>
    <t>6701734711;8434546200;55937002800</t>
  </si>
  <si>
    <t>Gunton, D. J.;Scott, H. F.;Daniels, D. J.</t>
  </si>
  <si>
    <t>Leatherhead;Reading</t>
  </si>
  <si>
    <t>ERA Technology Ltd;BG Group plc</t>
  </si>
  <si>
    <t>60011897;60000453</t>
  </si>
  <si>
    <t>Gunton D.J.</t>
  </si>
  <si>
    <t>Introduction to subsurface radar</t>
  </si>
  <si>
    <t>10.1049/ip-f-1.1988.0038</t>
  </si>
  <si>
    <t>2-s2.0-0024064241</t>
  </si>
  <si>
    <t>['¬© 1988', 'vertical sections', 'system combines', 'sufficiently level', 'specific application', 'self contained', 'rights reserved', 'repair work', 'recorded wherever', 'practical difficulties', 'paper describes', 'new construction', 'maps may', 'map printing', 'impulse radar', 'electrical engineers', 'data processing', 'city streets']</t>
  </si>
  <si>
    <t>Radar and radionavigation</t>
  </si>
  <si>
    <t>The use of radar in an underground environment presents a number of practical difficulties. The paper describes a specific application to the mapping of buried utility lines, and other objects below city streets, prior to excavation for repair work or new construction. The system combines an impulse radar, using crossed polarised dipole antennas for transmitting and receiving, respectively, with a computer for data processing and map printing. The system is self contained and is mounted in a van, so that maps may be recorded wherever the ground is sufficiently level for operation of the wheeled antenna cart. Maps are presented as grey-scale plan views or vertical sections. ¬© 1988, The Institution of Electrical Engineers. All rights reserved.</t>
  </si>
  <si>
    <t>343-353</t>
  </si>
  <si>
    <t>60003500;60003500;60003500;60003500;60003500</t>
  </si>
  <si>
    <t>6701707951;56679100400;6504718962;7005328861;7003268441</t>
  </si>
  <si>
    <t>Caldecott, R.;Poirier, M.;Scofea, D.;Svoboda, D. E.;Terzuoli, A. J.</t>
  </si>
  <si>
    <t>Caldecott R.</t>
  </si>
  <si>
    <t>Underground mapping of utility lines using impulse radar</t>
  </si>
  <si>
    <t>10.1049/ip-f-1.1988.0041</t>
  </si>
  <si>
    <t>2-s2.0-0024064315</t>
  </si>
  <si>
    <t>['¬© 1988', 'wide range', 'time systems', 'rights reserved', 'receiver design', 'readily included', 'pulse generators', 'probing radars', 'previous systems', 'plastic mines', 'mineral resources', 'implemented ranging', 'high resolution', 'field experience', 'era technology', 'electrical engineers', 'contributing areas', 'advanced design']</t>
  </si>
  <si>
    <t>A survey of the developments in ground-probing radar technology undertaken by the team at ERA Technology between 1980 and 1985 is presented. These span all of the contributing areas of technology including hardware, software and field experience. Radars of advanced design with wide dynamic ranges, high resolution and capable of much higher data rates than previous systems have been built. They incorporate important developments in antennas, pulse generators and receiver design. The use of digital circuitry wherever possible has allowed great flexibility in the design, allowing signal processing to be readily included in real-time systems. A hierarchy of software has been implemented ranging from simple detection procedures to advanced target recognition algorithms. Ground-probing radars have been operated in a wide range of conditions for the detection of plastic mines, the inspection of civil engineering structures and the assessment of mineral resources. ¬© 1988, The Institution of Electrical Engineers. All rights reserved.</t>
  </si>
  <si>
    <t>362-370</t>
  </si>
  <si>
    <t>60011897;101545363;118848276</t>
  </si>
  <si>
    <t>57197076277;6701546250;57199300254</t>
  </si>
  <si>
    <t>Madani, K.;Chignell, R. J.;Jackson, P. A.</t>
  </si>
  <si>
    <t>Leatherhead;Street;Crookham</t>
  </si>
  <si>
    <t>ERA Technology Ltd;Electronic Engineering;Emrad Ltd.</t>
  </si>
  <si>
    <t>60011897;118848276;101545363</t>
  </si>
  <si>
    <t>Madani K.</t>
  </si>
  <si>
    <t>Early developments in ground-probing radar at ERA Technology Ltd.</t>
  </si>
  <si>
    <t>10.1049/ip-f-1.1988.0043</t>
  </si>
  <si>
    <t>2-s2.0-0024065960</t>
  </si>
  <si>
    <t>['¬© 1988', 'soil conductivity', 'rights reserved', 'resolving capability', 'reconstructed image', 'real pulse', 'range resolution', 'propagation velocity', 'originally designed', 'method incorporates', 'high azimuth', 'fine resolution', 'essential parameter', 'electromagnetic wave', 'electrical engineers', 'echo imaging', 'echo image', 'echo data', 'dielectric constant', 'controlling parameters', 'antenna beamwidth']</t>
  </si>
  <si>
    <t>A wideband microwave holographic method for imaging buried objects with high azimuth and range resolution is described. The method incorporates a synthetic aperture approach in pulse radar systems, originally designed for the pulse-echo imaging, to improve azimuth resolution. The resolving capability of the method is discussed in terms of controlling parameters such as the synthetic aperture length, soil conductivity and dielectric constant, and antenna beamwidth. Since the propagation velocity of electromagnetic wave in soil, which varies from soil to soil, is an essential parameter for reconstructing object images by the method, a method of minimum squared error estimation of the propagation velocity from a pulse-echo image is proposed. Results of underground object image reconstruction from real pulse-echo data is reported to demonstrate high estimation accuracy of the propagation velocity and fine resolution of the reconstructed image. ¬© 1988, The Institution of Electrical Engineers. All rights reserved.</t>
  </si>
  <si>
    <t>330-342</t>
  </si>
  <si>
    <t>7004089481;35402633000</t>
  </si>
  <si>
    <t>Osumi, N.;Ueno, K.</t>
  </si>
  <si>
    <t>Osumi N.</t>
  </si>
  <si>
    <t>Detection of buried plant</t>
  </si>
  <si>
    <t>10.1049/ip-f-1.1988.0040</t>
  </si>
  <si>
    <t>2-s2.0-0024067254</t>
  </si>
  <si>
    <t>['various units', 'state data', 'speed beam', 'oxide semiconductor', 'optimized specifically', 'local random', 'drive high', 'division multiple', 'distributed architecture', 'digital controller', 'current progress', 'controller routes', 'breadboard development', 'appropriate switch', 'access memory']</t>
  </si>
  <si>
    <t>A digital controller that is used to drive high-speed beam-scanning and beam-hopping antenna arrays is described. In such arrays, the radiated beam direction is controlled electronically instead of mechanically, and the controller routes the appropriate switch-state data to each element in the array. A distributed controller architecture using low-power complementary metal-oxide semiconductor (CMOS) electronics was selected and optimized specifically for time-division multiple-access (TDMA) communications satellite applications. The use of local random-access memory to step through the semi-static TDMA switching cycle avoids the need for high-bandwidth data distribution. Details of the various units of this distributed architecture are presented, and current progress in breadboard development is discussed.</t>
  </si>
  <si>
    <t>255-268</t>
  </si>
  <si>
    <t>COMSAT Technical Review</t>
  </si>
  <si>
    <t>Hampsch, Timothy</t>
  </si>
  <si>
    <t>San Diego</t>
  </si>
  <si>
    <t>Applied Technologies Division</t>
  </si>
  <si>
    <t>Hampsch T.</t>
  </si>
  <si>
    <t>Digital controller for high-speed multibeam antennas</t>
  </si>
  <si>
    <t>2-s2.0-0024069118</t>
  </si>
  <si>
    <t>['using isls', 'transmission delay', 'systems benefits', 'spectrum occupancy', 'quantitative advantages', 'intersatellite link', 'fundamental characteristics', 'also presented']</t>
  </si>
  <si>
    <t>The fundamental characteristics of intersatellite link (ISL) systems, and their application to domestic, regional, and global satellite communications, are described. The quantitative advantages of using ISLs to improve orbit utilization, spectrum occupancy, transmission delay (compared to multi-hop links), coverage, and connectivity, and to reduce the number of earth station antennas, are also presented. Cost-effectiveness and other systems benefits of using ISLs are identified, and the technical and systems planning aspects of ISL systems implementation are addressed.</t>
  </si>
  <si>
    <t>147-189</t>
  </si>
  <si>
    <t>100402986;100402986;100402986</t>
  </si>
  <si>
    <t>57199023740;7005861863;6506563228</t>
  </si>
  <si>
    <t>Lee, Young S.;Atia, Ali E.;Ponchak, Denise S.</t>
  </si>
  <si>
    <t>COMSAT Syst Div</t>
  </si>
  <si>
    <t>Lee Y.S.</t>
  </si>
  <si>
    <t>Intersatellite link application to commercial communications satellites</t>
  </si>
  <si>
    <t>2-s2.0-0024070033</t>
  </si>
  <si>
    <t>['solar power', 'semiconductor amplifier', 'rf repeaters', 'problem paths', 'painless way', 'operating costs', 'higher reliability', 'battery design']</t>
  </si>
  <si>
    <t>Advances in semiconductor amplifier, antenna, solar power and battery design have made it possible to make microwave repeaters with dramatically lower cost and higher reliability than those now in use. Path and system design considerations using these new 'RF repeaters' are given, with examples. RF repeaters offer a way to reduce both construction and operating costs in new and existing microwave systems as well as offering a painless way to upgrade or digitise existing microwave systems and to improve the reliability of problem paths.</t>
  </si>
  <si>
    <t>100641744;100641744</t>
  </si>
  <si>
    <t>7004262471;7004340998</t>
  </si>
  <si>
    <t>Leff, B. J.;Tuck, E. F.</t>
  </si>
  <si>
    <t>Peninsula Eng Group Inc</t>
  </si>
  <si>
    <t>Leff B.</t>
  </si>
  <si>
    <t>Path engineering with microwave RF repeaters</t>
  </si>
  <si>
    <t>2-s2.0-0024070779</t>
  </si>
  <si>
    <t>['wide analog', 'tracking subsystem', 'six systems', 'results indicate', 'prime power', 'isl payloads', 'intersatellite link', 'gaalas systems', 'duplex interconnection', 'digital traffic', 'digital ).', 'detection receivers', 'consistent analysis', 'communications subsystems', 'communications subsystem', 'communications performance', 'communications payload']</t>
  </si>
  <si>
    <t>Six optical technologies are compared with respect to the mass, prime power, and volume (MPV) requirements of an intersatellite link (ISL) communications payload for a full-duplex interconnection between two geostationary spacecraft. The communications subsystems of the ISL payloads are based on CO2, Nd:YAG, InGaAsP, and GaAlAs laser sources utilizing either direct-detection or heterodyne-detection receivers, as appropriate. The MPV estimates include both the communications subsystem and the pointing, acquisition, and tracking subsystem of the ISL payloads for transmission of three wideband transponders (each 72-MHz-wide analog or 120-Mbit/s digital). The estimates use antenna diameters obtained from a consistent analysis of the communications performance of the six systems. Results indicate a preference for the GaAlAs systems for both analog and digital traffic.</t>
  </si>
  <si>
    <t>191-214</t>
  </si>
  <si>
    <t>Marshalek, Robert G.</t>
  </si>
  <si>
    <t>Marshalek R.</t>
  </si>
  <si>
    <t>Comparison of optical technologies for intersatellite link payloads. Part I: Mass, prime power, and volume estimates</t>
  </si>
  <si>
    <t>2-s2.0-0024072494</t>
  </si>
  <si>
    <t>['simultaneously accessing', 'results indicate', 'general treatment', 'aussat system', 'antenna configurations', 'although emphasis', 'access antennas', '4 ¬∞.']</t>
  </si>
  <si>
    <t>Antenna configurations are surveyed for simultaneously accessing a number of stellites from a single earth station. Both specially designed antennas and methods for upgrading existing antennas are discussed. A general treatment is presented, although emphasis is placed on the AUSSAT system of three satellites spaced at 4¬∞. Results indicate that in this case specially designed multiple-access antennas are possible up to the largest antenna diameters needed. However, the upgrading of existing earth stations may be limited to reflectors of &lt;5 m in diameter, even when sophisticated feed designs are used.</t>
  </si>
  <si>
    <t>168-176</t>
  </si>
  <si>
    <t>7003443054;7202832083</t>
  </si>
  <si>
    <t>Poulton, Geoff T.;Bird, Trevor S.</t>
  </si>
  <si>
    <t>Earth-station antennas for multiple satellite access</t>
  </si>
  <si>
    <t>2-s2.0-0024072613</t>
  </si>
  <si>
    <t>['wave propagation', 'wave mode', 'phase velocity', 'magnetized along', 'largest change', 'electrical scanning', 'circular polarization', 'brief description', 'basic properties', 'antenna proposed', '33 ghz']</t>
  </si>
  <si>
    <t>In addition to phased antenna arrays employing traditional structural schemes, other constructions for scanning antennas also deserve attention. It is known that for control by a weak magnetic field the largest change in the phase velocity of a wave in a ferrite is obtained when the field of the wave has circular polarization and the ferrite is magnetized along the direction of wave propagation. In the antenna proposed in a wave mode is realized that is very close to optimum, making it possible to carry out electrical scanning in a ¬±40¬∞ sector about the normal at a frequency of 33 GHz. A brief description of the construction of this antenna is given and its basic properties are considered.</t>
  </si>
  <si>
    <t>161-163</t>
  </si>
  <si>
    <t>6602686170;7201567486</t>
  </si>
  <si>
    <t>Zaytsev, E. F.;Fedotov, A. N.</t>
  </si>
  <si>
    <t>Zaytsev E.</t>
  </si>
  <si>
    <t>Scanning ferrite-controlled traveling-wave antenna</t>
  </si>
  <si>
    <t>2-s2.0-0024079405</t>
  </si>
  <si>
    <t>['west anchorage', 'site may', 'meter antenna', 'limited use', 'increased cost', 'government hill', 'elmendorf afb', 'directed toward', 'campbell point', 'although available', 'alascom facility']</t>
  </si>
  <si>
    <t>The proposed Television receive-only site at Campbell Point in west Anchorage, although available and accessible, is of limited use because of the strong interfering carrier which originates at Elmendorf AFB and is directed toward the ALASCOM facility on Government Hill. It may be possible to reduce some of the interference by locating the antenna on lower ground east of Campbell Point. Additional protection would be available at an increased cost with a special low side lobe antenna. The site may be used with a 6-meter antenna to receive satellite channels that are not at or near the same frequency as the strong interfering carriers.</t>
  </si>
  <si>
    <t>25-30</t>
  </si>
  <si>
    <t>The Northern engineer</t>
  </si>
  <si>
    <t>Merritt, Robert P.</t>
  </si>
  <si>
    <t>Fairbanks</t>
  </si>
  <si>
    <t>University of Alaska Fairbanks</t>
  </si>
  <si>
    <t>Merritt R.P.</t>
  </si>
  <si>
    <t>Evaluation of the Campbell point location for use as a television receive-only site</t>
  </si>
  <si>
    <t>2-s2.0-0024079632</t>
  </si>
  <si>
    <t>['working system', 'visual methods', 'usual methods', 'two groups', 'transmitters may', 'transmitter elements', 'terminal stages', 'remote thermography', 'recent times', 'radio transmitters', 'poor contacts', 'parasitic resonances', 'occur due', 'infrared radiation', 'high values', 'high effectiveness', 'heating caused', 'heated bodies', 'feeder systems', 'feeder channel', 'excess currents', 'enables one']</t>
  </si>
  <si>
    <t>The reasons for accidents and failures in the operation of antenna-feeder systems and terminal stages of transmitters may be divided into two groups: spontaneous flare discharges, which occur due to high values of the electric field gradients, and heating caused by the appearance of excess currents. The high-sensitivity protection systems developed so far preclude deterioration of the antenna-feeder channel and transmitter elements. The elements of a radio transmitting channel may become overheated at the connecting points due to poor contacts, and parasitic resonances. The possibility of verifying the working system is limited to visual methods and after it is disconnected, by the usual methods for measuring the temperature. It is impossible to identify and simultaneously eliminate either poor contacts or parasitic resonance phenomena that lead to the system becoming detuned. In recent times, a number of instruments have appeared, which record the infrared radiation of heated bodies and offer remote measurement of their temperature at distances up to 1,000 m with an accuracy up to 0.2¬∞C in the 30-2,000¬∞C range. The method of remote thermography, which enables one to solve the problem of the diagnostics of antennas and radio transmitters at a qualitatively new level, is characterized by high effectiveness and accuracy, and it facilitates the increased operating reliability of these devices.</t>
  </si>
  <si>
    <t>33-34</t>
  </si>
  <si>
    <t>6507369371;6506252051</t>
  </si>
  <si>
    <t>Voynov, S. V.;Tsanev, Ts I.</t>
  </si>
  <si>
    <t>Voynov S.</t>
  </si>
  <si>
    <t>Thermographic method for diagnosing the condition of SW antennas and SWT transmitters</t>
  </si>
  <si>
    <t>2-s2.0-0024079755</t>
  </si>
  <si>
    <t>['urban conditions', 'urban areas', 'tv reception', 'scale systems', 'problems associated', 'making large', 'main forms', 'large extent', 'experience shows', 'electromagnetic waves', 'effective method', 'distortions consists', 'decimeter antennas', 'commercial production', 'collective reception', 'channel antennas', 'antenna technology']</t>
  </si>
  <si>
    <t>One of the main forms of distortion in TV reception under urban conditions is multiple images caused by reflection of the electromagnetic waves during propagation. The most effective method of combatting these distortions consists of making large-scale systems for the collective reception of TV (LSSCRTV) or cable television systems (CTVS), whose antennas are placed at sites having favorable reception conditions. Experience shows that the results obtained depend, to a large extent, on the parameters of the receiving antennas used. In a number of cases, the solution of problems associated with the preparation of urban areas for television is possible only if high-efficiency receiving antenna devices are available. Channel antennas in the 1-m band, having increased noise immunity for the LSSCRTV and CTVS, were developed at the Scientific Research Radio Institute in 1983; the antenna technology was transferred to the industry for production, although the commercial production of these antennas has not been attempted so far. As far as decimeter antennas are concerned, their commercial production has been undertaken by a number of enterprises.</t>
  </si>
  <si>
    <t>57192441006;6503949671;6602335623;6506762965</t>
  </si>
  <si>
    <t>Kuznetsov, V. D.;Kukayev, A. A.;Reushkin, N. A.;Shergin, N. N.</t>
  </si>
  <si>
    <t>Kuznetsov V.</t>
  </si>
  <si>
    <t>Antennas for complex conditions of TV reception</t>
  </si>
  <si>
    <t>2-s2.0-0024079789</t>
  </si>
  <si>
    <t>['swrs less', 'predicted patterns', 'plane patterns', 'physical dimensions', 'paper describes', 'measured performance', 'diameter ratios', 'conical monopoles', 'antennas utilize', 'antenna patterns', 'achieve 3', '2 ).']</t>
  </si>
  <si>
    <t>This paper describes the design and measured performance of very thick cylindrical monopole antennas (length-to-diameter ratios of about 2). These antennas utilize the physical dimensions of common coaxial connectors to achieve 3:1 frequency bandwidths with SWRs less than 2 in the 2 to 20 GHz frequency range. The antenna patterns of the antennas differ significantly from those of thin monopole antennas. The body of revolution (BOR) moment method technique is used to predict the E-plane patterns of the very thick cylindrical monopoles as well as those of conical monopoles at the center of finite circular groundplanes. Agreement between measured and predicted patterns is excellent.</t>
  </si>
  <si>
    <t>60013272;60013272</t>
  </si>
  <si>
    <t>7404140488;35560866400</t>
  </si>
  <si>
    <t>Baker, Dirk E.;Botha, Louis</t>
  </si>
  <si>
    <t>The Council for Scientific and Industrial Research</t>
  </si>
  <si>
    <t>Baker D.</t>
  </si>
  <si>
    <t>PATTERN PREDICTION OF BROADBAND MONOPOLE ANTENNAS ON FINITE GROUNDPLANES USING THE BOR MOMENT METHOD.</t>
  </si>
  <si>
    <t>2-s2.0-0024082486</t>
  </si>
  <si>
    <t>['uhf frequencies', 'two sections', 'service area', 'second describes', 'required protection', 'realize uhf', 'radiation towards', 'plans established', 'particularly important', 'modern television', 'first gives', 'efficient use', 'design calculations', 'current techniques', 'current components', 'brief survey', 'available resources', 'automatically carry', 'antenna system', 'aided procedure', '12 refs']</t>
  </si>
  <si>
    <t>The implementation of the plans established by recent Adminstrative Radio Conferences of the International Telecommunication Union (ITU) has stressed the need for suitable broadcasting station directional antenna systems to provide the required protection to other co-channel or adjacent channel stations and to optimize the radiation towards the service area in the light of a more efficient use of the spectrum and of the available resources. This requirement is particularly important at VHF and UHF frequencies. This article is intended to present the current components of modern television and sound broadcasting antenna systems and a computer-aided procedure to perform their design. The article is composed of two sections. The first gives a brief survey of the current techniques to realize UHF and VHF broadcasting necessary to carry out the design calculations, while the second describes a microcomputer software package developed to automatically carry out the analysis and synthesis of the antenna system. 12 Refs.</t>
  </si>
  <si>
    <t>615-632</t>
  </si>
  <si>
    <t>Rossi, G.</t>
  </si>
  <si>
    <t>Int Radio Consultative Committee</t>
  </si>
  <si>
    <t>Rossi G.</t>
  </si>
  <si>
    <t>COMPUTERIZED APPROACH TO VHF AND UHF BROADCASTING ANTENNA SYSTEM DESIGN.</t>
  </si>
  <si>
    <t>2-s2.0-0024087392</t>
  </si>
  <si>
    <t>['surface clutter', 'spatial domains', 'small targets', 'section targets', 'radiated power', 'radar application', 'prf selection', 'places emphasis', 'numeric examples', 'long ranges', 'large areas', 'large amount', 'frequency filtering', 'detect targets', 'conceptual design', 'concept development', 'clutter signals', 'antennaa sidelobes', 'aew radar', '3 refs']</t>
  </si>
  <si>
    <t>Airborne early warning (AEW) radars are required to detect targets at long ranges to provide early warning of a threat. This requirement, in conjunction with the decreasing radar cross-section of targets, places emphasis on the conceptual design of such a radar. The detection of small radar cross-section targets at long ranges requires use of a large amount of radiated power. Because the radar is airborne, large areas of surface clutter are seen by the radar. The clutter signals that compete with target signals must be reduced by filtering in the time, frequency or spatial domains. A study of the relationship of pulse repetition frequency (PRF) selection with required antenna sidelobe level is presented. This study relates effects of PRF selection that provides for time and frequency filtering and antennaa sidelobes that provide spatial filtering. Emphasis is on the concept development of an AEW radar for the detection of small targets. Equations are developed for the required antenna sidelobes, and numeric examples are given for a radar application. 3 Refs.</t>
  </si>
  <si>
    <t>Morchin, William C.</t>
  </si>
  <si>
    <t>SAIC</t>
  </si>
  <si>
    <t>Morchin W.</t>
  </si>
  <si>
    <t>ANTENNA SIDELOBE REQUIREMENTS FOR THE THREE PRFs OF AN AEW RADAR.</t>
  </si>
  <si>
    <t>2-s2.0-0024087475</t>
  </si>
  <si>
    <t>['¬© 1988', 'various techniques', 'tracking schemes', 'systems discussed', 'satellite therefore', 'rights reserved', 'practical implementations', 'orbit determination', 'method used', 'electrical engineers', 'earth station', 'considerable amount', 'communications link', 'apparent position', 'also considered']</t>
  </si>
  <si>
    <t>Antennas | Radar and radio navigation | Radiocommunication | Satellite links and space communication</t>
  </si>
  <si>
    <t>Satellites in nominally geostationary orbits possess diurnal motion which causes the apparent position of the spacecraft to wander in the sky as seen by an earth station. If uncompensated this causes a variation in the performance of the communications link. The motion of the satellite therefore has to be tracked by the earth station antenna. During the past twenty years or so a considerable amount of work has gone into the development of tracking schemes for satellite communication systems. Here a review of the various techniques is presented. For each method used the principle of operation is described and the various salient features extracted. Comparisons are made where appropriate and practical implementations of the systems discussed. The application of intelligent control algorithms to tracking is also considered. The areas covered include, orbit determination, optimal estimation techniques, performance, and practical implementations. Recently introduced techniques are considered and likely future developments projected. ¬© 1988, The Institution of Electrical Engineers. All rights reserved.</t>
  </si>
  <si>
    <t>393-407</t>
  </si>
  <si>
    <t>60020650;60020650;60020650</t>
  </si>
  <si>
    <t>7102282160;35449666300;7102001714</t>
  </si>
  <si>
    <t>Hawkins, G. J.;Edwards, D. J.;McGeehan, J. P.</t>
  </si>
  <si>
    <t>Bristol</t>
  </si>
  <si>
    <t>University of Bristol</t>
  </si>
  <si>
    <t>Hawkins G.</t>
  </si>
  <si>
    <t>Tracking systems for satellite communications</t>
  </si>
  <si>
    <t>10.1049/ip-f-1.1988.0047</t>
  </si>
  <si>
    <t>2-s2.0-0024090292</t>
  </si>
  <si>
    <t>893-896</t>
  </si>
  <si>
    <t>6602223914;7402289644;6504338840</t>
  </si>
  <si>
    <t>Letunov, L. A.;Kozlov, A. B.;Khananov, A. M.</t>
  </si>
  <si>
    <t>Letunov L.</t>
  </si>
  <si>
    <t>Application of discrete variable SHF phase shifters in modulation-type amplitude-phase meters</t>
  </si>
  <si>
    <t>10.1007/BF00863892</t>
  </si>
  <si>
    <t>2-s2.0-0024613628</t>
  </si>
  <si>
    <t>['œî3hexadecenoic acid', '¬© 1988', 'treated plastids', 'regulation process', 'reaction centres', 'psii antenna', 'psi centre', 'polypeptides ranging', 'polypeptides belonging', 'plastids displayed', 'plant physiologists', 'photosystem ii', 'less barley', 'jspp ).', 'japanese society', 'high photosystem', 'etiolated seedlings', 'energy transfer', 'differentiated etiochloroplasts', 'could originate', 'chl synthesis', 'chl molecules', 'chl b', 'activity despite', '1 tr']</t>
  </si>
  <si>
    <t>Chloramphenicol | Chlorophyll b-less barley mutant | Chlorophyll-protein complex | Etiochloroplast ultrastructure | Polar lipid</t>
  </si>
  <si>
    <t>Greening of etiolated seedlings of wild and Chl b-less barley (Hordeum vulgare L.) genotypes in the presence of D-threochloramphenicol (CAP) led to macrogranal arrangements accompanying the inhibition of Chl synthesis and an enhancement of the total protein content in differentiated etiochloroplasts. In treated mutant plastids, protein/Chl ratio reached up to 100.No light-dependent O2 evolution was detected in CAP-treated plastids which had deficiency in polypeptides belonging to the photosystem II (PSII) centres. On the other hand, plastids displayed a high photosystem I (PSI) activity despite the absence of the 92 kDa polypeptide linked to the PSI centre. The accumulation of polypeptides ranging from 16 to 20 kDa suggest that they could originate from primary complexes consisting of few Chl molecules, but they were sufficient to allow the activity of the reaction centres. No accumulation of the 25-27 kDa polypeptides linked to the PSII antenna was detected.The increase in the proportion of trans-Œî3hexadecenoic acid (16:1 tr) in phosphatidylglycerol (PG) of etiochloroplasts from both types after CAP treatment could indicate an alteration of the regulation process of 16:1 tr biosynthesis occurring in plastids. The formation of macrograna could optimize the energy transfer in altered thylakoid membranes. The accumulation of PG-16:1 tr molecules could be related to the formation of active primary complexes in thylakoid when Chl synthesis is altered. ¬© 1988 The Japanese Society of Plant Physiologists (JSPP).</t>
  </si>
  <si>
    <t>925-933</t>
  </si>
  <si>
    <t>60008134;60008134;60008134;60008134;60008134</t>
  </si>
  <si>
    <t>24392939200;6505846660;6602537108;24394805700;6506028674</t>
  </si>
  <si>
    <t>Farineau, Nicole;Guillot-salomon, Th√©r√®se;Cantrel, Catherine;Ouijja, Abderrahman;Tuquet, Christiane</t>
  </si>
  <si>
    <t>Farineau N.</t>
  </si>
  <si>
    <t>Effect of chloramphenicol on etiochloroplasts of wild and chlorophyll b-less barley genotypes</t>
  </si>
  <si>
    <t>2-s2.0-27044435146</t>
  </si>
  <si>
    <t>['shandong province', 'resent years', 'monitoring stations', 'jiangsu region', 'jiangsu province', 'earthquakes based', 'article introduces', 'approaching period']</t>
  </si>
  <si>
    <t>Horizontal buried antenna | Pre-earthquake electromagnetic radiation | Sendust antenna | Ultra-low frequency (ULF) | Very-low frequency (VLF)</t>
  </si>
  <si>
    <t>This article introduces the practical observation results of pre-earthquake electromagnetic radiations at the network of monitoring stations in Jiangsu region in resent years and discusses the electromagnetic wave precursors during the approaching period of earthquakes based on the observations of the electromagetic radiation signals before the M s 6.0 Liyang earthquake of 1979 in Jiangsu province, the M s 5.9 Heze earthquake of 1983 in Shandong province and the M s 6.2 South Yellow Sea earthquake of 1984. ¬© 1988 Acta Seismologica Sinica.</t>
  </si>
  <si>
    <t>Acta Seismologica Sinica</t>
  </si>
  <si>
    <t>60088072;60088072;60088072</t>
  </si>
  <si>
    <t>24789653000;24789474100;55449393400</t>
  </si>
  <si>
    <t>Zhang, Deqi;Wang, Shengfei;Zhang, Nianxiao</t>
  </si>
  <si>
    <t>Seismological Bureau of Jiangsu Province</t>
  </si>
  <si>
    <t>Zhang D.</t>
  </si>
  <si>
    <t>Observations and studies of electromagnetic waves during the approaching of earthquakes</t>
  </si>
  <si>
    <t>10.1007/BF02652415</t>
  </si>
  <si>
    <t>2-s2.0-51649155124</t>
  </si>
  <si>
    <t>['unstable resonator', 'relative merits', 'limited regime', 'lidar performance', 'field diffraction', 'field attributes', 'coherent lidar', 'antenna parameters']</t>
  </si>
  <si>
    <t>We investigate the antenna parameters of a coherent lidar in the far-field diffraction-limited regime, where the lidar transmitter consists of an unstable resonator with a Gaussian reflectivity profile output coupler. A figure-of-merit combining laser transmitter energy extraction efficiency with the far-field attributes of a given cavity configuration has been used to compare the lidar performance and relative merits of such systems as they relate to those of conventional unstable cavities with diffractive output coupling. ¬© 1988 Optical Society of America.</t>
  </si>
  <si>
    <t>3645-3649</t>
  </si>
  <si>
    <t>7004044368;7101938512</t>
  </si>
  <si>
    <t>Tratt, David M.;Menzies, Robert T.</t>
  </si>
  <si>
    <t>Tratt D.</t>
  </si>
  <si>
    <t>Unstable resonator antenna properties in coherent lidar applications: A comparative study</t>
  </si>
  <si>
    <t>10.1364/AO.27.003645</t>
  </si>
  <si>
    <t>2-s2.0-84975629356</t>
  </si>
  <si>
    <t>['¬© 1988', 'thus also', 'results agree', 'petra energies', 'natural interpretation', 'gluon emission', 'experimental data', 'destructive interference', 'colour dipoles', 'colour antennae']</t>
  </si>
  <si>
    <t>The formulation of a QCD parton cascade in terms of colour dipoles or colour antennae is applied to e+e--annihilation. In this formulation the destructive interference for soft-gluon emission has a very natural interpretation, and it is easy to construct a Monte Carlo simulation program. At PEP and PETRA energies the results agree very well with experimental data, and thus also with results from conventional parton cascades. However, at higher energies observable differences emerge, which can discriminate between the models. ¬© 1988.</t>
  </si>
  <si>
    <t>746-758</t>
  </si>
  <si>
    <t>Nuclear Physics, Section B</t>
  </si>
  <si>
    <t>60029170;60029170</t>
  </si>
  <si>
    <t>7102315689;57197206073</t>
  </si>
  <si>
    <t>Gustafson, G√∂sta;Pettersson, Ulf</t>
  </si>
  <si>
    <t>Gustafson G.</t>
  </si>
  <si>
    <t>Dipole formulation of QCD cascades</t>
  </si>
  <si>
    <t>10.1016/0550-3213(88)90441-5</t>
  </si>
  <si>
    <t>2-s2.0-0000342518</t>
  </si>
  <si>
    <t>['¬© 1988', 'stroma lamellae', 'state 1', 'resulting 15', 'reaction centre', 'preparations consisted', 'polypeptide composition', 'photosystem ii', 'mesophyll thylakoids', 'limiting conditions', 'lhc ii', 'lateral migration', 'harvesting chlorophyll', 'gel electrophoresis', 'four polypeptides', 'different stoichiometry', 'differed significantly', 'become phospharylated', 'become incorporated', 'b ratio', 'b protein', 'approximate 1', 'antenna size', 'additional polypeptide', '700 ratio', '700 photo', '1 stoichiometry', '1 %.']</t>
  </si>
  <si>
    <t>Excitation energy transfer | Fluorescence emission spectroscopy | Light harvesting complex II | Photosystem I | Protein phorphorylation | Thylakoid membrane</t>
  </si>
  <si>
    <t>Stroma lamellae were isolated from mesophyll thylakoids of maize plants exposed to dark (state 1) and high-intensity white light (state 2). Freeze-fracture electron microscopy established that the preparations consisted of small, spherical, right-side-out vesicles, and that the extent of contamination by grana appreassed lamellae was less than 0.1%. The state 1-state 2 transition resulted in a decrease in the chlorophyll a/b ratio of the isolated stroma lamellae due to lateral migration of light-harvesting chlorophyll a/b protein of Photosystem II (LHC II) from appressed grana lamellae. Fluorescence spectroscopy showed that this 'mobile LHC II' became functionally attached to the Photosystem I reaction centre, with a resulting 15% increase in antenna size, as determined by measurement of the chlorophyll/P-700 ratio and kinetics of P-700 photo-oxidation under light-limiting conditions. The mobile LHC II could be resolved by gel electrophoresis into four polypeptides with an approximate 1:1:1:1 stoichiometry. This differed significantly from the polypeptide composition of grana LHC II, which had a different stoichiometry, and an additional polypeptide of lower apparent molecular mass which did not become phospharylated. The freeze-fracture particle density data showed that the phosphorylated LHC II was not visible as discrete small particles, as found in appressed grana membranes, and may have become incorporated into the large PF particles of the stroma lamellae, which contain the Photosystem I reaction centre. ¬© 1988.</t>
  </si>
  <si>
    <t>152-165</t>
  </si>
  <si>
    <t>60000481;60000481;60019782</t>
  </si>
  <si>
    <t>35553979700;16207173300;7402414929</t>
  </si>
  <si>
    <t>Bassi, Roberto;Giacometti, Giorgio M.;Simpson, David J.</t>
  </si>
  <si>
    <t>Denmark;Italy</t>
  </si>
  <si>
    <t>Copenhagen;Padua</t>
  </si>
  <si>
    <t>Carlsberg Research Center;Universit√† degli Studi di Padova</t>
  </si>
  <si>
    <t>60019782;60000481</t>
  </si>
  <si>
    <t>Bassi R.</t>
  </si>
  <si>
    <t>Changes in the organization of stroma membranes induced by in vivo state 1-state 2 transition</t>
  </si>
  <si>
    <t>10.1016/0005-2728(88)90212-5</t>
  </si>
  <si>
    <t>2-s2.0-0001290048</t>
  </si>
  <si>
    <t>['tokamak tj', 'preliminary results', 'one antenna', 'numerical application', 'new broad', 'experimental results', 'density measurements', 'basic principles', 'also presented', '50 ghz']</t>
  </si>
  <si>
    <t>A new broad-band microwave reflectometer in the Q-band (33-50 GHz) with only one antenna is presented. The basic principles of density measurements with the device are outlined for a numerical application to the tokamak TJ-1. Experimental results for the electron density profile are given. Some preliminary results of density fluctuation measurements are also presented. ¬© 1988 IOP Publishing Ltd.</t>
  </si>
  <si>
    <t>1384-1390</t>
  </si>
  <si>
    <t>Journal of Physics D: Applied Physics</t>
  </si>
  <si>
    <t>60015179-60109752;60015179-60109752;60015179;60015179</t>
  </si>
  <si>
    <t>6602252028;7003533105;7005161099;6507259037</t>
  </si>
  <si>
    <t>Anabitarte, E.;Bustamante, E. G.;Calderon, M. A.G.;Sent√≠es, J. M.</t>
  </si>
  <si>
    <t>Madrid;Santander</t>
  </si>
  <si>
    <t>Laboratorio Nacional de Fusi√≥n;Universidad de Cantabria</t>
  </si>
  <si>
    <t>60109752;60015179</t>
  </si>
  <si>
    <t>Anabitarte E.</t>
  </si>
  <si>
    <t>Determination of the electron density profile and its fluctuations by broad-band microwave reflectometry in the TJ-1 tokamak</t>
  </si>
  <si>
    <t>10.1088/0022-3727/21/9/011</t>
  </si>
  <si>
    <t>2-s2.0-0024073624</t>
  </si>
  <si>
    <t>DHHS 5 T32 GM07494</t>
  </si>
  <si>
    <t>['œ ≤-', '¬© 1988', 'usa 82', 'termed cpvi', 'stressed cells', 'starved cells', 'solubilized membranes', 'purified cpvi', 'purified chlorophyll', 'protein associated', 'photosystem ii', 'iron stress', 'immunoblotting experiments', 'high yield', 'early stages', 'defecient cells', 'contains polypeptides', 'biochemically purified', 'antisera elicited', '681 nm', '671 nm', '4 indicate', '12 kda']</t>
  </si>
  <si>
    <t>(A. nidulans R2) | Chlorophyll-protein complex | Cyanobacterium | Iron stress | Light harvesting</t>
  </si>
  <si>
    <t>An Anacystis nidulans R2 chlorophyll-protein associated with Photosystem II in iron-stressed cells (Pakrasi, H.B., Riethmann, H.C. and Sherman, L.A. (1985) Proc. Natl. Acad. Sci. USA 82, 6903-6907) has been biochemically purified and characterized. Anion exchange chromatography of dodecyl-Œ≤-d-maltoside-solubilized membranes from iron-defecient cells was used to recover this chlorophyll-protein (termed CPVI-4) in high yield and in a relatively native state. CPVI-4 has a room temperature absorption maximum at 671 nm, a 77 K chlorophyll fluorescence peak at 681 nm, and contains polypeptides of 36, 34 and 12 kDa. The 36 and 34 kDa polypeptides are associated with chlorophyll on mildly denaturing acrylamide gels of purified CPVI-4, although only the 34 kDa protein is immunoreactive with antisera elicited against the gel-purified chlorophyll-protein. Immunoblotting experiments with dodecyl-Œ≤-d-maltoside-solubilized membrane fractions and purified CPVI-4 indicate that CPVI-4 does not contain previously identified Photosystem III core proteins. CPVI-4 likely functions as a light-harvesting antenna complex in iron-starved cells (where phycobilisomes are absent or diminished) and, in addition, may contribute chlorophyll to the reaction center complexes during their assembly in the early stages of recovery from iron stress. ¬© 1988.</t>
  </si>
  <si>
    <t>141-151</t>
  </si>
  <si>
    <t>60006173;60006173</t>
  </si>
  <si>
    <t>36881656300;57195342181</t>
  </si>
  <si>
    <t>Riethman, Harold C.;Sherman, Louis A.</t>
  </si>
  <si>
    <t>University of Missouri</t>
  </si>
  <si>
    <t>Riethman H.C.</t>
  </si>
  <si>
    <t>Purification and characterization of an iron stress-induced chlorophyll-protein from the cyanobacterium Anacystis nidulans R2</t>
  </si>
  <si>
    <t>10.1016/0005-2728(88)90211-3</t>
  </si>
  <si>
    <t>2-s2.0-0024286162</t>
  </si>
  <si>
    <t>['¬© 1988', 'transparent shelter', 'top cover', 'suggested based', 'side walls', 'shaded cover', 'several properties', 'second shelter', 'rear entrances', 'randall ).', 'probable roles', 'predatory defense', 'opaque shelter', 'opaque ones', 'one entrance', 'much smaller', 'lobster antennae', 'laboratory trials', 'isolated shelter', 'inner diameter', 'held posteriorly', 'discussed relative', 'directed anteriorly', 'dens always', 'den walls', 'den selection', 'den preference', 'defensive behavior', 'conspecific attraction', 'back wall', 'back ends', 'attached laterally', 'antennae posturing']</t>
  </si>
  <si>
    <t>Panulirus interruptus | Refuge | Shelter | Spiny lobster</t>
  </si>
  <si>
    <t>Several properties of shelter were analyzed for their importance in den selection by the California spiny lobster Panulirus interruptus (Randall). Field surveys indicated that dens of spiny lobsters usually had more than one entrance and that entrances were much smaller than the inner diameter of a den. Dens always had top cover and a back wall, but they did not always have side walls. In laboratory experiments lobsters completely avoided transparent artificial shelters in favor of opaque ones of the same size and shape. No preference was exhibited by lobsters for opaque shelter when transparent shelter was shaded. Den preference was found to depend more on presence of shaded cover than on den walls. Single, isolated shelter having front and rear entrances was preferred to shelter having only one entrance, though this preference was lacking when a second shelter was attached laterally. A function of lobster antennae in defensive behavior is suggested based on their positioning as observed in laboratory trials. Antennae were held posteriorly, possibly to guard the abdomen and telson, when residency was established in shelter having openings both at front and back ends. Antennae were directed anteriorly, outside the shelter, when residency was established in shelter having only one entrance. Shade, shelter, antennae posturing, and conspecific attraction are discussed relative to their probable roles in predatory defense in this species. ¬© 1988.</t>
  </si>
  <si>
    <t>137-149</t>
  </si>
  <si>
    <t>60002999;60029241</t>
  </si>
  <si>
    <t>7003273645;6603937917</t>
  </si>
  <si>
    <t>Spanier, Ehud;Zimmer-Faust, Richard K.</t>
  </si>
  <si>
    <t>Santa Barbara;Haifa</t>
  </si>
  <si>
    <t>University of California, Santa Barbara;University of Haifa</t>
  </si>
  <si>
    <t>60029241;60002999</t>
  </si>
  <si>
    <t>Spanier E.</t>
  </si>
  <si>
    <t>Some physical properties of shelter that influence den preference in spiny lobsters</t>
  </si>
  <si>
    <t>10.1016/0022-0981(88)90251-1</t>
  </si>
  <si>
    <t>2-s2.0-0024221668</t>
  </si>
  <si>
    <t>Ministry of Education, Culture, Sports, Science and Technology</t>
  </si>
  <si>
    <t>Monbusho</t>
  </si>
  <si>
    <t>['¬© 1988', 'type ferredoxin', 'two orfs', 'trna molecules', 'third position', 'substitution pattern', 'structural gene', 'small single', 'simultaneous codons', 'seven orfs', 'ribosomal rna', 'protein molecules', 'predicted locations', 'pairs ).', 'pairs ),', 'overall g', 'one orf', 'nucleotide sequence', 'nucleotide residue', 'marchantia polymorpha', 'large single', 'intergenic spacers', 'ii found', 'harvesting complex', 'gene products', 'gene identification', 'four species', 'electron transport', 'distinct subunits', 'detailed information', 'copy region', 'coding sequences', 'clone bank', 'chloroplast dna', 'c content', 'bacterial proteins', 'bacterial 4fe', 'antenna protein', 'although one', 'accompanying papers', '9 %)', '813 base', '33 orfs', '32 species', '22 introns', '2136 codons', '20 genes', '095 base', '058 base', '024 base']</t>
  </si>
  <si>
    <t>We have determined the complete nucleotide sequence of chloroplast DNA from a liverwort, Marchantia polymorpha, using a clone bank of chloroplast DNA fragments. The circular genome consists of 121,024 base-pairs and includes two large inverted repeats (IRA and IRB, each 10,058 base-pairs), a large single-copy region (LSC, 81,095 base-pairs), and a small single-copy region (SSC, 19,813 base-pairs). The nucleotide sequence was analysed with a computer to deduce the entire gene organization, assuming the universal genetic code and the presence of introns in the coding sequences. We detected 136 possible genes, 103 gene products of which are related to known stable RNA or protein molecules. Stable RNA genes for four species of ribosomal RNA and 32 species of tRNA were located, although one of the tRNA genes may be defective. Twenty genes encoding polypeptides involved in photosynthesis and electron transport were identified by comparison with known chloroplast genes. Twenty-five open reading frames (ORPs) show structural similarities to Escherichia coli RNA polymerase subunits, 19 ribosomal proteins and two related proteins. Seven ORFs are comparable with human mitochondrial NADH dehydrogenase genes. A computer-aided homology search predicted possible chloroplast homologues of bacterial proteins; two ORFs for bacterial 4Fe-4S-type ferredoxin, two for distinct subunits of a protein-dependent transport system, one ORF for a component of nitrogenase, and one for an antenna protein of a light-harvesting complex. The other 33 ORFs, consisting of 29 to 2136 codons, remain to be identified, but some of them seem to be conserved in evolution. Detailed information on gene identification is presented in the accompanying papers. We postulated that there were 22 introns in 20 genes (8 tRNA genes and 12 ORFs), which may be classified into the groups I and II found in fungal mitochondrial genes. The structural gene for ribosomal protein S12 is trans-split on the opposite DNA strand. The universal genetic code was confirmed by the substitution pattern of simultaneous codons, and by possible codon recognition of the chloroplast-encoded tRNA molecules, assuming no importation of tRNA molecules from the cytoplasm. The nucleotide residue A or T is preferred at the third position of the codons (G + C, 11.9%) and in intergenic spacers (G + C, 19.5%), resulting in an overall G + C content that is low (28.8%) throughout the liverwort chloroplast genome. Possible gene expression signals such as promoters and terminators for transcription, predicted locations of gene products, and DNA replicative origins are discussed. ¬© 1988.</t>
  </si>
  <si>
    <t>281-298</t>
  </si>
  <si>
    <t>60011001;60011001;60011001;60011001;60011001;60011001;60011001;60011001;60011001;60011001;60011001;60011001</t>
  </si>
  <si>
    <t>7102455933;7006793476;7003451394;35353229300;57209161618;57209946019;7006370597;55795859200;7402804587;24386337800;7103264773;7006133211</t>
  </si>
  <si>
    <t>Ohyama, Kanji;Fukuzawa, Hideya;Kohchi, Takayuki;Sano, Tohru;Sano, Satoshi;Shirai, Hiromasa;Umesono, Kazuhiko;Shiki, Yasuhiko;Takeuchi, Masayuki;Aota, Zhen Chang Shin ichi;Inokuchi, Hachiro;Ozeki, Haruo</t>
  </si>
  <si>
    <t>Ohyama K.</t>
  </si>
  <si>
    <t>Structure and organization of Marchantia polymorpha chloroplast genome. I. Cloning and gene identification</t>
  </si>
  <si>
    <t>10.1016/0022-2836(88)90001-0</t>
  </si>
  <si>
    <t>2-s2.0-17644438923</t>
  </si>
  <si>
    <t>Ministerie van Onderwijs, Cultuur en Wetenschap</t>
  </si>
  <si>
    <t>OCW</t>
  </si>
  <si>
    <t>['¬© 1988', 'sequence starts', 'rps14 ),', 'rpoc2 ).', 'pairs flanked', 'one end', 'nucleotide sequence', 'lhca ).', 'large single', 'highly conserved', 'higher plants', 'harvesting complex', 'encompasses genes', 'copy region', 'chloroplast dna', '410 base', '21 trnas', '000 base']</t>
  </si>
  <si>
    <t>The nucleotide sequence (56,410 base-pairs) of the large single-copy region of chloroplast DNA from the liverwort Marchantia polymorpha has been determined. The sequence starts from one end (JLA) of the large single-copy region and encompasses genes for 21 tRNAs, six ATPase subunits (atpA, atpB, atpE, atpF, atpH and atpI), two photosystem I polypeptides (psaA and psaB), four photosystem II polypeptides (psbA, psbC, psbD and psbG), five ribosomal proteins (rps2, rps4, rps7, rps'12 and rps14), and three RNA polymerase subunits (rpoB, rpoC1 and rpoC2). In addition, we detected 18 open reading frames ranging from 29 to 2136 amino acid residues long, four of which share significant amino acid sequence homology to those of an Escherichia coli malK protein (designated mbpX), human mitochondrial ND2 (ndh2) and ND3 (ndh3) of a respiratory chain NADH dehydrogenase, or a bacterial antenna protein of a light-harvesting complex (lhcA). Sequence analysis suggests that four tRNA genes and six protein genes might be split by introns; they are trnG(UCC), trnK(UUU), trnL(UAA), trnV(UAC), atpF, ndh2, rpoC1, rps'12, ORF135 and ORF167. In the large single-copy region described here, the gene organization deduced is highly conserved with respect to that of higher plants, but an inversion of some 30,000 base-pairs flanked by trnL(CAA) and trnD(GUC) was seen between the liverwort and tobacco chloroplast genomes. ¬© 1988.</t>
  </si>
  <si>
    <t>299-331</t>
  </si>
  <si>
    <t>60119313;60119313;60119313;60119313;60119313;60011001;60011001;60011001;60011001;60119313</t>
  </si>
  <si>
    <t>7006370597;7103264773;55795859200;7402804587;7202170483;7006793476;7003451394;57209946019;7102455933;7006133211</t>
  </si>
  <si>
    <t>Umesono, Kazuhiko;Inokuchi, Hachiro;Shiki, Yasuhiko;Takeuchi, Masayuki;Chang, Zhen;Fukuzawa, Hideya;Kohchi, Takayuki;Shirai, Hiromasa;Ohyama, Kanji;Ozeki, Haruo</t>
  </si>
  <si>
    <t>Kyoto;Kyoto</t>
  </si>
  <si>
    <t>Faculty of Science;Kyoto University</t>
  </si>
  <si>
    <t>60119313;60011001</t>
  </si>
  <si>
    <t>Umesono K.</t>
  </si>
  <si>
    <t>Structure and organization of Marchantia polymorpha chloroplast genome. II. Gene organization of the large single copy region from rps'12 to atpB</t>
  </si>
  <si>
    <t>10.1016/0022-2836(88)90002-2</t>
  </si>
  <si>
    <t>2-s2.0-18744435996</t>
  </si>
  <si>
    <t>['taxonomic studies', 'oviducal aperture', 'northern gulf', 'morphologically divided', 'genus botryllophilus', 'caudal rami', '5th legs', '2 types', '2 morpho']</t>
  </si>
  <si>
    <t>Ascidicolidae | Botryllophilinae | Botryllophilus | Cyclopoida | morpho-types</t>
  </si>
  <si>
    <t>In taxonomic studies (in preparation) of the genus Botryllophilus from the eastern and western coastal waters of the Pacific and from the northern Gulf of California, we have found that the females are morphologically divided into 2 types. The 2 morpho-types in our material, which includes 10 species, are characterized by features of the urosome including anal segment and caudal rami, rostrum, antennule, antenna, mandible, maxillule, maxilla, maxilliped, 1st to 5th legs, and the apparatus at the oviducal aperture. These characters are described and the significance of the recognition of the 2 morpho-types is discussed for the purpose of solving taxonomic problems in Botryllophilus. ¬© 1988 Kluwer Academic Publishers.</t>
  </si>
  <si>
    <t>167-168</t>
  </si>
  <si>
    <t>60018873;60015481</t>
  </si>
  <si>
    <t>6602173949;16453148300</t>
  </si>
  <si>
    <t>Ooishi, S.;Illg, P. L.</t>
  </si>
  <si>
    <t>Tsu;Seattle</t>
  </si>
  <si>
    <t>Mie University;University of Washington</t>
  </si>
  <si>
    <t>Ooishi S.</t>
  </si>
  <si>
    <t>Two morpho-types of Botryllophilus (Cyclopoida, Ascidicolidae)</t>
  </si>
  <si>
    <t>10.1007/BF00026353</t>
  </si>
  <si>
    <t>2-s2.0-0000537311</t>
  </si>
  <si>
    <t>['time implementation', 'specific sidelobes', 'sidelobe cancellation', 'programmable read', 'nearly equal', 'much affected', 'inner elements', 'field lobes', 'edge elements', 'beam gain', 'advantages reported']</t>
  </si>
  <si>
    <t>It is argued that the far-field lobes of the edge elements of a uniformly excited linear array are nearly equal to the sidelobes of the array itself, and hence the edge elements are ideal for cancellation of specific sidelobes of the pattern. This supports the concept of partial adaptivity using only the edge elements. This technique is suitable for real-time implementation because only the edge elements require direct control; the inner elements are controlled by programmable read-only memories. Other advantages reported are: the nulls produced specifically by control of the edge elements are deep and wide, and the main-beam gain is not much affected by the sidelobe cancellation.</t>
  </si>
  <si>
    <t>1484-1486</t>
  </si>
  <si>
    <t>60013183;60013183;60013183</t>
  </si>
  <si>
    <t>6507369392;7005535394;7006824457</t>
  </si>
  <si>
    <t>El-Azhary, Ismail;Afifi, Mostafa S.;Excell, Peter S.</t>
  </si>
  <si>
    <t>Saudi Arabia</t>
  </si>
  <si>
    <t>Riyadh</t>
  </si>
  <si>
    <t>King Saud University</t>
  </si>
  <si>
    <t>El-Azhary I.</t>
  </si>
  <si>
    <t>Simple algorithm for sidelobe cancellation in a partially adaptive linear array</t>
  </si>
  <si>
    <t>2-s2.0-0024088141</t>
  </si>
  <si>
    <t>['wave radiometer', 'signals incident', 'geometrical theory', 'considerable simplification', 'axial symmetry', 'antenna pattern', 'also shown']</t>
  </si>
  <si>
    <t>The Geometrical Theory of Diffraction is applied in the calculation of the antenna pattern of a submillimetre/millimetre-wave radiometer. Axial symmetry of the radiometer is shown to lead to considerable simplification of the expressions to be evaluated. It is also shown that the sequence of apertures in the radiometer can be chosen to give extremely high rejection of signals incident at off-axis angles greater than 20o. ¬© 1988 Plenum Publishing Corporation.</t>
  </si>
  <si>
    <t>837-860</t>
  </si>
  <si>
    <t>23001437400;6701623000;57189657069</t>
  </si>
  <si>
    <t>Martin, D. H.;Wylde, R. J.;Martin, R. J.</t>
  </si>
  <si>
    <t>Martin D.</t>
  </si>
  <si>
    <t>The use of the geometrical theory of diffraction in the calculation of antenna patterns of submillimeter and millimeter-wave radiometers</t>
  </si>
  <si>
    <t>10.1007/BF01010625</t>
  </si>
  <si>
    <t>2-s2.0-0024088284</t>
  </si>
  <si>
    <t>['supporting structures', 'structural strength', 'form usable', 'design office', 'antenna deflection']</t>
  </si>
  <si>
    <t>The designer of antenna support structures has been faced with a plethora of information, not a little of which has been couched in somewhat awesome statistical form. Only recently have codified data utilizing the results of the research findings begun to emerge in a form usable in the design office. This article reviews current knowledge of factors which have to be taken into account to ensure that supporting structures for antennas, whether for terrestrial or satellite microwave communication, meet stringent performance standards in respect of structural strength and antenna deflection.</t>
  </si>
  <si>
    <t>187-193</t>
  </si>
  <si>
    <t>7 pt 3</t>
  </si>
  <si>
    <t>0262401X</t>
  </si>
  <si>
    <t>British Telecommunications Engineering</t>
  </si>
  <si>
    <t>Clow, D. G.</t>
  </si>
  <si>
    <t>British Telecommunications plc</t>
  </si>
  <si>
    <t>Clow D.</t>
  </si>
  <si>
    <t>Physical design of antenna support structures - state of the art</t>
  </si>
  <si>
    <t>2-s2.0-0024092424</t>
  </si>
  <si>
    <t>['known results', 'dimensional case', 'calculation data', 'array surface', 'array consisting']</t>
  </si>
  <si>
    <t>Based on the periodicity of an array consisting of loaded balanced dipoles boundary conditions are obtained for the two-dimensional case that must be satisfied by the average electromagnetic fields existing on both sides of the array surface. Calculation data are compared with known results.</t>
  </si>
  <si>
    <t>107-111</t>
  </si>
  <si>
    <t>7003963010;6603558268</t>
  </si>
  <si>
    <t>Tereshin, O. N.;Dvurechenskiy, V. D.</t>
  </si>
  <si>
    <t>Boundary conditions on a periodic array consisting of loaded balanced dipoles</t>
  </si>
  <si>
    <t>2-s2.0-0024093148</t>
  </si>
  <si>
    <t>['took place', 'radio link', 'power budget', 'noise immunity', 'ground stations', 'geostationary orbits', 'frequency band', 'first session', 'downward links']</t>
  </si>
  <si>
    <t>The first session of the Worldwide Administrative Conference on Radio (WACR-ORB-85), devoted to planning the use of geostationary orbits, took place in 1985. It defined certain principles for planning the use of geostationary orbits by national fixed satellite service systems. Examples of this plan had already been produced by specialists of the International Communications Union and certain communications administrations. In setting it up, each system is assigned an appropriate service zone, the position of the satellite in the orbit, the frequency band on the upward and downward links, and also a set of parameters - specific or generalized which determine the power budget of the radio link and its noise immunity. At WACR-77 and the Regional Administrative Conference on Radio (RACR-83) plans for using geostationary satellites for radio-broadcasting service satellites in the 12 GHz band were drawn up. In the radio-broadcasting satellite service plan and examples of the fixed satellite service plan it was assumed that the diameters of the antennas of the ground stations are the same in all zones. What is the basis for this assumption? This problem is considered in this paper.</t>
  </si>
  <si>
    <t>Kantor, L. Ya</t>
  </si>
  <si>
    <t>Kantor L.</t>
  </si>
  <si>
    <t>Choice of the initial parameters for planning the use of a geostationary orbit for fixed satellite services</t>
  </si>
  <si>
    <t>2-s2.0-0024093299</t>
  </si>
  <si>
    <t>['phasing angle', 'calculated data', 'angle scanning']</t>
  </si>
  <si>
    <t>Results are given of investigations of the dependence of the gain of a dispersed nonequidistant phased antenna array on the phasing angle in wide-angle scanning. The results are compared with calculated data.</t>
  </si>
  <si>
    <t>113-116</t>
  </si>
  <si>
    <t>6506561012;6602279572;6504828953</t>
  </si>
  <si>
    <t>Volynskiy, V. V.;Kaplun, I. V.;Kosolapov, I. I.</t>
  </si>
  <si>
    <t>Experimental investigation of the power characteristics of a flat nonequidistant phased antenna in wide-angle scanning</t>
  </si>
  <si>
    <t>2-s2.0-0024093495</t>
  </si>
  <si>
    <t>['receiving antennas', 'optimal algorithms', 'obtain quasi', 'antenna arrays']</t>
  </si>
  <si>
    <t>Methods of the theory of conditional Markov processes are used to obtain quasi-optimal algorithms for complex data processing in low-altitude radio altimeters when the receiving antennas are antenna arrays.</t>
  </si>
  <si>
    <t>58-61</t>
  </si>
  <si>
    <t>Bogachev, A. S.</t>
  </si>
  <si>
    <t>Bogachev A.</t>
  </si>
  <si>
    <t>Optimization of data processing algorithms in radio altimeters with an electronically stabilized radiation pattern</t>
  </si>
  <si>
    <t>2-s2.0-0024093519</t>
  </si>
  <si>
    <t>['radiation pattern', 'present paper', 'phase distribution', 'often used', 'measurement probe', 'dipole radiator', 'dipole probe', 'antennas based', 'antenna aperture']</t>
  </si>
  <si>
    <t>The method of establishing the radiation pattern (RP) of antennas based on a measurement of the amplitude-phase and polarization field distributions in the antenna aperture is well-known. A dipole radiator is often used as the measurement probe in this case. The purpose of the present paper is to analyze the accuracy with which the amplitude-phase distribution can be established in measurements by a dipole probe.</t>
  </si>
  <si>
    <t>111-112</t>
  </si>
  <si>
    <t>16437068800;7202329348</t>
  </si>
  <si>
    <t>Ponomarev, L. I.;Pavlov, A. Yu</t>
  </si>
  <si>
    <t>Ponomarev L.</t>
  </si>
  <si>
    <t>Accuracy with which the amplitude-phase distribution can be established in an antenna aperture</t>
  </si>
  <si>
    <t>2-s2.0-0024093570</t>
  </si>
  <si>
    <t>['single source', 'reception deterioration', 'power interference', 'order nonlinearities']</t>
  </si>
  <si>
    <t>The contribution of 2nd- and 3rd-order nonlinearities to signal-reception deterioration when there is a single source of high-power interference and a set of random interfering signals from extraneous radio stations is assessed.</t>
  </si>
  <si>
    <t>81-83</t>
  </si>
  <si>
    <t>Bobkov, A. M.</t>
  </si>
  <si>
    <t>Bobkov A.</t>
  </si>
  <si>
    <t>Linearity requirements for a wideband active receiving antenna in the presence of high-power interference</t>
  </si>
  <si>
    <t>2-s2.0-0024093882</t>
  </si>
  <si>
    <t>['unambiguous resolution', 'signals k', 'general case', 'elements n', 'efficient algorithm']</t>
  </si>
  <si>
    <t>An efficient algorithm is suggested for the unambiguous resolution in the general case of coherent, noncoherent, partially coherent plane-wave signals received by an equidistant linear antenna array (AA) in which the number of elements n is greater than the number of signals k.</t>
  </si>
  <si>
    <t>90-95</t>
  </si>
  <si>
    <t>7102230064;6507663972;6504541160</t>
  </si>
  <si>
    <t>Petrova, I. V.;Gitel'son, V. S.;Bezdudnyy, G. M.</t>
  </si>
  <si>
    <t>Petrova I.</t>
  </si>
  <si>
    <t>Resolution of signals based on the properties of vector spaces created by a spectral-correlation matrix</t>
  </si>
  <si>
    <t>2-s2.0-0024096350</t>
  </si>
  <si>
    <t>['plasma frequency', 'paper discusses', 'formed around', 'charge layer', 'antenna potential']</t>
  </si>
  <si>
    <t>Consider an electric dipole placed in a uniform collisionless magnetoactive plasma. The range of frequencies f ‚â™ fO, where fO is the plasma frequency of the electrons, is of interest. A space-charge layer is formed around the antenna, the dimensions of which depend on the parameters of the plasma and the antenna potential. This paper discusses the question of the effect of the potential on the antenna radiation resistance.</t>
  </si>
  <si>
    <t>155-156</t>
  </si>
  <si>
    <t>6701398779;6602991222</t>
  </si>
  <si>
    <t>Lishin, I. V.;Sorokina, R. K.</t>
  </si>
  <si>
    <t>Lishin I.</t>
  </si>
  <si>
    <t>Effect of the signal voltage on the radiation resistance of a low-frequency electric dipole placed in a magnetoactive plasma</t>
  </si>
  <si>
    <t>2-s2.0-0024096382</t>
  </si>
  <si>
    <t>['radiophysical study', 'power low', 'plasma frequency', 'parameters foe', 'one method', 'ionospheric plasma', 'frequency radiation', 'allow high']</t>
  </si>
  <si>
    <t>One method of making a radiophysical study of the ionospheric plasma is to allow high-power low-frequency radiation, produced by a loop antenna aboard a spacecraft, to interact with it. In this regard it is of interest to evaluate the effect of large signal voltages in the antenna on its impedance. Such an evaluation is presented in this paper for the case of a single-turn loop antenna of size a and a wire diameter 2œÅ, placed in a uniform magnetoactive plasma with the parameters foe&gt;f and fHe&gt;f where fOe and fHe are the plasma frequency and gyrofrequency of the electrons, respectively.</t>
  </si>
  <si>
    <t>138-140</t>
  </si>
  <si>
    <t>6603779009;6701398779;6602991222</t>
  </si>
  <si>
    <t>Akindinov, V. V.;Lishin, I. V.;Sorokina, R. K.</t>
  </si>
  <si>
    <t>Effect of a space-charge layer on the impedance of a low-frequency loop antenna in ionospheric plasma</t>
  </si>
  <si>
    <t>2-s2.0-0024096902</t>
  </si>
  <si>
    <t>['sensitive dependence', 'satellite structure', 'profiles show', 'optical horn', 'main line', 'linear magnetoplasma', 'lens system', 'intensities upon', 'frequency f', 'dœ ¥', 'also determine', '8 ghz', '3 microwaves']</t>
  </si>
  <si>
    <t>32.00 | 52.00</t>
  </si>
  <si>
    <t>In a linear magnetoplasma with ne‚â¶5√ó1018 m-3 microwaves with frequency f=34.8 GHz and power P‚â¶100 kW were focussed with a quasi-optical horn-lens system. The profiles of the deuterium lines DŒ≤, DŒ≥, and DŒ¥ were recorded from the focus. The profiles show a satellite structure which is generated by the rf electric field. Beside the first order satellites which can be resolved from the main line, even second order satellites were detectable. Comparing the satellites' intensities with theory it is possible to determine the electric field strength in the focus. Due to a sensitive dependence of the satellites' intensities upon the polarization direction one can also determine an unknown polarization direction. ¬© 1988 Springer-Verlag.</t>
  </si>
  <si>
    <t>177-185</t>
  </si>
  <si>
    <t>Applied Physics B Photophysics and Laser Chemistry</t>
  </si>
  <si>
    <t>60005322;60005322</t>
  </si>
  <si>
    <t>7005638768;6602823604</t>
  </si>
  <si>
    <t>Kamp, A.;Himmel, G.</t>
  </si>
  <si>
    <t>Bochum</t>
  </si>
  <si>
    <t>Ruhr-Universitat Bochum</t>
  </si>
  <si>
    <t>Kamp A.</t>
  </si>
  <si>
    <t>Determination of rf electric field strengths in deuterium from satellite structure of Balmer lines</t>
  </si>
  <si>
    <t>10.1007/BF00684085</t>
  </si>
  <si>
    <t>2-s2.0-0024099406</t>
  </si>
  <si>
    <t>885-889</t>
  </si>
  <si>
    <t>7006198109;7102384283</t>
  </si>
  <si>
    <t>Gershman, A. B.;Ermolaev, V. T.</t>
  </si>
  <si>
    <t>Gershman A.</t>
  </si>
  <si>
    <t>Analysis of the eignevalues of the correlation matrix of the input signals to an adaptive antenna array and the possibilities of angular superresolution of external radiation sources</t>
  </si>
  <si>
    <t>10.1007/BF01040022</t>
  </si>
  <si>
    <t>2-s2.0-34250088859</t>
  </si>
  <si>
    <t>['sideband coupling', 'flute modes', 'flute mode', 'electrons destabilizes', 'electron terms', '1987 )]']</t>
  </si>
  <si>
    <t>A two-and-a-half-dimensional electromagnetic particle code PS2M [J. Phys. Soc. Jpn. 56, 3899 (1987)] is used to study how an electric field applied perpendicularly to the magnetic field affects the radio frequency stabilization of flute modes in a tandem mirror plasma. The electric field perpendicular to the magnetic field stabilizes or destabilizes the flute mode through the mechanism of the ponderomotive force acting on electrons and ions and through the mechanism of sideband coupling. In the simulations two typical examples have been shown: (i) when the sideband coupling effects (in which the electron terms are dominant) stabilize the flute modes and (ii) when the perpendicular ponderomotive force acting on the electrons destabilizes the flute modes.</t>
  </si>
  <si>
    <t>3035-3043</t>
  </si>
  <si>
    <t>60011001;60011001-60003765</t>
  </si>
  <si>
    <t>24563672800;57200719578</t>
  </si>
  <si>
    <t>Abe, Hirotada;Kadoya, Yutaka</t>
  </si>
  <si>
    <t>Kyoto;Osaka</t>
  </si>
  <si>
    <t>Kyoto University;Sumitomo Electric Industries, Ltd.</t>
  </si>
  <si>
    <t>60011001;60003765</t>
  </si>
  <si>
    <t>Abe H.</t>
  </si>
  <si>
    <t>Particle simulation of radio frequency stabilization of the flute mode in a tandem mirror. II. Perpendicular antenna</t>
  </si>
  <si>
    <t>10.1063/1.866960</t>
  </si>
  <si>
    <t>2-s2.0-79951769248</t>
  </si>
  <si>
    <t>['¬© 1988', 'strain s1', 'strain 2', 'rhodospirillum rubrum', 'protein complex', 'harvesting pigment', 'carotenoid ratio', 'b890 light', '850 complex']</t>
  </si>
  <si>
    <t>(R. rubrum) | (Rb. sphaeroides) | B800-850 light harvesting complex | B890 light harvesting complex | Bacteriochlorophyll a | Carotenoid | HPLC</t>
  </si>
  <si>
    <t>The ratio of bacteriochlorophyll a (BChl) to carotenoid in both the B890 light-harvesting pigment-protein complex of Rhodospirillum rubrum, strain S1, and the B800-850 complex of Rhodobacter (formerly called Rhodopseudomonas) sphaeroides, strain 2.4.1, has been determined by HPLC and two other methods. We report that the BChl-to-carotenoid ratio for both complexes is 2:1. ¬© 1988.</t>
  </si>
  <si>
    <t>292-298</t>
  </si>
  <si>
    <t>60001490;60001490;60020661</t>
  </si>
  <si>
    <t>7404539442;7006465617;7004997822</t>
  </si>
  <si>
    <t>Evans, Mark B.;Cogdell, Richard J.;Britton, George</t>
  </si>
  <si>
    <t>Liverpool;Glasgow</t>
  </si>
  <si>
    <t>University of Liverpool;University of Glasgow</t>
  </si>
  <si>
    <t>60020661;60001490</t>
  </si>
  <si>
    <t>Evans M.</t>
  </si>
  <si>
    <t>Determination of the bacteriochlorophyll:Carotenoid ratios of the B890 antenna complex of Rhodospirillum rubrum and the B800-850 complex of Rhodobacter sphaeroides</t>
  </si>
  <si>
    <t>10.1016/0005-2728(88)90224-1</t>
  </si>
  <si>
    <t>2-s2.0-0000022297</t>
  </si>
  <si>
    <t>Institut National de la Sant√© et de la Recherche M√©dicale</t>
  </si>
  <si>
    <t>Inserm</t>
  </si>
  <si>
    <t>['¬© 1988', 'without fucose', 'two oligosaccharides', 'two antennae', 'tetrasialylated fraction', 'tetraantennary structure', 'simultaneous presence', 'oligosaccharides isolated', 'nmr spectroscopy', 'mhz 1h', 'latter oligosaccharide', 'l glcnac', 'fucosylated tetrasialyl', 'comparative study', '6 sialylated']</t>
  </si>
  <si>
    <t>1 H-NMR | Alcoholic cirrhosis | Asparagine-linked oligosaccharide | Fucose | Œ± -Acid glycoprotein 1</t>
  </si>
  <si>
    <t>The comparative study of fucosylated tetrasialyl-oligosaccharides isolated from normal and cirrhotic Œ±1-AGP was performed using permethylation and 400-MHz 1H-NMR spectroscopy. These results clearly show the tetraantennary structure of these two oligosaccharides with hyperfucosylation for the tetrasialylated fraction from cirrhotic Œ±1-AGP. In the latter oligosaccharide the simultaneous presence on two antennae (7 and 7‚Ä≤) of the sialosyl Lewis X determinant NeuAc-(Œ±2-3) Gal(Œ≤1-4) [Fuc(Œ±l-3)l GlcNAc has been observed. Moreover the 5 and 5‚Ä≤ antennae were Œ±2-6 sialylated but without fucose. ¬© 1988.</t>
  </si>
  <si>
    <t>390-394</t>
  </si>
  <si>
    <t>60104298;60104298;60008134;60008134;60008134</t>
  </si>
  <si>
    <t>7006245680;7006623610;6602805038;7003350779;7202247770</t>
  </si>
  <si>
    <t>Wieruszeski, J. M.;Fournet, B.;Konan, D.;Biou, D.;Durand, G.</t>
  </si>
  <si>
    <t>Villeneuve-d'Ascq;Paris</t>
  </si>
  <si>
    <t>Unit√© de Glycobiologie Structurale et Fonctionnelle (UGSF);CNRS Centre National de la Recherche Scientifique</t>
  </si>
  <si>
    <t>60104298;60008134</t>
  </si>
  <si>
    <t>Wieruszeski J.M.</t>
  </si>
  <si>
    <t>400-MHz &lt;sup&gt;1&lt;/sup&gt;H-NMR spectroscopy of fucosylated tetrasialyl oligosaccharides isolated from normal and cirrhotic Œ±&lt;inf&gt;1&lt;/inf&gt;-acid glycoprotein</t>
  </si>
  <si>
    <t>10.1016/0014-5793(88)80518-0</t>
  </si>
  <si>
    <t>2-s2.0-0023821653</t>
  </si>
  <si>
    <t>['¬© 1988', 'transfer functions', 'tf applied', 'tf ).', 'test masses', 'suspension point', 'signals requires', 'pulsar frequency', 'pisa super', 'limit h', 'interferometric antenna', 'h ãé', 'gravitational wave', '26 ),', '200 hz', '10 hz', '1 2']</t>
  </si>
  <si>
    <t>The detection of gravitational wave (GW) signals requires the test masses of an interferometric antenna to be carefully made free from seismic noise coming from the suspension point. In this paper we report the first results coming from the Pisa super-attenuator. We have measured both the test mass absolute noise upper limit to be ‚â§10-11/vm/‚àöHz for 10&lt;v&lt;200 Hz and the transfer functions (TF). These TF applied to the measured seismic noise spectral displacement should allow in a 3 km long interferometric antenna a maximum spectral strain sensitivity h ÃÉ&lt;1.9√ó10-20Hz -1 2 at 10 Hz and h ÃÉ&lt;7.5√ó10-19/v2Hz -1 2 for v‚â•20 Hz; this gives at the Vela (Crab) pulsar frequency the limit h&lt;3√ó10-25 (h&lt;4√ó10-26), for 1 year integration time. ¬© 1988.</t>
  </si>
  <si>
    <t>60113665;60113665;60113665;60113665;60113665;60113665</t>
  </si>
  <si>
    <t>6603424528;7004046447;22943966700;23015157600;57189876378;7003569996</t>
  </si>
  <si>
    <t>Del Fabbro, R.;Di Virgilio, A.;Giazotto, A.;Kautzky, H.;Montelatici, V.;Passuello, D.</t>
  </si>
  <si>
    <t>Del Fabbro R.</t>
  </si>
  <si>
    <t>First results from the pisa seismic noise super-attenuator for low frequency gravitational wave detection</t>
  </si>
  <si>
    <t>0375-9601(88)90556-7</t>
  </si>
  <si>
    <t>10.1016/0375-9601(88)90556-7</t>
  </si>
  <si>
    <t>2-s2.0-5944229858</t>
  </si>
  <si>
    <t>['¬© 1988', 'terminal region', 'terminal domains', 'terminal domain', 'results obtained', 'reaction center', 'proteinase k', 'photosynthetic bacteria', 'photosynthetic apparatus', 'harvesting polypeptides', 'gamma polypeptides', 'cytoplasmic surface', 'binding proteins', 'beta polypeptide', '-, l']</t>
  </si>
  <si>
    <t>Bacterial photosynthetic apparatus | Membrane vesicle | Pigement-binding protein | Rhodopseudomonas viridis</t>
  </si>
  <si>
    <t>Inside-out and right-side out vesicles were isolated from the intracytoplasmic membrane system of the photosynthetic bacterium Rhodopseudomonas viridis and treated with proteinase K. Afterwards the pigment-binding proteins of the photosynthetic apparatus were extracted from the membrane, purified and the N- and C-terminal amino acyl sequences determined. Forty-eight amino acids were found to be removed from the N-terminal domain of the M-subunit and twenty-eight amino acids split off the L-subunit of reaction center when inside-out vesicles were digested with proteinase K. Six amino acids of the N-terminal region of the beta polypeptide of the light-harvesting complex B1020 were removed when inside-out vesicles were treated with proteinase K. The N-terminal domains of alpha and gamma polypeptides of the antenna complex B1020 were not cleaved by proteinase K either in right-side out or in inside-out vesicles. It is concluded that the N-terminal domains of M-, L- and Œ≤-subunits are exposed and accessible to proteinase K on the cytoplasmic surface of the membrane. This is in agreement with results obtained with other photosynthetic bacteria. The orientation of the other light-harvesting polypeptides is discussed. ¬© 1988.</t>
  </si>
  <si>
    <t>243-247</t>
  </si>
  <si>
    <t>FEMS Microbiology Letters</t>
  </si>
  <si>
    <t>60025641-60007257;60025641;60025641</t>
  </si>
  <si>
    <t>7005687711;57191470775;7102742634</t>
  </si>
  <si>
    <t>Tadros, Monier Habib;Spormann, Dirk;Drews, Gerhart</t>
  </si>
  <si>
    <t>Freiburg im Breisgau;Heidelberg</t>
  </si>
  <si>
    <t>Universit√§t Freiburg im Breisgau;European Molecular Biology Laboratory Heidelberg</t>
  </si>
  <si>
    <t>60025641;60007257</t>
  </si>
  <si>
    <t>The localization of pigment-binding polypeptides in membranes of Rhodopseudomonas viridis</t>
  </si>
  <si>
    <t>10.1111/j.1574-6968.1988.tb02808.x</t>
  </si>
  <si>
    <t>2-s2.0-0010993336</t>
  </si>
  <si>
    <t>['proper spacing', 'processed easily', 'present calculations', 'paper describes', 'give results', 'dipole antennas', 'antennas fabricated', 'air efficiencies', '70 %.', '4 substrate']</t>
  </si>
  <si>
    <t>This paper describes a technique for using twin element antennas (dipoles and slots) to increase the efficiency of antennas fabricated on electrically thick dielectric substrates. We present calculations which show that the efficiency of both the slot and dipole antennas can be increased by the proper spacing of elements placed broadside to each other. We consider the use of substrates that are odd integral multiples of a quarter of a dielectric wavelength thick and give results for an Œµ=4 substrate with thicknesses of one, three, and five quarter wavelengths. These thicknesses can be used when working at millimeter wave frequencies and yield substrate dimensions which can be handled and processed easily, while still yielding radiation-to-air efficiencies of about 70%. We also show calculated beam patterns for the elements which appear to be suitable for imaging array applications. ¬© 1988 Plenum Publishing Corporation.</t>
  </si>
  <si>
    <t>949-969</t>
  </si>
  <si>
    <t>16454983700;7006694199</t>
  </si>
  <si>
    <t>Rogers, Robert L.;Neikirk, Dean P.</t>
  </si>
  <si>
    <t>Rogers R.</t>
  </si>
  <si>
    <t>Use of broadside twin element antennas to increase efficiency on electrically thick dielectric substrates</t>
  </si>
  <si>
    <t>10.1007/BF01010768</t>
  </si>
  <si>
    <t>2-s2.0-0000057858</t>
  </si>
  <si>
    <t>['unstable cyclopropanones', 'three classes', 'potential inhibitors', 'potent inhibitors', 'pheromone blends', 'perhaps via', 'nmr assignments', 'moth aoes', 'modest inhibitors', 'many species', 'lepidopterous pheromones', 'high levels', 'cyclopropanols appear', 'cyclopropanated analogs', 'carboxylic acids', 'aoe activities', 'antennal tissues', 'aldehyde components', 'alcohol oxidase', 'adult moths', 'a1 ),']</t>
  </si>
  <si>
    <t>Œ±-fluoroaldehyde | (Z)-11-hexadecenal | (Z)-9-tetradecenal | Cyclopropanation | cyclopropanol | enzyme inhibitor | Heliothis virescens | Lepidoptera | Noctuidae | pheromone analog | Plutella xylostella | Plutellidae | vinyl ketone</t>
  </si>
  <si>
    <t>Aldehyde components of lepidopterous pheromones are converted to carboxylic acids by aldehyde oxidizing enzymes (AOEs) that are present at high levels in antennal tissues of adult moths. The AOEs may include O2-requiring aldehyde oxidases as well as nucleotide-cofactor-requiring aldehyde dehydrogenases. Three classes of inhibitors were synthesized and examined in vitro for AOE inhibition using Heliothis virescens antennae: (1) cyclopropanols, (2) Œ±-fluorinated aldehydes, and (3) Œ±,Œ≤-unsaturated carbonyls. First, cyclopropanated analogs of (Z)-11-hexadecenal (Z11-16:A1), a common unsaturated aldehyde component of many species' pheromone blends, were synthesized as isosteric pheromone analogs and as potential inhibitors of the moth AOEs. NMR assignments are reported for the cis- and trans-cyclopropanols. Cyclopropanols appear to act as oxidase-activated AOE inhibitors, perhaps via the unstable cyclopropanones. Second, Œ±-fluoro and Œ±,Œ±-difluoro substituted analogs of Z9-14:A1 were synthesized and shown to be modest inhibitors of both the alcohol oxidase and AOE activities. Finally, the most potent inhibitors were Œ±,Œ≤-unsaturated carbonyl mimics of the Z11-16:A1. The Œ±-methylene aldehyde was 1000-fold less effective than the vinyl ketone Z1,11-16:3-oxo. This inhibition appears irreversible and is postulated to involve electrophilic modification of an active site sulfur nucleophile. ¬© 1988 Plenum Publishing Corporation.</t>
  </si>
  <si>
    <t>2033-2046</t>
  </si>
  <si>
    <t>7404136408;36043755100</t>
  </si>
  <si>
    <t>Ding, Yu Shin;Prestwich, Glenn D.</t>
  </si>
  <si>
    <t>Ding Y.</t>
  </si>
  <si>
    <t>Chemical studies of proteins that degrade pheromones - Cyclopropanated, fluorinated, and electrophilic analogs of unsaturated aldehyde pheromones</t>
  </si>
  <si>
    <t>10.1007/BF01014248</t>
  </si>
  <si>
    <t>2-s2.0-0000464712</t>
  </si>
  <si>
    <t>['two concepts', 'two channels', 'olfactory receptors', 'neural activities', 'leptinotarsa decemlineata', 'labeled lines', 'insect species', 'information processing', 'generalists coincides', 'food consist', 'fiber patterns', 'fiber patterning', 'chemical messages', 'chemical message', 'binary mixtures', 'antennal receptors', 'antennal lobe']</t>
  </si>
  <si>
    <t>antennal lobe | Chrysomelidae | Coleoptera | Colorado potato beetle | host plant odor | information processing | Lepidoptera | Leptinotarsa decemlineata | olfactory coding | olfactory receptors | pheromones | Pieridae | Pieris brassicae | response profiles | semiochemicals | stimulus mixtures</t>
  </si>
  <si>
    <t>Information processing in the olfactory pathway underlying the perception of semiochemicals by insects is discussed. Both the chemical message for mates and the message for food consist of blends of chemicals. Olfactory receptors in an insect species are tuned to the detection of those compounds which comprise such chemical messages for that species. The classification of receptors as specialists or generalists coincides with two concepts of information processing, i.e., labeled lines and across-fiber patterns, respectively. The olfactory code coming from antennal receptors in Pieris brassicae larvae is a combination of labeled lines and across-fiber patterning. When antennae of adult Colorado potato beetles, Leptinotarsa decemlineata, are stimulated by binary mixtures of leaf odor components, the pattern of neural activities in the olfactory receptors shows some separation into two channels, quantitative versus qualitative detection. The separation is complete in the antennal lobe of this beetle. ¬© 1988 Plenum Publishing Corporation.</t>
  </si>
  <si>
    <t>2005-2018</t>
  </si>
  <si>
    <t>7202086436;7201416233</t>
  </si>
  <si>
    <t>Visser, J. H.;de Jong, R.</t>
  </si>
  <si>
    <t>Visser J.</t>
  </si>
  <si>
    <t>Olfactory coding in the perception of semiochemicals</t>
  </si>
  <si>
    <t>10.1007/BF01014246</t>
  </si>
  <si>
    <t>2-s2.0-0001307795</t>
  </si>
  <si>
    <t>['scheme requires', 'radiation barrier', 'particular emphasis', 'heating phase', 'experimental design', 'also given']</t>
  </si>
  <si>
    <t>A heating scheme using radio-frequency (rf) power to heat a compact torodial plasma to kilovolt temperatures using lower hybrid heating is proposed. The scheme requires the use of high-power pulsed klystrons. The experimental design is shown with the details of the rf power system and of the coupling antenna array. The so-called 'radiation barrier' formed by the presence of oxygen and carbon impurities may be crossed by this type of pulsed heating source. The general atomic physics of this heating phase is described, with particular emphasis on the non-local thermodynamic equilibrium effects involved in the line and recombination impurity radiation. A survey of nonlinear parametric coupling effects is also given.</t>
  </si>
  <si>
    <t>1325-1333</t>
  </si>
  <si>
    <t>112351770;112351770</t>
  </si>
  <si>
    <t>7102472725;7006392487</t>
  </si>
  <si>
    <t>Morse, Edward C.;Ziolkowski, Richard W.</t>
  </si>
  <si>
    <t>Emeryville</t>
  </si>
  <si>
    <t>Morse E.C.</t>
  </si>
  <si>
    <t>Transient microwave heating of compact toroidal plasmas</t>
  </si>
  <si>
    <t>2-s2.0-0024104634</t>
  </si>
  <si>
    <t>['shift data', 'new system', 'moisture content', 'independent function', 'grain occupying', 'dielectric properties', '5 ghz']</t>
  </si>
  <si>
    <t>A density-independent function of grain dielectric properties was developed for use in measuring the moisture content of grain. A microwave system operating at 10.5 GHz was developed and evaluated that is capable of accurate and independent simultaneous measurement of the attenuation and phase shift introduced by grain occupying the space between two horn antennas. The dielectric parameters needed to predict moisture content can be calculated from attenuation and phase-shift data. Measurements of the dielectric properties of soybeans were made with the new system.</t>
  </si>
  <si>
    <t>1875-1881</t>
  </si>
  <si>
    <t>Transactions of the American Society of Agricultural Engineers</t>
  </si>
  <si>
    <t>60029747;60029747;60029747;60029747;60029747</t>
  </si>
  <si>
    <t>7201575439;7003377399;7403081273;7006372477;7401474088</t>
  </si>
  <si>
    <t>Powell, S. D.;McLendon, B. D.;Nelson, S. O.;Kraszewski, A.;Allison, J. M.</t>
  </si>
  <si>
    <t>University of Georgia</t>
  </si>
  <si>
    <t>Powell S.</t>
  </si>
  <si>
    <t>Use of a density-independent function and microwave measurement system for grain moisture measurement</t>
  </si>
  <si>
    <t>2-s2.0-0024105152</t>
  </si>
  <si>
    <t>['wall may', 'uniform field', 'top layer', 'fundamental mode', 'employed instead', 'base layer']</t>
  </si>
  <si>
    <t>To obtain uniform fundamental mode fields in round antenna feeding horns double dielectric linings of the wall may be employed instead of circumferential wall corrugations. For the fundamental mode in a cylindrical round waveguide to have a uniform field it is calculated that the base layer of this double lining must have a low relative permittivity not larger than 1.04 while it must be higher than 7 for the top layer.</t>
  </si>
  <si>
    <t>389-391</t>
  </si>
  <si>
    <t>60007902;60007902</t>
  </si>
  <si>
    <t>7402628289;7103414207</t>
  </si>
  <si>
    <t>Tsai, Yu Yuan;Unger, Hans Georg</t>
  </si>
  <si>
    <t>Tsai Y.</t>
  </si>
  <si>
    <t>Round waveguide with double lining for uniform fundamental mode fields</t>
  </si>
  <si>
    <t>2-s2.0-0024107999</t>
  </si>
  <si>
    <t>['passive components', 'basic problems', 'antenna array']</t>
  </si>
  <si>
    <t>Testing of passive components is an extremely broad subject and extends from measuring a cable or piece of waveguide to characterizing an antenna array or making RCS measurements. The approach that we have taken here is to discuss the basic problems of testing passive components and solutions involving increasing levels of automation.</t>
  </si>
  <si>
    <t>Carlson, Alan W.</t>
  </si>
  <si>
    <t>Carlson Electronics Corp</t>
  </si>
  <si>
    <t>Carlson A.</t>
  </si>
  <si>
    <t>Passive component testing</t>
  </si>
  <si>
    <t>2-s2.0-0024108131</t>
  </si>
  <si>
    <t>['wave sphericity', 'turbulent troposphere', 'radiation source', 'flying vehicle', 'case since']</t>
  </si>
  <si>
    <t>The effect of the earth's atmosphere on the parameters of an antenna, mounted on a flying vehicle, is examined. Relations are obtained for the mean antenna gain coefficient and its variance. It is shown that it is important to take the wave sphericity into account in this case since the radiation source is located at the boundary of the turbulent troposphere.</t>
  </si>
  <si>
    <t>137-142</t>
  </si>
  <si>
    <t>Bubukin, I. T.</t>
  </si>
  <si>
    <t>Bubukin I.</t>
  </si>
  <si>
    <t>Fluctuations of the gain coefficient of an antenna during observations from flying vehicles</t>
  </si>
  <si>
    <t>2-s2.0-0024113083</t>
  </si>
  <si>
    <t>['spherical shape', 'radiation patterns', 'polarized radiation', 'geometrical parameters']</t>
  </si>
  <si>
    <t>The effect of a monolithic dielectric radome of spherical shape on the transmission of a plane linearly polarized electromagnetic wave is considered. The purpose is to study the dependence of the radiation patterns, in the fundamental and cross-polarization field components, on the geometrical parameters of a radome and the permittivities of the material from which it is made. The presence of a dielectric radome leads to the generation of cross-polarized radiation.</t>
  </si>
  <si>
    <t>6603453419;7003624937</t>
  </si>
  <si>
    <t>Golod, A. P.;Panteleyev, A. D.</t>
  </si>
  <si>
    <t>Golod A.</t>
  </si>
  <si>
    <t>Effect of a spherical radome on the cross-polarization radiation of a circular antenna with an in-phase field distribution</t>
  </si>
  <si>
    <t>2-s2.0-0024113117</t>
  </si>
  <si>
    <t>['variational statement', 'transmission distribution', 'rms deviation', 'resonant antenna', 'outer boundary', 'numerical results', 'near zone', 'interior boundary', 'given regions', 'dimensional problem']</t>
  </si>
  <si>
    <t>The two-dimensional problem of synthesizing a resonant antenna with an outer boundary in the form of a circle is solved. A variational statement is used, consisting of a minimization of the rms deviation of the given and synthesized amplitude directivity patterns and the values of the field in given regions of the near zone. The shape of the interior boundary and the transmission distribution of the outer boundary are determined. Numerical results are presented.</t>
  </si>
  <si>
    <t>101-106</t>
  </si>
  <si>
    <t>Andriychuk, M. I.</t>
  </si>
  <si>
    <t>Andriychuk M.</t>
  </si>
  <si>
    <t>Synthesis of a resonant antenna with a circular outer boundary</t>
  </si>
  <si>
    <t>2-s2.0-0024113133</t>
  </si>
  <si>
    <t>['simple expressions', 'polarization vector', 'polarization functions', 'polarization ellipse', 'numerical calculations', 'new treatment', 'antenna characteristics', 'alternative representation']</t>
  </si>
  <si>
    <t>The purpose is to refine and to seek a new treatment of formulas that relate the parameters of the polarization vector and its hodograph - a polarization ellipse. An alternative representation of the polarization functions is examined. Simple expressions are obtained which relate the primary and secondary polarization parameters that are suitable for carrying out numerical calculations of the antenna characteristics. Cases of degeneracy are analyzed.</t>
  </si>
  <si>
    <t>142-145</t>
  </si>
  <si>
    <t>6603450040;6508092057</t>
  </si>
  <si>
    <t>Sazonov, D. M.;Shchapov, Yu M.</t>
  </si>
  <si>
    <t>Sazonov D.</t>
  </si>
  <si>
    <t>Calculation of the polarization characteristics of antennas</t>
  </si>
  <si>
    <t>2-s2.0-0024113174</t>
  </si>
  <si>
    <t>['receiving aa', 'phase conversion', 'phase characteristics', 'amplitude nonlinearity']</t>
  </si>
  <si>
    <t>The effect of the amplitude nonlinearity and amplitude-phase conversion in the receiving active antenna amplifiers on their characteristics is considered in the case of a high-level blocking noise effect. The results of analysis obtained show that the effect of a high-level blocking noise on the receiving AA, when the amplifier is operating in a significant nonlinearity regime, leads to distortion of the amplitude and phase characteristics of the AA.</t>
  </si>
  <si>
    <t>133-136</t>
  </si>
  <si>
    <t>7801670420;6701760438</t>
  </si>
  <si>
    <t>Lupinos, V. P.;Stashkevich, A. I.</t>
  </si>
  <si>
    <t>Lupinos V.</t>
  </si>
  <si>
    <t>Characteristics of receiving active antennas in a complex electromagnetic environment</t>
  </si>
  <si>
    <t>2-s2.0-0024113527</t>
  </si>
  <si>
    <t>['transmission line', 'reflection ps', 'phase shifters', 'phase errors', 'paa consisting', 'largely determined', 'fact explained', 'excited radiators', 'errors along', 'comparatively large', 'absorbing loads']</t>
  </si>
  <si>
    <t>The characteristics of linear phased antenna arrays (PAA) with series-excited radiators are largely determined by the design of the phase shifters (PS) (transmission or reflection) The phase errors in a PAA consisting of modules with reflection PS are comparatively large, a fact explained by the superposition and accumulation of these errors along the transmission line, due to reflections from nonideal module elements. The phased AA based on modules with transmission phase shifters and absorbing loads has a practically constant value of the phase error along its length.</t>
  </si>
  <si>
    <t>Popov, V. V.</t>
  </si>
  <si>
    <t>Popov V.</t>
  </si>
  <si>
    <t>Linear phased antenna array with series-excited modules</t>
  </si>
  <si>
    <t>2-s2.0-0024113735</t>
  </si>
  <si>
    <t>['time domains', 'synthesizing devices', 'modular construction', 'interference oscillations', 'computer modeling', 'algorithms using', 'algorithms obtained']</t>
  </si>
  <si>
    <t>A multidimensional autoregressive model of interference oscillations is used as a basis for obtaining adaptive algorithms for intermodule spatial processing of signals in a large-aperture antenna array with a modular construction. Results of computer modeling of the algorithms obtained are presented. The results of the modeling of algorithms for intermodule signal processing taking into account signal envelope delay confirm the advisability of synthesizing these algorithms using a multidimensional autoregressive model of interference oscillations. Based on these algorithms, the possibility is shown of synthesizing devices for processing incoming signals in both the frequency and time domains.</t>
  </si>
  <si>
    <t>125-128</t>
  </si>
  <si>
    <t>6603712016;7003568179;57193753071;6507368735;7005727304</t>
  </si>
  <si>
    <t>Manzhos, V. N.;Kokin, V. N.;Belov, A. A.;Kamchatnyy, N. I.;Kulik, S. I.</t>
  </si>
  <si>
    <t>Spatial intermodular processing of signals on a correlated-noise background in an adaptive large-aperture antenna array</t>
  </si>
  <si>
    <t>2-s2.0-0024113764</t>
  </si>
  <si>
    <t>['wide azimuth', 'specified territory', 'small depth', 'problems raised', 'organizing broadcasting', 'important ways', 'frequency correctly', 'distant territories', 'brief comparison', 'angular width']</t>
  </si>
  <si>
    <t>We will give a brief comparison of the most important ways of increasing the reliability and efficiency of broadcastings, for which we will consider several characteristic cases connected with the problems raised. In organizing broadcasting to cover a wide azimuth but a small depth of a territory, it is important to choose the frequency correctly and to obtain the correct transmission location. In the organization of broadcasting for distant territories with a small angular width, it is best to use an antenna with a wide main lobe of the radiation pattern equal to the angular width of the specified territory.</t>
  </si>
  <si>
    <t>34-36</t>
  </si>
  <si>
    <t>Chernov, Yu A.</t>
  </si>
  <si>
    <t>Chernov Y.</t>
  </si>
  <si>
    <t>More about ways of increasing the efficiency of short-wave radio broadcasting</t>
  </si>
  <si>
    <t>2-s2.0-0024113841</t>
  </si>
  <si>
    <t>['yttrium garnet', 'wave green', 'theoretical calculations', 'resistive radiation', 'radiative resistance', 'practical calculations', 'monocrystalline films', 'microstrip antennas', 'microstrip antenna', 'metallic screens', 'frequency dependence', 'experiments carried', 'consistent theory', 'arbitrary angle', 'approximate relations', 'analytic solution']</t>
  </si>
  <si>
    <t>We discuss the self-consistent theory of excitation of dipole-exchange magnetization waves by microstrip antennas in a metal-dielectric-ferrite-dielectric-metal stratified structure, magnetized under an arbitrary angle to the surface. Spin-wave Green's functions are derived, describing the response of the spin-system to a spatially inhomogeneous varying magnetic field. The radiative resistance of microstrip antenna is calculated. In this case the distribution of surface current density in the antenna is found on the basis of the analytic solution of a singular integral equation. The nature of the effect of metallic screens and redistributed surface current densities in the antenna on the frequency dependence of the resistive radiation is investigated. Approximate relations are obtained, convenient for practical calculations of radiative resistance of microstrip antennas both in a free and in a screened ferromagnetic film. The theoretical calculations are verified by data of experiments carried out on monocrystalline films of iron-yttrium garnet. ¬© 1989 Plenum Publishing Corporation.</t>
  </si>
  <si>
    <t>875-898</t>
  </si>
  <si>
    <t>Soviet Physics Journal</t>
  </si>
  <si>
    <t>60010355;60010355</t>
  </si>
  <si>
    <t>57216093446;7004200595</t>
  </si>
  <si>
    <t>Dmitriev, V. F.;Kalinikos, B. A.</t>
  </si>
  <si>
    <t>Saint Petersburg</t>
  </si>
  <si>
    <t>Sankt-Peterburgskij Gosudarstvennyj Elektrotehniceskij Universitet</t>
  </si>
  <si>
    <t>Dmitriev V.F.</t>
  </si>
  <si>
    <t>Excitation of propagating magnetization waves by microstrip antennas</t>
  </si>
  <si>
    <t>10.1007/BF00893541</t>
  </si>
  <si>
    <t>2-s2.0-28844461797</t>
  </si>
  <si>
    <t>990-995</t>
  </si>
  <si>
    <t>7006198109;7102384283;6602783965</t>
  </si>
  <si>
    <t>Gershman, A. B.;Ermolaev, V. T.;Flaksman, A. G.</t>
  </si>
  <si>
    <t>Analysis of superresolution of uncorrelated radiation sources in adaptive antenna arrays</t>
  </si>
  <si>
    <t>10.1007/BF01039002</t>
  </si>
  <si>
    <t>2-s2.0-34250090847</t>
  </si>
  <si>
    <t>['two antennas', 'standard one', 'signals produced', 'one antenna', 'new method', 'factor 1', 'different location', 'data set', 'coincidence analyses', 'antennas differ']</t>
  </si>
  <si>
    <t>PACS 04.80 Experimental tests of general relativity and observations of gravitational radiation</t>
  </si>
  <si>
    <t>A new method is proposed for coincidence analyses of gravitational wave data. It consists in taking the sum of the signals of the two (or more) antennas, finding its distribution and comparing it with the distribution of the sum that is obtained when the data set of one antenna is shifted by a time Œ¥t with respect to the other set. If the two antennas are identical, the standard coincidence method is better. But the new method has to be preferred to the standard one, whenever the signals produced by a gravitational wave pulse in the two (or more) antennas differ by more than a factor 1.5. This is very likely because of differences in the antenna resonance frequencies and because of the different location and orientation of the antennas on the Earth. ¬© 1988 Societ√† Italiana di Fisica.</t>
  </si>
  <si>
    <t>471-483</t>
  </si>
  <si>
    <t>Il Nuovo Cimento B</t>
  </si>
  <si>
    <t>Coincidence techniques for gravitational wave experiments</t>
  </si>
  <si>
    <t>10.1007/BF02728779</t>
  </si>
  <si>
    <t>2-s2.0-51249178881</t>
  </si>
  <si>
    <t>['¬© 1988', 'thylakoids showed', 'saturation curves', 'press treatment', 'photosynthesis research', 'phase partition', 'martinus nijhoff', 'harvesting complex', 'dordrecht ).', 'different parts', 'different classes', 'biphasic light', 'antenna size', '20 %.', '), vol']</t>
  </si>
  <si>
    <t>(Sonication) | (Spinach chloroplast) | Antenna size | Inside-out vesicle | Phase partition | Photosystem II | Thylakoid membrane</t>
  </si>
  <si>
    <t>The functional antenna size of different chloroplast membrane vesicles was determined from ligh-saturation curves of the oxygen evolution using paraphenylbenzoquinone as acceptor. Thylakoids showed a biphasic light-saturation curve indicative of the presence of at least two types of PS II unit, PS IIŒ± and PS IIŒ≤. Inside-out thylakoids were isolated by press treatment and phase partition. These vesicles, which contain only PS IIŒ±, were then further fragmented and separated into different classes of vesicles by a sonication-phase partition procedure (Svensson, P. and Albertsson, P.-√Ö. (1987) in Progress in Photosynthesis Research (Biggins, J., ed.), Vol. II, pp. 281-284, Martinus Nijhoff, Dordrecht). Three fractions enriched in PS IIŒ± were obtained; these differ in the antenna size of PS IIŒ± by up to 20%. It is suggested that the size of the light-harvesting complex of PS IIŒ± from different PS IIŒ± units changes in increments of about 25-50 chlorophyll molecules depending on localization of the units in the grana or different parts of the leaf. ¬© 1988.</t>
  </si>
  <si>
    <t>215-221</t>
  </si>
  <si>
    <t>7005280402;7405732032</t>
  </si>
  <si>
    <t>Albertsson, Per √Öke;Yu, Shi Gui</t>
  </si>
  <si>
    <t>Albertsson P.</t>
  </si>
  <si>
    <t>Heterogeneity among photosystem II&lt;inf&gt;Œ±&lt;/inf&gt;. Isolation of thylakoid membrane vesicles with different functional antennae size of photosystem II&lt;inf&gt;Œ±&lt;/inf&gt;</t>
  </si>
  <si>
    <t>10.1016/0005-2728(88)90238-1</t>
  </si>
  <si>
    <t>2-s2.0-0000459756</t>
  </si>
  <si>
    <t>['¬© 1988', 'z peaks', 'x peaks', 'slr process', 'relaxed form', 'relaxation process', 'populating rates', 'observed increase', 'microsecond time', 'mechanism explaining', 'measured following', 'laser flash', 'initial esp', 'initial amplitudes', 'initial amplitude', 'explained invoking', 'epr transients', 'e .,', 'dependent processes', 'dependent changes', 'antenna triplet', '40 k', '4 k', '100 k', '10 k', '1 œºs']</t>
  </si>
  <si>
    <t>(Rps. viridis) | Decay rate | Electron spin polarization | Reaction center | Relaxation mechanism | Triplet state</t>
  </si>
  <si>
    <t>The EPR transients in the three canonical transitions of the Œîm = ¬± 1 triplet spectrum of Rhodopseudomonas viridis RC's have been measured following a 10 ns laser-flash. At microsecond time-resolution, the initial amplitude of these transitions at 100 K is inverted for the Y peaks, zero for the Z peaks, and not affected (thus firmly emissively polarized) for the X peaks as compared to the initial amplitudes at T &lt; 10 K. This demonstrates that temperature-dependent processes in the precursor state PF affecting the populating rates of the sublevels of the primary donor triplet state (PR) are responsible for the temperature-dependent changes of the electron spin polarization (ESP) pattern. The PR decay rate constants after correcting for spin lattice relaxation (SLR) contributions for all three canonical axes do not change with temperature from 4 K to 100 K. The observed increase in decay rate constants is explained invoking a relaxation mechanism probably operating via PF, or a relaxed form of it. At T&gt;40 K the SLR process does not affect the observed decay rate constants anymore. It is proposed that above 40 K the initial ESP (i.e., at approx. 1 Œºs after the laser flash) and the steady-state ESP approach each other, reducing the effect of the relaxation process. Creation of PF from PR, which is populated by TT energy transfer from the antenna triplet, is proposed as a mechanism explaining the observed spin relaxation and polarization of PR. ¬© 1988.</t>
  </si>
  <si>
    <t>236-248</t>
  </si>
  <si>
    <t>23023694000;7003523760</t>
  </si>
  <si>
    <t>van Wijk, Fred G.H.;Schaafsma, Tjeerd J.</t>
  </si>
  <si>
    <t>van Wijk F.</t>
  </si>
  <si>
    <t>Electron-spin polarization in the donor triplet state of bacterial photosynthetic reaction centers. I. Microsecond time-resolved EPR of Rhodopseudomonas viridis reaction centers</t>
  </si>
  <si>
    <t>10.1016/0005-2728(88)90241-1</t>
  </si>
  <si>
    <t>2-s2.0-4243491389</t>
  </si>
  <si>
    <t>DE-AC03-76SF00098</t>
  </si>
  <si>
    <t>['¬© 1988', 'significantly altered', 'relevant mechanism', 'rate constants', 'phycocyanin using', 'new coordinates', 'mastigocladus laminosus', 'interchromophore interactions', 'exciton coupling', 'calculations using', 'agmenellum quadruplicatum', '695 ).', '56 cm', '440 ).', '1 ps', '., bode']</t>
  </si>
  <si>
    <t>Antenna | Energy transfer | Exciton | F√∂rster mechanism | Photosynthesis | Phycocyanin | picosecond kinetics</t>
  </si>
  <si>
    <t>Calculations of excitation transfer rates among the chromophores of C-phycocyanin using the F√∂rster inductive resonance transfer mechanism have been carried out using the new coordinates for the position and orientation of the chromophores (Schirmer, T., Bode, W. and Huber, R. (1987) J. Mol. Biol. 196, 677-695). Several of the rate constants are significantly altered from the results of our calculations using the previously published coordinates (Sauer, K., Scheer, H. and Sauer, P. (1987) Photochem. Photobiol. 46, 427-440). In particular, for the (Œ±Œ≤)3-trimers of Mastigocladus laminosus or for the (Œ±Œ≤)3-trimers or the (Œ±Œ≤)6-hexamers of Agmenellum quadruplicatum, the new calculations predict excited state relaxation components with exponential time constants shorter than 1 ps. In fact, some of the interchromophore interactions are so strong that exciton coupling is probably the relevant mechanism of interaction. The largest exciton energy is calculated to be about 56 cm-1, for the interaction between the adjacent Œ±84 and Œ≤84 chromophores of neighboring monomer units within the (Œ±Œ≤)3-trimers or (Œ±Œ≤)6-hexamers. An energy transfer model invoking a combination of pairwise exciton formation followed by slower F√∂rster transfer steps is described. ¬© 1988.</t>
  </si>
  <si>
    <t>157-170</t>
  </si>
  <si>
    <t>60007174;60028717</t>
  </si>
  <si>
    <t>7102209179;57216047370</t>
  </si>
  <si>
    <t>Sauer, Kenneth;Scheer, Hugo</t>
  </si>
  <si>
    <t>Germany;United States</t>
  </si>
  <si>
    <t>Munich;Berkeley</t>
  </si>
  <si>
    <t>Ludwig-Maximilians-Universit√§t M√ºnchen;Lawrence Berkeley National Laboratory</t>
  </si>
  <si>
    <t>60028717;60007174</t>
  </si>
  <si>
    <t>Sauer K.</t>
  </si>
  <si>
    <t>Excitation transfer in C-phycocyanin. F√∂rster transfer rate and exciton calculations based on new crystal structure data for C-phycocyanins from Agmenellum quadruplicatum and Mastigocladus laminosus</t>
  </si>
  <si>
    <t>10.1016/0005-2728(88)90232-0</t>
  </si>
  <si>
    <t>2-s2.0-45449125524</t>
  </si>
  <si>
    <t>['¬© 1988', 'validity ranges', 'strict description', 'rf field', 'point source', 'approximate expressions']</t>
  </si>
  <si>
    <t>Approximate expressions of the Green function defining the rf field of an antenna in a dispersive magnetized plasma are investigated and their validity ranges are found. The obtained results give a strict description of the structure of the rf field in the resonance cone region of a point source in weak dispersion cases. An application to a finite size source is considered. ¬© 1988.</t>
  </si>
  <si>
    <t>410-414</t>
  </si>
  <si>
    <t>Influence of space dispersion on the structure of resonance cones in a magnetized plasma</t>
  </si>
  <si>
    <t>0375-9601(88)90926-7</t>
  </si>
  <si>
    <t>10.1016/0375-9601(88)90926-7</t>
  </si>
  <si>
    <t>2-s2.0-45549122210</t>
  </si>
  <si>
    <t>Naturwissenschaften</t>
  </si>
  <si>
    <t>60018373;60018373;60018373</t>
  </si>
  <si>
    <t>7103041183;6603037070;7003692909</t>
  </si>
  <si>
    <t>Breer, H.;Raming, K.;Boekhoff, I.</t>
  </si>
  <si>
    <t>Universit√§t Hohenheim</t>
  </si>
  <si>
    <t>Breer H.</t>
  </si>
  <si>
    <t>G-proteins in the antennae of insects</t>
  </si>
  <si>
    <t>10.1007/BF00366480</t>
  </si>
  <si>
    <t>2-s2.0-0000127697</t>
  </si>
  <si>
    <t>['perot interferometer', 'multimode detector', 'many orders', 'last resonator', 'gravitational radiation', 'gravitational field', 'displacements induced', 'classical sources']</t>
  </si>
  <si>
    <t>In a multimode detector of gravitational radiation, the displacements induced in the antenna by the gravitational field can be amplified by many orders at the last resonator. Detection of the displacements of that resonator with a Fabry-Perot interferometer is considered. Quantum and classical sources of noise are analyzed and specifications for laser instrumented massive wideband systems operating at the level of Œ¥h=2.6√ó10-20 and 3√ó10-22/(Hz)1/2 are given. Three detectors could be used to cover the frequency range ‚âä400-‚âä1200 Hz with approximately uniform sensitivity.</t>
  </si>
  <si>
    <t>2202-2205</t>
  </si>
  <si>
    <t>Journal of Applied Physics</t>
  </si>
  <si>
    <t>Richard, Jean Paul</t>
  </si>
  <si>
    <t>University of Maryland, College Park</t>
  </si>
  <si>
    <t>Richard J.</t>
  </si>
  <si>
    <t>Laser instrumentation for one-phonon sensitivity and wide bandwidth with multimode gravitational radiation detectors</t>
  </si>
  <si>
    <t>10.1063/1.341708</t>
  </si>
  <si>
    <t>2-s2.0-0000537090</t>
  </si>
  <si>
    <t>['without metallization', 'sputtered films', 'single target', 'rf sputtering', 'required thicknesses', 'oxygen atmosphere', 'micrometers thick', 'lithium ferrites', 'interesting materials', 'instance ).', 'different substrates', 'deposited films', 'barium hexaferrites', '18 ghz']</t>
  </si>
  <si>
    <t>Production of ferrite thin films is the key to integration of microwave ferrite devices (circulators for phased array antennas, for instance). The interesting materials are the usual microwave ferrites: garnets, lithium ferrites, barium hexaferrites. The required thicknesses are a few tens of micrometers, and it will be important to achieve high deposition rates. Different substrates can be used: silicon and alumina both with and without metallization. The films were deposited by rf sputtering from a single target. The as-deposited films are amorphous and therefore require careful annealing in oxygen atmosphere. The sputtered films are a few micrometers thick on 4 in. substrates. The optimum annealing temperature was found by trying to obtain the highest possible magnetization for each ferrite. The precision on the value of magnetization is limited by the precision on the thickness of the film. We obtain magnetization values slightly lower than the target's. The ferromagnetic resonance linewidth was measured on toroids from 5 to 18 GHz.</t>
  </si>
  <si>
    <t>5822-5824</t>
  </si>
  <si>
    <t>60019269;60019269;60019269</t>
  </si>
  <si>
    <t>6603578018;36346688300;6701646584</t>
  </si>
  <si>
    <t>Zaquine, I.;Benazizi, H.;Mage, J. C.</t>
  </si>
  <si>
    <t>Zaquine I.</t>
  </si>
  <si>
    <t>Ferrite thin films for microwave applications</t>
  </si>
  <si>
    <t>10.1063/1.342218</t>
  </si>
  <si>
    <t>2-s2.0-0000761020</t>
  </si>
  <si>
    <t>['using ca', 'two forms', 'triplet e', 'transfer energy', 'three exponentials', 'small amplitude', 'plant photosystem', 'photon detection', 'p700 even', 'observed lifetimes', 'low temperatures', 'latter form', 'gives rise', 'gel electrophoresis', 'energy transfer', 'emission wavelengths', 'emission wavelength', 'distinct minimum', 'decay kinetics', 'containing p700', 'complex way', 'also dependent', '720 nm', '695 nm', '200 k', '150 ps', '10 k']</t>
  </si>
  <si>
    <t>CP1, the isolated reaction centre (RC) chlorophyll(chl)-protein of plant photosystem I(PSI) containing P700 and ca. 40 antenna Chl has been isolated using sodium dodecyl sulphate and gel electrophoresis. It retained the triplet e.s.r. polarisation pattern characteristic of active charge separation and recombination. Low-temperature and time-resolved fluorescence emission spectra showed that at least tow discrete antenna chl forms were present, and excitation energy transfer between them and P700 was studied by measuring chl sub-nanosecond fluorescence decay kinetics over a range of temperatures and emission wavelengths, using ca. 100 ps Ar-ion laser excitation pulses and single-photon detection, resulting in ca. 10 ps time resolution. The two forms are F720, emitting at 720 nm (low-energy sites within the antenna) and F690, emitting at 690-695 nm. The latter form was only observed at short times (&lt; 200 ps) and at low temperatures. Decay kinetics were fitted to the sum of three exponentials. The two longer (&gt;1 ns) components were of small amplitude and have no significance for energy transfer. The lifetime of the shortest resolved component varied in a complex way with temperature between 30 and 150 ps, also dependent on emission wavelength. At T &gt; 200 K the lifetime was 40 ¬± 10 ps, independent of wavelength, dependence with a distinct minimum at 690-695 nm. A model is presented for energy transfer between the discrete chl antenna forms which accounts for the change of the observed lifetimes with temperature. In this model F690 forms a core antenna close to the RC and can transfer energy to P700 even at 10 K. Endothermic energy transfer out of F720, which is inhibited by low temperatures, gives rise to the observed temperature dependence of the F690 and F720 fluorescence lifetimes.</t>
  </si>
  <si>
    <t>315-327</t>
  </si>
  <si>
    <t>Journal of the Chemical Society, Faraday Transactions 2: Molecular and Chemical Physics</t>
  </si>
  <si>
    <t>60004156;60004156-106793712;60004156;60004156</t>
  </si>
  <si>
    <t>7006993297;6505992208;57195496261;7003523760</t>
  </si>
  <si>
    <t>Searle, Geoffrey F.W.;Tamkivi, Raivo;Van Hoek, Arie;Schaafsma, Tjeerd J.</t>
  </si>
  <si>
    <t>Netherlands;Estonia</t>
  </si>
  <si>
    <t>Wageningen;Tartu</t>
  </si>
  <si>
    <t>Wageningen University &amp; Research;Estonian Acad Sci</t>
  </si>
  <si>
    <t>60004156;106793712</t>
  </si>
  <si>
    <t>Searle G.F.W.</t>
  </si>
  <si>
    <t>Temperature dependence of antennae chlorophyll fluorescence kinetics in photosystem I reaction centre protein</t>
  </si>
  <si>
    <t>10.1039/F29888400315</t>
  </si>
  <si>
    <t>2-s2.0-0000883994</t>
  </si>
  <si>
    <t>['typically 10', 'type used', 'system sensitivity', 'plasma diagnostics', 'plasma center', 'nitrogen reservoir', 'khz bandpass', 'frequency range', 'filled automatically', 'ev rms', '400 ghz', '20 liquid']</t>
  </si>
  <si>
    <t>A 20-channel grating instrument based on the Ebert-Fastie grating monochromator has been built to measure electron temperature profiles and electron temperature fluctuations in TFTR (tokamak fusion test reactor). Second-harmonic electron cyclotron emission for the plasma over the frequency range of 120-400 GHz is utilized; this corresponds to a central tokamak magnetic field of 2.9-5 T. System sensitivity is typically 10-eV rms for a 2.5-kHz bandpass with a 2.5-cm radial resolution and a 5-cm antenna spot size at the plasma center. The ratio of the largest to smallest plasma radius observed by the instrument can be as large as 1.65, which maximizes spatial coverage of the plasma. Emission is detected by 20 liquid-helium-cooled indium antimonide hot-electron bolometers mounted in a long hold cryostat. The 6.5-l helium reservoir must be filled every 19 days, while the liquid-nitrogen reservoir is filled automatically once a day. This instrument has about twice the number of channels and much better spatial resolution than other instruments of this type used for plasma diagnostics.</t>
  </si>
  <si>
    <t>889-894</t>
  </si>
  <si>
    <t>Review of Scientific Instruments</t>
  </si>
  <si>
    <t>60018020;60018020;60018020</t>
  </si>
  <si>
    <t>7101973801;35986488800;7402059782</t>
  </si>
  <si>
    <t>Cavallo, A.;Cutler, R. C.;McCarthy, M. P.</t>
  </si>
  <si>
    <t>Princeton</t>
  </si>
  <si>
    <t>Princeton Plasma Physics Laboratory</t>
  </si>
  <si>
    <t>Cavallo A.</t>
  </si>
  <si>
    <t>Twenty-channel grating polychromator for millimeter wave plasma emission measurements</t>
  </si>
  <si>
    <t>10.1063/1.1140252</t>
  </si>
  <si>
    <t>2-s2.0-0009214641</t>
  </si>
  <si>
    <t>['piece antenna', 'low temperature', 'four types', 'experiments suggest']</t>
  </si>
  <si>
    <t>Four types of composite torsion antennas for low-frequency gravitational radiation have been developed and tested at low temperature. They exhibited high quality factors comparable with that of a single-piece antenna. These experiments suggest a large-scale composite antenna may be built and retain a high quality factor.</t>
  </si>
  <si>
    <t>112-114</t>
  </si>
  <si>
    <t>60025272;60025272;60025272;60025272</t>
  </si>
  <si>
    <t>55654646500;57205011869;7004058311;7103211355</t>
  </si>
  <si>
    <t>Nagashima, Y.;Owa, S.;Tsubono, K.;Hirakawa, H.</t>
  </si>
  <si>
    <t>Nagashima Y.</t>
  </si>
  <si>
    <t>Composite antennas for low-frequency gravitational radiation</t>
  </si>
  <si>
    <t>10.1063/1.1139996</t>
  </si>
  <si>
    <t>2-s2.0-0011561413</t>
  </si>
  <si>
    <t>['tapered section', 'polyrod radiator', 'mode matching', 'integrated use', 'dielectric waveguide']</t>
  </si>
  <si>
    <t>An antenna for integrated use with the Non-Radiative Dielectric Waveguide is described. The polyrod radiator is fed by a dielectric waveguide which extends without interruption from the NRD-guide. A tapered section is used to accomplish both impedance and mode matching.</t>
  </si>
  <si>
    <t>79-81</t>
  </si>
  <si>
    <t>Integrated antenna for non-radiative dielectric waveguide</t>
  </si>
  <si>
    <t>2-s2.0-0024127944</t>
  </si>
  <si>
    <t>['electromagnetic backscatter', 'curves showing', 'curved surfaces']</t>
  </si>
  <si>
    <t>The flat-plate physical optics approximation to the calculation of the electromagnetic backscatter of a cylindrical body constructed of curved surfaces is evaluated and compared to the exact diffraction theory. Curves showing the magnitude of the error as a function of frequency are included.</t>
  </si>
  <si>
    <t>82-83</t>
  </si>
  <si>
    <t>101202839;101202839</t>
  </si>
  <si>
    <t>6602561271;35565202000</t>
  </si>
  <si>
    <t>Cloete, K.;Malherbe, J. A.G.</t>
  </si>
  <si>
    <t>Lab for Advanced Engineering</t>
  </si>
  <si>
    <t>Cloete K.</t>
  </si>
  <si>
    <t>Accuracy of a physical optics approximation to the backscatter of a complex structure</t>
  </si>
  <si>
    <t>2-s2.0-0024128242</t>
  </si>
  <si>
    <t>['tdf1 satellites', 'simultaneous transmission', 'joint project', 'four chanels']</t>
  </si>
  <si>
    <t>The joint project between France and Germany to develop and launch a series of television direct broadcasting satellites started with development of the TVSAT1 and TDF1 satellites. These and the two that follow - TVSAT2 and TDF2 - are described that will provide high quality television signals, with simultaneous transmission on four chanels.</t>
  </si>
  <si>
    <t>49-54</t>
  </si>
  <si>
    <t>Electrical communication</t>
  </si>
  <si>
    <t>Rozec, X.</t>
  </si>
  <si>
    <t>Thales Alenia Space</t>
  </si>
  <si>
    <t>Rozec X.</t>
  </si>
  <si>
    <t>Payload for the TDF1 direct broadcasting television satellite</t>
  </si>
  <si>
    <t>2-s2.0-0024128534</t>
  </si>
  <si>
    <t>['using synff', 'ssr antenna', 'radar response', 'provide altitude', 'primary radar', 'paper describes', 'marconi s1095', 'identify aircraft', 'ground reflection', 'early typoe', 'computer program', 'bearing data']</t>
  </si>
  <si>
    <t>Secondary surveillance radars (SSR) are used in air traffic control to identify aircraft and provide altitude, range and bearing data. The early typoe of SSR antenna was a linear array mounted on top of the primary radar, this had a large vertical beamwidth so that the radar response was degraded by ground reflection and false aircraft returns. This paper describes how, by using SYNFF (a computer program for synthesizing radiation patterns) and low-loss tripale technology, a large vertical aperture (LVA), designated the Marconi S1095, was designed to overcome these problems and also give greater range.</t>
  </si>
  <si>
    <t>GEC Review</t>
  </si>
  <si>
    <t>Alexander, M. J.</t>
  </si>
  <si>
    <t>Chelmsford</t>
  </si>
  <si>
    <t>GEC-Marconi Research</t>
  </si>
  <si>
    <t>Alexander M.</t>
  </si>
  <si>
    <t>Design and performance of a large vertical aperture antenna for secondary surveillance radar</t>
  </si>
  <si>
    <t>2-s2.0-0024130864</t>
  </si>
  <si>
    <t>['television broadcasting', 'satellite payload', 'restricted coverage', 'design allows', 'communication services', 'advanced technologies', '16 channels']</t>
  </si>
  <si>
    <t>Advanced technologies have been used to develop a lightweight, reconfigurable beam antenna for the Eutelsat II satellites. The simplest possible antenna configuration was chosen to maximize the satellite payload. The design allows all 16 channels to be reconfigured from wide area coverage for communication services to more restricted coverage for television broadcasting.</t>
  </si>
  <si>
    <t>75-80</t>
  </si>
  <si>
    <t>60019894;60019894</t>
  </si>
  <si>
    <t>6602270443;6506162810</t>
  </si>
  <si>
    <t>Duret, G.;Guillemin, T.</t>
  </si>
  <si>
    <t>Duret G.</t>
  </si>
  <si>
    <t>Reconfigurable multibeam antenna for the Eutelsat II satellites</t>
  </si>
  <si>
    <t>2-s2.0-0024132753</t>
  </si>
  <si>
    <t>['sited transmitters', 'satisfactory performance', 'representative equipment', 'practices influencing', 'measurement techniques', 'intermodulation products', 'hf broadcasting', 'design factors', 'article looks', 'article demonstrates']</t>
  </si>
  <si>
    <t>The article looks at the consequences of recent equipment developments in hf broadcasting, with regard to spurious emissions taking the form of intermodulation products generated by interaction between co-sited transmitters. The design factors and practices influencing both the level and quantity of these signals are considered. Measurement techniques and the results of measurements on representative equipment are discussed, and a model is provided which illustrates the mechanism for the generation and control of intermodulation products. The article demonstrates how satisfactory performance has been achieved at a recently-commissioned HF broadcast relay station.</t>
  </si>
  <si>
    <t>260-274</t>
  </si>
  <si>
    <t>EBU Technical Review</t>
  </si>
  <si>
    <t>Preedy, A. R.</t>
  </si>
  <si>
    <t>Preedy A.</t>
  </si>
  <si>
    <t>Intermodulation by transmitter interaction within an HF broadcasting complex</t>
  </si>
  <si>
    <t>2-s2.0-0024133461</t>
  </si>
  <si>
    <t>['used ),', 'television reception', 'remote areas', 'proved difficult', 'isolated sites', 'fastcom provides', 'costly solution', '9600 bit']</t>
  </si>
  <si>
    <t>In the past it has proved difficult to provide telecommunication services to isolated sites. Although satellite communications have made it possible to establish communication links anywhere on the globe, this has generally been a costly solution. Now, the introduction of the cost-effective FASTCOM earth station opens the way for extending telecommunication services to even the most remote areas. Fastcom provides a range of services: telephony, telex (in the upper telephony baseband), data transmission at up to 9600 bit/s, television reception (provided that the satellite equivalent isotropic radiated power is sufficient or a large enough antenna is used), and hi-fi radio reception.</t>
  </si>
  <si>
    <t>42-48</t>
  </si>
  <si>
    <t>6507330913;6505685702;57201507045</t>
  </si>
  <si>
    <t>Esculier, J.;Parniere, A.;Salomon, J.</t>
  </si>
  <si>
    <t>Esculier J.</t>
  </si>
  <si>
    <t>Satellite communication system for developing countries</t>
  </si>
  <si>
    <t>2-s2.0-0024133693</t>
  </si>
  <si>
    <t>['western europe', 'satellite applications', 'reconfiguration capability', 'power consumption', 'power amplifiers', 'important role', 'far field', 'electronic circuitry', 'electrical performance', 'converters ).', 'channels reallocation', 'board applications', 'antenna section', 'active antennas']</t>
  </si>
  <si>
    <t>Active antennas will play an important role in future communication systems for satellite applications. Future European communication satellite antennas will have to satisfy tight requirements in terms of coverage and performance, by increasing their reconfiguration capability in terms of RF-power-to-channels reallocation as well as their intrinsic hardware redundancy to cope with possible RF module failures. This can be accomplished by using several beams overlapped in such a way as to provide the coverage of Western Europe. Two active antenna configurations, suitable for the above purposes, have been investigated for Ku-band on board applications through computation of their performances: a Far Field and a Near Field Multibeam Antenna. The two antenna systems have been characterized in terms of electrical performance, weight, power consumption and reliability of both the antenna section and the electronic circuitry (beam forming network, power amplifiers and up-converters).</t>
  </si>
  <si>
    <t>567-574</t>
  </si>
  <si>
    <t>60073285;60073285;60073285;60073285;60073285;60073285</t>
  </si>
  <si>
    <t>6506958491;7202451194;35609915000;7004620008;7004622027;7102391180</t>
  </si>
  <si>
    <t>Lo Forti, Raimondo;Russo, Pasquale;Bartolucci, Giancarlo;Leuzzi, Giorgio;Paoloni, Claudio;Ruggieri, Marina</t>
  </si>
  <si>
    <t>Telespazio S.p.A.</t>
  </si>
  <si>
    <t>Lo Forti R.</t>
  </si>
  <si>
    <t>Satellite active antennas for fixed services at Ku-band</t>
  </si>
  <si>
    <t>2-s2.0-0024133830</t>
  </si>
  <si>
    <t>['needed developments', 'mobile services', 'latter case', 'application areas']</t>
  </si>
  <si>
    <t>Application areas of future communication satellites are discussed, both concerning network oriented and user oriented systems. In the latter case, fixed and mobile services are considered. Some of the needed developments are presented.</t>
  </si>
  <si>
    <t>513-518</t>
  </si>
  <si>
    <t>Carassa, Francesco</t>
  </si>
  <si>
    <t>Politecnico di Milano</t>
  </si>
  <si>
    <t>Carassa F.</t>
  </si>
  <si>
    <t>Development of satellite communications</t>
  </si>
  <si>
    <t>2-s2.0-0024134233</t>
  </si>
  <si>
    <t>['system testing', 'system implementation', 'paper outlines', 'control system']</t>
  </si>
  <si>
    <t>A novel control system for the DART adaptive radar system is described. The control system employs Ethernet with additional synchronizing signals for real time control. This paper outlines the hardware independent concepts used to define the control system, the system implementation and describes the system testing.</t>
  </si>
  <si>
    <t>168-175</t>
  </si>
  <si>
    <t>Pollard, R. J.E.</t>
  </si>
  <si>
    <t>Pollard R.</t>
  </si>
  <si>
    <t>Control system for the DART radar</t>
  </si>
  <si>
    <t>2-s2.0-0024134696</t>
  </si>
  <si>
    <t>['strong shift', 'smith chart', 'inductive side', 'good agreement']</t>
  </si>
  <si>
    <t>A modification is carried out to the transmission line model to be suited to a probe exited rectangular microstrip patch radiator. The predicted input impedance variation as a function of frequency for various feed locations was compared with experimental results given by other researchers and a good agreement is obtained. The results show also a strong shift of the locus into the inductive side of the Smith chart.</t>
  </si>
  <si>
    <t>53-63</t>
  </si>
  <si>
    <t>Modelling, Measurement and Control A</t>
  </si>
  <si>
    <t>Atek, Kais A.</t>
  </si>
  <si>
    <t>Navigation Cent</t>
  </si>
  <si>
    <t>Atek K.</t>
  </si>
  <si>
    <t>Improved modification of the transmission line model to a probe-excited rectangular microstrip patch radiator for various feeding points</t>
  </si>
  <si>
    <t>2-s2.0-0024135806</t>
  </si>
  <si>
    <t>['wobble angle', 'telemetry could', 'subsequent 22', 'spacecraft subsystems', 'present intermittently', 'nasa back', 'giotto spacecraft', 'dynamic motion', 'dramatic encounter', 'downlink amplitude', 'depointing error', 'comet precipitated', 'comet halley', 'closest approach', 'carrier signal', 'besides revealing', 'band downlink', 'approximately 1', '4 ¬∞,', '100 mg', '1 ¬∞.', '0 ¬∞.']</t>
  </si>
  <si>
    <t>The Giotto spacecraft's dramatic encounter with Comet Halley on 14 March 1986 was also 'traumatic' in view of the extensive inferred damage to the experiments and spacecraft subsystems from impinging cometary dust. The available data indicate that one particularly severe impact (min. mass: 100 mg) about 8 s before closest approach to the comet precipitated a large-amplitude spacecraft nutation of slightly more than 1¬∞. The narrow beam X-band downlink was lost shortly thereafter and no telemetry could be retrieved for the subsequent 22 s, either at the primary ground station at Parkes or at the NASA back-up station DSS 43 at Tidbinbilla. Recently analyzed open-loop radiometric recordings of downlink amplitude and frequency, besides revealing that the carrier signal was present intermittently at all times during encounter, have provided many new clues concerning the dynamic motion of the spacecraft. Using a value for the post-encounter nutation angle of 1.04¬∞ observed by the Giotto Sun sensor, numerical downlink signal level simulations yield best agreement with observations for a wobble angle of 0.4¬∞, and a High Gain Antenna (HGA) depointing error of approximately 1.0¬∞.</t>
  </si>
  <si>
    <t>149-169</t>
  </si>
  <si>
    <t>ESA journal</t>
  </si>
  <si>
    <t>60007493;60007493;60007493;60007493;60007493;60007493</t>
  </si>
  <si>
    <t>55671081800;6701685925;6701322324;56625222200;6507031332;6603096976</t>
  </si>
  <si>
    <t>Bird, M. K.;Paetzold, M.;Volland, H.;Edenhofer, P.;Buschert, H.;Porsche, H.</t>
  </si>
  <si>
    <t>Bonn</t>
  </si>
  <si>
    <t>Universit√§t Bonn</t>
  </si>
  <si>
    <t>Bird M.</t>
  </si>
  <si>
    <t>Giotto spacecraft dynamics during the encounter with Comet Halley</t>
  </si>
  <si>
    <t>2-s2.0-0024135873</t>
  </si>
  <si>
    <t>['thermal design', 'telecom 1', 'satellite antennas', 'required performance', 'producing antennas', 'overall system', 'onboard equipment', 'main areas', 'increase gain', 'important components', 'german ),', 'eutelsat ii', 'european ).', 'communications satellites', 'beam shaping', 'alcatel espace', '15 years']</t>
  </si>
  <si>
    <t>Today's satellite antennas are important components of the overall system with interfaces to other onboard equipment. Design and development of such antennas requires expertise in radio frequency physics, as well as mechanical and thermal design in order to develop a structure with the required performance which can withstand the strong vibrations experienced during launch and severe environmental conditions in orbit. Alcatel Espace has been producing antennas for communications satellites for more than 15 years, during which time the company has participated in four major programs: Telecom 1 (French), Symphonie and RDF1/2 (Franco-German), and Eutelsat II (European). The main areas of evolution have been increased polarization purity to improve frequency band usage, higher power handling, and beam shaping and contouring to increase gain.</t>
  </si>
  <si>
    <t>67-74</t>
  </si>
  <si>
    <t>Vidal Saint-Andre, B.</t>
  </si>
  <si>
    <t>Vidal Saint-Andre B.</t>
  </si>
  <si>
    <t>Antennas: a key technical area for satellites</t>
  </si>
  <si>
    <t>2-s2.0-0024136612</t>
  </si>
  <si>
    <t>['zero reflection', 'transmitted signal', 'received signal', 'port circulator', 'port 3', 'port 2', 'port 1', 'nonreciprocal devices', 'noise amplifiers', 'microwave circulators', 'infinite isolation', 'ideal three', 'focus attention', 'array antennas', 'active phased']</t>
  </si>
  <si>
    <t>Microwave circulators are nonreciprocal devices having three or more ports. The ideal three-port circulator has zero reflection at all ports, zero insertion loss from port 1 to port 2 (also, from port 2 to port 3, port 3 to port 1) and infinite isolation from port 1 to port 3 (also, from port 2 to port 1, port 3 to port 2). Circulators play important roles in many microwave circuits. We focus attention on the application of circulators to active phased-array antennas, i. e. phased-array antennas in which each module contains power amplifiers to boost the transmitted signal and low-noise amplifiers to augment the received signal.</t>
  </si>
  <si>
    <t>28-39</t>
  </si>
  <si>
    <t>Electronic progress</t>
  </si>
  <si>
    <t>35612557100;6602549713</t>
  </si>
  <si>
    <t>Schloemann, Ernst;Blight, Ronald E.</t>
  </si>
  <si>
    <t>Broad-band/miniature circulators for use with microwave integrated circuits</t>
  </si>
  <si>
    <t>2-s2.0-0024137133</t>
  </si>
  <si>
    <t>['polyurethane loaded', 'metal disks', 'matching layer', 'fabrication technique', 'dielectric wedge']</t>
  </si>
  <si>
    <t>A dielectric wedge was made from artificial dielectric material of polyurethane loaded with metal disks. The fabrication technique of the wedge is discussed in detail. A matching layer was used to reduce the reflection. The wedge was used to steer the beam of an antenna and its performance was studied.</t>
  </si>
  <si>
    <t>59-64</t>
  </si>
  <si>
    <t>Khan, M. R.</t>
  </si>
  <si>
    <t>Bangladesh</t>
  </si>
  <si>
    <t>Bangladesh Univ of Engineering &amp;</t>
  </si>
  <si>
    <t>Khan M.R.</t>
  </si>
  <si>
    <t>Artifical dielectric wedge for antenna beam steering</t>
  </si>
  <si>
    <t>2-s2.0-0024138119</t>
  </si>
  <si>
    <t>['x band', 'small scale', 'small samples', 'several free', 'reflectivity properties', 'placed directly', 'microwave absorbers', 'matched horn', 'horn interferometer', 'evaluated directly', 'certain applications', 'absorber panel']</t>
  </si>
  <si>
    <t>For certain applications the antenna designer may require a knowledge of the small scale, or localized, reflectivity properties of microwave absorbers. Suppliers of microwave absorbers generally quote the average absorption achieved over fairly large panels (610 √ó 610 mm) as determined by one of several free-space measurement techniques. By the nature of their construction, small samples of planar absorber panels cannot generally be evaluated directly in waveguide, particularly at X band and above. In this paper, we describe a swept-frequency, one-horn interferometer where the absorber panel is placed directly against the aperture of a well-matched horn.</t>
  </si>
  <si>
    <t>101151338;101151338</t>
  </si>
  <si>
    <t>7404140488;6602778055</t>
  </si>
  <si>
    <t>Baker, Dirk E.;van der Neut, Cornelis A.</t>
  </si>
  <si>
    <t>EM-Lab (Pty) Ltd</t>
  </si>
  <si>
    <t>Reflection measurements of microwave absorbers</t>
  </si>
  <si>
    <t>2-s2.0-0024139740</t>
  </si>
  <si>
    <t>['various purposes', 'three methods', 'special emphasis', 'sidelobe level', 'physical principles', 'passing mention', 'paper deals', 'noise properties', 'microwave region', 'mechanical design', 'equally important', 'electromagnetic spectrum', 'electrical design', 'difficult problems', 'convincing evidence', 'brief reference', 'big bang', 'antenna measurement', 'also dealt', '3k radiation']</t>
  </si>
  <si>
    <t>This paper deals with the physical principles of the electrical design of large microwave antennas, with special emphasis on the grain, sidelobe level and noise properties: there is only passing mention of the equally important and difficult problems of mechanical design. The three methods of antenna measurement are also dealt with, with special emphasis on radio astronomy methods. The paper is illustrated by reference to Marconi antennas built for various purposes, and a brief reference is made to the '3K radiation' which is perhaps the most convincing evidence for the 'big bang' theory of creation. This radiation can be detected only in the millimeter - microwave region of the electromagnetic spectrum.</t>
  </si>
  <si>
    <t>68-82</t>
  </si>
  <si>
    <t>Scanlan, M. J.B.</t>
  </si>
  <si>
    <t>Scanlan M.</t>
  </si>
  <si>
    <t>Design and measurement of large microwave antennas</t>
  </si>
  <si>
    <t>2-s2.0-0024140385</t>
  </si>
  <si>
    <t>['wave filters', 'wave equation', 'telephone transducers', 'surrounding medium', 'solved numerically', 'quantitative agreement', 'powerful tool', 'piezoelectric solid', 'piezoelectric devices', 'investigated types', 'experimental results', 'dynamic behavior', 'complete static']</t>
  </si>
  <si>
    <t>Piezoelectric finite element analysis is a powerful tool for computing the complete static and dynamic behavior of piezoelectric devices. The exact differential equations govering piezoelectric media are solved numerically. Telephone transducers, ultrasonic phased array antennas, mechanical delay lines and surface-acoustic-wave filters are analyzed. Even mass loading and radiation effects due to the surrounding medium (gas or fluid) are considered by adding the wave equation of the sound transmitting medium to the set of piezoeletric differential equations. The interaction between the piezoelectric solid and the ambient acoustic fluid is described. Quantitative agreement between theoretical and experimental results is obtained for all the investigated types of transducers.</t>
  </si>
  <si>
    <t>Siemens Forschungs- und Entwicklungsberichte/Siemens Research and Development Reports</t>
  </si>
  <si>
    <t>Lerch, Reinhard</t>
  </si>
  <si>
    <t>Siemens AG</t>
  </si>
  <si>
    <t>Lerch R.</t>
  </si>
  <si>
    <t>Piezoelectric and acoustic finite elements as tools for the development of electroacoustic transducers</t>
  </si>
  <si>
    <t>2-s2.0-0024140816</t>
  </si>
  <si>
    <t>['used successfully', 'takes advantage', 'separate payload', 'earth stations']</t>
  </si>
  <si>
    <t>The Telecom 1 satellite system has been used successfully to implement one military and two civil applications. Syracuse I, a military communication system for the French armed forces is described, which uses a separate payload and its own network of earth stations, but takes advantage of common satellite facilities and a common control center to provide military telex, telephone, and data communication facilities.</t>
  </si>
  <si>
    <t>Mollat du Jourdin, P.</t>
  </si>
  <si>
    <t>Mollat du Jourdin P.</t>
  </si>
  <si>
    <t>Syracuse military satellite communication systems</t>
  </si>
  <si>
    <t>2-s2.0-0024142554</t>
  </si>
  <si>
    <t>['¬© 1988', 'water solution', 'undecanone solubilized', 'sodium styrenesulfonate', 'simulated radiation', 'rights reserved', 'reaction products', 'polymer microdomains', 'photochemical reactions', 'norrish type', 'naphthalene groups', 'ketone solubilized', 'detectable amounts', '280 nm']</t>
  </si>
  <si>
    <t>Photochemical reactions of 2-undecanone solubilized in a water solution of poly(sodium styrenesulfonate-co-2-vinylnaphthalene) (PSSS-VN) were studied by using monochromatic light at Œª = 280 nm and solar-simulated radiation. Photoreactions of 2-undecanone were found to be photosensitized by the pendant naphthalene chromophores in the copolymer. Experimental evidence supports a mechanism in which singlet-singlet energy transfer occurs from the naphthalene groups to 2-undecanone by a diffusion-controlled collisional mechanism. The process was found to be efficient because of the high local concentration of ketone solubilized in the polymer microdomains. The photolysis of 2-undecanone solubilized in the copolymer occurs according to the Norrish type II process. Norrish type I reaction products were not formed in detectable amounts. ¬© 1988, American Chemical Society. All rights reserved.</t>
  </si>
  <si>
    <t>3430-3437</t>
  </si>
  <si>
    <t>60016849;60016849;60016849</t>
  </si>
  <si>
    <t>7004369519;15121540400;7102379256</t>
  </si>
  <si>
    <t>Nowakowska, M.;White, B.;Guillet, J. E.</t>
  </si>
  <si>
    <t>Nowakowska M.</t>
  </si>
  <si>
    <t>Studies of the Antenna Effect in Polymer Molecules. 11. Photochemical Reactions of 2-Undecanone Solubilized in an Aqueous Solution of Poly(sodium styrenesulfonate-co-2-vinylnaphthalene)</t>
  </si>
  <si>
    <t>10.1021/ma00190a014</t>
  </si>
  <si>
    <t>2-s2.0-0024143269</t>
  </si>
  <si>
    <t>['switching facilities', 'space segment', 'reduced bringing', 'major expansion', 'earth station', 'coverage area', 'antenna pointing', 'antenna aperture']</t>
  </si>
  <si>
    <t>Second generation telecommunication satellites will incorporate sophisticated onboard signal processing and switching facilities to enable them to serve the new low cost ground stations which are now being introduced. Although this will increase the cost of the space segment, overall network costs will be reduced bringing a major expansion in satellite telecommunication services. The type of communication or broadcasting link determines the coverage to be provided on the ground. The coverage area is determined by the antenna aperture and any inaccuracies in antenna pointing. This coverage, provided by one or more antennas, makes it possible to implement the earth station - satellite - earth station link through a single propagation path by means of a single geostationary satellite.</t>
  </si>
  <si>
    <t>55-60</t>
  </si>
  <si>
    <t>Beaucher, J.</t>
  </si>
  <si>
    <t>Beaucher J.</t>
  </si>
  <si>
    <t>Repeaters for telecommunication satellites for the 1990's</t>
  </si>
  <si>
    <t>2-s2.0-0024144162</t>
  </si>
  <si>
    <t>['traditional means', 'specific requirements', 'shallow sea', 'instruments need', 'etc .)', 'current problem']</t>
  </si>
  <si>
    <t>A current problem in hydroacoustics is the development of short range sonars for working in shallow sea, rivers and lakes. Such instruments need to meet a number of specific requirements (zero or low level side lobes, etc.) which can only with difficulty be achieved by traditional means (construction of special antenna systems). In the acoustic system considered harmonics of the fundamental transmitted signal were used to get sonar signals with small side lobe levels.</t>
  </si>
  <si>
    <t>200-202</t>
  </si>
  <si>
    <t>Russian Ultrasonics</t>
  </si>
  <si>
    <t>6506411201;56211799700</t>
  </si>
  <si>
    <t>Voloshchenko, V. Yu;Maksimov, V. N.</t>
  </si>
  <si>
    <t>Voloshchenko V.</t>
  </si>
  <si>
    <t>Parametric sonar with controllable polar diagram</t>
  </si>
  <si>
    <t>2-s2.0-0024167269</t>
  </si>
  <si>
    <t>['upper plate', 'specified field', 'specific version', 'lower one', 'experimental processing']</t>
  </si>
  <si>
    <t>The problem of designing a leaky-wave antenna based on a stripline, the upper plate of which converts into a two-dimensional periodic load structure while the lower one is a relief impedance substrate, is solved by the method of synthesis for a specified field. We present the results of experimental processing of a specific version of this antenna, in order to design a slightly protruding weakly directional antenna.</t>
  </si>
  <si>
    <t>Radioelectronics and Communications Systems (English translation of Izvestiya Vysshikh Uchebnykh Zavedenii Radioelektronika)</t>
  </si>
  <si>
    <t>6507956998;6602416853;7103244574</t>
  </si>
  <si>
    <t>Kornyukhin, V. I.;Petrukhin, S. V.;Sedov, V. M.</t>
  </si>
  <si>
    <t>Kornyukhin V.</t>
  </si>
  <si>
    <t>Slightly protruding weakly directional antenna</t>
  </si>
  <si>
    <t>2-s2.0-0024167364</t>
  </si>
  <si>
    <t>['synthesized previously', 'resolution identical', 'reconstruction algorithm', 'rayleigh resolution', 'radio image', 'radiating objects', 'point objects', 'likelihood method', 'large dimensions', 'discussion would']</t>
  </si>
  <si>
    <t>Using the maximum-likelihood method and the Tikhonov regularization method an algorithm for obtaining a radio image of radiating objects was synthesized previously. The radio image obtained has a resolution identical with the Rayleigh resolution of point objects of the receiving antenna system. In this paper we synthesize a reconstruction algorithm which increases the resolution of the radio image, and we analyze the possibility of realizing it in practice. Since it is only possible to obtain a high resolution using receiving antennas of large dimensions, our discussion would be applicable to the technique of separated antenna systems.</t>
  </si>
  <si>
    <t>Kostylev, V. I.</t>
  </si>
  <si>
    <t>Kostylev V.</t>
  </si>
  <si>
    <t>Reconstruction of the radio images of radiating objects</t>
  </si>
  <si>
    <t>2-s2.0-0024168035</t>
  </si>
  <si>
    <t>['vibrator arrays', 'phase distributions', 'matrix model', 'linear aa', 'element inputs', 'cancelling external', 'calculated results', 'antenna array']</t>
  </si>
  <si>
    <t>A procedure for analysis of the amplitude-phase distributions (APD) of the currents at the element inputs of an antenna array (AA) is discussed on the basis of a matrix model of the array. An algorithm is proposed for synthesis of the parameters of nondecoupled exciter circuits for vibrator arrays with the object of cancelling external and internal reciprocal effects between radiators. Calculated results are given for a linear AA. The efficiency of the method is evaluated.</t>
  </si>
  <si>
    <t>7003334306;7103223248</t>
  </si>
  <si>
    <t>Dorfman, Ya M.;Semenov, Yu G.</t>
  </si>
  <si>
    <t>Dorfman Y.</t>
  </si>
  <si>
    <t>Synthesis of nondecoupled exciter circuits for vibrator antenna arrays</t>
  </si>
  <si>
    <t>2-s2.0-0024171770</t>
  </si>
  <si>
    <t>['scattering arrays', 'scattered field', 'periodic system', 'nonuniform structure', 'metal cylinder', 'cylindrical form', 'construct reflectors', 'calculations carried', 'antenna techniques']</t>
  </si>
  <si>
    <t>Scattering arrays have found a variety of applications in radar and antenna techniques. In particular, they can be used as reflectors which form a scattered field with a specified spatial spectrum. In this paper we investigate a nonuniform structure which can be used to reduce the level of parasitic radar signals reflected from closely situated constructions of cylindrical form. This structure is a periodic system of rings (an array) of two different materials. The array is placed on the surface of a metal cylinder. The calculations carried out in this paper can be used to construct reflectors with a specified spatial spectrum.</t>
  </si>
  <si>
    <t>71-74</t>
  </si>
  <si>
    <t>Rudenko, V. L.</t>
  </si>
  <si>
    <t>Rudenko V.</t>
  </si>
  <si>
    <t>Scattering of electromagnetic waves by a metal cylinder with a ring magnetodielectric grating</t>
  </si>
  <si>
    <t>2-s2.0-0024173755</t>
  </si>
  <si>
    <t>['vice versa', 'useful signal', 'range differences', 'radio radiation', 'middle one', 'far sources', 'close ones']</t>
  </si>
  <si>
    <t>Adaptive antenna systems enable one to distinguish the useful signal on a background of interference. In this paper we analyze the effectiveness of distinguishing a signal from interference in range discrimination using only information on the curvature of the wavefront. We confine our consideration of the effect of range differences to an analysis of the dephasing of the signals in the outer antenna elements with respect to the middle one. Range discrimination enables increase of the quality with which the ratio of range to a source of radio radiation can be measured, and enables one effectively to distinguish the signals of far sources on a background of close ones or vice versa.</t>
  </si>
  <si>
    <t>36961592200;36954790100;6506847635</t>
  </si>
  <si>
    <t>Nikitchenko, V. V.;Gladkikh, S. N.;Vikhlyantsev, P. S.</t>
  </si>
  <si>
    <t>Nikitchenko V.</t>
  </si>
  <si>
    <t>Analysis of the possibility of distinguishing sources of radio radiation using the curvature of the wavefront</t>
  </si>
  <si>
    <t>2-s2.0-0024175194</t>
  </si>
  <si>
    <t>['strip waveguides', 'paper discusses', 'integrated optics', 'fiber lightguides', 'design variants', 'band antennas']</t>
  </si>
  <si>
    <t>This paper discusses the possibilities of basing Michelson waveguide echelons on thin-film optical waveguides, strip waveguides, and fiber lightguides. Michelson waveguide echelons are design variants of the analogous optical spectral instruments and microwave-band antennas. They are of interest for use in integrated optics.</t>
  </si>
  <si>
    <t>82-84</t>
  </si>
  <si>
    <t>6603739106;6602541429;56311017700</t>
  </si>
  <si>
    <t>Gudzenko, A. I.;Cheremiskin, I. V.;Chekhlova, T. K.</t>
  </si>
  <si>
    <t>Gudzenko A.</t>
  </si>
  <si>
    <t>Michelson waveguide echelons</t>
  </si>
  <si>
    <t>2-s2.0-0024177659</t>
  </si>
  <si>
    <t>['work satisfactorily', 'without allowance', 'wave part', 'uhf range', 'two types', 'two states', 'switches must', 'parallel transmission', 'multichannel switch', 'matching method', 'line reactivities', 'e .,', 'due allowance', 'channel switches', 'channel switch', 'branching system', '120 ¬∞,']</t>
  </si>
  <si>
    <t>A multichannel switch can be built with the input to each two-channel switching group additionally connected to parallel transmission-line segments switched by diodes but this can work satisfactorily only in the long-wave part of the UHF range, since the two-channel switches in it are matched only without allowance for the connecting-line reactivities. In such a switch, the input and two branching output lines in the channels can be connected at 90 or 120¬∞, which means there are two types of connection: T or Y. Naturally, the switches must be matched with due allowance for these reactivities. If a two-channel switch is matched for the two states of operation, i.e., into one or two output channels, then a multichannel switch based on a branching system can also be matched. Therefore, one then needs to consider the matching only for a two-channel switch. A matching method is described.</t>
  </si>
  <si>
    <t>73-75</t>
  </si>
  <si>
    <t>57108834700;6506010429;7005274655</t>
  </si>
  <si>
    <t>Makarenko, A. S.;Pogrebnyak, I. F.;Bondarenko, O. P.</t>
  </si>
  <si>
    <t>Makarenko A.</t>
  </si>
  <si>
    <t>Matching multichannel semiconductor-diode UHF switches</t>
  </si>
  <si>
    <t>2-s2.0-0024180753</t>
  </si>
  <si>
    <t>['undesirable sidebands', 'undesirable interaction', 'transmitting section', 'source affecting', 'relative level', 'given region', 'energy potential', 'energy parameter', 'electromagnetic compatibility', 'circuit interactions', 'circuit emission']</t>
  </si>
  <si>
    <t>The energy parameter for electromagnetic compatibility is taken as characteristics of the undesirable radio emission on which one can compare identical systems as regards spectrum use and perform energy evaluations on circuit interactions. One parameter characterizing a circuit as such a source is the energy potential in the transmitting section at the frequencies of the undesirable sidebands. The algorithm for determining that potential, which is taken as the compatibility energy parameter is developed. The energy potential in the sidebands is more informative than the relative level of the circuit emission We restrict ourselves to the situation where the undesirable interaction between the equipments in a given region is due to the effects of signals in the sidebands from a source affecting the channels in objects.</t>
  </si>
  <si>
    <t>92-94</t>
  </si>
  <si>
    <t>6602336058;6504564528;6505472273</t>
  </si>
  <si>
    <t>Dubina, A. R.;Paynchev, S. N.;Sanzhara, S. M.</t>
  </si>
  <si>
    <t>Dubina A.</t>
  </si>
  <si>
    <t>Energy parameter for evaluating electromagnetic compatability in electronic devices</t>
  </si>
  <si>
    <t>2-s2.0-0024181197</t>
  </si>
  <si>
    <t>['rms approximation', 'phase synthesis', 'overall extremum', 'element excitation', 'antenna arrays', 'amplitude distribution', 'aa elements']</t>
  </si>
  <si>
    <t>The dependence of the solutions of the problem of the phase synthesis, in the rms approximation, of antenna arrays (AA) for a given complex radiation pattern on the current (voltage) amplitudes of all the AA elements is considered. The connection between these solutions and that of the synthesis problem without constraints on the AA-element excitation-amplitude distribution is investigated. Sufficient criteria characterizing the overall extremum are ascertained.</t>
  </si>
  <si>
    <t>Properties of the solutions in problems of the phase synthesis of antenna arrays</t>
  </si>
  <si>
    <t>2-s2.0-0024181216</t>
  </si>
  <si>
    <t>['radiation pattern', 'parasitic reflections', 'laboratory walls', 'antenna fields']</t>
  </si>
  <si>
    <t>One of the obstacles to setting up compact testing rooms, oriented towards determining the radiation pattern (RP) of an antenna by calculating it from the data of the measured near field, is the presence of parasitic reflections (echos) from the laboratory walls and equipment. An algorithm is found for selecting the antenna fields and echo from the measured overall field on two coaxial circular cylindrical surfaces.</t>
  </si>
  <si>
    <t>116-119</t>
  </si>
  <si>
    <t>Belyayev, B. G.</t>
  </si>
  <si>
    <t>Belyayev B.</t>
  </si>
  <si>
    <t>Suppression of the effect of the echo on the restored radiation pattern of an antenna</t>
  </si>
  <si>
    <t>2-s2.0-0024181688</t>
  </si>
  <si>
    <t>['structure synthesis', 'radiator name', 'radiator characteristics', 'preliminary structure', 'involve tasks', 'frequency range', 'following information', 'database contains', 'consider choosing', 'aided design']</t>
  </si>
  <si>
    <t>We discuss logic programming by reference to structure synthesis in computer-aided design, which can involve tasks that are unformalized or difficult to formalize. We consider choosing the radiator for a single-pulse mirror antenna to demonstrate a design automation procedure: compiling a preliminary structure. To hold the information on the topic, we compiled a database containing descriptions of radiator characteristics The database contains the following information: frequency range, radiator name, and permissible pulse power in kW. We implemented various forms of query to the database.</t>
  </si>
  <si>
    <t>56-57</t>
  </si>
  <si>
    <t>6603546778;6701817686</t>
  </si>
  <si>
    <t>Norenkov, I. P.;Yakusheva, N. M.</t>
  </si>
  <si>
    <t>Norenkov I.</t>
  </si>
  <si>
    <t>Computer-aided engineering-object structure choice with a prolog-es system</t>
  </si>
  <si>
    <t>2-s2.0-0024184665</t>
  </si>
  <si>
    <t>['transmitting idt', 'transfer ratios', 'specified amplitude', 'shaping systems', 'problems involved', 'phase distributions', 'paper reports', 'matrix description', 'main characteristic', 'idt ).', 'experimental results', 'electronic pattern', 'computer evaluates', 'arbitrary amplitude']</t>
  </si>
  <si>
    <t>The problems involved in measuring the characteristics of acoustic-electronic pattern-shaping systems (PSS) are considered. A matrix description of PSS's is suggested, and a computer-aided measuring setup is described. This paper reports some experimental results. The main characteristic of a PSS is the set of its transfer ratios for specified amplitude-and-phase distributions at the sending interdigital transducers (IDT). After the measurements, from the matrix of the partial transfer ratios a computer evaluates, for arbitrary amplitude-and-phase distributions at the transmitting IDT's, the PSS transfer ratios.</t>
  </si>
  <si>
    <t>68-70</t>
  </si>
  <si>
    <t>6506623319;6701546368;7004471853</t>
  </si>
  <si>
    <t>Bulayev, Yu V.;Kartashev, V. G.;Kuz'min, S. V.</t>
  </si>
  <si>
    <t>Bulayev Y.</t>
  </si>
  <si>
    <t>Computer-aided investigation of the characteristics of saw pattern-shaping systems</t>
  </si>
  <si>
    <t>2-s2.0-0024184736</t>
  </si>
  <si>
    <t>['shall use', 'problem reduces', 'parametric synthesis', 'integral equations', 'independent one']</t>
  </si>
  <si>
    <t>An algorithm for the parametric synthesis of simple antennas placed near ideally conducting solids of revolution is considered. The problem is solved by nonlinear programming methods. To solve this problem, we shall use the method of integral equations. In the case of an ideally conducting solid, the problem reduces to solving the Fock integral equation which, subsequently, is converted into a series of independent one-dimensional integral equations for the azimuthal current density harmonics.</t>
  </si>
  <si>
    <t>120-123</t>
  </si>
  <si>
    <t>7003307241;6507250601;6602437696;6504046927</t>
  </si>
  <si>
    <t>Vasil'yev, Ye N.;Gorelikov, A. I.;Gusarova, G. I.;Solov'yev, P. V.</t>
  </si>
  <si>
    <t>Synthesis of antennas located near metal bodies</t>
  </si>
  <si>
    <t>2-s2.0-0024185176</t>
  </si>
  <si>
    <t>['varying uncertainty', 'transfer constant', 'radio mapping', 'proposed procedure', 'looking radar', 'instantaneous distribution', 'enables one', 'data processing', 'aperture antenna', '1 km']</t>
  </si>
  <si>
    <t>A procedure is described for producing radar maps with a resolution of 0.5-1 km, used to process data obtained in the radio mapping of both Venus and the Earth during 1983-1985. Processing the data from a side-looking radar with a synthesized-aperture antenna is considered which enables one to produce radar maps from a series of discrete surface mapping sessions. The experimental results obtained confirm the value of using the proposed procedure for data processing in the case of a varying uncertainty in evaluating the instantaneous distribution of the transfer constant of the SAR resolution space channels.</t>
  </si>
  <si>
    <t>107-110</t>
  </si>
  <si>
    <t>7005649792;6602428539;7102273139;36934990600</t>
  </si>
  <si>
    <t>Bogomolov, A. F.;Kudrin, L. V.;Bergman, M. Yu;Prikhod'ko, I. I.</t>
  </si>
  <si>
    <t>Bogomolov A.</t>
  </si>
  <si>
    <t>Method of obtaining radar images of the surface of venus and the earth from data obtained by radars with a synthesized-aperture antenna</t>
  </si>
  <si>
    <t>2-s2.0-0024186191</t>
  </si>
  <si>
    <t>['transmitting antenna', 'transmitted power', 'receiver antennas', 'receiver antenna', 'maximum efficiency', 'fixed values', 'efficiency versions', 'discrete 10']</t>
  </si>
  <si>
    <t>The problem of the maximum efficiency of a power transmission channel (PTC) of solar power systems in space (SPSS) is solved for a discrete 10-step amplitude distribution of the field at the transmitting antenna. High-efficiency versions of the PTC of SPSS are found that have a higher average field intensity at the receiver antenna and a higher overall level of transmitted power for fixed values of the maximum power density at the transmitting and receiver antennas.</t>
  </si>
  <si>
    <t>43-48</t>
  </si>
  <si>
    <t>7004652700;6603472575;6507610480</t>
  </si>
  <si>
    <t>Vanke, V. A.;Lesota, S. K.;Rachnikov, A. V.</t>
  </si>
  <si>
    <t>Vanke V.</t>
  </si>
  <si>
    <t>On possible versions for the structure of the microwave beam of solar power systems in space</t>
  </si>
  <si>
    <t>2-s2.0-0024186914</t>
  </si>
  <si>
    <t>['widely used', 'supply system', 'specified approximation', 'radiators lead', 'nonideal matching', 'matching imperfections', 'level support', 'horizontal plane', 'greatest effect', 'either coupling', 'antenna emission', 'analysis shows', 'aa plane']</t>
  </si>
  <si>
    <t>Ring antenna arrays (AA) of radiators placed around a high-level support are widely used for television (TV) broadcasting. This is due to the fact that the antenna emission in the horizontal plane (the AA plane) should be close to circular with a specified approximation. The purpose is to analyze the effect of coupling between radiators and the matching imperfections on the uniformity of the radiation in the horizontal plane. The analysis shows that the coupling and imperfection of radiators lead to a reduction in the uniformity of radiation in the AA plane. Depending on the type of supply system, the greatest effect is exerted by either coupling between radiators or by nonideal matching.</t>
  </si>
  <si>
    <t>Nosov, Yu N.</t>
  </si>
  <si>
    <t>Nosov Y.N.</t>
  </si>
  <si>
    <t>Weakly directional antenna array of interacting nonideally matched radiators</t>
  </si>
  <si>
    <t>2-s2.0-0024187306</t>
  </si>
  <si>
    <t>['useful signal', 'sharp form', 'radiation pattern', 'practical applications', 'occasionally impeding', 'main lobe', 'adaptive antenna']</t>
  </si>
  <si>
    <t>A method of limiting the norm of the weighting factor vector, recommended for broadening the main lobe of the radiation pattern of an adaptive antenna with protection of the useful signal, having a very sharp form, occasionally impeding the reception, is considered. It is shown that the method is not very effective and cannot be recommended for practical applications.</t>
  </si>
  <si>
    <t>105-107</t>
  </si>
  <si>
    <t>Pistol'kors, A. A.</t>
  </si>
  <si>
    <t>Pistol'kors A.</t>
  </si>
  <si>
    <t>Correction of the radiation pattern of an adaptive antenna</t>
  </si>
  <si>
    <t>2-s2.0-0024187417</t>
  </si>
  <si>
    <t>['required manner', 'reflector antennas', 'reflecting surface', 'reflected wave', 'qualitative analysis', 'paper presents', 'numerical calculations', 'incident wave', 'impedance matrix', 'given polarization']</t>
  </si>
  <si>
    <t>The calculation of the impedance matrix of a reflecting surface, transforming a given polarization of the incident wave in the required manner into a given polarization of the reflected wave, is given. This paper presents the results of a qualitative analysis and numerical calculations, obtained for the cases of single-reflector and two-reflector antennas.</t>
  </si>
  <si>
    <t>70-78</t>
  </si>
  <si>
    <t>6603710798;57198289338;6507041742</t>
  </si>
  <si>
    <t>Kinber, B. Ye;Gasanov, E. E.;Vaynbrand, M. M.</t>
  </si>
  <si>
    <t>Kinber B.</t>
  </si>
  <si>
    <t>Reflector antennas with an anisotropic surface - polarization transformers</t>
  </si>
  <si>
    <t>2-s2.0-0024187480</t>
  </si>
  <si>
    <t>['various extents', 'study suggests', 'sialylated gal', 'sa sequences', 'inner core', 'heterogeneous lectin', 'glycan profile', 'different lymphomas', 'biotinylated lectins', 'binding pattern', 'antenna part']</t>
  </si>
  <si>
    <t>The glycan profile of cell surface proteins has been studied on three human non-Hodgkin lymphoma xenografts of B-cell origin using a panel of biotinylated lectins. All three lines showed a more heterogeneous lectin-binding pattern than normal peripheral blood lymphocytes (PBLs) involving both the inner core and antenna part of the glycans. The conservative inner core (N-N-acetylchitobiose and oligomannose) was similar but fucosylated to various extents in the different lymphomas. The structure of the antennae of PBLs was characterized by glcNac-gal and gal/Nac-gal-Sa sequences, while in lymphomas additional asialo as well as sialylated gal/Nac containing antennae have been identified. This study suggests that NHLs sharing many immunophenotypic features show intertumoral differences in their lectin-binding pattern.</t>
  </si>
  <si>
    <t>1429-1433</t>
  </si>
  <si>
    <t>Anticancer Research</t>
  </si>
  <si>
    <t>60026261;60026261;60026261</t>
  </si>
  <si>
    <t>7006215478;7101864050;57213996903</t>
  </si>
  <si>
    <t>Kopper, L.;Timar, J.;Bankfalvi, A.</t>
  </si>
  <si>
    <t>√Åltal√°nos Orvostudom√°nyi Kar</t>
  </si>
  <si>
    <t>Kopper L.</t>
  </si>
  <si>
    <t>Lectin-binding pattern in human non-Hodgkin lymphoma xenografts</t>
  </si>
  <si>
    <t>2-s2.0-0024204416</t>
  </si>
  <si>
    <t>P01DK038181</t>
  </si>
  <si>
    <t>['variant 117', 'structural assignments', 'science 239', 'palmitoyl group', 'inositol phospholipid', 'inositol hydroxyl', 'hexose adjacent', 'glycan portion', 'glycan linked', 'glucosamine residue', 'galactose antenna', 'following structure', 'ec 3', 'deuterium instead', 'deamination cleavage', 'daughter ions', 'complementary technique', 'base hydrolysis']</t>
  </si>
  <si>
    <t>The glycoinositol phospholipid membrane anchor of human erythrocyte acetylcholinesterase (EC 3.1.1.7) is composed of a glycan linked through a glucosamine residue to an inositol phospholipid that is resistant to the action of phosphatidylinositol-specific phospholipase C. Deamination cleavage of the glucosamine with nitrous acid released the inositol phospholipid which was purified by high performance liquid chromatography. Analysis by fast atom bombardment mass spectrometry with negative ion monitoring and by the complementary technique of collision-induced dissociation revealed molecular and daughter ions that indicated a plasmanylinositol with a palmitoyl group on an inositol hydroxyl. The intact membrane anchor was released from reductively methylated human erythrocyte acetylcholinesterase by proteolysis with papain or Pronase, deacylated by base hydrolysis, and purified by high performance liquid chromatography. Positive and negative ion fast atom bombardment mass spectrometry of the major products isolated by high performance liquid chromatography indicated the following structure for the complete glycoinositol phospholipid anchor. Methylation of free amino groups by reduction with deuterium instead of hydrogen permitted determination of the number of free amino groups in individual fragment ions as further confirmation of structural assignments. The structure of the glycan portion of the human erythrocyte acetylcholinesterase membrane anchor appears to be similar to that described for Trypanosome brucei variant surface glycoprotein MITat 1.4 (variant 117) (Ferguson, M.A.J., Homans S.W., Dwek R.A., and Rademacher, T.W. (1988) Science 239, 753-759) except for the absence of a galactose antenna and the presence of a phosphorylethanolamine on the hexose adjacent to glucosamine.</t>
  </si>
  <si>
    <t>18776-18784</t>
  </si>
  <si>
    <t>60000305;60000305;60000305;60000305</t>
  </si>
  <si>
    <t>57199401723;6602816632;35401344200;7004922126</t>
  </si>
  <si>
    <t>Roberts, W. L.;Santikarn, S.;Reinhold, V. N.;Rosenberry, T. L.</t>
  </si>
  <si>
    <t>Roberts W.L.</t>
  </si>
  <si>
    <t>Structural characterization of the glycoinositol phospholipid membrane anchor of human erythrocyte acetylcholinesterase by fast atom bombardment mass spectrometry</t>
  </si>
  <si>
    <t>2-s2.0-0024230917</t>
  </si>
  <si>
    <t>['¬© 1988', 'weakly affected', 'ratio psi', 'psuo2 size', 'psii ratio', 'pigment content', 'photosystem ii', 'photosynthetic units', 'photosynthetic pigments', 'nadph2 ratio', 'modifications observed', 'metabolic processes', 'lesser extent', 'inducing variations', 'grev .)', 'factor 2', 'factor 1', 'different according', 'dark periods', 'dark alternations', 'cycling light', 'circadian cycle', 'cellular contents', 'cellular content', 'cells grown', 'antenna sizes', 'antenna size', 'almost constant', '2 h', '2 cells', '12 h']</t>
  </si>
  <si>
    <t>Light-dark transition | Phaeodactylum tricomutum | Photoadaptation | Photosystem I | Photosystem II | Skeletonema costatum</t>
  </si>
  <si>
    <t>Photoadaptation to changes in photoperiod was studied in the marine diatoms Skeletonema costatum (Grev.) Cleve and Phaeodactylum tricomutum Bohlin. The algae were grown under cycling light of 2 h : 2 h and 12 h : 12 h light-dark periods. The daily C assimilation ¬∑ cell-1 was enhanced by a factor 1.5 in 2 : 2 light regime. In cells grown under 12 : 12 h light regime, the pigment content, the number of PSI, PSUO2 size, and to a lesser extent, the photosystem II-antenna size were modulated by the light-dark alternations, whereas these characteristics were almost constant over the circadian cycle in 2 : 2 cells. The modifications in the cellular content of photosynthetic pigments were correlated with no change in the relative pigment composition of the photosynthetic units. In S. costatum, the changes in pigment content corresponded to an increase of the ratio PSI : PSII which is emphasized at least by a factor 2.12 and to modifications of the photosystem-antenna sizes (increase of 28% for PSII and decrease of 40% for PSI) when the cells are transferred from 2 : 2 to 12 : 12 light regime (light period). The responses of diatoms to a change of the photoperiod is different according to the species. Indeed, P. tricomutum did not show the same variations in cellular contents of pigments and PSI; moreover, the photosystem-antenna sizes were weakly affected by a change in the photoperiod. The modifications observed in S. costatum, inducing variations of PSI : PSII ratio, were related to the existence of an active cyclic photophosphorylation around PSI in diatoms which modulate the ATP : NADPH2 ratio in response to the requirements of the metabolic processes. ¬© 1988.</t>
  </si>
  <si>
    <t>211-226</t>
  </si>
  <si>
    <t>60015339;60015339;60031625</t>
  </si>
  <si>
    <t>7006626676;6602619901;6603107475</t>
  </si>
  <si>
    <t>Caron, L.;Mortain-Bertrand, A.;Jupin, H.</t>
  </si>
  <si>
    <t>Perpignan;Banyuls-sur-Mer</t>
  </si>
  <si>
    <t>Universite de Perpignan;Observatoire Oceanologique de Banyuls-sur-Mer</t>
  </si>
  <si>
    <t>60031625;60015339</t>
  </si>
  <si>
    <t>Caron L.</t>
  </si>
  <si>
    <t>Effect of photoperiod on photosynthetic characteristics of two marine diatoms</t>
  </si>
  <si>
    <t>10.1016/0022-0981(88)90043-3</t>
  </si>
  <si>
    <t>2-s2.0-0024250611</t>
  </si>
  <si>
    <t>['signal attenuation', 'salt beds', 'range 5', 'radiated pulses', 'potash deposits', 'potash beds', 'mapping stratigraphy', 'many areas', 'impulse radar', 'generally greater', 'electrical character', 'effective method', 'center frequencies', 'canada confirm', '1000 mhz']</t>
  </si>
  <si>
    <t>Radar sounding experiments conducted in several potash mines in Saskatchewan, Canada confirm that radar is an effective method for probing salt environments. The experiments had two main objectives: 1) to assess the utility of impulse radar for mapping stratigraphy in the salt beds above, below, and beside mining tunnels; and 2) to determine the electrical character of the potash beds in situ. The experiments were conducted with an impulse radar system using antennas which radiated pulses having center frequencies between 100 and 1000 MHz. The potash deposits were found to have a bulk dielectric constant in the range 5 to 6. In many areas, the evaporites have a significant clay content which governed the signal attenuation. Depth of penetration of the radar was generally greater in areas of lower clay content. -from Authors</t>
  </si>
  <si>
    <t>1556-1564</t>
  </si>
  <si>
    <t>GEOPHYSICS</t>
  </si>
  <si>
    <t>100404269;100404269;100404269</t>
  </si>
  <si>
    <t>35615362300;36996972800;6701635021</t>
  </si>
  <si>
    <t>Annan, A. P.;Davis, J. L.;Gendzwill, D.</t>
  </si>
  <si>
    <t>Mississauga</t>
  </si>
  <si>
    <t>A-Cubed Inc.</t>
  </si>
  <si>
    <t>Annan A.P.</t>
  </si>
  <si>
    <t>Radar sounding in potash mines, Saskatchewan, Canada</t>
  </si>
  <si>
    <t>10.1190/1.1442437</t>
  </si>
  <si>
    <t>2-s2.0-0024255563</t>
  </si>
  <si>
    <t>1202-1205</t>
  </si>
  <si>
    <t>6508095353;6602223914</t>
  </si>
  <si>
    <t>Evtyukhina, O. E.;Letunov, L. A.</t>
  </si>
  <si>
    <t>Evtyukhina O.</t>
  </si>
  <si>
    <t>Device for measuring the parameters of controlled discrete phase shifters of antenna systems</t>
  </si>
  <si>
    <t>10.1007/BF00862623</t>
  </si>
  <si>
    <t>2-s2.0-0024667894</t>
  </si>
  <si>
    <t>['temperature profiles', 'strong modification', 'quadrupole configuration', 'plasma edge', 'ohmic discharges', 'neutral influx', 'large fraction', 'generally observed', 'especially true', 'enhanced impurity', 'antennae screens', 'also observed']</t>
  </si>
  <si>
    <t>During r.f. experiments on JET a strong modification of the plasma edge is generally observed. Density and temperature profiles in the scrape-off layer usually flatten and enhanced impurity and neutral influx is observed. Metallic impurity influx originating from antennae screens is also observed. This is especially true when the antennae are phased so that the excited spectrum contains a large fraction of power in the waves with k/sub ///=0-3 m -1. A radially localized enhancement of the particle diffusivity Dperpendicular to(a) across the plasma edge results. When the antennae are phased in the quadrupole configuration with the maximum power emitted at k/sub ///=7 m-1 a strong modification of the edge is not observed. The scrape-off layer profiles scale as in the ohmic discharges. Then both the light and metal impurity influxes become substantially reduced.</t>
  </si>
  <si>
    <t>149-167</t>
  </si>
  <si>
    <t>Plasma Physics and Controlled Fusion</t>
  </si>
  <si>
    <t>60025104;60025104;60025104;60025104;60025104;60025104</t>
  </si>
  <si>
    <t>57212335886;6603620704;7005524697;7103032460;7202218741;6603775337</t>
  </si>
  <si>
    <t>Bures, M.;Brinkschulte, H.;Jacquinot, J.;Lawson, K. D.;Kaye, A.;Tagle, J. A.</t>
  </si>
  <si>
    <t>EFDA-JET</t>
  </si>
  <si>
    <t>Bures M.</t>
  </si>
  <si>
    <t>The modification of the plasma edge and impurity production by antenna phasing during ICRF heating on JET</t>
  </si>
  <si>
    <t>10.1088/0741-3335/30/2/004</t>
  </si>
  <si>
    <t>2-s2.0-0039200870</t>
  </si>
  <si>
    <t>['size samples', 'narrow band', 'lifetime results', 'lifetime mapping', 'horn antenna', 'good agreement', 'first time', 'different locations', 'also demonstrated', 'allow cooling']</t>
  </si>
  <si>
    <t>Photoconductivity lifetime measurements on narrow band-gap HgCdTe thin films and bulk slices using a contactless microwave reflection technique have been demonstrated for the first time. A horn antenna was used to allow cooling of samples to 77 K outside the waveguide and testings of large-size samples. A good agreement was established between lifetime results from the contactless microwave reflection technique and the standard photoconductivity decay method using two ohmic contacts. The feasibility of lifetime mapping by moving the pulsed light beam to different locations on the samples was also demonstrated.</t>
  </si>
  <si>
    <t>945-947</t>
  </si>
  <si>
    <t>Chen, M. C.</t>
  </si>
  <si>
    <t>Chen M.</t>
  </si>
  <si>
    <t>Photoconductivity lifetime measurements on HgCdTe using a contactless microwave technique</t>
  </si>
  <si>
    <t>10.1063/1.341901</t>
  </si>
  <si>
    <t>2-s2.0-0342895078</t>
  </si>
  <si>
    <t>['resonance peaks', 'prevent us', 'multiple system', 'gas spring', 'attenuate 10', '430 kg', '10 hz']</t>
  </si>
  <si>
    <t>The characteristics and the performances of a gas spring, to be used in the future in a three-dimensional multiple attenuation system, designed to support the heavy test masses for a low-frequency gravitational wave interferometric antenna, are presented. This multiple system is expected to attenuate 10 -9 (10-11) at 10 Hz in the vertical (horizontal) direction. This experiment, in which masses up to 430 kg have been levitated, has shown that the height of the resonance peaks in the gas spring vertical and horizontal transfer functions should not prevent us from obtaining the required high attenuation factors. A gas temperature feedback system, for the gas volume control, has given satisfactory results.</t>
  </si>
  <si>
    <t>292-297</t>
  </si>
  <si>
    <t>60028868;60028868;60028868;60028868;60028868;60028868</t>
  </si>
  <si>
    <t>Universit√† di Pisa</t>
  </si>
  <si>
    <t>Performance of a gas spring harmonic oscillator</t>
  </si>
  <si>
    <t>10.1063/1.1140243</t>
  </si>
  <si>
    <t>2-s2.0-11544340323</t>
  </si>
  <si>
    <t>['vax 11', 'time consuming', 'run times', 'paper describes', 'one minute', 'objective function', 'nonlinear program', 'large problems', 'earlier paper', 'cray 1', 'computation times', 'authors formulated', '400 sensors', '10 hours']</t>
  </si>
  <si>
    <t>In an earlier paper, the authors formulated an acoustic antenna array design problem as a nonlinear program. Computation times for large problems (about 400 sensors) were in the range of 8 to 10 hours on a Vax 11/780. Most of this time was spent in computing the objective function and its gradient. This paper describes how these computations (and these only) were recoded to exploit the vector processing capabilities of a Cray 1-M computer. Run times are reduced to less than one minute. The results have implications for many nonlinear programs whose function evaluations are very time consuming. ¬© 1988 J.C. Baltzer A.G., Scientific Publishing Company.</t>
  </si>
  <si>
    <t>291-304</t>
  </si>
  <si>
    <t>Annals of Operations Research</t>
  </si>
  <si>
    <t>60013372;60013372;100394963</t>
  </si>
  <si>
    <t>7203004557;35280131500;55463598300</t>
  </si>
  <si>
    <t>Plummer, J.;Lasdon, L. S.;Ahmed, M.</t>
  </si>
  <si>
    <t>Austin;London</t>
  </si>
  <si>
    <t>The University of Texas at Austin;Underwater Syst Cent</t>
  </si>
  <si>
    <t>60013372;100394963</t>
  </si>
  <si>
    <t>Plummer J.</t>
  </si>
  <si>
    <t>Solving a large nonlinear programming problem on a vector processing computer</t>
  </si>
  <si>
    <t>10.1007/BF02186484</t>
  </si>
  <si>
    <t>2-s2.0-34250085609</t>
  </si>
  <si>
    <t>['transfer efficiencies', 'photosystem ii', 'observed increase', 'intermediate interaction', 'exciting photons', 'energy transfer']</t>
  </si>
  <si>
    <t>Adaptation to light intensity | coupling energy | energy transfer | migration of photons | phycobilisome</t>
  </si>
  <si>
    <t>Transfer efficiencies between phycobilisomes and photosystem II antenna chlorophylls were determined on membrane fragments isolated from low and high light adapted Anabaena cells. The observed increase in energy transfer in high light adapted cells is a consequence of shorter interchromophore distances and a decrease in the number of jumps of the exciting photons. Calculation of the rates of energy transfer and the coupling energies indicate that the weak interaction inferred for energy transfer between phycobilisome and photosystem II in low light adapted cells is replaced by an intermediate interaction in high light adapted cells. ¬© 1988 Springer-Verlag.</t>
  </si>
  <si>
    <t>60024147;60026434;60026434</t>
  </si>
  <si>
    <t>16453430100;7003409268;6701802319</t>
  </si>
  <si>
    <t>Kaiseva, E.;Zim√°nyi, L.;Laczk√≥, I.</t>
  </si>
  <si>
    <t>Hungary;Bulgaria</t>
  </si>
  <si>
    <t>Szeged;Sofia</t>
  </si>
  <si>
    <t>Szegedi Biol√≥giai Kutat√≥k√∂zpontj√°nak;Bulgarian Academy of Sciences</t>
  </si>
  <si>
    <t>60026434;60024147</t>
  </si>
  <si>
    <t>Kaiseva E.</t>
  </si>
  <si>
    <t>Effect of adaptation to high light intensity on the kinetics of energy transfer from phycobilisomes to photosystem II in Anabaena cylindrica</t>
  </si>
  <si>
    <t>10.1007/BF00254063</t>
  </si>
  <si>
    <t>2-s2.0-34250089557</t>
  </si>
  <si>
    <t>['wavelength region', 'waveguide antenna', 'spectral regions', 'radiation spectra', 'partial agreement', 'input current', 'frequency bandwidth', 'directional output']</t>
  </si>
  <si>
    <t>The radiation spectra of three microwave noise sources (C. P. Clare &amp; Co., TN type series) have been compared to determine the frequency bandwidth and their polarization. A Lamellar Grating Fourier Transform spectrometer was used with a Helium cooled bolometer detector in the wavelength region of lmm to 10mm. The spectral regions were compared with the manufacturer's specifications and the results were in partial agreement. A secondary transmission region was observed to have an input current as well as a polarization dependence despite the directional output of the waveguide antenna. ¬© 1988 Plenum Publishing Corporation.</t>
  </si>
  <si>
    <t>60028728;60028728;60028728;60028728;60006337</t>
  </si>
  <si>
    <t>6603253882;57210672678;16452754000;16454548100;7004387362</t>
  </si>
  <si>
    <t>Poutous, M. K.;Petrone, P.;Ghaemi, A.;M√∂ller, K. D.;Heaney, J. B.</t>
  </si>
  <si>
    <t>Teaneck;Greenbelt</t>
  </si>
  <si>
    <t>Fairleigh Dickinson University;NASA Goddard Space Flight Center</t>
  </si>
  <si>
    <t>60028728;60006337</t>
  </si>
  <si>
    <t>Poutous M.</t>
  </si>
  <si>
    <t>Polarization of microwave noise source radiation in the 30 GHz to 300 GHz range</t>
  </si>
  <si>
    <t>10.1007/BF01009306</t>
  </si>
  <si>
    <t>2-s2.0-34250092136</t>
  </si>
  <si>
    <t>['whistler emission', 'wece model', 'two components', 'shown firstly', 'measured emission', 'magnetic well', 'hot electrons', 'good agreement', 'energetic relativistic', 'energetic electrons', 'electron population', 'diagnostic capabilities', '18 ghz']</t>
  </si>
  <si>
    <t>Measurements are presented of axially propagating whistler mode electron cyclotron emission (WECE) from the energetic electrons in the East end cell of TMX-Upgrade. The measurements were made in the frequency ranges 12.5-18 GHz and 29-40 GHz employing swept and fixed frequency superheterodyne receivers and a spherical dish antenna. These measurements are compared with a one dimensional radiation transport model which treats whistler mode emission, absorption, and propagation for an electron population which has two components: a cold thermal component and an energetic relativistic, mirror trapped component. It is shown firstly that the measured emission is in good agreement with the predictions of the WECE model. Secondly, for low to moderate cold electron densities, and for detection frequencies slightly less than the minimum electron cyclotron frequency in the magnetic well, the emission achieves black body levels, yielding an effective hot electron temperature. At higher cold electron densities and/or higher frequencies cold plasma effects limit the diagnostic capabilities of whistler emission in so far as the hot electrons are concerned.</t>
  </si>
  <si>
    <t>491-513</t>
  </si>
  <si>
    <t>60020304;60020304;60020304;;</t>
  </si>
  <si>
    <t>7006204387;7401985606;7004632815;22971245200;7004851644</t>
  </si>
  <si>
    <t>Lasnier, C. J.;Ellis, R. F.;Tsakiris, G. D.;James, R. A.;Casper, T. A.</t>
  </si>
  <si>
    <t>Lasnier C.</t>
  </si>
  <si>
    <t>Whistler mode electron cyclotron emission from energetic electrons in TMX-Upgrade</t>
  </si>
  <si>
    <t>10.1088/0741-3335/30/5/002</t>
  </si>
  <si>
    <t>2-s2.0-36149030209</t>
  </si>
  <si>
    <t>['transmission measurements', 'special attention', 'settling time', 'rise time', 'practical details', 'generator suitable', 'antenna reflection', 'anechoic chamber', '70 ps', '500 ps', '40 db', '10 ghz']</t>
  </si>
  <si>
    <t>Practical details are given of an impulse generator delivering 15 V to a 50 Omega load with a rise time of 70 ps and FWHM 175 ps. Special attention to the settling time (500 ps to 40 dB down) makes the generator suitable for antenna reflection and transmission measurements from 0.1 to 10 GHz, without the need for an anechoic chamber.</t>
  </si>
  <si>
    <t>657-660</t>
  </si>
  <si>
    <t>Journal of Physics E: Scientific Instruments</t>
  </si>
  <si>
    <t>60031101;60031101</t>
  </si>
  <si>
    <t>36184993700;7004006859</t>
  </si>
  <si>
    <t>Evans, S.;Reader, H. C.</t>
  </si>
  <si>
    <t>Evans S.</t>
  </si>
  <si>
    <t>An impulse generator for antenna measurements in the time domain</t>
  </si>
  <si>
    <t>10.1088/0022-3735/21/7/006</t>
  </si>
  <si>
    <t>2-s2.0-36149031865</t>
  </si>
  <si>
    <t>['wave dispersive', 'studied consistently', 'plasma parameters', 'grid antenna', 'general formalism', 'erroneously measured', 'electrostatic probe', 'described theoretically', 'damping properties', 'co2 laser', 'antenna measurements', 'acoustic waves', '200 cm']</t>
  </si>
  <si>
    <t>Far-forward and forward collective light scattering measurements of externally launched ion-acoustic waves in a low density argon plasma column have been performed with a c.w. CO2 laser. The scattering processes taking place are described theoretically by the same general formalism. Wave dispersive and damping properties are studied consistently from 2 to 200 cm -1. Plasma parameters are deduced and compared to electrostatic probe and antenna measurements. It is found that high frequency wave properties are erroneously measured with a grid antenna.</t>
  </si>
  <si>
    <t>805-827</t>
  </si>
  <si>
    <t>60009507;60009507;60009507</t>
  </si>
  <si>
    <t>7005483396;57215803019;6602846498</t>
  </si>
  <si>
    <t>Brodeur, P.;Ratel, G.;Van Andel, H. W.H.</t>
  </si>
  <si>
    <t>Brodeur P.</t>
  </si>
  <si>
    <t>Far-forward and forward CW. CO&lt;inf&gt;2&lt;/inf&gt; laser scattering measurements of ion-acoustic waves in a quiescent plasma</t>
  </si>
  <si>
    <t>10.1088/0741-3335/30/7/001</t>
  </si>
  <si>
    <t>2-s2.0-36149031933</t>
  </si>
  <si>
    <t>['confined within']</t>
  </si>
  <si>
    <t>The ion acoustic radiation pattern from an antenna in a supersonic ion beam is measured. It is observed that the pattern, which is confined within a critical 'Mach Cone', displays marked lobe structure. These properties are explained in terms of the geometry of the two-dimensional wave number surfaces.</t>
  </si>
  <si>
    <t>1339-1343</t>
  </si>
  <si>
    <t>;60010499;;60010499</t>
  </si>
  <si>
    <t>57213996859;7005913201;22970077500;7202100096</t>
  </si>
  <si>
    <t>Greaves, R. G.;Zank, G. P.;Barrett, P. J.;McKenzie, J. F.</t>
  </si>
  <si>
    <t>Durban</t>
  </si>
  <si>
    <t>University of KwaZulu-Natal</t>
  </si>
  <si>
    <t>Greaves R.</t>
  </si>
  <si>
    <t>Radiation characteristics of ion acoustic waves in a supersonic ion beam</t>
  </si>
  <si>
    <t>10.1088/0741-3335/30/10/011</t>
  </si>
  <si>
    <t>2-s2.0-36149036897</t>
  </si>
  <si>
    <t>['since 1981', 'quite distinct', 'near future', 'energy content', 'blackbody radiation']</t>
  </si>
  <si>
    <t>Since 1981, we have proposed and investigated spectral analysis of the harmonics of ion cyclotron emission (ICE) as a means of monitoring the energy content of Œ± particles confined in a magnetic fusion device. A pair of crown probe antennas have been constructed for TFTR to collect ICE spectra and will be installed on that device in the near future. The design of this ICE spectroscopy system is described. Also, some calculations of ICE electromagnetic fluctuations in the ICRF, due to newborn Œ± particles with a distribution function appropriate to typical fusion reactor parameters, are discussed. The calculated emission spectra are quite distinct from that of blackbody radiation.</t>
  </si>
  <si>
    <t>1605-1607</t>
  </si>
  <si>
    <t>60011273;60011273;60011273;60011273</t>
  </si>
  <si>
    <t>7004587753;57198134020;55772092100;7404345197</t>
  </si>
  <si>
    <t>Moses, K. G.;Sperling, J. L.;Dooling, J. C.;Chu, C.</t>
  </si>
  <si>
    <t>Moses K.G.</t>
  </si>
  <si>
    <t>Ion cyclotron emission spectroscopy as an Œ±-particle monitor</t>
  </si>
  <si>
    <t>10.1063/1.1140160</t>
  </si>
  <si>
    <t>2-s2.0-36549095381</t>
  </si>
  <si>
    <t>['uniform source', 'system achieves', 'sidelobe pickup', 'radiometer measures', 'precision measurements', 'novel type', 'multiplied together', 'microwave radiometry', 'major features', 'low 1', 'instrumental signals', 'instrument motion', 'horn emission', 'f noise', 'angular scales', 'adjacent apertures', '50 ghz', '5 ¬∞.', '1 ¬∞']</t>
  </si>
  <si>
    <t>A novel type of interferometer has been developed for precision measurements in microwave radiometry. The system employs two low-noise heterodyne receivers based on SIS (superconductor-insulator-superconductor) tunnel junction mixers in the band from 40 to 50 GHz. The rectangular horn antennas have adjacent apertures and are coaligned; the IF outputs of the receivers are multiplied together. The resulting antenna interference pattern has lobes which lead to positive output signals and lobes which give negative output. The radiometer measures the difference in the power from these lobes without beam switching or instrument motion. Other major features are: the cancellation of instrumental signals (horn emission, sidelobe pickup, etc.); very low 1/f noise in the output; and zero output signal when viewing a uniform source. The system achieves a sensitivity of ŒîTrms = 14.4¬±1.4 mK/‚àöHz and is used to search for anisotropy in the cosmic background radiation on angular scales between 1¬∞ and 5¬∞.</t>
  </si>
  <si>
    <t>914-920</t>
  </si>
  <si>
    <t>60003269;60003269</t>
  </si>
  <si>
    <t>6603994307;7401870096</t>
  </si>
  <si>
    <t>Timbie, P. T.;Wilkinson, D. T.</t>
  </si>
  <si>
    <t>Princeton University</t>
  </si>
  <si>
    <t>Timbie P.</t>
  </si>
  <si>
    <t>Low-noise interferometer for microwave radiometry</t>
  </si>
  <si>
    <t>10.1063/1.1139802</t>
  </si>
  <si>
    <t>2-s2.0-36549100032</t>
  </si>
  <si>
    <t>['water levels', 'vertical planes', 'underwater robots', 'three tubes', 'three coils', 'single unit', 'sine waves', 'shown previously', 'output signals', 'one axis', 'manmade satellite', 'light unit', 'dynamic characteristics', 'detector described', 'detect angle', 'communication systems', 'attitude detectors']</t>
  </si>
  <si>
    <t>Level and attitude detectors are required for the detection of level and angles, for instance, in controlling the attitude of underwater robots, to keep solar cell panels directed constantly toward the sun, and the parabola antenna constantly toward the manmade satellite in communication systems. The usual angle detector can detect angle in one axis only, but the detector described in this paper is able to detect the angles of orientation with the horizontal and the vertical planes with a single unit. In addition, the new detector uses levels, such as water levels, by itself. This detector has three tubes with the magnetic fluid placed inside and with three coils. Its structure is very simple, small, and robust. It is also a light unit. The output signals are sine waves. The static operating characteristics of this detector were shown previously. The dynamic characteristics are presented in this paper.</t>
  </si>
  <si>
    <t>6023-6025</t>
  </si>
  <si>
    <t>60006838;60006838;60006838</t>
  </si>
  <si>
    <t>36895809400;57205776358;57207237713</t>
  </si>
  <si>
    <t>Kanamaru, Y.;Ogasawara, Y.;Hayashi, K.</t>
  </si>
  <si>
    <t>Kanazawa Institute of Technology</t>
  </si>
  <si>
    <t>Kanamaru Y.</t>
  </si>
  <si>
    <t>Dynamic characteristics of level and two-axis attitude detector using magnetic fluid</t>
  </si>
  <si>
    <t>10.1063/1.342138</t>
  </si>
  <si>
    <t>2-s2.0-36549101023</t>
  </si>
  <si>
    <t>['theoretical results', 'loop impedance', 'input impedance', 'experimental investigation', 'dielectric core', 'dielectric constant']</t>
  </si>
  <si>
    <t>An experimental investigation of the input impedance of a square loop antenna with a dielectric core is reported. The effects of the dielectric constant and the height of the core on the loop impedance are given. A comparison between the measured and theoretical results is included.</t>
  </si>
  <si>
    <t>1820-1823</t>
  </si>
  <si>
    <t>Square loop antenna with a dielectric core</t>
  </si>
  <si>
    <t>10.1063/1.339876</t>
  </si>
  <si>
    <t>2-s2.0-36549102844</t>
  </si>
  <si>
    <t>['two ways', 'species mix', 'several parameters', 'ion source', 'accelerator current', 'absolute divergence']</t>
  </si>
  <si>
    <t>The ion source of the TFTR diagnostic neutral beam utilizes a magnetic cusp bucket from a PLT source modified with an internal rf antenna in place of filaments. The species mix of the beam has been measured after the neutralizer as a function of several parameters in two ways: spectroscopically and by an electrostatic charge exchange analyzer. Source and neutralizer gas feeds (both hydrogen) were varied. Some measurements were made with the bending magnet alternately on and off to obtain neutralizer efficiency for each component. Accelerator current was varied, at fixed acceleration voltage and gas feed rate, by varying rf power to the antenna. Relative beam divergence during this scan was monitored by both diagnostics, and an absolute divergence was obtained from a spectroscopic profile scan.</t>
  </si>
  <si>
    <t>1676-1678</t>
  </si>
  <si>
    <t>60003269;60003269;60003269;60003269</t>
  </si>
  <si>
    <t>22960961000;7005006972;7003779717;12754942600</t>
  </si>
  <si>
    <t>Gammel, G.;Fonck, R. J.;Roquemore, A. L.;Schilling, G.</t>
  </si>
  <si>
    <t>Gammel G.</t>
  </si>
  <si>
    <t>Species and divergence measurements on the TFTR diagnostic neutral beam</t>
  </si>
  <si>
    <t>10.1063/1.1140130</t>
  </si>
  <si>
    <t>2-s2.0-36549103200</t>
  </si>
  <si>
    <t>['¬© 1988', 'voltage characteristics', 'video detection', 'local heating', 'linear current', 'experimental results', 'contact area', 'bath temperature', '562 ghz']</t>
  </si>
  <si>
    <t>The non-linear current-voltage characteristics of UPt3 point contacts have been studied as a function of the bath temperature and by video detection at 562 GHz. The experimental results are explained in terms of local heating of the contact area. ¬© 1988.</t>
  </si>
  <si>
    <t>335-336</t>
  </si>
  <si>
    <t>76-77</t>
  </si>
  <si>
    <t>Journal of Magnetism and Magnetic Materials</t>
  </si>
  <si>
    <t>60016924;60016924;60016924;60016924</t>
  </si>
  <si>
    <t>7801316043;7201626165;6505768824;35432530500</t>
  </si>
  <si>
    <t>Duif, A. M.;Jansen, A. G.M.;Lysykh, A. A.;Wyder, P.</t>
  </si>
  <si>
    <t>Max Planck Institute for Solid State Research</t>
  </si>
  <si>
    <t>Duif A.</t>
  </si>
  <si>
    <t>Thermal effects in UPt&lt;inf&gt;3&lt;/inf&gt; point contacts</t>
  </si>
  <si>
    <t>0304-8853(88)90414-3</t>
  </si>
  <si>
    <t>10.1016/0304-8853(88)90414-3</t>
  </si>
  <si>
    <t>2-s2.0-0024135962</t>
  </si>
  <si>
    <t>['¬© 1988', 'two well', 'two populations', 'thylakoids present', 'thylakoid membrane', 'thylakoid material', 'three steps', 'stroma membranes', 'slightly enriched', 'results suggest', 'results show', 'rapid procedure', 'ps ii', 'photochemical activities', 'partitioning either', 'one originating', 'membrane region', 'membrane populations', 'membrane fraction', 'light intensity', 'larger antenna', 'grana systems', 'grana fraction', 'cytochrome f', 'countercurrent distribution', 'chlorophyll basis', 'batch procedure', 'aqueous two', 'analysed according', 'also contain', '700 photooxidation']</t>
  </si>
  <si>
    <t>(Spinach chloroplast) | Antenna size | Phase partition | Photosystem heterogeneity | Thylakoid membrane organization</t>
  </si>
  <si>
    <t>A rapid procedure to fractionate the thylakoid membrane into two well-separated vesicle populations, one originating from the grana and the other from the stroma-membrane region, has been developed. This was achieved by sonication of thylakoids present in an aqueous two-phase system followed by partitioning either by countercurrent distribution or by a batch procedure in three steps. The membrane populations were analysed according to their composition and photochemical activities. The grana membranes comprise, on chlorophyll basis, about 60% of the thylakoid material and are enriched in PS II, but also contain some PS I, while the stroma membranes comprise about 40% and are enriched in PS I, but also contain some PS II. Cytochrome f was slightly enriched in the grana-derived vesicle fraction. The properties of both PS I and PS II differ between the two populations. The PS I of the grana fraction (PS IŒ±) reached half-saturation at about half the light intensity of the PS I in the stroma-membrane fraction (PS IŒ≤). The rate of P-700 photooxidation under low light illumination was higher for PS IŒ± than for PS IŒ≤ (30% larger rate constant), showing that PS IŒ± has a larger antenna. The PS II of the grana fraction (PS IIŒ±) reached half-saturation at half the light intensity compared to the PS II of the stroma-membrane fraction (PS IIŒ≤). The results show that the grana-derived membranes contain PS IŒ± and PS IIŒ± which have larger functional antenna sizes than the corresponding PS IŒ≤ and PS IIŒ≤ of the stroma membranes. The results suggest that the photosystems of the grana are designed to allow effective electron transport both at low and high light intensities, while the stroma-membrane photosystems mainly work at high light intensities as a supplement to the grana systems. ¬© 1988.</t>
  </si>
  <si>
    <t>339-350</t>
  </si>
  <si>
    <t>6603595300;7103121358;6701762968;7005280402</t>
  </si>
  <si>
    <t>Andreasson, Eva;Svensson, Per;Weibull, Claes;Albertsson, Per √Öke</t>
  </si>
  <si>
    <t>Andreasson E.</t>
  </si>
  <si>
    <t>Separation and characterization of stroma and grana membranes - evidence for heterogeneity in antenna size of both Photosystem I and Photosystem II</t>
  </si>
  <si>
    <t>10.1016/0005-2728(88)90010-2</t>
  </si>
  <si>
    <t>2-s2.0-0001437229</t>
  </si>
  <si>
    <t>weighted matrix_7:3</t>
  </si>
  <si>
    <t>weighted matrix_5:5</t>
  </si>
  <si>
    <t>weighted matrix_3:7</t>
  </si>
  <si>
    <t>if</t>
  </si>
  <si>
    <t>fund_sponsor</t>
  </si>
  <si>
    <t>fund_no</t>
  </si>
  <si>
    <t>fund_acr</t>
  </si>
  <si>
    <t>openaccess</t>
  </si>
  <si>
    <t>max-min</t>
  </si>
  <si>
    <t>citation_norm</t>
  </si>
  <si>
    <t>average_citation</t>
  </si>
  <si>
    <t>citedby_count</t>
  </si>
  <si>
    <t>Rake Keyword</t>
  </si>
  <si>
    <t>authkeywords</t>
  </si>
  <si>
    <t>description</t>
  </si>
  <si>
    <t>pageRange</t>
  </si>
  <si>
    <t>article_number</t>
  </si>
  <si>
    <t>issueIdentifier</t>
  </si>
  <si>
    <t>volume</t>
  </si>
  <si>
    <t>aggregationType</t>
  </si>
  <si>
    <t>eIssn</t>
  </si>
  <si>
    <t>source_id</t>
  </si>
  <si>
    <t>issn</t>
  </si>
  <si>
    <t>sjr_norm</t>
  </si>
  <si>
    <t>sjr</t>
  </si>
  <si>
    <t>publicationName</t>
  </si>
  <si>
    <t>coverDisplayDate</t>
  </si>
  <si>
    <t>Year Gap</t>
  </si>
  <si>
    <t>Year</t>
  </si>
  <si>
    <t>coverDate</t>
  </si>
  <si>
    <t>author_afids</t>
  </si>
  <si>
    <t>author_ids</t>
  </si>
  <si>
    <t>author_names</t>
  </si>
  <si>
    <t>author_count</t>
  </si>
  <si>
    <t>affiliation_country</t>
  </si>
  <si>
    <t>affiliation_city</t>
  </si>
  <si>
    <t>affilname</t>
  </si>
  <si>
    <t>afid</t>
  </si>
  <si>
    <t>creator</t>
  </si>
  <si>
    <t>subtypeDescription</t>
  </si>
  <si>
    <t>subtype</t>
  </si>
  <si>
    <t>title</t>
  </si>
  <si>
    <t>pubmed_id</t>
  </si>
  <si>
    <t>pii</t>
  </si>
  <si>
    <t>doi</t>
  </si>
  <si>
    <t>eid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</si>
</sst>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0" x14ac:knownFonts="1">
    <font>
      <sz val="12"/>
      <color theme="1"/>
      <name val="Calibri"/>
      <family val="2"/>
      <scheme val="minor"/>
    </font>
    <font>
      <sz val="12"/>
      <color rgb="FF006100"/>
      <name val="Calibri"/>
      <family val="2"/>
      <scheme val="minor"/>
    </font>
    <font>
      <sz val="12"/>
      <color rgb="FF9C0006"/>
      <name val="Calibri"/>
      <family val="2"/>
      <scheme val="minor"/>
    </font>
    <font>
      <sz val="12"/>
      <color rgb="FF3F3F76"/>
      <name val="Calibri"/>
      <family val="2"/>
      <scheme val="minor"/>
    </font>
    <font>
      <sz val="12"/>
      <color rgb="FFFF0000"/>
      <name val="Calibri"/>
      <family val="2"/>
      <scheme val="minor"/>
    </font>
    <font>
      <b/>
      <sz val="12"/>
      <color theme="1"/>
      <name val="Calibri"/>
      <family val="2"/>
      <scheme val="minor"/>
    </font>
    <font>
      <b/>
      <sz val="12"/>
      <color rgb="FF3F3F76"/>
      <name val="Calibri"/>
      <family val="2"/>
      <scheme val="minor"/>
    </font>
    <font>
      <b/>
      <sz val="11"/>
      <color theme="1"/>
      <name val="Calibri"/>
      <family val="2"/>
      <scheme val="minor"/>
    </font>
    <font>
      <b/>
      <sz val="12"/>
      <color rgb="FF006100"/>
      <name val="Calibri"/>
      <family val="2"/>
      <scheme val="minor"/>
    </font>
    <font>
      <b/>
      <sz val="12"/>
      <color rgb="FF9C0006"/>
      <name val="Calibri"/>
      <family val="2"/>
      <scheme val="minor"/>
    </font>
  </fonts>
  <fills count="8">
    <fill>
      <patternFill patternType="none"/>
    </fill>
    <fill>
      <patternFill patternType="gray125"/>
    </fill>
    <fill>
      <patternFill patternType="solid">
        <fgColor rgb="FFC6EFCE"/>
      </patternFill>
    </fill>
    <fill>
      <patternFill patternType="solid">
        <fgColor rgb="FFFFC7CE"/>
      </patternFill>
    </fill>
    <fill>
      <patternFill patternType="solid">
        <fgColor rgb="FFFFCC99"/>
      </patternFill>
    </fill>
    <fill>
      <patternFill patternType="solid">
        <fgColor rgb="FFFFFF00"/>
        <bgColor indexed="64"/>
      </patternFill>
    </fill>
    <fill>
      <patternFill patternType="solid">
        <fgColor theme="2" tint="-9.9978637043366805E-2"/>
        <bgColor indexed="64"/>
      </patternFill>
    </fill>
    <fill>
      <patternFill patternType="solid">
        <fgColor theme="2"/>
        <bgColor indexed="64"/>
      </patternFill>
    </fill>
  </fills>
  <borders count="3">
    <border>
      <left/>
      <right/>
      <top/>
      <bottom/>
      <diagonal/>
    </border>
    <border>
      <left style="thin">
        <color rgb="FF7F7F7F"/>
      </left>
      <right style="thin">
        <color rgb="FF7F7F7F"/>
      </right>
      <top style="thin">
        <color rgb="FF7F7F7F"/>
      </top>
      <bottom style="thin">
        <color rgb="FF7F7F7F"/>
      </bottom>
      <diagonal/>
    </border>
    <border>
      <left style="thin">
        <color auto="1"/>
      </left>
      <right style="thin">
        <color auto="1"/>
      </right>
      <top style="thin">
        <color auto="1"/>
      </top>
      <bottom style="thin">
        <color auto="1"/>
      </bottom>
      <diagonal/>
    </border>
  </borders>
  <cellStyleXfs count="4">
    <xf numFmtId="0" fontId="0" fillId="0" borderId="0"/>
    <xf numFmtId="0" fontId="1" fillId="2" borderId="0" applyNumberFormat="0" applyBorder="0" applyAlignment="0" applyProtection="0"/>
    <xf numFmtId="0" fontId="2" fillId="3" borderId="0" applyNumberFormat="0" applyBorder="0" applyAlignment="0" applyProtection="0"/>
    <xf numFmtId="0" fontId="3" fillId="4" borderId="1" applyNumberFormat="0" applyAlignment="0" applyProtection="0"/>
  </cellStyleXfs>
  <cellXfs count="21">
    <xf numFmtId="0" fontId="0" fillId="0" borderId="0" xfId="0"/>
    <xf numFmtId="0" fontId="3" fillId="4" borderId="1" xfId="3"/>
    <xf numFmtId="0" fontId="0" fillId="5" borderId="0" xfId="0" applyFill="1"/>
    <xf numFmtId="2" fontId="1" fillId="0" borderId="0" xfId="1" applyNumberFormat="1" applyFill="1"/>
    <xf numFmtId="2" fontId="1" fillId="2" borderId="0" xfId="1" applyNumberFormat="1"/>
    <xf numFmtId="2" fontId="0" fillId="5" borderId="0" xfId="0" applyNumberFormat="1" applyFill="1"/>
    <xf numFmtId="0" fontId="2" fillId="3" borderId="0" xfId="2"/>
    <xf numFmtId="164" fontId="0" fillId="0" borderId="0" xfId="0" applyNumberFormat="1"/>
    <xf numFmtId="0" fontId="0" fillId="6" borderId="0" xfId="0" applyFill="1"/>
    <xf numFmtId="16" fontId="0" fillId="0" borderId="0" xfId="0" applyNumberFormat="1"/>
    <xf numFmtId="17" fontId="0" fillId="0" borderId="0" xfId="0" applyNumberFormat="1"/>
    <xf numFmtId="0" fontId="4" fillId="0" borderId="0" xfId="0" applyFont="1"/>
    <xf numFmtId="0" fontId="0" fillId="7" borderId="0" xfId="0" applyFill="1"/>
    <xf numFmtId="0" fontId="6" fillId="0" borderId="1" xfId="3" applyFont="1" applyFill="1"/>
    <xf numFmtId="0" fontId="7" fillId="0" borderId="2" xfId="0" applyFont="1" applyBorder="1" applyAlignment="1">
      <alignment horizontal="center" vertical="top"/>
    </xf>
    <xf numFmtId="0" fontId="5" fillId="0" borderId="0" xfId="0" applyFont="1"/>
    <xf numFmtId="2" fontId="8" fillId="0" borderId="0" xfId="1" applyNumberFormat="1" applyFont="1" applyFill="1"/>
    <xf numFmtId="2" fontId="5" fillId="0" borderId="0" xfId="0" applyNumberFormat="1" applyFont="1"/>
    <xf numFmtId="0" fontId="7" fillId="0" borderId="0" xfId="0" applyFont="1" applyAlignment="1">
      <alignment horizontal="center" vertical="top"/>
    </xf>
    <xf numFmtId="0" fontId="9" fillId="0" borderId="0" xfId="2" applyFont="1" applyFill="1" applyBorder="1" applyAlignment="1">
      <alignment horizontal="center" vertical="top"/>
    </xf>
    <xf numFmtId="164" fontId="5" fillId="0" borderId="0" xfId="0" applyNumberFormat="1" applyFont="1"/>
  </cellXfs>
  <cellStyles count="4">
    <cellStyle name="Bad" xfId="2" builtinId="27"/>
    <cellStyle name="Good" xfId="1" builtinId="26"/>
    <cellStyle name="Input" xfId="3" builtinId="2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year_data/antenna_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tenna_all"/>
      <sheetName val="Sheet2"/>
      <sheetName val="&lt;=1980"/>
      <sheetName val="&lt;=1985"/>
      <sheetName val="1989"/>
      <sheetName val="1990"/>
      <sheetName val="1991"/>
      <sheetName val="1992"/>
      <sheetName val="1993"/>
      <sheetName val="1994"/>
      <sheetName val="1995"/>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65FFF-76AD-DF4A-B888-8B18C79C9FE7}">
  <dimension ref="A1:AW188"/>
  <sheetViews>
    <sheetView tabSelected="1" topLeftCell="AC1" workbookViewId="0">
      <selection activeCell="AN2" sqref="AN2"/>
    </sheetView>
  </sheetViews>
  <sheetFormatPr baseColWidth="10" defaultRowHeight="16" x14ac:dyDescent="0.2"/>
  <sheetData>
    <row r="1" spans="1:49" s="12" customFormat="1" x14ac:dyDescent="0.2">
      <c r="A1" s="15"/>
      <c r="B1" s="15" t="s">
        <v>2023</v>
      </c>
      <c r="C1" s="15" t="s">
        <v>2022</v>
      </c>
      <c r="D1" s="15" t="s">
        <v>2021</v>
      </c>
      <c r="E1" s="15" t="s">
        <v>2020</v>
      </c>
      <c r="F1" s="15" t="s">
        <v>2019</v>
      </c>
      <c r="G1" s="15" t="s">
        <v>2018</v>
      </c>
      <c r="H1" s="15" t="s">
        <v>2017</v>
      </c>
      <c r="I1" s="15" t="s">
        <v>2016</v>
      </c>
      <c r="J1" s="15" t="s">
        <v>2015</v>
      </c>
      <c r="K1" s="15" t="s">
        <v>2014</v>
      </c>
      <c r="L1" s="15" t="s">
        <v>2013</v>
      </c>
      <c r="M1" s="15" t="s">
        <v>2012</v>
      </c>
      <c r="N1" s="15" t="s">
        <v>2011</v>
      </c>
      <c r="O1" s="15" t="s">
        <v>2010</v>
      </c>
      <c r="P1" s="15" t="s">
        <v>2009</v>
      </c>
      <c r="Q1" s="15" t="s">
        <v>2008</v>
      </c>
      <c r="R1" s="20" t="s">
        <v>2007</v>
      </c>
      <c r="S1" s="15" t="s">
        <v>2006</v>
      </c>
      <c r="T1" s="15" t="s">
        <v>2006</v>
      </c>
      <c r="U1" s="15" t="s">
        <v>2005</v>
      </c>
      <c r="V1" s="20" t="s">
        <v>2004</v>
      </c>
      <c r="W1" s="15" t="s">
        <v>2003</v>
      </c>
      <c r="X1" s="14" t="s">
        <v>2002</v>
      </c>
      <c r="Y1" s="19" t="s">
        <v>2001</v>
      </c>
      <c r="Z1" s="18" t="s">
        <v>1986</v>
      </c>
      <c r="AA1" s="15" t="s">
        <v>2000</v>
      </c>
      <c r="AB1" s="15" t="s">
        <v>1999</v>
      </c>
      <c r="AC1" s="15" t="s">
        <v>1998</v>
      </c>
      <c r="AD1" s="15" t="s">
        <v>1997</v>
      </c>
      <c r="AE1" s="15" t="s">
        <v>1996</v>
      </c>
      <c r="AF1" s="15" t="s">
        <v>1995</v>
      </c>
      <c r="AG1" s="15" t="s">
        <v>1994</v>
      </c>
      <c r="AH1" s="15" t="s">
        <v>1993</v>
      </c>
      <c r="AI1" s="15" t="s">
        <v>1992</v>
      </c>
      <c r="AJ1" s="15" t="s">
        <v>1991</v>
      </c>
      <c r="AK1" s="14" t="s">
        <v>1990</v>
      </c>
      <c r="AL1" s="15" t="s">
        <v>1989</v>
      </c>
      <c r="AM1" s="17" t="s">
        <v>1988</v>
      </c>
      <c r="AN1" s="16" t="s">
        <v>1987</v>
      </c>
      <c r="AO1" s="16" t="s">
        <v>1986</v>
      </c>
      <c r="AP1" s="15" t="s">
        <v>1985</v>
      </c>
      <c r="AQ1" s="15" t="s">
        <v>1984</v>
      </c>
      <c r="AR1" s="15" t="s">
        <v>1983</v>
      </c>
      <c r="AS1" s="15" t="s">
        <v>1982</v>
      </c>
      <c r="AT1" s="14" t="s">
        <v>1981</v>
      </c>
      <c r="AU1" s="13" t="s">
        <v>1980</v>
      </c>
      <c r="AV1" s="13" t="s">
        <v>1979</v>
      </c>
      <c r="AW1" s="13" t="s">
        <v>1978</v>
      </c>
    </row>
    <row r="2" spans="1:49" x14ac:dyDescent="0.2">
      <c r="A2">
        <v>0</v>
      </c>
      <c r="B2" t="s">
        <v>1977</v>
      </c>
      <c r="C2" t="s">
        <v>1976</v>
      </c>
      <c r="D2">
        <v>5272888900102</v>
      </c>
      <c r="F2" t="s">
        <v>1975</v>
      </c>
      <c r="G2" t="s">
        <v>4</v>
      </c>
      <c r="H2" t="s">
        <v>3</v>
      </c>
      <c r="I2" t="s">
        <v>1974</v>
      </c>
      <c r="J2">
        <v>60029170</v>
      </c>
      <c r="K2" t="s">
        <v>162</v>
      </c>
      <c r="L2" t="s">
        <v>161</v>
      </c>
      <c r="M2" t="s">
        <v>160</v>
      </c>
      <c r="N2">
        <v>4</v>
      </c>
      <c r="O2" t="s">
        <v>1973</v>
      </c>
      <c r="P2" t="s">
        <v>1972</v>
      </c>
      <c r="Q2" t="s">
        <v>159</v>
      </c>
      <c r="R2" s="7">
        <v>32484</v>
      </c>
      <c r="S2" s="8">
        <f t="shared" ref="S2:S65" si="0">YEAR(R2)</f>
        <v>1988</v>
      </c>
      <c r="T2" s="8">
        <v>1988</v>
      </c>
      <c r="U2" s="8">
        <f t="shared" ref="U2:U65" si="1">2022-T2</f>
        <v>34</v>
      </c>
      <c r="V2" s="7">
        <v>32484</v>
      </c>
      <c r="W2" t="s">
        <v>9</v>
      </c>
      <c r="X2" s="2">
        <v>1.59</v>
      </c>
      <c r="Y2" s="6">
        <f t="shared" ref="Y2:Y65" si="2">(X2-$Z$4)/($Z$3-$Z$4)</f>
        <v>4.2444141907583888E-2</v>
      </c>
      <c r="AA2">
        <v>52728</v>
      </c>
      <c r="AB2">
        <v>16791</v>
      </c>
      <c r="AD2" t="s">
        <v>1</v>
      </c>
      <c r="AE2">
        <v>936</v>
      </c>
      <c r="AF2">
        <v>3</v>
      </c>
      <c r="AH2" t="s">
        <v>1971</v>
      </c>
      <c r="AI2" t="s">
        <v>1970</v>
      </c>
      <c r="AJ2" t="s">
        <v>1969</v>
      </c>
      <c r="AK2" t="s">
        <v>1968</v>
      </c>
      <c r="AL2">
        <v>85</v>
      </c>
      <c r="AM2" s="5">
        <f t="shared" ref="AM2:AM65" si="3">AL2/U2</f>
        <v>2.5</v>
      </c>
      <c r="AN2" s="4">
        <f t="shared" ref="AN2:AN65" si="4">(AM2-$AO$4)/($AO$3-$AO$4)</f>
        <v>3.7864445285876562E-3</v>
      </c>
      <c r="AO2" s="3"/>
      <c r="AP2">
        <v>0</v>
      </c>
      <c r="AR2" t="s">
        <v>0</v>
      </c>
      <c r="AT2" s="2" t="s">
        <v>5</v>
      </c>
      <c r="AU2" s="1">
        <f t="shared" ref="AU2:AU65" si="5">(Y2*0.7+AN2*0.3)*100</f>
        <v>3.0846832693885018</v>
      </c>
      <c r="AV2" s="1">
        <f t="shared" ref="AV2:AV65" si="6">(Y2*0.5+AN2*0.5)*100</f>
        <v>2.3115293218085773</v>
      </c>
      <c r="AW2" s="1">
        <f t="shared" ref="AW2:AW65" si="7">(Y2*0.3+AN2*0.7)*100</f>
        <v>1.5383753742286523</v>
      </c>
    </row>
    <row r="3" spans="1:49" x14ac:dyDescent="0.2">
      <c r="A3">
        <v>1</v>
      </c>
      <c r="B3" t="s">
        <v>1967</v>
      </c>
      <c r="C3" t="s">
        <v>1966</v>
      </c>
      <c r="D3" t="s">
        <v>1965</v>
      </c>
      <c r="F3" t="s">
        <v>1964</v>
      </c>
      <c r="G3" t="s">
        <v>4</v>
      </c>
      <c r="H3" t="s">
        <v>3</v>
      </c>
      <c r="I3" t="s">
        <v>1963</v>
      </c>
      <c r="J3">
        <v>60016924</v>
      </c>
      <c r="K3" t="s">
        <v>1962</v>
      </c>
      <c r="L3" t="s">
        <v>35</v>
      </c>
      <c r="M3" t="s">
        <v>11</v>
      </c>
      <c r="N3">
        <v>4</v>
      </c>
      <c r="O3" t="s">
        <v>1961</v>
      </c>
      <c r="P3" t="s">
        <v>1960</v>
      </c>
      <c r="Q3" t="s">
        <v>1959</v>
      </c>
      <c r="R3" s="7">
        <v>32479</v>
      </c>
      <c r="S3" s="8">
        <f t="shared" si="0"/>
        <v>1988</v>
      </c>
      <c r="T3" s="8">
        <v>1988</v>
      </c>
      <c r="U3" s="8">
        <f t="shared" si="1"/>
        <v>34</v>
      </c>
      <c r="V3" s="7">
        <v>32479</v>
      </c>
      <c r="W3" t="s">
        <v>1958</v>
      </c>
      <c r="X3" s="2">
        <v>0.66500000000000004</v>
      </c>
      <c r="Y3" s="6">
        <f t="shared" si="2"/>
        <v>1.7751795200341692E-2</v>
      </c>
      <c r="Z3">
        <v>37.460999999999999</v>
      </c>
      <c r="AA3">
        <v>3048853</v>
      </c>
      <c r="AB3">
        <v>28526</v>
      </c>
      <c r="AD3" t="s">
        <v>1</v>
      </c>
      <c r="AE3" t="s">
        <v>1957</v>
      </c>
      <c r="AF3" t="s">
        <v>8</v>
      </c>
      <c r="AH3" t="s">
        <v>1956</v>
      </c>
      <c r="AI3" t="s">
        <v>1955</v>
      </c>
      <c r="AK3" t="s">
        <v>1954</v>
      </c>
      <c r="AL3">
        <v>0</v>
      </c>
      <c r="AM3" s="5">
        <f t="shared" si="3"/>
        <v>0</v>
      </c>
      <c r="AN3" s="4">
        <f t="shared" si="4"/>
        <v>0</v>
      </c>
      <c r="AO3" s="3">
        <v>660.25</v>
      </c>
      <c r="AP3">
        <v>0</v>
      </c>
      <c r="AR3" t="s">
        <v>0</v>
      </c>
      <c r="AT3" s="2" t="s">
        <v>5</v>
      </c>
      <c r="AU3" s="1">
        <f t="shared" si="5"/>
        <v>1.2426256640239184</v>
      </c>
      <c r="AV3" s="1">
        <f t="shared" si="6"/>
        <v>0.88758976001708456</v>
      </c>
      <c r="AW3" s="1">
        <f t="shared" si="7"/>
        <v>0.53255385601025074</v>
      </c>
    </row>
    <row r="4" spans="1:49" x14ac:dyDescent="0.2">
      <c r="A4">
        <v>2</v>
      </c>
      <c r="B4" t="s">
        <v>1953</v>
      </c>
      <c r="C4" t="s">
        <v>1952</v>
      </c>
      <c r="F4" t="s">
        <v>1951</v>
      </c>
      <c r="G4" t="s">
        <v>4</v>
      </c>
      <c r="H4" t="s">
        <v>3</v>
      </c>
      <c r="I4" t="s">
        <v>1950</v>
      </c>
      <c r="J4">
        <v>60003269</v>
      </c>
      <c r="K4" t="s">
        <v>1922</v>
      </c>
      <c r="L4" t="s">
        <v>1411</v>
      </c>
      <c r="M4" t="s">
        <v>10</v>
      </c>
      <c r="N4">
        <v>4</v>
      </c>
      <c r="O4" t="s">
        <v>1949</v>
      </c>
      <c r="P4" t="s">
        <v>1948</v>
      </c>
      <c r="Q4" t="s">
        <v>1947</v>
      </c>
      <c r="R4" s="7">
        <v>32478</v>
      </c>
      <c r="S4" s="8">
        <f t="shared" si="0"/>
        <v>1988</v>
      </c>
      <c r="T4" s="8">
        <v>1988</v>
      </c>
      <c r="U4" s="8">
        <f t="shared" si="1"/>
        <v>34</v>
      </c>
      <c r="V4" s="7">
        <v>1988</v>
      </c>
      <c r="W4" t="s">
        <v>1407</v>
      </c>
      <c r="X4" s="2">
        <v>0.60499999999999998</v>
      </c>
      <c r="Y4" s="6">
        <f t="shared" si="2"/>
        <v>1.6150129467980032E-2</v>
      </c>
      <c r="Z4">
        <v>0</v>
      </c>
      <c r="AA4">
        <v>346748</v>
      </c>
      <c r="AB4">
        <v>15563</v>
      </c>
      <c r="AD4" t="s">
        <v>1</v>
      </c>
      <c r="AE4">
        <v>59</v>
      </c>
      <c r="AF4">
        <v>8</v>
      </c>
      <c r="AH4" t="s">
        <v>1946</v>
      </c>
      <c r="AI4" t="s">
        <v>1945</v>
      </c>
      <c r="AK4" t="s">
        <v>1944</v>
      </c>
      <c r="AL4">
        <v>1</v>
      </c>
      <c r="AM4" s="5">
        <f t="shared" si="3"/>
        <v>2.9411764705882353E-2</v>
      </c>
      <c r="AN4" s="4">
        <f t="shared" si="4"/>
        <v>4.4546406218678307E-5</v>
      </c>
      <c r="AO4" s="3">
        <v>0</v>
      </c>
      <c r="AP4">
        <v>0</v>
      </c>
      <c r="AR4" t="s">
        <v>0</v>
      </c>
      <c r="AT4" s="2">
        <v>1.5229999999999999</v>
      </c>
      <c r="AU4" s="1">
        <f t="shared" si="5"/>
        <v>1.1318454549451624</v>
      </c>
      <c r="AV4" s="1">
        <f t="shared" si="6"/>
        <v>0.80973379370993559</v>
      </c>
      <c r="AW4" s="1">
        <f t="shared" si="7"/>
        <v>0.48762213247470843</v>
      </c>
    </row>
    <row r="5" spans="1:49" x14ac:dyDescent="0.2">
      <c r="A5">
        <v>3</v>
      </c>
      <c r="B5" t="s">
        <v>1943</v>
      </c>
      <c r="C5" t="s">
        <v>1942</v>
      </c>
      <c r="F5" t="s">
        <v>1941</v>
      </c>
      <c r="G5" t="s">
        <v>4</v>
      </c>
      <c r="H5" t="s">
        <v>3</v>
      </c>
      <c r="I5" t="s">
        <v>94</v>
      </c>
      <c r="J5" t="s">
        <v>143</v>
      </c>
      <c r="K5" t="s">
        <v>142</v>
      </c>
      <c r="L5" t="s">
        <v>141</v>
      </c>
      <c r="M5" t="s">
        <v>2</v>
      </c>
      <c r="N5">
        <v>2</v>
      </c>
      <c r="O5" t="s">
        <v>140</v>
      </c>
      <c r="P5" t="s">
        <v>93</v>
      </c>
      <c r="Q5" t="s">
        <v>139</v>
      </c>
      <c r="R5" s="7">
        <v>32478</v>
      </c>
      <c r="S5" s="8">
        <f t="shared" si="0"/>
        <v>1988</v>
      </c>
      <c r="T5" s="8">
        <v>1988</v>
      </c>
      <c r="U5" s="8">
        <f t="shared" si="1"/>
        <v>34</v>
      </c>
      <c r="V5" s="7">
        <v>1988</v>
      </c>
      <c r="W5" t="s">
        <v>1372</v>
      </c>
      <c r="X5" s="2">
        <v>0.69899999999999995</v>
      </c>
      <c r="Y5" s="6">
        <f t="shared" si="2"/>
        <v>1.8659405782013295E-2</v>
      </c>
      <c r="AA5">
        <v>218979</v>
      </c>
      <c r="AB5">
        <v>28132</v>
      </c>
      <c r="AD5" t="s">
        <v>1</v>
      </c>
      <c r="AE5">
        <v>63</v>
      </c>
      <c r="AF5">
        <v>6</v>
      </c>
      <c r="AH5" t="s">
        <v>1940</v>
      </c>
      <c r="AI5" t="s">
        <v>1939</v>
      </c>
      <c r="AK5" t="s">
        <v>1938</v>
      </c>
      <c r="AL5">
        <v>0</v>
      </c>
      <c r="AM5" s="5">
        <f t="shared" si="3"/>
        <v>0</v>
      </c>
      <c r="AN5" s="4">
        <f t="shared" si="4"/>
        <v>0</v>
      </c>
      <c r="AO5" s="3"/>
      <c r="AP5">
        <v>0</v>
      </c>
      <c r="AR5" t="s">
        <v>0</v>
      </c>
      <c r="AT5" s="2">
        <v>2.5459999999999998</v>
      </c>
      <c r="AU5" s="1">
        <f t="shared" si="5"/>
        <v>1.3061584047409305</v>
      </c>
      <c r="AV5" s="1">
        <f t="shared" si="6"/>
        <v>0.93297028910066471</v>
      </c>
      <c r="AW5" s="1">
        <f t="shared" si="7"/>
        <v>0.55978217346039882</v>
      </c>
    </row>
    <row r="6" spans="1:49" x14ac:dyDescent="0.2">
      <c r="A6">
        <v>4</v>
      </c>
      <c r="B6" t="s">
        <v>1937</v>
      </c>
      <c r="C6" t="s">
        <v>1936</v>
      </c>
      <c r="F6" t="s">
        <v>1935</v>
      </c>
      <c r="G6" t="s">
        <v>4</v>
      </c>
      <c r="H6" t="s">
        <v>3</v>
      </c>
      <c r="I6" t="s">
        <v>1934</v>
      </c>
      <c r="J6">
        <v>60006838</v>
      </c>
      <c r="K6" t="s">
        <v>1933</v>
      </c>
      <c r="M6" t="s">
        <v>24</v>
      </c>
      <c r="N6">
        <v>3</v>
      </c>
      <c r="O6" t="s">
        <v>1932</v>
      </c>
      <c r="P6" t="s">
        <v>1931</v>
      </c>
      <c r="Q6" t="s">
        <v>1930</v>
      </c>
      <c r="R6" s="7">
        <v>32478</v>
      </c>
      <c r="S6" s="8">
        <f t="shared" si="0"/>
        <v>1988</v>
      </c>
      <c r="T6" s="8">
        <v>1988</v>
      </c>
      <c r="U6" s="8">
        <f t="shared" si="1"/>
        <v>34</v>
      </c>
      <c r="V6" s="7">
        <v>1988</v>
      </c>
      <c r="W6" t="s">
        <v>1372</v>
      </c>
      <c r="X6" s="2">
        <v>0.69899999999999995</v>
      </c>
      <c r="Y6" s="6">
        <f t="shared" si="2"/>
        <v>1.8659405782013295E-2</v>
      </c>
      <c r="AA6">
        <v>218979</v>
      </c>
      <c r="AB6">
        <v>28132</v>
      </c>
      <c r="AD6" t="s">
        <v>1</v>
      </c>
      <c r="AE6">
        <v>64</v>
      </c>
      <c r="AF6">
        <v>10</v>
      </c>
      <c r="AH6" t="s">
        <v>1929</v>
      </c>
      <c r="AI6" t="s">
        <v>1928</v>
      </c>
      <c r="AK6" t="s">
        <v>1927</v>
      </c>
      <c r="AL6">
        <v>1</v>
      </c>
      <c r="AM6" s="5">
        <f t="shared" si="3"/>
        <v>2.9411764705882353E-2</v>
      </c>
      <c r="AN6" s="4">
        <f t="shared" si="4"/>
        <v>4.4546406218678307E-5</v>
      </c>
      <c r="AO6" s="3"/>
      <c r="AP6">
        <v>0</v>
      </c>
      <c r="AR6" t="s">
        <v>0</v>
      </c>
      <c r="AT6" s="2">
        <v>2.5459999999999998</v>
      </c>
      <c r="AU6" s="1">
        <f t="shared" si="5"/>
        <v>1.3074947969274908</v>
      </c>
      <c r="AV6" s="1">
        <f t="shared" si="6"/>
        <v>0.93519760941159868</v>
      </c>
      <c r="AW6" s="1">
        <f t="shared" si="7"/>
        <v>0.56290042189570622</v>
      </c>
    </row>
    <row r="7" spans="1:49" x14ac:dyDescent="0.2">
      <c r="A7">
        <v>5</v>
      </c>
      <c r="B7" t="s">
        <v>1926</v>
      </c>
      <c r="C7" t="s">
        <v>1925</v>
      </c>
      <c r="F7" t="s">
        <v>1924</v>
      </c>
      <c r="G7" t="s">
        <v>4</v>
      </c>
      <c r="H7" t="s">
        <v>3</v>
      </c>
      <c r="I7" t="s">
        <v>1923</v>
      </c>
      <c r="J7">
        <v>60003269</v>
      </c>
      <c r="K7" t="s">
        <v>1922</v>
      </c>
      <c r="L7" t="s">
        <v>1411</v>
      </c>
      <c r="M7" t="s">
        <v>10</v>
      </c>
      <c r="N7">
        <v>2</v>
      </c>
      <c r="O7" t="s">
        <v>1921</v>
      </c>
      <c r="P7" t="s">
        <v>1920</v>
      </c>
      <c r="Q7" t="s">
        <v>1919</v>
      </c>
      <c r="R7" s="7">
        <v>32478</v>
      </c>
      <c r="S7" s="8">
        <f t="shared" si="0"/>
        <v>1988</v>
      </c>
      <c r="T7" s="8">
        <v>1988</v>
      </c>
      <c r="U7" s="8">
        <f t="shared" si="1"/>
        <v>34</v>
      </c>
      <c r="V7" s="7">
        <v>1988</v>
      </c>
      <c r="W7" t="s">
        <v>1407</v>
      </c>
      <c r="X7" s="2">
        <v>0.60499999999999998</v>
      </c>
      <c r="Y7" s="6">
        <f t="shared" si="2"/>
        <v>1.6150129467980032E-2</v>
      </c>
      <c r="AA7">
        <v>346748</v>
      </c>
      <c r="AB7">
        <v>15563</v>
      </c>
      <c r="AD7" t="s">
        <v>1</v>
      </c>
      <c r="AE7">
        <v>59</v>
      </c>
      <c r="AF7">
        <v>6</v>
      </c>
      <c r="AH7" t="s">
        <v>1918</v>
      </c>
      <c r="AI7" t="s">
        <v>1917</v>
      </c>
      <c r="AK7" t="s">
        <v>1916</v>
      </c>
      <c r="AL7">
        <v>8</v>
      </c>
      <c r="AM7" s="5">
        <f t="shared" si="3"/>
        <v>0.23529411764705882</v>
      </c>
      <c r="AN7" s="4">
        <f t="shared" si="4"/>
        <v>3.5637124974942646E-4</v>
      </c>
      <c r="AO7" s="3"/>
      <c r="AP7">
        <v>0</v>
      </c>
      <c r="AR7" t="s">
        <v>0</v>
      </c>
      <c r="AT7" s="2">
        <v>1.5229999999999999</v>
      </c>
      <c r="AU7" s="1">
        <f t="shared" si="5"/>
        <v>1.141200200251085</v>
      </c>
      <c r="AV7" s="1">
        <f t="shared" si="6"/>
        <v>0.82532503588647299</v>
      </c>
      <c r="AW7" s="1">
        <f t="shared" si="7"/>
        <v>0.50944987152186083</v>
      </c>
    </row>
    <row r="8" spans="1:49" x14ac:dyDescent="0.2">
      <c r="A8">
        <v>6</v>
      </c>
      <c r="B8" t="s">
        <v>1915</v>
      </c>
      <c r="C8" t="s">
        <v>1914</v>
      </c>
      <c r="F8" t="s">
        <v>1913</v>
      </c>
      <c r="G8" t="s">
        <v>4</v>
      </c>
      <c r="H8" t="s">
        <v>3</v>
      </c>
      <c r="I8" t="s">
        <v>1912</v>
      </c>
      <c r="J8">
        <v>60011273</v>
      </c>
      <c r="K8" t="s">
        <v>120</v>
      </c>
      <c r="L8" t="s">
        <v>119</v>
      </c>
      <c r="M8" t="s">
        <v>10</v>
      </c>
      <c r="N8">
        <v>4</v>
      </c>
      <c r="O8" t="s">
        <v>1911</v>
      </c>
      <c r="P8" t="s">
        <v>1910</v>
      </c>
      <c r="Q8" t="s">
        <v>1909</v>
      </c>
      <c r="R8" s="7">
        <v>32478</v>
      </c>
      <c r="S8" s="8">
        <f t="shared" si="0"/>
        <v>1988</v>
      </c>
      <c r="T8" s="8">
        <v>1988</v>
      </c>
      <c r="U8" s="8">
        <f t="shared" si="1"/>
        <v>34</v>
      </c>
      <c r="V8" s="7">
        <v>1988</v>
      </c>
      <c r="W8" t="s">
        <v>1407</v>
      </c>
      <c r="X8" s="2">
        <v>0.60499999999999998</v>
      </c>
      <c r="Y8" s="6">
        <f t="shared" si="2"/>
        <v>1.6150129467980032E-2</v>
      </c>
      <c r="AA8">
        <v>346748</v>
      </c>
      <c r="AB8">
        <v>15563</v>
      </c>
      <c r="AD8" t="s">
        <v>1</v>
      </c>
      <c r="AE8">
        <v>59</v>
      </c>
      <c r="AF8">
        <v>8</v>
      </c>
      <c r="AH8" t="s">
        <v>1908</v>
      </c>
      <c r="AI8" t="s">
        <v>1907</v>
      </c>
      <c r="AK8" t="s">
        <v>1906</v>
      </c>
      <c r="AL8">
        <v>0</v>
      </c>
      <c r="AM8" s="5">
        <f t="shared" si="3"/>
        <v>0</v>
      </c>
      <c r="AN8" s="4">
        <f t="shared" si="4"/>
        <v>0</v>
      </c>
      <c r="AO8" s="3"/>
      <c r="AP8">
        <v>0</v>
      </c>
      <c r="AR8" t="s">
        <v>0</v>
      </c>
      <c r="AT8" s="2">
        <v>1.5229999999999999</v>
      </c>
      <c r="AU8" s="1">
        <f t="shared" si="5"/>
        <v>1.1305090627586021</v>
      </c>
      <c r="AV8" s="1">
        <f t="shared" si="6"/>
        <v>0.80750647339900161</v>
      </c>
      <c r="AW8" s="1">
        <f t="shared" si="7"/>
        <v>0.48450388403940098</v>
      </c>
    </row>
    <row r="9" spans="1:49" x14ac:dyDescent="0.2">
      <c r="A9">
        <v>7</v>
      </c>
      <c r="B9" t="s">
        <v>1905</v>
      </c>
      <c r="C9" t="s">
        <v>1904</v>
      </c>
      <c r="F9" t="s">
        <v>1903</v>
      </c>
      <c r="G9" t="s">
        <v>4</v>
      </c>
      <c r="H9" t="s">
        <v>3</v>
      </c>
      <c r="I9" t="s">
        <v>1902</v>
      </c>
      <c r="J9">
        <v>60010499</v>
      </c>
      <c r="K9" t="s">
        <v>1901</v>
      </c>
      <c r="L9" t="s">
        <v>1900</v>
      </c>
      <c r="M9" t="s">
        <v>115</v>
      </c>
      <c r="N9">
        <v>4</v>
      </c>
      <c r="O9" t="s">
        <v>1899</v>
      </c>
      <c r="P9" t="s">
        <v>1898</v>
      </c>
      <c r="Q9" t="s">
        <v>1897</v>
      </c>
      <c r="R9" s="7">
        <v>32478</v>
      </c>
      <c r="S9" s="8">
        <f t="shared" si="0"/>
        <v>1988</v>
      </c>
      <c r="T9" s="8">
        <v>1988</v>
      </c>
      <c r="U9" s="8">
        <f t="shared" si="1"/>
        <v>34</v>
      </c>
      <c r="V9" s="7">
        <v>1988</v>
      </c>
      <c r="W9" t="s">
        <v>1798</v>
      </c>
      <c r="X9" s="2">
        <v>1.3280000000000001</v>
      </c>
      <c r="Y9" s="6">
        <f t="shared" si="2"/>
        <v>3.5450201542937994E-2</v>
      </c>
      <c r="AA9">
        <v>7413335</v>
      </c>
      <c r="AB9">
        <v>29251</v>
      </c>
      <c r="AD9" t="s">
        <v>1</v>
      </c>
      <c r="AE9">
        <v>30</v>
      </c>
      <c r="AF9">
        <v>10</v>
      </c>
      <c r="AG9">
        <v>11</v>
      </c>
      <c r="AH9" t="s">
        <v>1896</v>
      </c>
      <c r="AI9" t="s">
        <v>1895</v>
      </c>
      <c r="AK9" t="s">
        <v>1894</v>
      </c>
      <c r="AL9">
        <v>3</v>
      </c>
      <c r="AM9" s="5">
        <f t="shared" si="3"/>
        <v>8.8235294117647065E-2</v>
      </c>
      <c r="AN9" s="4">
        <f t="shared" si="4"/>
        <v>1.3363921865603494E-4</v>
      </c>
      <c r="AO9" s="3"/>
      <c r="AP9">
        <v>0</v>
      </c>
      <c r="AR9" t="s">
        <v>0</v>
      </c>
      <c r="AT9" s="2">
        <v>2.4580000000000002</v>
      </c>
      <c r="AU9" s="1">
        <f t="shared" si="5"/>
        <v>2.4855232845653408</v>
      </c>
      <c r="AV9" s="1">
        <f t="shared" si="6"/>
        <v>1.7791920380797015</v>
      </c>
      <c r="AW9" s="1">
        <f t="shared" si="7"/>
        <v>1.0728607915940622</v>
      </c>
    </row>
    <row r="10" spans="1:49" x14ac:dyDescent="0.2">
      <c r="A10">
        <v>8</v>
      </c>
      <c r="B10" t="s">
        <v>1893</v>
      </c>
      <c r="C10" t="s">
        <v>1892</v>
      </c>
      <c r="F10" t="s">
        <v>1891</v>
      </c>
      <c r="G10" t="s">
        <v>4</v>
      </c>
      <c r="H10" t="s">
        <v>3</v>
      </c>
      <c r="I10" t="s">
        <v>1890</v>
      </c>
      <c r="J10">
        <v>60009507</v>
      </c>
      <c r="K10" t="s">
        <v>158</v>
      </c>
      <c r="L10" t="s">
        <v>40</v>
      </c>
      <c r="M10" t="s">
        <v>39</v>
      </c>
      <c r="N10">
        <v>3</v>
      </c>
      <c r="O10" t="s">
        <v>1889</v>
      </c>
      <c r="P10" t="s">
        <v>1888</v>
      </c>
      <c r="Q10" t="s">
        <v>1887</v>
      </c>
      <c r="R10" s="7">
        <v>32478</v>
      </c>
      <c r="S10" s="8">
        <f t="shared" si="0"/>
        <v>1988</v>
      </c>
      <c r="T10" s="8">
        <v>1988</v>
      </c>
      <c r="U10" s="8">
        <f t="shared" si="1"/>
        <v>34</v>
      </c>
      <c r="V10" s="7">
        <v>1988</v>
      </c>
      <c r="W10" t="s">
        <v>1798</v>
      </c>
      <c r="X10" s="2">
        <v>1.3280000000000001</v>
      </c>
      <c r="Y10" s="6">
        <f t="shared" si="2"/>
        <v>3.5450201542937994E-2</v>
      </c>
      <c r="AA10">
        <v>7413335</v>
      </c>
      <c r="AB10">
        <v>29251</v>
      </c>
      <c r="AD10" t="s">
        <v>1</v>
      </c>
      <c r="AE10">
        <v>30</v>
      </c>
      <c r="AF10">
        <v>7</v>
      </c>
      <c r="AG10">
        <v>1</v>
      </c>
      <c r="AH10" t="s">
        <v>1886</v>
      </c>
      <c r="AI10" t="s">
        <v>1885</v>
      </c>
      <c r="AK10" t="s">
        <v>1884</v>
      </c>
      <c r="AL10">
        <v>2</v>
      </c>
      <c r="AM10" s="5">
        <f t="shared" si="3"/>
        <v>5.8823529411764705E-2</v>
      </c>
      <c r="AN10" s="4">
        <f t="shared" si="4"/>
        <v>8.9092812437356614E-5</v>
      </c>
      <c r="AO10" s="3"/>
      <c r="AP10">
        <v>0</v>
      </c>
      <c r="AR10" t="s">
        <v>0</v>
      </c>
      <c r="AT10" s="2">
        <v>2.4580000000000002</v>
      </c>
      <c r="AU10" s="1">
        <f t="shared" si="5"/>
        <v>2.4841868923787804</v>
      </c>
      <c r="AV10" s="1">
        <f t="shared" si="6"/>
        <v>1.7769647177687677</v>
      </c>
      <c r="AW10" s="1">
        <f t="shared" si="7"/>
        <v>1.0697425431587546</v>
      </c>
    </row>
    <row r="11" spans="1:49" x14ac:dyDescent="0.2">
      <c r="A11">
        <v>9</v>
      </c>
      <c r="B11" t="s">
        <v>1883</v>
      </c>
      <c r="C11" t="s">
        <v>1882</v>
      </c>
      <c r="F11" t="s">
        <v>1881</v>
      </c>
      <c r="G11" t="s">
        <v>4</v>
      </c>
      <c r="H11" t="s">
        <v>3</v>
      </c>
      <c r="I11" t="s">
        <v>1880</v>
      </c>
      <c r="J11">
        <v>60031101</v>
      </c>
      <c r="K11" t="s">
        <v>96</v>
      </c>
      <c r="L11" t="s">
        <v>32</v>
      </c>
      <c r="M11" t="s">
        <v>56</v>
      </c>
      <c r="N11">
        <v>2</v>
      </c>
      <c r="O11" t="s">
        <v>1879</v>
      </c>
      <c r="P11" t="s">
        <v>1878</v>
      </c>
      <c r="Q11" t="s">
        <v>1877</v>
      </c>
      <c r="R11" s="7">
        <v>32478</v>
      </c>
      <c r="S11" s="8">
        <f t="shared" si="0"/>
        <v>1988</v>
      </c>
      <c r="T11" s="8">
        <v>1988</v>
      </c>
      <c r="U11" s="8">
        <f t="shared" si="1"/>
        <v>34</v>
      </c>
      <c r="V11" s="7">
        <v>1988</v>
      </c>
      <c r="W11" t="s">
        <v>1876</v>
      </c>
      <c r="X11" s="2" t="s">
        <v>5</v>
      </c>
      <c r="Y11" s="6" t="e">
        <f t="shared" si="2"/>
        <v>#VALUE!</v>
      </c>
      <c r="AA11">
        <v>223735</v>
      </c>
      <c r="AB11">
        <v>32471</v>
      </c>
      <c r="AD11" t="s">
        <v>1</v>
      </c>
      <c r="AE11">
        <v>21</v>
      </c>
      <c r="AF11">
        <v>7</v>
      </c>
      <c r="AG11">
        <v>6</v>
      </c>
      <c r="AH11" t="s">
        <v>1875</v>
      </c>
      <c r="AI11" t="s">
        <v>1874</v>
      </c>
      <c r="AK11" t="s">
        <v>1873</v>
      </c>
      <c r="AL11">
        <v>2</v>
      </c>
      <c r="AM11" s="5">
        <f t="shared" si="3"/>
        <v>5.8823529411764705E-2</v>
      </c>
      <c r="AN11" s="4">
        <f t="shared" si="4"/>
        <v>8.9092812437356614E-5</v>
      </c>
      <c r="AO11" s="3"/>
      <c r="AP11">
        <v>0</v>
      </c>
      <c r="AR11" t="s">
        <v>0</v>
      </c>
      <c r="AT11" s="2" t="s">
        <v>5</v>
      </c>
      <c r="AU11" s="1" t="e">
        <f t="shared" si="5"/>
        <v>#VALUE!</v>
      </c>
      <c r="AV11" s="1" t="e">
        <f t="shared" si="6"/>
        <v>#VALUE!</v>
      </c>
      <c r="AW11" s="1" t="e">
        <f t="shared" si="7"/>
        <v>#VALUE!</v>
      </c>
    </row>
    <row r="12" spans="1:49" x14ac:dyDescent="0.2">
      <c r="A12">
        <v>10</v>
      </c>
      <c r="B12" t="s">
        <v>1872</v>
      </c>
      <c r="C12" t="s">
        <v>1871</v>
      </c>
      <c r="F12" t="s">
        <v>1870</v>
      </c>
      <c r="G12" t="s">
        <v>4</v>
      </c>
      <c r="H12" t="s">
        <v>3</v>
      </c>
      <c r="I12" t="s">
        <v>1869</v>
      </c>
      <c r="J12">
        <v>60020304</v>
      </c>
      <c r="K12" t="s">
        <v>1374</v>
      </c>
      <c r="L12" t="s">
        <v>178</v>
      </c>
      <c r="M12" t="s">
        <v>10</v>
      </c>
      <c r="N12">
        <v>5</v>
      </c>
      <c r="O12" t="s">
        <v>1868</v>
      </c>
      <c r="P12" t="s">
        <v>1867</v>
      </c>
      <c r="Q12" t="s">
        <v>1866</v>
      </c>
      <c r="R12" s="7">
        <v>32478</v>
      </c>
      <c r="S12" s="8">
        <f t="shared" si="0"/>
        <v>1988</v>
      </c>
      <c r="T12" s="8">
        <v>1988</v>
      </c>
      <c r="U12" s="8">
        <f t="shared" si="1"/>
        <v>34</v>
      </c>
      <c r="V12" s="7">
        <v>1988</v>
      </c>
      <c r="W12" t="s">
        <v>1798</v>
      </c>
      <c r="X12" s="2">
        <v>1.3280000000000001</v>
      </c>
      <c r="Y12" s="6">
        <f t="shared" si="2"/>
        <v>3.5450201542937994E-2</v>
      </c>
      <c r="AA12">
        <v>7413335</v>
      </c>
      <c r="AB12">
        <v>29251</v>
      </c>
      <c r="AD12" t="s">
        <v>1</v>
      </c>
      <c r="AE12">
        <v>30</v>
      </c>
      <c r="AF12">
        <v>5</v>
      </c>
      <c r="AG12">
        <v>2</v>
      </c>
      <c r="AH12" t="s">
        <v>1865</v>
      </c>
      <c r="AI12" t="s">
        <v>1864</v>
      </c>
      <c r="AK12" t="s">
        <v>1863</v>
      </c>
      <c r="AL12">
        <v>2</v>
      </c>
      <c r="AM12" s="5">
        <f t="shared" si="3"/>
        <v>5.8823529411764705E-2</v>
      </c>
      <c r="AN12" s="4">
        <f t="shared" si="4"/>
        <v>8.9092812437356614E-5</v>
      </c>
      <c r="AO12" s="3"/>
      <c r="AP12">
        <v>0</v>
      </c>
      <c r="AR12" t="s">
        <v>0</v>
      </c>
      <c r="AT12" s="2">
        <v>2.4580000000000002</v>
      </c>
      <c r="AU12" s="1">
        <f t="shared" si="5"/>
        <v>2.4841868923787804</v>
      </c>
      <c r="AV12" s="1">
        <f t="shared" si="6"/>
        <v>1.7769647177687677</v>
      </c>
      <c r="AW12" s="1">
        <f t="shared" si="7"/>
        <v>1.0697425431587546</v>
      </c>
    </row>
    <row r="13" spans="1:49" x14ac:dyDescent="0.2">
      <c r="A13">
        <v>11</v>
      </c>
      <c r="B13" t="s">
        <v>1862</v>
      </c>
      <c r="C13" t="s">
        <v>1861</v>
      </c>
      <c r="F13" t="s">
        <v>1860</v>
      </c>
      <c r="G13" t="s">
        <v>4</v>
      </c>
      <c r="H13" t="s">
        <v>3</v>
      </c>
      <c r="I13" t="s">
        <v>1859</v>
      </c>
      <c r="J13" t="s">
        <v>1858</v>
      </c>
      <c r="K13" t="s">
        <v>1857</v>
      </c>
      <c r="L13" t="s">
        <v>1856</v>
      </c>
      <c r="M13" t="s">
        <v>2</v>
      </c>
      <c r="N13">
        <v>5</v>
      </c>
      <c r="O13" t="s">
        <v>1855</v>
      </c>
      <c r="P13" t="s">
        <v>1854</v>
      </c>
      <c r="Q13" t="s">
        <v>1853</v>
      </c>
      <c r="R13" s="7">
        <v>32478</v>
      </c>
      <c r="S13" s="8">
        <f t="shared" si="0"/>
        <v>1988</v>
      </c>
      <c r="T13" s="8">
        <v>1988</v>
      </c>
      <c r="U13" s="8">
        <f t="shared" si="1"/>
        <v>34</v>
      </c>
      <c r="V13" s="7">
        <v>32478</v>
      </c>
      <c r="W13" t="s">
        <v>179</v>
      </c>
      <c r="X13" s="2">
        <v>0.61499999999999999</v>
      </c>
      <c r="Y13" s="6">
        <f t="shared" si="2"/>
        <v>1.6417073756706976E-2</v>
      </c>
      <c r="AA13">
        <v>1959271</v>
      </c>
      <c r="AB13">
        <v>12141</v>
      </c>
      <c r="AC13">
        <v>15729559</v>
      </c>
      <c r="AD13" t="s">
        <v>1</v>
      </c>
      <c r="AE13">
        <v>9</v>
      </c>
      <c r="AF13">
        <v>12</v>
      </c>
      <c r="AH13" t="s">
        <v>145</v>
      </c>
      <c r="AI13" t="s">
        <v>1852</v>
      </c>
      <c r="AK13" t="s">
        <v>1851</v>
      </c>
      <c r="AL13">
        <v>0</v>
      </c>
      <c r="AM13" s="5">
        <f t="shared" si="3"/>
        <v>0</v>
      </c>
      <c r="AN13" s="4">
        <f t="shared" si="4"/>
        <v>0</v>
      </c>
      <c r="AO13" s="3"/>
      <c r="AP13">
        <v>0</v>
      </c>
      <c r="AR13" t="s">
        <v>0</v>
      </c>
      <c r="AT13" s="2" t="s">
        <v>5</v>
      </c>
      <c r="AU13" s="1">
        <f t="shared" si="5"/>
        <v>1.1491951629694881</v>
      </c>
      <c r="AV13" s="1">
        <f t="shared" si="6"/>
        <v>0.82085368783534873</v>
      </c>
      <c r="AW13" s="1">
        <f t="shared" si="7"/>
        <v>0.49251221270120926</v>
      </c>
    </row>
    <row r="14" spans="1:49" x14ac:dyDescent="0.2">
      <c r="A14">
        <v>12</v>
      </c>
      <c r="B14" t="s">
        <v>1850</v>
      </c>
      <c r="C14" t="s">
        <v>1849</v>
      </c>
      <c r="F14" t="s">
        <v>1848</v>
      </c>
      <c r="G14" t="s">
        <v>4</v>
      </c>
      <c r="H14" t="s">
        <v>3</v>
      </c>
      <c r="I14" t="s">
        <v>1847</v>
      </c>
      <c r="J14" t="s">
        <v>1846</v>
      </c>
      <c r="K14" t="s">
        <v>1845</v>
      </c>
      <c r="L14" t="s">
        <v>1844</v>
      </c>
      <c r="M14" t="s">
        <v>1843</v>
      </c>
      <c r="N14">
        <v>3</v>
      </c>
      <c r="O14" t="s">
        <v>1842</v>
      </c>
      <c r="P14" t="s">
        <v>1841</v>
      </c>
      <c r="Q14" t="s">
        <v>1840</v>
      </c>
      <c r="R14" s="7">
        <v>32478</v>
      </c>
      <c r="S14" s="8">
        <f t="shared" si="0"/>
        <v>1988</v>
      </c>
      <c r="T14" s="8">
        <v>1988</v>
      </c>
      <c r="U14" s="8">
        <f t="shared" si="1"/>
        <v>34</v>
      </c>
      <c r="V14" s="7">
        <v>32478</v>
      </c>
      <c r="W14" t="s">
        <v>209</v>
      </c>
      <c r="X14" s="2">
        <v>0.66400000000000003</v>
      </c>
      <c r="Y14" s="6">
        <f t="shared" si="2"/>
        <v>1.7725100771468997E-2</v>
      </c>
      <c r="AA14">
        <v>1757571</v>
      </c>
      <c r="AB14">
        <v>14877</v>
      </c>
      <c r="AC14">
        <v>14321017</v>
      </c>
      <c r="AD14" t="s">
        <v>1</v>
      </c>
      <c r="AE14">
        <v>16</v>
      </c>
      <c r="AF14">
        <v>5</v>
      </c>
      <c r="AH14" t="s">
        <v>561</v>
      </c>
      <c r="AI14" t="s">
        <v>1839</v>
      </c>
      <c r="AJ14" t="s">
        <v>1838</v>
      </c>
      <c r="AK14" t="s">
        <v>1837</v>
      </c>
      <c r="AL14">
        <v>0</v>
      </c>
      <c r="AM14" s="5">
        <f t="shared" si="3"/>
        <v>0</v>
      </c>
      <c r="AN14" s="4">
        <f t="shared" si="4"/>
        <v>0</v>
      </c>
      <c r="AO14" s="3"/>
      <c r="AP14">
        <v>0</v>
      </c>
      <c r="AR14" t="s">
        <v>0</v>
      </c>
      <c r="AT14" s="2" t="s">
        <v>5</v>
      </c>
      <c r="AU14" s="1">
        <f t="shared" si="5"/>
        <v>1.2407570540028299</v>
      </c>
      <c r="AV14" s="1">
        <f t="shared" si="6"/>
        <v>0.88625503857344989</v>
      </c>
      <c r="AW14" s="1">
        <f t="shared" si="7"/>
        <v>0.53175302314406991</v>
      </c>
    </row>
    <row r="15" spans="1:49" x14ac:dyDescent="0.2">
      <c r="A15">
        <v>13</v>
      </c>
      <c r="B15" t="s">
        <v>1836</v>
      </c>
      <c r="C15" t="s">
        <v>1835</v>
      </c>
      <c r="F15" t="s">
        <v>1834</v>
      </c>
      <c r="G15" t="s">
        <v>4</v>
      </c>
      <c r="H15" t="s">
        <v>3</v>
      </c>
      <c r="I15" t="s">
        <v>1833</v>
      </c>
      <c r="J15" t="s">
        <v>1832</v>
      </c>
      <c r="K15" t="s">
        <v>1831</v>
      </c>
      <c r="L15" t="s">
        <v>1830</v>
      </c>
      <c r="M15" t="s">
        <v>2</v>
      </c>
      <c r="N15">
        <v>3</v>
      </c>
      <c r="O15" t="s">
        <v>1829</v>
      </c>
      <c r="P15" t="s">
        <v>1828</v>
      </c>
      <c r="Q15" t="s">
        <v>1827</v>
      </c>
      <c r="R15" s="7">
        <v>32478</v>
      </c>
      <c r="S15" s="8">
        <f t="shared" si="0"/>
        <v>1988</v>
      </c>
      <c r="T15" s="8">
        <v>1988</v>
      </c>
      <c r="U15" s="8">
        <f t="shared" si="1"/>
        <v>34</v>
      </c>
      <c r="V15" s="7">
        <v>32478</v>
      </c>
      <c r="W15" t="s">
        <v>1826</v>
      </c>
      <c r="X15" s="2">
        <v>1.0680000000000001</v>
      </c>
      <c r="Y15" s="6">
        <f t="shared" si="2"/>
        <v>2.8509650036037483E-2</v>
      </c>
      <c r="AA15">
        <v>2545330</v>
      </c>
      <c r="AB15">
        <v>23090</v>
      </c>
      <c r="AC15">
        <v>15729338</v>
      </c>
      <c r="AD15" t="s">
        <v>1</v>
      </c>
      <c r="AE15">
        <v>14</v>
      </c>
      <c r="AF15">
        <v>1</v>
      </c>
      <c r="AH15" t="s">
        <v>1825</v>
      </c>
      <c r="AI15" t="s">
        <v>1824</v>
      </c>
      <c r="AK15" t="s">
        <v>1823</v>
      </c>
      <c r="AL15">
        <v>0</v>
      </c>
      <c r="AM15" s="5">
        <f t="shared" si="3"/>
        <v>0</v>
      </c>
      <c r="AN15" s="4">
        <f t="shared" si="4"/>
        <v>0</v>
      </c>
      <c r="AO15" s="3"/>
      <c r="AP15">
        <v>0</v>
      </c>
      <c r="AR15" t="s">
        <v>0</v>
      </c>
      <c r="AT15" s="2">
        <v>4.8540000000000001</v>
      </c>
      <c r="AU15" s="1">
        <f t="shared" si="5"/>
        <v>1.9956755025226238</v>
      </c>
      <c r="AV15" s="1">
        <f t="shared" si="6"/>
        <v>1.4254825018018742</v>
      </c>
      <c r="AW15" s="1">
        <f t="shared" si="7"/>
        <v>0.85528950108112434</v>
      </c>
    </row>
    <row r="16" spans="1:49" x14ac:dyDescent="0.2">
      <c r="A16">
        <v>14</v>
      </c>
      <c r="B16" t="s">
        <v>1822</v>
      </c>
      <c r="C16" t="s">
        <v>1821</v>
      </c>
      <c r="F16" t="s">
        <v>1820</v>
      </c>
      <c r="G16" t="s">
        <v>4</v>
      </c>
      <c r="H16" t="s">
        <v>3</v>
      </c>
      <c r="I16" t="s">
        <v>1148</v>
      </c>
      <c r="J16">
        <v>60028868</v>
      </c>
      <c r="K16" t="s">
        <v>1819</v>
      </c>
      <c r="L16" t="s">
        <v>199</v>
      </c>
      <c r="M16" t="s">
        <v>72</v>
      </c>
      <c r="N16">
        <v>6</v>
      </c>
      <c r="O16" t="s">
        <v>1147</v>
      </c>
      <c r="P16" t="s">
        <v>1146</v>
      </c>
      <c r="Q16" t="s">
        <v>1818</v>
      </c>
      <c r="R16" s="7">
        <v>32478</v>
      </c>
      <c r="S16" s="8">
        <f t="shared" si="0"/>
        <v>1988</v>
      </c>
      <c r="T16" s="8">
        <v>1988</v>
      </c>
      <c r="U16" s="8">
        <f t="shared" si="1"/>
        <v>34</v>
      </c>
      <c r="V16" s="7">
        <v>1988</v>
      </c>
      <c r="W16" t="s">
        <v>1407</v>
      </c>
      <c r="X16" s="2">
        <v>0.60499999999999998</v>
      </c>
      <c r="Y16" s="6">
        <f t="shared" si="2"/>
        <v>1.6150129467980032E-2</v>
      </c>
      <c r="AA16">
        <v>346748</v>
      </c>
      <c r="AB16">
        <v>15563</v>
      </c>
      <c r="AD16" t="s">
        <v>1</v>
      </c>
      <c r="AE16">
        <v>59</v>
      </c>
      <c r="AF16">
        <v>2</v>
      </c>
      <c r="AH16" t="s">
        <v>1817</v>
      </c>
      <c r="AI16" t="s">
        <v>1816</v>
      </c>
      <c r="AK16" t="s">
        <v>1815</v>
      </c>
      <c r="AL16">
        <v>21</v>
      </c>
      <c r="AM16" s="5">
        <f t="shared" si="3"/>
        <v>0.61764705882352944</v>
      </c>
      <c r="AN16" s="4">
        <f t="shared" si="4"/>
        <v>9.3547453059224456E-4</v>
      </c>
      <c r="AO16" s="3"/>
      <c r="AP16">
        <v>0</v>
      </c>
      <c r="AR16" t="s">
        <v>0</v>
      </c>
      <c r="AT16" s="2">
        <v>1.5229999999999999</v>
      </c>
      <c r="AU16" s="1">
        <f t="shared" si="5"/>
        <v>1.1585732986763695</v>
      </c>
      <c r="AV16" s="1">
        <f t="shared" si="6"/>
        <v>0.85428019992861393</v>
      </c>
      <c r="AW16" s="1">
        <f t="shared" si="7"/>
        <v>0.54998710118085814</v>
      </c>
    </row>
    <row r="17" spans="1:49" x14ac:dyDescent="0.2">
      <c r="A17">
        <v>15</v>
      </c>
      <c r="B17" t="s">
        <v>1814</v>
      </c>
      <c r="C17" t="s">
        <v>1813</v>
      </c>
      <c r="F17" t="s">
        <v>1812</v>
      </c>
      <c r="G17" t="s">
        <v>4</v>
      </c>
      <c r="H17" t="s">
        <v>3</v>
      </c>
      <c r="I17" t="s">
        <v>1811</v>
      </c>
      <c r="J17">
        <v>60015272</v>
      </c>
      <c r="K17" t="s">
        <v>152</v>
      </c>
      <c r="L17" t="s">
        <v>151</v>
      </c>
      <c r="M17" t="s">
        <v>10</v>
      </c>
      <c r="N17">
        <v>1</v>
      </c>
      <c r="O17" t="s">
        <v>1810</v>
      </c>
      <c r="P17">
        <v>8119256200</v>
      </c>
      <c r="Q17">
        <v>60015272</v>
      </c>
      <c r="R17" s="7">
        <v>32478</v>
      </c>
      <c r="S17" s="8">
        <f t="shared" si="0"/>
        <v>1988</v>
      </c>
      <c r="T17" s="8">
        <v>1988</v>
      </c>
      <c r="U17" s="8">
        <f t="shared" si="1"/>
        <v>34</v>
      </c>
      <c r="V17" s="7">
        <v>1988</v>
      </c>
      <c r="W17" t="s">
        <v>1372</v>
      </c>
      <c r="X17" s="2">
        <v>0.69899999999999995</v>
      </c>
      <c r="Y17" s="6">
        <f t="shared" si="2"/>
        <v>1.8659405782013295E-2</v>
      </c>
      <c r="AA17">
        <v>218979</v>
      </c>
      <c r="AB17">
        <v>28132</v>
      </c>
      <c r="AD17" t="s">
        <v>1</v>
      </c>
      <c r="AE17">
        <v>64</v>
      </c>
      <c r="AF17">
        <v>2</v>
      </c>
      <c r="AH17" t="s">
        <v>1809</v>
      </c>
      <c r="AI17" t="s">
        <v>1808</v>
      </c>
      <c r="AK17" t="s">
        <v>1807</v>
      </c>
      <c r="AL17">
        <v>29</v>
      </c>
      <c r="AM17" s="5">
        <f t="shared" si="3"/>
        <v>0.8529411764705882</v>
      </c>
      <c r="AN17" s="4">
        <f t="shared" si="4"/>
        <v>1.2918457803416709E-3</v>
      </c>
      <c r="AO17" s="3"/>
      <c r="AP17">
        <v>0</v>
      </c>
      <c r="AR17" t="s">
        <v>0</v>
      </c>
      <c r="AT17" s="2">
        <v>2.5459999999999998</v>
      </c>
      <c r="AU17" s="1">
        <f t="shared" si="5"/>
        <v>1.3449137781511806</v>
      </c>
      <c r="AV17" s="1">
        <f t="shared" si="6"/>
        <v>0.99756257811774818</v>
      </c>
      <c r="AW17" s="1">
        <f t="shared" si="7"/>
        <v>0.65021137808431573</v>
      </c>
    </row>
    <row r="18" spans="1:49" x14ac:dyDescent="0.2">
      <c r="A18">
        <v>16</v>
      </c>
      <c r="B18" t="s">
        <v>1806</v>
      </c>
      <c r="C18" t="s">
        <v>1805</v>
      </c>
      <c r="F18" t="s">
        <v>1804</v>
      </c>
      <c r="G18" t="s">
        <v>4</v>
      </c>
      <c r="H18" t="s">
        <v>3</v>
      </c>
      <c r="I18" t="s">
        <v>1803</v>
      </c>
      <c r="J18">
        <v>60025104</v>
      </c>
      <c r="K18" t="s">
        <v>1802</v>
      </c>
      <c r="M18" t="s">
        <v>56</v>
      </c>
      <c r="N18">
        <v>6</v>
      </c>
      <c r="O18" t="s">
        <v>1801</v>
      </c>
      <c r="P18" t="s">
        <v>1800</v>
      </c>
      <c r="Q18" t="s">
        <v>1799</v>
      </c>
      <c r="R18" s="7">
        <v>32478</v>
      </c>
      <c r="S18" s="8">
        <f t="shared" si="0"/>
        <v>1988</v>
      </c>
      <c r="T18" s="8">
        <v>1988</v>
      </c>
      <c r="U18" s="8">
        <f t="shared" si="1"/>
        <v>34</v>
      </c>
      <c r="V18" s="7">
        <v>1988</v>
      </c>
      <c r="W18" t="s">
        <v>1798</v>
      </c>
      <c r="X18" s="2">
        <v>1.3280000000000001</v>
      </c>
      <c r="Y18" s="6">
        <f t="shared" si="2"/>
        <v>3.5450201542937994E-2</v>
      </c>
      <c r="AA18">
        <v>7413335</v>
      </c>
      <c r="AB18">
        <v>29251</v>
      </c>
      <c r="AD18" t="s">
        <v>1</v>
      </c>
      <c r="AE18">
        <v>30</v>
      </c>
      <c r="AF18">
        <v>2</v>
      </c>
      <c r="AG18">
        <v>4</v>
      </c>
      <c r="AH18" t="s">
        <v>1797</v>
      </c>
      <c r="AI18" t="s">
        <v>1796</v>
      </c>
      <c r="AK18" t="s">
        <v>1795</v>
      </c>
      <c r="AL18">
        <v>67</v>
      </c>
      <c r="AM18" s="5">
        <f t="shared" si="3"/>
        <v>1.9705882352941178</v>
      </c>
      <c r="AN18" s="4">
        <f t="shared" si="4"/>
        <v>2.9846092166514468E-3</v>
      </c>
      <c r="AO18" s="3"/>
      <c r="AP18">
        <v>0</v>
      </c>
      <c r="AR18" t="s">
        <v>0</v>
      </c>
      <c r="AT18" s="2">
        <v>2.4580000000000002</v>
      </c>
      <c r="AU18" s="1">
        <f t="shared" si="5"/>
        <v>2.5710523845052031</v>
      </c>
      <c r="AV18" s="1">
        <f t="shared" si="6"/>
        <v>1.9217405379794721</v>
      </c>
      <c r="AW18" s="1">
        <f t="shared" si="7"/>
        <v>1.272428691453741</v>
      </c>
    </row>
    <row r="19" spans="1:49" x14ac:dyDescent="0.2">
      <c r="A19">
        <v>17</v>
      </c>
      <c r="B19" t="s">
        <v>1794</v>
      </c>
      <c r="C19" t="s">
        <v>1793</v>
      </c>
      <c r="F19" t="s">
        <v>1792</v>
      </c>
      <c r="G19" t="s">
        <v>4</v>
      </c>
      <c r="H19" t="s">
        <v>3</v>
      </c>
      <c r="I19" t="s">
        <v>1791</v>
      </c>
      <c r="N19">
        <v>2</v>
      </c>
      <c r="O19" t="s">
        <v>1790</v>
      </c>
      <c r="P19" t="s">
        <v>1789</v>
      </c>
      <c r="Q19" t="s">
        <v>42</v>
      </c>
      <c r="R19" s="7">
        <v>32478</v>
      </c>
      <c r="S19" s="8">
        <f t="shared" si="0"/>
        <v>1988</v>
      </c>
      <c r="T19" s="8">
        <v>1988</v>
      </c>
      <c r="U19" s="8">
        <f t="shared" si="1"/>
        <v>34</v>
      </c>
      <c r="V19" s="7">
        <v>32478</v>
      </c>
      <c r="W19" t="s">
        <v>220</v>
      </c>
      <c r="X19" s="2">
        <v>0.14899999999999999</v>
      </c>
      <c r="Y19" s="6">
        <f t="shared" si="2"/>
        <v>3.977469902031446E-3</v>
      </c>
      <c r="AA19">
        <v>5431972</v>
      </c>
      <c r="AB19">
        <v>15425</v>
      </c>
      <c r="AC19">
        <v>15738906</v>
      </c>
      <c r="AD19" t="s">
        <v>1</v>
      </c>
      <c r="AE19">
        <v>31</v>
      </c>
      <c r="AF19">
        <v>12</v>
      </c>
      <c r="AH19" t="s">
        <v>1788</v>
      </c>
      <c r="AL19">
        <v>0</v>
      </c>
      <c r="AM19" s="5">
        <f t="shared" si="3"/>
        <v>0</v>
      </c>
      <c r="AN19" s="4">
        <f t="shared" si="4"/>
        <v>0</v>
      </c>
      <c r="AO19" s="3"/>
      <c r="AP19">
        <v>0</v>
      </c>
      <c r="AR19" t="s">
        <v>0</v>
      </c>
      <c r="AT19" s="2" t="s">
        <v>5</v>
      </c>
      <c r="AU19" s="1">
        <f t="shared" si="5"/>
        <v>0.2784228931422012</v>
      </c>
      <c r="AV19" s="1">
        <f t="shared" si="6"/>
        <v>0.19887349510157229</v>
      </c>
      <c r="AW19" s="1">
        <f t="shared" si="7"/>
        <v>0.11932409706094337</v>
      </c>
    </row>
    <row r="20" spans="1:49" x14ac:dyDescent="0.2">
      <c r="A20">
        <v>18</v>
      </c>
      <c r="B20" t="s">
        <v>1787</v>
      </c>
      <c r="C20" t="s">
        <v>1786</v>
      </c>
      <c r="F20" t="s">
        <v>1785</v>
      </c>
      <c r="G20" t="s">
        <v>4</v>
      </c>
      <c r="H20" t="s">
        <v>3</v>
      </c>
      <c r="I20" t="s">
        <v>1784</v>
      </c>
      <c r="J20">
        <v>100404269</v>
      </c>
      <c r="K20" t="s">
        <v>1783</v>
      </c>
      <c r="L20" t="s">
        <v>1782</v>
      </c>
      <c r="M20" t="s">
        <v>39</v>
      </c>
      <c r="N20">
        <v>3</v>
      </c>
      <c r="O20" t="s">
        <v>1781</v>
      </c>
      <c r="P20" t="s">
        <v>1780</v>
      </c>
      <c r="Q20" t="s">
        <v>1779</v>
      </c>
      <c r="R20" s="7">
        <v>32478</v>
      </c>
      <c r="S20" s="8">
        <f t="shared" si="0"/>
        <v>1988</v>
      </c>
      <c r="T20" s="8">
        <v>1988</v>
      </c>
      <c r="U20" s="8">
        <f t="shared" si="1"/>
        <v>34</v>
      </c>
      <c r="V20" s="7">
        <v>32478</v>
      </c>
      <c r="W20" t="s">
        <v>1778</v>
      </c>
      <c r="X20" s="2">
        <v>1.1779999999999999</v>
      </c>
      <c r="Y20" s="6">
        <f t="shared" si="2"/>
        <v>3.1446037212033845E-2</v>
      </c>
      <c r="AA20">
        <v>168033</v>
      </c>
      <c r="AB20">
        <v>27965</v>
      </c>
      <c r="AD20" t="s">
        <v>1</v>
      </c>
      <c r="AE20">
        <v>53</v>
      </c>
      <c r="AF20">
        <v>12</v>
      </c>
      <c r="AH20" t="s">
        <v>1777</v>
      </c>
      <c r="AI20" t="s">
        <v>1776</v>
      </c>
      <c r="AK20" t="s">
        <v>1775</v>
      </c>
      <c r="AL20">
        <v>50</v>
      </c>
      <c r="AM20" s="5">
        <f t="shared" si="3"/>
        <v>1.4705882352941178</v>
      </c>
      <c r="AN20" s="4">
        <f t="shared" si="4"/>
        <v>2.2273203109339154E-3</v>
      </c>
      <c r="AO20" s="3"/>
      <c r="AP20">
        <v>0</v>
      </c>
      <c r="AR20" t="s">
        <v>0</v>
      </c>
      <c r="AT20" s="2">
        <v>2.9279999999999999</v>
      </c>
      <c r="AU20" s="1">
        <f t="shared" si="5"/>
        <v>2.2680422141703867</v>
      </c>
      <c r="AV20" s="1">
        <f t="shared" si="6"/>
        <v>1.6836678761483881</v>
      </c>
      <c r="AW20" s="1">
        <f t="shared" si="7"/>
        <v>1.0992935381263895</v>
      </c>
    </row>
    <row r="21" spans="1:49" x14ac:dyDescent="0.2">
      <c r="A21">
        <v>19</v>
      </c>
      <c r="B21" t="s">
        <v>1774</v>
      </c>
      <c r="C21" t="s">
        <v>1773</v>
      </c>
      <c r="D21">
        <v>22098188900433</v>
      </c>
      <c r="F21" t="s">
        <v>1772</v>
      </c>
      <c r="G21" t="s">
        <v>4</v>
      </c>
      <c r="H21" t="s">
        <v>3</v>
      </c>
      <c r="I21" t="s">
        <v>1771</v>
      </c>
      <c r="J21" t="s">
        <v>1770</v>
      </c>
      <c r="K21" t="s">
        <v>1769</v>
      </c>
      <c r="L21" t="s">
        <v>1768</v>
      </c>
      <c r="M21" t="s">
        <v>71</v>
      </c>
      <c r="N21">
        <v>3</v>
      </c>
      <c r="O21" t="s">
        <v>1767</v>
      </c>
      <c r="P21" t="s">
        <v>1766</v>
      </c>
      <c r="Q21" t="s">
        <v>1765</v>
      </c>
      <c r="R21" s="7">
        <v>32478</v>
      </c>
      <c r="S21" s="8">
        <f t="shared" si="0"/>
        <v>1988</v>
      </c>
      <c r="T21" s="8">
        <v>1988</v>
      </c>
      <c r="U21" s="8">
        <f t="shared" si="1"/>
        <v>34</v>
      </c>
      <c r="V21" s="7">
        <v>32478</v>
      </c>
      <c r="W21" t="s">
        <v>181</v>
      </c>
      <c r="X21" s="2">
        <v>0.96499999999999997</v>
      </c>
      <c r="Y21" s="6">
        <f t="shared" si="2"/>
        <v>2.5760123862149969E-2</v>
      </c>
      <c r="AA21">
        <v>220981</v>
      </c>
      <c r="AB21">
        <v>29606</v>
      </c>
      <c r="AD21" t="s">
        <v>1</v>
      </c>
      <c r="AE21">
        <v>123</v>
      </c>
      <c r="AF21">
        <v>3</v>
      </c>
      <c r="AH21" t="s">
        <v>1764</v>
      </c>
      <c r="AI21" t="s">
        <v>1763</v>
      </c>
      <c r="AJ21" t="s">
        <v>1762</v>
      </c>
      <c r="AK21" t="s">
        <v>1761</v>
      </c>
      <c r="AL21">
        <v>10</v>
      </c>
      <c r="AM21" s="5">
        <f t="shared" si="3"/>
        <v>0.29411764705882354</v>
      </c>
      <c r="AN21" s="4">
        <f t="shared" si="4"/>
        <v>4.4546406218678308E-4</v>
      </c>
      <c r="AO21" s="3"/>
      <c r="AP21">
        <v>0</v>
      </c>
      <c r="AR21" t="s">
        <v>0</v>
      </c>
      <c r="AT21" s="2" t="s">
        <v>5</v>
      </c>
      <c r="AU21" s="1">
        <f t="shared" si="5"/>
        <v>1.8165725922161011</v>
      </c>
      <c r="AV21" s="1">
        <f t="shared" si="6"/>
        <v>1.3102793962168375</v>
      </c>
      <c r="AW21" s="1">
        <f t="shared" si="7"/>
        <v>0.80398620021757383</v>
      </c>
    </row>
    <row r="22" spans="1:49" x14ac:dyDescent="0.2">
      <c r="A22">
        <v>20</v>
      </c>
      <c r="B22" t="s">
        <v>1760</v>
      </c>
      <c r="E22">
        <v>2848807</v>
      </c>
      <c r="F22" t="s">
        <v>1759</v>
      </c>
      <c r="G22" t="s">
        <v>4</v>
      </c>
      <c r="H22" t="s">
        <v>3</v>
      </c>
      <c r="I22" t="s">
        <v>1758</v>
      </c>
      <c r="J22">
        <v>60000305</v>
      </c>
      <c r="K22" t="s">
        <v>113</v>
      </c>
      <c r="L22" t="s">
        <v>95</v>
      </c>
      <c r="M22" t="s">
        <v>10</v>
      </c>
      <c r="N22">
        <v>4</v>
      </c>
      <c r="O22" t="s">
        <v>1757</v>
      </c>
      <c r="P22" t="s">
        <v>1756</v>
      </c>
      <c r="Q22" t="s">
        <v>1755</v>
      </c>
      <c r="R22" s="7">
        <v>32478</v>
      </c>
      <c r="S22" s="8">
        <f t="shared" si="0"/>
        <v>1988</v>
      </c>
      <c r="T22" s="8">
        <v>1988</v>
      </c>
      <c r="U22" s="8">
        <f t="shared" si="1"/>
        <v>34</v>
      </c>
      <c r="V22" s="7">
        <v>1988</v>
      </c>
      <c r="W22" t="s">
        <v>77</v>
      </c>
      <c r="X22" s="2">
        <v>2.3610000000000002</v>
      </c>
      <c r="Y22" s="6">
        <f t="shared" si="2"/>
        <v>6.3025546568431179E-2</v>
      </c>
      <c r="AA22">
        <v>219258</v>
      </c>
      <c r="AB22">
        <v>17592</v>
      </c>
      <c r="AD22" t="s">
        <v>1</v>
      </c>
      <c r="AE22">
        <v>263</v>
      </c>
      <c r="AF22">
        <v>35</v>
      </c>
      <c r="AH22" t="s">
        <v>1754</v>
      </c>
      <c r="AI22" t="s">
        <v>1753</v>
      </c>
      <c r="AK22" t="s">
        <v>1752</v>
      </c>
      <c r="AL22">
        <v>214</v>
      </c>
      <c r="AM22" s="5">
        <f t="shared" si="3"/>
        <v>6.2941176470588234</v>
      </c>
      <c r="AN22" s="4">
        <f t="shared" si="4"/>
        <v>9.5329309307971583E-3</v>
      </c>
      <c r="AO22" s="3"/>
      <c r="AP22">
        <v>0</v>
      </c>
      <c r="AQ22" t="s">
        <v>76</v>
      </c>
      <c r="AR22" t="s">
        <v>1751</v>
      </c>
      <c r="AS22" t="s">
        <v>75</v>
      </c>
      <c r="AT22" s="2">
        <v>5.157</v>
      </c>
      <c r="AU22" s="1">
        <f t="shared" si="5"/>
        <v>4.6977761877140969</v>
      </c>
      <c r="AV22" s="1">
        <f t="shared" si="6"/>
        <v>3.6279238749614167</v>
      </c>
      <c r="AW22" s="1">
        <f t="shared" si="7"/>
        <v>2.5580715622087364</v>
      </c>
    </row>
    <row r="23" spans="1:49" x14ac:dyDescent="0.2">
      <c r="A23">
        <v>21</v>
      </c>
      <c r="B23" t="s">
        <v>1750</v>
      </c>
      <c r="E23">
        <v>3218976</v>
      </c>
      <c r="F23" t="s">
        <v>1749</v>
      </c>
      <c r="G23" t="s">
        <v>4</v>
      </c>
      <c r="H23" t="s">
        <v>3</v>
      </c>
      <c r="I23" t="s">
        <v>1748</v>
      </c>
      <c r="J23">
        <v>60026261</v>
      </c>
      <c r="K23" t="s">
        <v>1747</v>
      </c>
      <c r="L23" t="s">
        <v>134</v>
      </c>
      <c r="M23" t="s">
        <v>133</v>
      </c>
      <c r="N23">
        <v>3</v>
      </c>
      <c r="O23" t="s">
        <v>1746</v>
      </c>
      <c r="P23" t="s">
        <v>1745</v>
      </c>
      <c r="Q23" t="s">
        <v>1744</v>
      </c>
      <c r="R23" s="7">
        <v>32478</v>
      </c>
      <c r="S23" s="8">
        <f t="shared" si="0"/>
        <v>1988</v>
      </c>
      <c r="T23" s="8">
        <v>1988</v>
      </c>
      <c r="U23" s="8">
        <f t="shared" si="1"/>
        <v>34</v>
      </c>
      <c r="V23" s="7">
        <v>1988</v>
      </c>
      <c r="W23" t="s">
        <v>1743</v>
      </c>
      <c r="X23" s="2">
        <v>0.73499999999999999</v>
      </c>
      <c r="Y23" s="6">
        <f t="shared" si="2"/>
        <v>1.9620405221430288E-2</v>
      </c>
      <c r="AA23">
        <v>2507005</v>
      </c>
      <c r="AB23">
        <v>28728</v>
      </c>
      <c r="AD23" t="s">
        <v>1</v>
      </c>
      <c r="AE23">
        <v>8</v>
      </c>
      <c r="AF23">
        <v>6</v>
      </c>
      <c r="AH23" t="s">
        <v>1742</v>
      </c>
      <c r="AI23" t="s">
        <v>1741</v>
      </c>
      <c r="AK23" t="s">
        <v>1740</v>
      </c>
      <c r="AL23">
        <v>0</v>
      </c>
      <c r="AM23" s="5">
        <f t="shared" si="3"/>
        <v>0</v>
      </c>
      <c r="AN23" s="4">
        <f t="shared" si="4"/>
        <v>0</v>
      </c>
      <c r="AO23" s="3"/>
      <c r="AP23">
        <v>0</v>
      </c>
      <c r="AR23" t="s">
        <v>0</v>
      </c>
      <c r="AT23" s="2">
        <v>2.48</v>
      </c>
      <c r="AU23" s="1">
        <f t="shared" si="5"/>
        <v>1.37342836550012</v>
      </c>
      <c r="AV23" s="1">
        <f t="shared" si="6"/>
        <v>0.98102026107151441</v>
      </c>
      <c r="AW23" s="1">
        <f t="shared" si="7"/>
        <v>0.58861215664290867</v>
      </c>
    </row>
    <row r="24" spans="1:49" x14ac:dyDescent="0.2">
      <c r="A24">
        <v>22</v>
      </c>
      <c r="B24" t="s">
        <v>1739</v>
      </c>
      <c r="F24" t="s">
        <v>1738</v>
      </c>
      <c r="G24" t="s">
        <v>4</v>
      </c>
      <c r="H24" t="s">
        <v>3</v>
      </c>
      <c r="I24" t="s">
        <v>1737</v>
      </c>
      <c r="N24">
        <v>3</v>
      </c>
      <c r="O24" t="s">
        <v>1736</v>
      </c>
      <c r="P24" t="s">
        <v>1735</v>
      </c>
      <c r="Q24" t="s">
        <v>44</v>
      </c>
      <c r="R24" s="7">
        <v>32478</v>
      </c>
      <c r="S24" s="8">
        <f t="shared" si="0"/>
        <v>1988</v>
      </c>
      <c r="T24" s="8">
        <v>1988</v>
      </c>
      <c r="U24" s="8">
        <f t="shared" si="1"/>
        <v>34</v>
      </c>
      <c r="V24" s="7">
        <v>32478</v>
      </c>
      <c r="W24" t="s">
        <v>41</v>
      </c>
      <c r="X24" s="2" t="s">
        <v>5</v>
      </c>
      <c r="Y24" s="6" t="e">
        <f t="shared" si="2"/>
        <v>#VALUE!</v>
      </c>
      <c r="AA24">
        <v>87566648</v>
      </c>
      <c r="AB24">
        <v>74127</v>
      </c>
      <c r="AD24" t="s">
        <v>1</v>
      </c>
      <c r="AE24">
        <v>33</v>
      </c>
      <c r="AF24">
        <v>12</v>
      </c>
      <c r="AH24" t="s">
        <v>1734</v>
      </c>
      <c r="AI24" t="s">
        <v>1733</v>
      </c>
      <c r="AK24" t="s">
        <v>1732</v>
      </c>
      <c r="AL24">
        <v>1</v>
      </c>
      <c r="AM24" s="5">
        <f t="shared" si="3"/>
        <v>2.9411764705882353E-2</v>
      </c>
      <c r="AN24" s="4">
        <f t="shared" si="4"/>
        <v>4.4546406218678307E-5</v>
      </c>
      <c r="AO24" s="3"/>
      <c r="AP24">
        <v>0</v>
      </c>
      <c r="AR24" t="s">
        <v>0</v>
      </c>
      <c r="AT24" s="2" t="s">
        <v>5</v>
      </c>
      <c r="AU24" s="1" t="e">
        <f t="shared" si="5"/>
        <v>#VALUE!</v>
      </c>
      <c r="AV24" s="1" t="e">
        <f t="shared" si="6"/>
        <v>#VALUE!</v>
      </c>
      <c r="AW24" s="1" t="e">
        <f t="shared" si="7"/>
        <v>#VALUE!</v>
      </c>
    </row>
    <row r="25" spans="1:49" x14ac:dyDescent="0.2">
      <c r="A25">
        <v>23</v>
      </c>
      <c r="B25" t="s">
        <v>1731</v>
      </c>
      <c r="F25" t="s">
        <v>1730</v>
      </c>
      <c r="G25" t="s">
        <v>4</v>
      </c>
      <c r="H25" t="s">
        <v>3</v>
      </c>
      <c r="I25" t="s">
        <v>1729</v>
      </c>
      <c r="N25">
        <v>1</v>
      </c>
      <c r="O25" t="s">
        <v>1728</v>
      </c>
      <c r="P25">
        <v>6602792060</v>
      </c>
      <c r="R25" s="7">
        <v>32478</v>
      </c>
      <c r="S25" s="8">
        <f t="shared" si="0"/>
        <v>1988</v>
      </c>
      <c r="T25" s="8">
        <v>1988</v>
      </c>
      <c r="U25" s="8">
        <f t="shared" si="1"/>
        <v>34</v>
      </c>
      <c r="V25" s="7">
        <v>32478</v>
      </c>
      <c r="W25" t="s">
        <v>52</v>
      </c>
      <c r="X25" s="2">
        <v>0.14099999999999999</v>
      </c>
      <c r="Y25" s="6">
        <f t="shared" si="2"/>
        <v>3.7639144710498915E-3</v>
      </c>
      <c r="AA25">
        <v>402508</v>
      </c>
      <c r="AB25">
        <v>20868</v>
      </c>
      <c r="AD25" t="s">
        <v>1</v>
      </c>
      <c r="AE25">
        <v>43</v>
      </c>
      <c r="AF25">
        <v>12</v>
      </c>
      <c r="AH25" t="s">
        <v>1727</v>
      </c>
      <c r="AI25" t="s">
        <v>1726</v>
      </c>
      <c r="AK25" t="s">
        <v>1725</v>
      </c>
      <c r="AL25">
        <v>0</v>
      </c>
      <c r="AM25" s="5">
        <f t="shared" si="3"/>
        <v>0</v>
      </c>
      <c r="AN25" s="4">
        <f t="shared" si="4"/>
        <v>0</v>
      </c>
      <c r="AO25" s="3"/>
      <c r="AP25">
        <v>0</v>
      </c>
      <c r="AR25" t="s">
        <v>0</v>
      </c>
      <c r="AT25" s="2" t="s">
        <v>5</v>
      </c>
      <c r="AU25" s="1">
        <f t="shared" si="5"/>
        <v>0.26347401297349238</v>
      </c>
      <c r="AV25" s="1">
        <f t="shared" si="6"/>
        <v>0.18819572355249459</v>
      </c>
      <c r="AW25" s="1">
        <f t="shared" si="7"/>
        <v>0.11291743413149673</v>
      </c>
    </row>
    <row r="26" spans="1:49" x14ac:dyDescent="0.2">
      <c r="A26">
        <v>24</v>
      </c>
      <c r="B26" t="s">
        <v>1724</v>
      </c>
      <c r="F26" t="s">
        <v>1723</v>
      </c>
      <c r="G26" t="s">
        <v>4</v>
      </c>
      <c r="H26" t="s">
        <v>3</v>
      </c>
      <c r="I26" t="s">
        <v>1722</v>
      </c>
      <c r="N26">
        <v>1</v>
      </c>
      <c r="O26" t="s">
        <v>1721</v>
      </c>
      <c r="P26">
        <v>7003563011</v>
      </c>
      <c r="R26" s="7">
        <v>32478</v>
      </c>
      <c r="S26" s="8">
        <f t="shared" si="0"/>
        <v>1988</v>
      </c>
      <c r="T26" s="8">
        <v>1988</v>
      </c>
      <c r="U26" s="8">
        <f t="shared" si="1"/>
        <v>34</v>
      </c>
      <c r="V26" s="7">
        <v>32478</v>
      </c>
      <c r="W26" t="s">
        <v>52</v>
      </c>
      <c r="X26" s="2">
        <v>0.14099999999999999</v>
      </c>
      <c r="Y26" s="6">
        <f t="shared" si="2"/>
        <v>3.7639144710498915E-3</v>
      </c>
      <c r="AA26">
        <v>402508</v>
      </c>
      <c r="AB26">
        <v>20868</v>
      </c>
      <c r="AD26" t="s">
        <v>1</v>
      </c>
      <c r="AE26">
        <v>43</v>
      </c>
      <c r="AF26">
        <v>12</v>
      </c>
      <c r="AH26" t="s">
        <v>185</v>
      </c>
      <c r="AI26" t="s">
        <v>1720</v>
      </c>
      <c r="AK26" t="s">
        <v>1719</v>
      </c>
      <c r="AL26">
        <v>0</v>
      </c>
      <c r="AM26" s="5">
        <f t="shared" si="3"/>
        <v>0</v>
      </c>
      <c r="AN26" s="4">
        <f t="shared" si="4"/>
        <v>0</v>
      </c>
      <c r="AO26" s="3"/>
      <c r="AP26">
        <v>0</v>
      </c>
      <c r="AR26" t="s">
        <v>0</v>
      </c>
      <c r="AT26" s="2" t="s">
        <v>5</v>
      </c>
      <c r="AU26" s="1">
        <f t="shared" si="5"/>
        <v>0.26347401297349238</v>
      </c>
      <c r="AV26" s="1">
        <f t="shared" si="6"/>
        <v>0.18819572355249459</v>
      </c>
      <c r="AW26" s="1">
        <f t="shared" si="7"/>
        <v>0.11291743413149673</v>
      </c>
    </row>
    <row r="27" spans="1:49" x14ac:dyDescent="0.2">
      <c r="A27">
        <v>25</v>
      </c>
      <c r="B27" t="s">
        <v>1718</v>
      </c>
      <c r="F27" t="s">
        <v>1717</v>
      </c>
      <c r="G27" t="s">
        <v>4</v>
      </c>
      <c r="H27" t="s">
        <v>3</v>
      </c>
      <c r="I27" t="s">
        <v>1716</v>
      </c>
      <c r="N27">
        <v>3</v>
      </c>
      <c r="O27" t="s">
        <v>1715</v>
      </c>
      <c r="P27" t="s">
        <v>1714</v>
      </c>
      <c r="Q27" t="s">
        <v>44</v>
      </c>
      <c r="R27" s="7">
        <v>32478</v>
      </c>
      <c r="S27" s="8">
        <f t="shared" si="0"/>
        <v>1988</v>
      </c>
      <c r="T27" s="8">
        <v>1988</v>
      </c>
      <c r="U27" s="8">
        <f t="shared" si="1"/>
        <v>34</v>
      </c>
      <c r="V27" s="7">
        <v>32478</v>
      </c>
      <c r="W27" t="s">
        <v>41</v>
      </c>
      <c r="X27" s="2" t="s">
        <v>5</v>
      </c>
      <c r="Y27" s="6" t="e">
        <f t="shared" si="2"/>
        <v>#VALUE!</v>
      </c>
      <c r="AA27">
        <v>87566648</v>
      </c>
      <c r="AB27">
        <v>74127</v>
      </c>
      <c r="AD27" t="s">
        <v>1</v>
      </c>
      <c r="AE27">
        <v>33</v>
      </c>
      <c r="AF27">
        <v>12</v>
      </c>
      <c r="AH27" t="s">
        <v>1713</v>
      </c>
      <c r="AI27" t="s">
        <v>1712</v>
      </c>
      <c r="AK27" t="s">
        <v>1711</v>
      </c>
      <c r="AL27">
        <v>0</v>
      </c>
      <c r="AM27" s="5">
        <f t="shared" si="3"/>
        <v>0</v>
      </c>
      <c r="AN27" s="4">
        <f t="shared" si="4"/>
        <v>0</v>
      </c>
      <c r="AO27" s="3"/>
      <c r="AP27">
        <v>0</v>
      </c>
      <c r="AR27" t="s">
        <v>0</v>
      </c>
      <c r="AT27" s="2" t="s">
        <v>5</v>
      </c>
      <c r="AU27" s="1" t="e">
        <f t="shared" si="5"/>
        <v>#VALUE!</v>
      </c>
      <c r="AV27" s="1" t="e">
        <f t="shared" si="6"/>
        <v>#VALUE!</v>
      </c>
      <c r="AW27" s="1" t="e">
        <f t="shared" si="7"/>
        <v>#VALUE!</v>
      </c>
    </row>
    <row r="28" spans="1:49" x14ac:dyDescent="0.2">
      <c r="A28">
        <v>26</v>
      </c>
      <c r="B28" t="s">
        <v>1710</v>
      </c>
      <c r="F28" t="s">
        <v>1709</v>
      </c>
      <c r="G28" t="s">
        <v>4</v>
      </c>
      <c r="H28" t="s">
        <v>3</v>
      </c>
      <c r="I28" t="s">
        <v>1708</v>
      </c>
      <c r="N28">
        <v>4</v>
      </c>
      <c r="O28" t="s">
        <v>1707</v>
      </c>
      <c r="P28" t="s">
        <v>1706</v>
      </c>
      <c r="Q28" t="s">
        <v>43</v>
      </c>
      <c r="R28" s="7">
        <v>32478</v>
      </c>
      <c r="S28" s="8">
        <f t="shared" si="0"/>
        <v>1988</v>
      </c>
      <c r="T28" s="8">
        <v>1988</v>
      </c>
      <c r="U28" s="8">
        <f t="shared" si="1"/>
        <v>34</v>
      </c>
      <c r="V28" s="7">
        <v>32478</v>
      </c>
      <c r="W28" t="s">
        <v>52</v>
      </c>
      <c r="X28" s="2">
        <v>0.14099999999999999</v>
      </c>
      <c r="Y28" s="6">
        <f t="shared" si="2"/>
        <v>3.7639144710498915E-3</v>
      </c>
      <c r="AA28">
        <v>402508</v>
      </c>
      <c r="AB28">
        <v>20868</v>
      </c>
      <c r="AD28" t="s">
        <v>1</v>
      </c>
      <c r="AE28">
        <v>43</v>
      </c>
      <c r="AF28">
        <v>12</v>
      </c>
      <c r="AH28" t="s">
        <v>1705</v>
      </c>
      <c r="AI28" t="s">
        <v>1704</v>
      </c>
      <c r="AK28" t="s">
        <v>1703</v>
      </c>
      <c r="AL28">
        <v>0</v>
      </c>
      <c r="AM28" s="5">
        <f t="shared" si="3"/>
        <v>0</v>
      </c>
      <c r="AN28" s="4">
        <f t="shared" si="4"/>
        <v>0</v>
      </c>
      <c r="AO28" s="3"/>
      <c r="AP28">
        <v>0</v>
      </c>
      <c r="AR28" t="s">
        <v>0</v>
      </c>
      <c r="AT28" s="2" t="s">
        <v>5</v>
      </c>
      <c r="AU28" s="1">
        <f t="shared" si="5"/>
        <v>0.26347401297349238</v>
      </c>
      <c r="AV28" s="1">
        <f t="shared" si="6"/>
        <v>0.18819572355249459</v>
      </c>
      <c r="AW28" s="1">
        <f t="shared" si="7"/>
        <v>0.11291743413149673</v>
      </c>
    </row>
    <row r="29" spans="1:49" x14ac:dyDescent="0.2">
      <c r="A29">
        <v>27</v>
      </c>
      <c r="B29" t="s">
        <v>1702</v>
      </c>
      <c r="F29" t="s">
        <v>1701</v>
      </c>
      <c r="G29" t="s">
        <v>4</v>
      </c>
      <c r="H29" t="s">
        <v>3</v>
      </c>
      <c r="I29" t="s">
        <v>55</v>
      </c>
      <c r="N29">
        <v>4</v>
      </c>
      <c r="O29" t="s">
        <v>1700</v>
      </c>
      <c r="P29" t="s">
        <v>1699</v>
      </c>
      <c r="Q29" t="s">
        <v>43</v>
      </c>
      <c r="R29" s="7">
        <v>32478</v>
      </c>
      <c r="S29" s="8">
        <f t="shared" si="0"/>
        <v>1988</v>
      </c>
      <c r="T29" s="8">
        <v>1988</v>
      </c>
      <c r="U29" s="8">
        <f t="shared" si="1"/>
        <v>34</v>
      </c>
      <c r="V29" s="7">
        <v>32478</v>
      </c>
      <c r="W29" t="s">
        <v>52</v>
      </c>
      <c r="X29" s="2">
        <v>0.14099999999999999</v>
      </c>
      <c r="Y29" s="6">
        <f t="shared" si="2"/>
        <v>3.7639144710498915E-3</v>
      </c>
      <c r="AA29">
        <v>402508</v>
      </c>
      <c r="AB29">
        <v>20868</v>
      </c>
      <c r="AD29" t="s">
        <v>1</v>
      </c>
      <c r="AE29">
        <v>43</v>
      </c>
      <c r="AF29">
        <v>12</v>
      </c>
      <c r="AH29" t="s">
        <v>1698</v>
      </c>
      <c r="AI29" t="s">
        <v>1697</v>
      </c>
      <c r="AK29" t="s">
        <v>1696</v>
      </c>
      <c r="AL29">
        <v>0</v>
      </c>
      <c r="AM29" s="5">
        <f t="shared" si="3"/>
        <v>0</v>
      </c>
      <c r="AN29" s="4">
        <f t="shared" si="4"/>
        <v>0</v>
      </c>
      <c r="AO29" s="3"/>
      <c r="AP29">
        <v>0</v>
      </c>
      <c r="AR29" t="s">
        <v>0</v>
      </c>
      <c r="AT29" s="2" t="s">
        <v>5</v>
      </c>
      <c r="AU29" s="1">
        <f t="shared" si="5"/>
        <v>0.26347401297349238</v>
      </c>
      <c r="AV29" s="1">
        <f t="shared" si="6"/>
        <v>0.18819572355249459</v>
      </c>
      <c r="AW29" s="1">
        <f t="shared" si="7"/>
        <v>0.11291743413149673</v>
      </c>
    </row>
    <row r="30" spans="1:49" x14ac:dyDescent="0.2">
      <c r="A30">
        <v>28</v>
      </c>
      <c r="B30" t="s">
        <v>1695</v>
      </c>
      <c r="F30" t="s">
        <v>1694</v>
      </c>
      <c r="G30" t="s">
        <v>4</v>
      </c>
      <c r="H30" t="s">
        <v>3</v>
      </c>
      <c r="I30" t="s">
        <v>1693</v>
      </c>
      <c r="N30">
        <v>3</v>
      </c>
      <c r="O30" t="s">
        <v>1692</v>
      </c>
      <c r="P30" t="s">
        <v>1691</v>
      </c>
      <c r="Q30" t="s">
        <v>44</v>
      </c>
      <c r="R30" s="7">
        <v>32478</v>
      </c>
      <c r="S30" s="8">
        <f t="shared" si="0"/>
        <v>1988</v>
      </c>
      <c r="T30" s="8">
        <v>1988</v>
      </c>
      <c r="U30" s="8">
        <f t="shared" si="1"/>
        <v>34</v>
      </c>
      <c r="V30" s="7">
        <v>32478</v>
      </c>
      <c r="W30" t="s">
        <v>52</v>
      </c>
      <c r="X30" s="2">
        <v>0.14099999999999999</v>
      </c>
      <c r="Y30" s="6">
        <f t="shared" si="2"/>
        <v>3.7639144710498915E-3</v>
      </c>
      <c r="AA30">
        <v>402508</v>
      </c>
      <c r="AB30">
        <v>20868</v>
      </c>
      <c r="AD30" t="s">
        <v>1</v>
      </c>
      <c r="AE30">
        <v>43</v>
      </c>
      <c r="AF30">
        <v>12</v>
      </c>
      <c r="AH30" t="s">
        <v>1690</v>
      </c>
      <c r="AI30" t="s">
        <v>1689</v>
      </c>
      <c r="AK30" t="s">
        <v>1688</v>
      </c>
      <c r="AL30">
        <v>0</v>
      </c>
      <c r="AM30" s="5">
        <f t="shared" si="3"/>
        <v>0</v>
      </c>
      <c r="AN30" s="4">
        <f t="shared" si="4"/>
        <v>0</v>
      </c>
      <c r="AO30" s="3"/>
      <c r="AP30">
        <v>0</v>
      </c>
      <c r="AR30" t="s">
        <v>0</v>
      </c>
      <c r="AT30" s="2" t="s">
        <v>5</v>
      </c>
      <c r="AU30" s="1">
        <f t="shared" si="5"/>
        <v>0.26347401297349238</v>
      </c>
      <c r="AV30" s="1">
        <f t="shared" si="6"/>
        <v>0.18819572355249459</v>
      </c>
      <c r="AW30" s="1">
        <f t="shared" si="7"/>
        <v>0.11291743413149673</v>
      </c>
    </row>
    <row r="31" spans="1:49" x14ac:dyDescent="0.2">
      <c r="A31">
        <v>29</v>
      </c>
      <c r="B31" t="s">
        <v>1687</v>
      </c>
      <c r="F31" t="s">
        <v>1686</v>
      </c>
      <c r="G31" t="s">
        <v>4</v>
      </c>
      <c r="H31" t="s">
        <v>3</v>
      </c>
      <c r="I31" t="s">
        <v>1685</v>
      </c>
      <c r="N31">
        <v>2</v>
      </c>
      <c r="O31" t="s">
        <v>1684</v>
      </c>
      <c r="P31" t="s">
        <v>1683</v>
      </c>
      <c r="Q31" t="s">
        <v>42</v>
      </c>
      <c r="R31" s="7">
        <v>32478</v>
      </c>
      <c r="S31" s="8">
        <f t="shared" si="0"/>
        <v>1988</v>
      </c>
      <c r="T31" s="8">
        <v>1988</v>
      </c>
      <c r="U31" s="8">
        <f t="shared" si="1"/>
        <v>34</v>
      </c>
      <c r="V31" s="7">
        <v>1988</v>
      </c>
      <c r="W31" t="s">
        <v>1612</v>
      </c>
      <c r="X31" s="2" t="s">
        <v>5</v>
      </c>
      <c r="Y31" s="6" t="e">
        <f t="shared" si="2"/>
        <v>#VALUE!</v>
      </c>
      <c r="AA31">
        <v>337870</v>
      </c>
      <c r="AB31">
        <v>32478</v>
      </c>
      <c r="AD31" t="s">
        <v>1</v>
      </c>
      <c r="AE31">
        <v>31</v>
      </c>
      <c r="AF31">
        <v>9</v>
      </c>
      <c r="AH31" t="s">
        <v>1682</v>
      </c>
      <c r="AI31" t="s">
        <v>1681</v>
      </c>
      <c r="AK31" t="s">
        <v>1680</v>
      </c>
      <c r="AL31">
        <v>0</v>
      </c>
      <c r="AM31" s="5">
        <f t="shared" si="3"/>
        <v>0</v>
      </c>
      <c r="AN31" s="4">
        <f t="shared" si="4"/>
        <v>0</v>
      </c>
      <c r="AO31" s="3"/>
      <c r="AP31">
        <v>0</v>
      </c>
      <c r="AR31" t="s">
        <v>0</v>
      </c>
      <c r="AT31" s="2" t="s">
        <v>5</v>
      </c>
      <c r="AU31" s="1" t="e">
        <f t="shared" si="5"/>
        <v>#VALUE!</v>
      </c>
      <c r="AV31" s="1" t="e">
        <f t="shared" si="6"/>
        <v>#VALUE!</v>
      </c>
      <c r="AW31" s="1" t="e">
        <f t="shared" si="7"/>
        <v>#VALUE!</v>
      </c>
    </row>
    <row r="32" spans="1:49" x14ac:dyDescent="0.2">
      <c r="A32">
        <v>30</v>
      </c>
      <c r="B32" t="s">
        <v>1679</v>
      </c>
      <c r="F32" t="s">
        <v>1678</v>
      </c>
      <c r="G32" t="s">
        <v>4</v>
      </c>
      <c r="H32" t="s">
        <v>3</v>
      </c>
      <c r="I32" t="s">
        <v>1677</v>
      </c>
      <c r="N32">
        <v>1</v>
      </c>
      <c r="O32" t="s">
        <v>1676</v>
      </c>
      <c r="P32">
        <v>7801342313</v>
      </c>
      <c r="R32" s="7">
        <v>32478</v>
      </c>
      <c r="S32" s="8">
        <f t="shared" si="0"/>
        <v>1988</v>
      </c>
      <c r="T32" s="8">
        <v>1988</v>
      </c>
      <c r="U32" s="8">
        <f t="shared" si="1"/>
        <v>34</v>
      </c>
      <c r="V32" s="7">
        <v>32478</v>
      </c>
      <c r="W32" t="s">
        <v>52</v>
      </c>
      <c r="X32" s="2">
        <v>0.14099999999999999</v>
      </c>
      <c r="Y32" s="6">
        <f t="shared" si="2"/>
        <v>3.7639144710498915E-3</v>
      </c>
      <c r="AA32">
        <v>402508</v>
      </c>
      <c r="AB32">
        <v>20868</v>
      </c>
      <c r="AD32" t="s">
        <v>1</v>
      </c>
      <c r="AE32">
        <v>43</v>
      </c>
      <c r="AF32">
        <v>12</v>
      </c>
      <c r="AH32" t="s">
        <v>1675</v>
      </c>
      <c r="AI32" t="s">
        <v>1674</v>
      </c>
      <c r="AK32" t="s">
        <v>1673</v>
      </c>
      <c r="AL32">
        <v>0</v>
      </c>
      <c r="AM32" s="5">
        <f t="shared" si="3"/>
        <v>0</v>
      </c>
      <c r="AN32" s="4">
        <f t="shared" si="4"/>
        <v>0</v>
      </c>
      <c r="AO32" s="3"/>
      <c r="AP32">
        <v>0</v>
      </c>
      <c r="AR32" t="s">
        <v>0</v>
      </c>
      <c r="AT32" s="2" t="s">
        <v>5</v>
      </c>
      <c r="AU32" s="1">
        <f t="shared" si="5"/>
        <v>0.26347401297349238</v>
      </c>
      <c r="AV32" s="1">
        <f t="shared" si="6"/>
        <v>0.18819572355249459</v>
      </c>
      <c r="AW32" s="1">
        <f t="shared" si="7"/>
        <v>0.11291743413149673</v>
      </c>
    </row>
    <row r="33" spans="1:49" x14ac:dyDescent="0.2">
      <c r="A33">
        <v>31</v>
      </c>
      <c r="B33" t="s">
        <v>1672</v>
      </c>
      <c r="F33" t="s">
        <v>1671</v>
      </c>
      <c r="G33" t="s">
        <v>4</v>
      </c>
      <c r="H33" t="s">
        <v>3</v>
      </c>
      <c r="I33" t="s">
        <v>214</v>
      </c>
      <c r="N33">
        <v>1</v>
      </c>
      <c r="O33" t="s">
        <v>213</v>
      </c>
      <c r="P33">
        <v>7003764513</v>
      </c>
      <c r="R33" s="7">
        <v>32478</v>
      </c>
      <c r="S33" s="8">
        <f t="shared" si="0"/>
        <v>1988</v>
      </c>
      <c r="T33" s="8">
        <v>1988</v>
      </c>
      <c r="U33" s="8">
        <f t="shared" si="1"/>
        <v>34</v>
      </c>
      <c r="V33" s="7">
        <v>32478</v>
      </c>
      <c r="W33" t="s">
        <v>52</v>
      </c>
      <c r="X33" s="2">
        <v>0.14099999999999999</v>
      </c>
      <c r="Y33" s="6">
        <f t="shared" si="2"/>
        <v>3.7639144710498915E-3</v>
      </c>
      <c r="AA33">
        <v>402508</v>
      </c>
      <c r="AB33">
        <v>20868</v>
      </c>
      <c r="AD33" t="s">
        <v>1</v>
      </c>
      <c r="AE33">
        <v>43</v>
      </c>
      <c r="AF33">
        <v>12</v>
      </c>
      <c r="AH33" t="s">
        <v>1633</v>
      </c>
      <c r="AI33" t="s">
        <v>1670</v>
      </c>
      <c r="AK33" t="s">
        <v>1669</v>
      </c>
      <c r="AL33">
        <v>0</v>
      </c>
      <c r="AM33" s="5">
        <f t="shared" si="3"/>
        <v>0</v>
      </c>
      <c r="AN33" s="4">
        <f t="shared" si="4"/>
        <v>0</v>
      </c>
      <c r="AO33" s="3"/>
      <c r="AP33">
        <v>0</v>
      </c>
      <c r="AR33" t="s">
        <v>0</v>
      </c>
      <c r="AT33" s="2" t="s">
        <v>5</v>
      </c>
      <c r="AU33" s="1">
        <f t="shared" si="5"/>
        <v>0.26347401297349238</v>
      </c>
      <c r="AV33" s="1">
        <f t="shared" si="6"/>
        <v>0.18819572355249459</v>
      </c>
      <c r="AW33" s="1">
        <f t="shared" si="7"/>
        <v>0.11291743413149673</v>
      </c>
    </row>
    <row r="34" spans="1:49" x14ac:dyDescent="0.2">
      <c r="A34">
        <v>32</v>
      </c>
      <c r="B34" t="s">
        <v>1668</v>
      </c>
      <c r="F34" t="s">
        <v>1667</v>
      </c>
      <c r="G34" t="s">
        <v>4</v>
      </c>
      <c r="H34" t="s">
        <v>3</v>
      </c>
      <c r="I34" t="s">
        <v>1666</v>
      </c>
      <c r="N34">
        <v>3</v>
      </c>
      <c r="O34" t="s">
        <v>1665</v>
      </c>
      <c r="P34" t="s">
        <v>1664</v>
      </c>
      <c r="Q34" t="s">
        <v>44</v>
      </c>
      <c r="R34" s="7">
        <v>32478</v>
      </c>
      <c r="S34" s="8">
        <f t="shared" si="0"/>
        <v>1988</v>
      </c>
      <c r="T34" s="8">
        <v>1988</v>
      </c>
      <c r="U34" s="8">
        <f t="shared" si="1"/>
        <v>34</v>
      </c>
      <c r="V34" s="7">
        <v>1988</v>
      </c>
      <c r="W34" t="s">
        <v>1612</v>
      </c>
      <c r="X34" s="2" t="s">
        <v>5</v>
      </c>
      <c r="Y34" s="6" t="e">
        <f t="shared" si="2"/>
        <v>#VALUE!</v>
      </c>
      <c r="AA34">
        <v>337870</v>
      </c>
      <c r="AB34">
        <v>32478</v>
      </c>
      <c r="AD34" t="s">
        <v>1</v>
      </c>
      <c r="AE34">
        <v>31</v>
      </c>
      <c r="AF34">
        <v>9</v>
      </c>
      <c r="AH34" t="s">
        <v>1663</v>
      </c>
      <c r="AI34" t="s">
        <v>1662</v>
      </c>
      <c r="AK34" t="s">
        <v>1661</v>
      </c>
      <c r="AL34">
        <v>0</v>
      </c>
      <c r="AM34" s="5">
        <f t="shared" si="3"/>
        <v>0</v>
      </c>
      <c r="AN34" s="4">
        <f t="shared" si="4"/>
        <v>0</v>
      </c>
      <c r="AO34" s="3"/>
      <c r="AP34">
        <v>0</v>
      </c>
      <c r="AR34" t="s">
        <v>0</v>
      </c>
      <c r="AT34" s="2" t="s">
        <v>5</v>
      </c>
      <c r="AU34" s="1" t="e">
        <f t="shared" si="5"/>
        <v>#VALUE!</v>
      </c>
      <c r="AV34" s="1" t="e">
        <f t="shared" si="6"/>
        <v>#VALUE!</v>
      </c>
      <c r="AW34" s="1" t="e">
        <f t="shared" si="7"/>
        <v>#VALUE!</v>
      </c>
    </row>
    <row r="35" spans="1:49" x14ac:dyDescent="0.2">
      <c r="A35">
        <v>33</v>
      </c>
      <c r="B35" t="s">
        <v>1660</v>
      </c>
      <c r="F35" t="s">
        <v>1659</v>
      </c>
      <c r="G35" t="s">
        <v>4</v>
      </c>
      <c r="H35" t="s">
        <v>3</v>
      </c>
      <c r="I35" t="s">
        <v>1658</v>
      </c>
      <c r="N35">
        <v>3</v>
      </c>
      <c r="O35" t="s">
        <v>1657</v>
      </c>
      <c r="P35" t="s">
        <v>1656</v>
      </c>
      <c r="Q35" t="s">
        <v>44</v>
      </c>
      <c r="R35" s="7">
        <v>32478</v>
      </c>
      <c r="S35" s="8">
        <f t="shared" si="0"/>
        <v>1988</v>
      </c>
      <c r="T35" s="8">
        <v>1988</v>
      </c>
      <c r="U35" s="8">
        <f t="shared" si="1"/>
        <v>34</v>
      </c>
      <c r="V35" s="7">
        <v>1988</v>
      </c>
      <c r="W35" t="s">
        <v>1612</v>
      </c>
      <c r="X35" s="2" t="s">
        <v>5</v>
      </c>
      <c r="Y35" s="6" t="e">
        <f t="shared" si="2"/>
        <v>#VALUE!</v>
      </c>
      <c r="AA35">
        <v>337870</v>
      </c>
      <c r="AB35">
        <v>32478</v>
      </c>
      <c r="AD35" t="s">
        <v>1</v>
      </c>
      <c r="AE35">
        <v>31</v>
      </c>
      <c r="AF35">
        <v>10</v>
      </c>
      <c r="AH35" t="s">
        <v>1655</v>
      </c>
      <c r="AI35" t="s">
        <v>1654</v>
      </c>
      <c r="AK35" t="s">
        <v>1653</v>
      </c>
      <c r="AL35">
        <v>0</v>
      </c>
      <c r="AM35" s="5">
        <f t="shared" si="3"/>
        <v>0</v>
      </c>
      <c r="AN35" s="4">
        <f t="shared" si="4"/>
        <v>0</v>
      </c>
      <c r="AO35" s="3"/>
      <c r="AP35">
        <v>0</v>
      </c>
      <c r="AR35" t="s">
        <v>0</v>
      </c>
      <c r="AT35" s="2" t="s">
        <v>5</v>
      </c>
      <c r="AU35" s="1" t="e">
        <f t="shared" si="5"/>
        <v>#VALUE!</v>
      </c>
      <c r="AV35" s="1" t="e">
        <f t="shared" si="6"/>
        <v>#VALUE!</v>
      </c>
      <c r="AW35" s="1" t="e">
        <f t="shared" si="7"/>
        <v>#VALUE!</v>
      </c>
    </row>
    <row r="36" spans="1:49" x14ac:dyDescent="0.2">
      <c r="A36">
        <v>34</v>
      </c>
      <c r="B36" t="s">
        <v>1652</v>
      </c>
      <c r="F36" t="s">
        <v>1651</v>
      </c>
      <c r="G36" t="s">
        <v>4</v>
      </c>
      <c r="H36" t="s">
        <v>3</v>
      </c>
      <c r="I36" t="s">
        <v>1650</v>
      </c>
      <c r="N36">
        <v>3</v>
      </c>
      <c r="O36" t="s">
        <v>1649</v>
      </c>
      <c r="P36" t="s">
        <v>1648</v>
      </c>
      <c r="Q36" t="s">
        <v>44</v>
      </c>
      <c r="R36" s="7">
        <v>32478</v>
      </c>
      <c r="S36" s="8">
        <f t="shared" si="0"/>
        <v>1988</v>
      </c>
      <c r="T36" s="8">
        <v>1988</v>
      </c>
      <c r="U36" s="8">
        <f t="shared" si="1"/>
        <v>34</v>
      </c>
      <c r="V36" s="7">
        <v>1988</v>
      </c>
      <c r="W36" t="s">
        <v>1612</v>
      </c>
      <c r="X36" s="2" t="s">
        <v>5</v>
      </c>
      <c r="Y36" s="6" t="e">
        <f t="shared" si="2"/>
        <v>#VALUE!</v>
      </c>
      <c r="AA36">
        <v>337870</v>
      </c>
      <c r="AB36">
        <v>32478</v>
      </c>
      <c r="AD36" t="s">
        <v>1</v>
      </c>
      <c r="AE36">
        <v>31</v>
      </c>
      <c r="AF36">
        <v>8</v>
      </c>
      <c r="AH36" t="s">
        <v>1647</v>
      </c>
      <c r="AI36" t="s">
        <v>1646</v>
      </c>
      <c r="AK36" t="s">
        <v>1645</v>
      </c>
      <c r="AL36">
        <v>1</v>
      </c>
      <c r="AM36" s="5">
        <f t="shared" si="3"/>
        <v>2.9411764705882353E-2</v>
      </c>
      <c r="AN36" s="4">
        <f t="shared" si="4"/>
        <v>4.4546406218678307E-5</v>
      </c>
      <c r="AO36" s="3"/>
      <c r="AP36">
        <v>0</v>
      </c>
      <c r="AR36" t="s">
        <v>0</v>
      </c>
      <c r="AT36" s="2" t="s">
        <v>5</v>
      </c>
      <c r="AU36" s="1" t="e">
        <f t="shared" si="5"/>
        <v>#VALUE!</v>
      </c>
      <c r="AV36" s="1" t="e">
        <f t="shared" si="6"/>
        <v>#VALUE!</v>
      </c>
      <c r="AW36" s="1" t="e">
        <f t="shared" si="7"/>
        <v>#VALUE!</v>
      </c>
    </row>
    <row r="37" spans="1:49" x14ac:dyDescent="0.2">
      <c r="A37">
        <v>35</v>
      </c>
      <c r="B37" t="s">
        <v>1644</v>
      </c>
      <c r="F37" t="s">
        <v>1643</v>
      </c>
      <c r="G37" t="s">
        <v>4</v>
      </c>
      <c r="H37" t="s">
        <v>3</v>
      </c>
      <c r="I37" t="s">
        <v>1642</v>
      </c>
      <c r="N37">
        <v>3</v>
      </c>
      <c r="O37" t="s">
        <v>1641</v>
      </c>
      <c r="P37" t="s">
        <v>1640</v>
      </c>
      <c r="Q37" t="s">
        <v>44</v>
      </c>
      <c r="R37" s="7">
        <v>32478</v>
      </c>
      <c r="S37" s="8">
        <f t="shared" si="0"/>
        <v>1988</v>
      </c>
      <c r="T37" s="8">
        <v>1988</v>
      </c>
      <c r="U37" s="8">
        <f t="shared" si="1"/>
        <v>34</v>
      </c>
      <c r="V37" s="7">
        <v>1988</v>
      </c>
      <c r="W37" t="s">
        <v>1612</v>
      </c>
      <c r="X37" s="2" t="s">
        <v>5</v>
      </c>
      <c r="Y37" s="6" t="e">
        <f t="shared" si="2"/>
        <v>#VALUE!</v>
      </c>
      <c r="AA37">
        <v>337870</v>
      </c>
      <c r="AB37">
        <v>32478</v>
      </c>
      <c r="AD37" t="s">
        <v>1</v>
      </c>
      <c r="AE37">
        <v>31</v>
      </c>
      <c r="AF37">
        <v>7</v>
      </c>
      <c r="AH37" t="s">
        <v>84</v>
      </c>
      <c r="AI37" t="s">
        <v>1639</v>
      </c>
      <c r="AK37" t="s">
        <v>1638</v>
      </c>
      <c r="AL37">
        <v>0</v>
      </c>
      <c r="AM37" s="5">
        <f t="shared" si="3"/>
        <v>0</v>
      </c>
      <c r="AN37" s="4">
        <f t="shared" si="4"/>
        <v>0</v>
      </c>
      <c r="AO37" s="3"/>
      <c r="AP37">
        <v>0</v>
      </c>
      <c r="AR37" t="s">
        <v>0</v>
      </c>
      <c r="AT37" s="2" t="s">
        <v>5</v>
      </c>
      <c r="AU37" s="1" t="e">
        <f t="shared" si="5"/>
        <v>#VALUE!</v>
      </c>
      <c r="AV37" s="1" t="e">
        <f t="shared" si="6"/>
        <v>#VALUE!</v>
      </c>
      <c r="AW37" s="1" t="e">
        <f t="shared" si="7"/>
        <v>#VALUE!</v>
      </c>
    </row>
    <row r="38" spans="1:49" x14ac:dyDescent="0.2">
      <c r="A38">
        <v>36</v>
      </c>
      <c r="B38" t="s">
        <v>1637</v>
      </c>
      <c r="F38" t="s">
        <v>1636</v>
      </c>
      <c r="G38" t="s">
        <v>4</v>
      </c>
      <c r="H38" t="s">
        <v>3</v>
      </c>
      <c r="I38" t="s">
        <v>1635</v>
      </c>
      <c r="N38">
        <v>1</v>
      </c>
      <c r="O38" t="s">
        <v>1634</v>
      </c>
      <c r="P38">
        <v>7101836220</v>
      </c>
      <c r="R38" s="7">
        <v>32478</v>
      </c>
      <c r="S38" s="8">
        <f t="shared" si="0"/>
        <v>1988</v>
      </c>
      <c r="T38" s="8">
        <v>1988</v>
      </c>
      <c r="U38" s="8">
        <f t="shared" si="1"/>
        <v>34</v>
      </c>
      <c r="V38" s="7">
        <v>1988</v>
      </c>
      <c r="W38" t="s">
        <v>1612</v>
      </c>
      <c r="X38" s="2" t="s">
        <v>5</v>
      </c>
      <c r="Y38" s="6" t="e">
        <f t="shared" si="2"/>
        <v>#VALUE!</v>
      </c>
      <c r="AA38">
        <v>337870</v>
      </c>
      <c r="AB38">
        <v>32478</v>
      </c>
      <c r="AD38" t="s">
        <v>1</v>
      </c>
      <c r="AE38">
        <v>31</v>
      </c>
      <c r="AF38">
        <v>7</v>
      </c>
      <c r="AH38" t="s">
        <v>1633</v>
      </c>
      <c r="AI38" t="s">
        <v>1632</v>
      </c>
      <c r="AK38" t="s">
        <v>1631</v>
      </c>
      <c r="AL38">
        <v>0</v>
      </c>
      <c r="AM38" s="5">
        <f t="shared" si="3"/>
        <v>0</v>
      </c>
      <c r="AN38" s="4">
        <f t="shared" si="4"/>
        <v>0</v>
      </c>
      <c r="AO38" s="3"/>
      <c r="AP38">
        <v>0</v>
      </c>
      <c r="AR38" t="s">
        <v>0</v>
      </c>
      <c r="AT38" s="2" t="s">
        <v>5</v>
      </c>
      <c r="AU38" s="1" t="e">
        <f t="shared" si="5"/>
        <v>#VALUE!</v>
      </c>
      <c r="AV38" s="1" t="e">
        <f t="shared" si="6"/>
        <v>#VALUE!</v>
      </c>
      <c r="AW38" s="1" t="e">
        <f t="shared" si="7"/>
        <v>#VALUE!</v>
      </c>
    </row>
    <row r="39" spans="1:49" x14ac:dyDescent="0.2">
      <c r="A39">
        <v>37</v>
      </c>
      <c r="B39" t="s">
        <v>1630</v>
      </c>
      <c r="F39" t="s">
        <v>1629</v>
      </c>
      <c r="G39" t="s">
        <v>4</v>
      </c>
      <c r="H39" t="s">
        <v>3</v>
      </c>
      <c r="I39" t="s">
        <v>1628</v>
      </c>
      <c r="N39">
        <v>2</v>
      </c>
      <c r="O39" t="s">
        <v>1627</v>
      </c>
      <c r="P39" t="s">
        <v>1626</v>
      </c>
      <c r="Q39" t="s">
        <v>42</v>
      </c>
      <c r="R39" s="7">
        <v>32478</v>
      </c>
      <c r="S39" s="8">
        <f t="shared" si="0"/>
        <v>1988</v>
      </c>
      <c r="T39" s="8">
        <v>1988</v>
      </c>
      <c r="U39" s="8">
        <f t="shared" si="1"/>
        <v>34</v>
      </c>
      <c r="V39" s="7">
        <v>1988</v>
      </c>
      <c r="W39" t="s">
        <v>1612</v>
      </c>
      <c r="X39" s="2" t="s">
        <v>5</v>
      </c>
      <c r="Y39" s="6" t="e">
        <f t="shared" si="2"/>
        <v>#VALUE!</v>
      </c>
      <c r="AA39">
        <v>337870</v>
      </c>
      <c r="AB39">
        <v>32478</v>
      </c>
      <c r="AD39" t="s">
        <v>1</v>
      </c>
      <c r="AE39">
        <v>31</v>
      </c>
      <c r="AF39">
        <v>8</v>
      </c>
      <c r="AH39" s="9">
        <v>44317</v>
      </c>
      <c r="AI39" t="s">
        <v>1625</v>
      </c>
      <c r="AK39" t="s">
        <v>1624</v>
      </c>
      <c r="AL39">
        <v>0</v>
      </c>
      <c r="AM39" s="5">
        <f t="shared" si="3"/>
        <v>0</v>
      </c>
      <c r="AN39" s="4">
        <f t="shared" si="4"/>
        <v>0</v>
      </c>
      <c r="AO39" s="3"/>
      <c r="AP39">
        <v>0</v>
      </c>
      <c r="AR39" t="s">
        <v>0</v>
      </c>
      <c r="AT39" s="2" t="s">
        <v>5</v>
      </c>
      <c r="AU39" s="1" t="e">
        <f t="shared" si="5"/>
        <v>#VALUE!</v>
      </c>
      <c r="AV39" s="1" t="e">
        <f t="shared" si="6"/>
        <v>#VALUE!</v>
      </c>
      <c r="AW39" s="1" t="e">
        <f t="shared" si="7"/>
        <v>#VALUE!</v>
      </c>
    </row>
    <row r="40" spans="1:49" x14ac:dyDescent="0.2">
      <c r="A40">
        <v>38</v>
      </c>
      <c r="B40" t="s">
        <v>1623</v>
      </c>
      <c r="F40" t="s">
        <v>1622</v>
      </c>
      <c r="G40" t="s">
        <v>4</v>
      </c>
      <c r="H40" t="s">
        <v>3</v>
      </c>
      <c r="I40" t="s">
        <v>1621</v>
      </c>
      <c r="N40">
        <v>1</v>
      </c>
      <c r="O40" t="s">
        <v>1620</v>
      </c>
      <c r="P40">
        <v>7005512950</v>
      </c>
      <c r="R40" s="7">
        <v>32478</v>
      </c>
      <c r="S40" s="8">
        <f t="shared" si="0"/>
        <v>1988</v>
      </c>
      <c r="T40" s="8">
        <v>1988</v>
      </c>
      <c r="U40" s="8">
        <f t="shared" si="1"/>
        <v>34</v>
      </c>
      <c r="V40" s="7">
        <v>1988</v>
      </c>
      <c r="W40" t="s">
        <v>1612</v>
      </c>
      <c r="X40" s="2" t="s">
        <v>5</v>
      </c>
      <c r="Y40" s="6" t="e">
        <f t="shared" si="2"/>
        <v>#VALUE!</v>
      </c>
      <c r="AA40">
        <v>337870</v>
      </c>
      <c r="AB40">
        <v>32478</v>
      </c>
      <c r="AD40" t="s">
        <v>1</v>
      </c>
      <c r="AE40">
        <v>31</v>
      </c>
      <c r="AF40">
        <v>7</v>
      </c>
      <c r="AH40" t="s">
        <v>45</v>
      </c>
      <c r="AI40" t="s">
        <v>1619</v>
      </c>
      <c r="AK40" t="s">
        <v>1618</v>
      </c>
      <c r="AL40">
        <v>2</v>
      </c>
      <c r="AM40" s="5">
        <f t="shared" si="3"/>
        <v>5.8823529411764705E-2</v>
      </c>
      <c r="AN40" s="4">
        <f t="shared" si="4"/>
        <v>8.9092812437356614E-5</v>
      </c>
      <c r="AO40" s="3"/>
      <c r="AP40">
        <v>0</v>
      </c>
      <c r="AR40" t="s">
        <v>0</v>
      </c>
      <c r="AT40" s="2" t="s">
        <v>5</v>
      </c>
      <c r="AU40" s="1" t="e">
        <f t="shared" si="5"/>
        <v>#VALUE!</v>
      </c>
      <c r="AV40" s="1" t="e">
        <f t="shared" si="6"/>
        <v>#VALUE!</v>
      </c>
      <c r="AW40" s="1" t="e">
        <f t="shared" si="7"/>
        <v>#VALUE!</v>
      </c>
    </row>
    <row r="41" spans="1:49" x14ac:dyDescent="0.2">
      <c r="A41">
        <v>39</v>
      </c>
      <c r="B41" t="s">
        <v>1617</v>
      </c>
      <c r="F41" t="s">
        <v>1616</v>
      </c>
      <c r="G41" t="s">
        <v>4</v>
      </c>
      <c r="H41" t="s">
        <v>3</v>
      </c>
      <c r="I41" t="s">
        <v>1615</v>
      </c>
      <c r="N41">
        <v>3</v>
      </c>
      <c r="O41" t="s">
        <v>1614</v>
      </c>
      <c r="P41" t="s">
        <v>1613</v>
      </c>
      <c r="Q41" t="s">
        <v>44</v>
      </c>
      <c r="R41" s="7">
        <v>32478</v>
      </c>
      <c r="S41" s="8">
        <f t="shared" si="0"/>
        <v>1988</v>
      </c>
      <c r="T41" s="8">
        <v>1988</v>
      </c>
      <c r="U41" s="8">
        <f t="shared" si="1"/>
        <v>34</v>
      </c>
      <c r="V41" s="7">
        <v>1988</v>
      </c>
      <c r="W41" t="s">
        <v>1612</v>
      </c>
      <c r="X41" s="2" t="s">
        <v>5</v>
      </c>
      <c r="Y41" s="6" t="e">
        <f t="shared" si="2"/>
        <v>#VALUE!</v>
      </c>
      <c r="AA41">
        <v>337870</v>
      </c>
      <c r="AB41">
        <v>32478</v>
      </c>
      <c r="AD41" t="s">
        <v>1</v>
      </c>
      <c r="AE41">
        <v>31</v>
      </c>
      <c r="AF41">
        <v>7</v>
      </c>
      <c r="AH41" t="s">
        <v>154</v>
      </c>
      <c r="AI41" t="s">
        <v>1611</v>
      </c>
      <c r="AK41" t="s">
        <v>1610</v>
      </c>
      <c r="AL41">
        <v>0</v>
      </c>
      <c r="AM41" s="5">
        <f t="shared" si="3"/>
        <v>0</v>
      </c>
      <c r="AN41" s="4">
        <f t="shared" si="4"/>
        <v>0</v>
      </c>
      <c r="AO41" s="3"/>
      <c r="AP41">
        <v>0</v>
      </c>
      <c r="AR41" t="s">
        <v>0</v>
      </c>
      <c r="AT41" s="2" t="s">
        <v>5</v>
      </c>
      <c r="AU41" s="1" t="e">
        <f t="shared" si="5"/>
        <v>#VALUE!</v>
      </c>
      <c r="AV41" s="1" t="e">
        <f t="shared" si="6"/>
        <v>#VALUE!</v>
      </c>
      <c r="AW41" s="1" t="e">
        <f t="shared" si="7"/>
        <v>#VALUE!</v>
      </c>
    </row>
    <row r="42" spans="1:49" x14ac:dyDescent="0.2">
      <c r="A42">
        <v>40</v>
      </c>
      <c r="B42" t="s">
        <v>1609</v>
      </c>
      <c r="F42" t="s">
        <v>1608</v>
      </c>
      <c r="G42" t="s">
        <v>4</v>
      </c>
      <c r="H42" t="s">
        <v>3</v>
      </c>
      <c r="I42" t="s">
        <v>1607</v>
      </c>
      <c r="N42">
        <v>2</v>
      </c>
      <c r="O42" t="s">
        <v>1606</v>
      </c>
      <c r="P42" t="s">
        <v>1605</v>
      </c>
      <c r="Q42" t="s">
        <v>42</v>
      </c>
      <c r="R42" s="7">
        <v>32478</v>
      </c>
      <c r="S42" s="8">
        <f t="shared" si="0"/>
        <v>1988</v>
      </c>
      <c r="T42" s="8">
        <v>1988</v>
      </c>
      <c r="U42" s="8">
        <f t="shared" si="1"/>
        <v>34</v>
      </c>
      <c r="V42" s="7">
        <v>1988</v>
      </c>
      <c r="W42" t="s">
        <v>1604</v>
      </c>
      <c r="X42" s="2" t="s">
        <v>5</v>
      </c>
      <c r="Y42" s="6" t="e">
        <f t="shared" si="2"/>
        <v>#VALUE!</v>
      </c>
      <c r="AA42">
        <v>488828</v>
      </c>
      <c r="AB42">
        <v>79226</v>
      </c>
      <c r="AD42" t="s">
        <v>1</v>
      </c>
      <c r="AE42">
        <v>18</v>
      </c>
      <c r="AF42">
        <v>4</v>
      </c>
      <c r="AH42" t="s">
        <v>1603</v>
      </c>
      <c r="AI42" t="s">
        <v>1602</v>
      </c>
      <c r="AK42" t="s">
        <v>1601</v>
      </c>
      <c r="AL42">
        <v>0</v>
      </c>
      <c r="AM42" s="5">
        <f t="shared" si="3"/>
        <v>0</v>
      </c>
      <c r="AN42" s="4">
        <f t="shared" si="4"/>
        <v>0</v>
      </c>
      <c r="AO42" s="3"/>
      <c r="AP42">
        <v>0</v>
      </c>
      <c r="AR42" t="s">
        <v>0</v>
      </c>
      <c r="AT42" s="2" t="s">
        <v>5</v>
      </c>
      <c r="AU42" s="1" t="e">
        <f t="shared" si="5"/>
        <v>#VALUE!</v>
      </c>
      <c r="AV42" s="1" t="e">
        <f t="shared" si="6"/>
        <v>#VALUE!</v>
      </c>
      <c r="AW42" s="1" t="e">
        <f t="shared" si="7"/>
        <v>#VALUE!</v>
      </c>
    </row>
    <row r="43" spans="1:49" x14ac:dyDescent="0.2">
      <c r="A43">
        <v>41</v>
      </c>
      <c r="B43" t="s">
        <v>1600</v>
      </c>
      <c r="F43" t="s">
        <v>1599</v>
      </c>
      <c r="G43" t="s">
        <v>4</v>
      </c>
      <c r="H43" t="s">
        <v>3</v>
      </c>
      <c r="I43" t="s">
        <v>1598</v>
      </c>
      <c r="J43">
        <v>60019894</v>
      </c>
      <c r="K43" t="s">
        <v>1447</v>
      </c>
      <c r="L43" t="s">
        <v>98</v>
      </c>
      <c r="M43" t="s">
        <v>20</v>
      </c>
      <c r="N43">
        <v>1</v>
      </c>
      <c r="O43" t="s">
        <v>1597</v>
      </c>
      <c r="P43">
        <v>6508075662</v>
      </c>
      <c r="Q43">
        <v>60019894</v>
      </c>
      <c r="R43" s="7">
        <v>32478</v>
      </c>
      <c r="S43" s="8">
        <f t="shared" si="0"/>
        <v>1988</v>
      </c>
      <c r="T43" s="8">
        <v>1988</v>
      </c>
      <c r="U43" s="8">
        <f t="shared" si="1"/>
        <v>34</v>
      </c>
      <c r="V43" s="7">
        <v>1988</v>
      </c>
      <c r="W43" t="s">
        <v>1445</v>
      </c>
      <c r="X43" s="2" t="s">
        <v>5</v>
      </c>
      <c r="Y43" s="6" t="e">
        <f t="shared" si="2"/>
        <v>#VALUE!</v>
      </c>
      <c r="AA43">
        <v>134252</v>
      </c>
      <c r="AB43">
        <v>32198</v>
      </c>
      <c r="AD43" t="s">
        <v>1</v>
      </c>
      <c r="AE43">
        <v>62</v>
      </c>
      <c r="AF43">
        <v>1</v>
      </c>
      <c r="AH43" t="s">
        <v>1596</v>
      </c>
      <c r="AI43" t="s">
        <v>1595</v>
      </c>
      <c r="AK43" t="s">
        <v>1594</v>
      </c>
      <c r="AL43">
        <v>0</v>
      </c>
      <c r="AM43" s="5">
        <f t="shared" si="3"/>
        <v>0</v>
      </c>
      <c r="AN43" s="4">
        <f t="shared" si="4"/>
        <v>0</v>
      </c>
      <c r="AO43" s="3"/>
      <c r="AP43">
        <v>0</v>
      </c>
      <c r="AR43" t="s">
        <v>0</v>
      </c>
      <c r="AT43" s="2" t="s">
        <v>5</v>
      </c>
      <c r="AU43" s="1" t="e">
        <f t="shared" si="5"/>
        <v>#VALUE!</v>
      </c>
      <c r="AV43" s="1" t="e">
        <f t="shared" si="6"/>
        <v>#VALUE!</v>
      </c>
      <c r="AW43" s="1" t="e">
        <f t="shared" si="7"/>
        <v>#VALUE!</v>
      </c>
    </row>
    <row r="44" spans="1:49" x14ac:dyDescent="0.2">
      <c r="A44">
        <v>42</v>
      </c>
      <c r="B44" t="s">
        <v>1593</v>
      </c>
      <c r="C44" t="s">
        <v>1592</v>
      </c>
      <c r="F44" t="s">
        <v>1591</v>
      </c>
      <c r="G44" t="s">
        <v>4</v>
      </c>
      <c r="H44" t="s">
        <v>3</v>
      </c>
      <c r="I44" t="s">
        <v>1590</v>
      </c>
      <c r="J44">
        <v>60016849</v>
      </c>
      <c r="K44" t="s">
        <v>132</v>
      </c>
      <c r="L44" t="s">
        <v>131</v>
      </c>
      <c r="M44" t="s">
        <v>39</v>
      </c>
      <c r="N44">
        <v>3</v>
      </c>
      <c r="O44" t="s">
        <v>1589</v>
      </c>
      <c r="P44" t="s">
        <v>1588</v>
      </c>
      <c r="Q44" t="s">
        <v>1587</v>
      </c>
      <c r="R44" s="7">
        <v>32478</v>
      </c>
      <c r="S44" s="8">
        <f t="shared" si="0"/>
        <v>1988</v>
      </c>
      <c r="T44" s="8">
        <v>1988</v>
      </c>
      <c r="U44" s="8">
        <f t="shared" si="1"/>
        <v>34</v>
      </c>
      <c r="V44" s="7">
        <v>32478</v>
      </c>
      <c r="W44" t="s">
        <v>114</v>
      </c>
      <c r="X44" s="2">
        <v>1.994</v>
      </c>
      <c r="Y44" s="6">
        <f t="shared" si="2"/>
        <v>5.322869117215237E-2</v>
      </c>
      <c r="AA44">
        <v>249297</v>
      </c>
      <c r="AB44">
        <v>21100779404</v>
      </c>
      <c r="AC44">
        <v>15205835</v>
      </c>
      <c r="AD44" t="s">
        <v>1</v>
      </c>
      <c r="AE44">
        <v>21</v>
      </c>
      <c r="AF44">
        <v>12</v>
      </c>
      <c r="AH44" t="s">
        <v>1586</v>
      </c>
      <c r="AI44" t="s">
        <v>1585</v>
      </c>
      <c r="AK44" t="s">
        <v>1584</v>
      </c>
      <c r="AL44">
        <v>47</v>
      </c>
      <c r="AM44" s="5">
        <f t="shared" si="3"/>
        <v>1.3823529411764706</v>
      </c>
      <c r="AN44" s="4">
        <f t="shared" si="4"/>
        <v>2.0936810922778802E-3</v>
      </c>
      <c r="AO44" s="3"/>
      <c r="AP44">
        <v>0</v>
      </c>
      <c r="AR44" t="s">
        <v>0</v>
      </c>
      <c r="AT44" s="2">
        <v>5.9850000000000003</v>
      </c>
      <c r="AU44" s="1">
        <f t="shared" si="5"/>
        <v>3.7888188148190021</v>
      </c>
      <c r="AV44" s="1">
        <f t="shared" si="6"/>
        <v>2.7661186132215123</v>
      </c>
      <c r="AW44" s="1">
        <f t="shared" si="7"/>
        <v>1.7434184116240228</v>
      </c>
    </row>
    <row r="45" spans="1:49" x14ac:dyDescent="0.2">
      <c r="A45">
        <v>43</v>
      </c>
      <c r="B45" t="s">
        <v>1583</v>
      </c>
      <c r="F45" t="s">
        <v>1582</v>
      </c>
      <c r="G45" t="s">
        <v>4</v>
      </c>
      <c r="H45" t="s">
        <v>3</v>
      </c>
      <c r="I45" t="s">
        <v>1581</v>
      </c>
      <c r="J45">
        <v>60019894</v>
      </c>
      <c r="K45" t="s">
        <v>1447</v>
      </c>
      <c r="L45" t="s">
        <v>98</v>
      </c>
      <c r="M45" t="s">
        <v>20</v>
      </c>
      <c r="N45">
        <v>1</v>
      </c>
      <c r="O45" t="s">
        <v>1580</v>
      </c>
      <c r="P45">
        <v>6507707420</v>
      </c>
      <c r="Q45">
        <v>60019894</v>
      </c>
      <c r="R45" s="7">
        <v>32478</v>
      </c>
      <c r="S45" s="8">
        <f t="shared" si="0"/>
        <v>1988</v>
      </c>
      <c r="T45" s="8">
        <v>1988</v>
      </c>
      <c r="U45" s="8">
        <f t="shared" si="1"/>
        <v>34</v>
      </c>
      <c r="V45" s="7">
        <v>1988</v>
      </c>
      <c r="W45" t="s">
        <v>1445</v>
      </c>
      <c r="X45" s="2" t="s">
        <v>5</v>
      </c>
      <c r="Y45" s="6" t="e">
        <f t="shared" si="2"/>
        <v>#VALUE!</v>
      </c>
      <c r="AA45">
        <v>134252</v>
      </c>
      <c r="AB45">
        <v>32198</v>
      </c>
      <c r="AD45" t="s">
        <v>1</v>
      </c>
      <c r="AE45">
        <v>62</v>
      </c>
      <c r="AF45">
        <v>1</v>
      </c>
      <c r="AH45" t="s">
        <v>62</v>
      </c>
      <c r="AI45" t="s">
        <v>1579</v>
      </c>
      <c r="AK45" t="s">
        <v>1578</v>
      </c>
      <c r="AL45">
        <v>0</v>
      </c>
      <c r="AM45" s="5">
        <f t="shared" si="3"/>
        <v>0</v>
      </c>
      <c r="AN45" s="4">
        <f t="shared" si="4"/>
        <v>0</v>
      </c>
      <c r="AO45" s="3"/>
      <c r="AP45">
        <v>0</v>
      </c>
      <c r="AR45" t="s">
        <v>0</v>
      </c>
      <c r="AT45" s="2" t="s">
        <v>5</v>
      </c>
      <c r="AU45" s="1" t="e">
        <f t="shared" si="5"/>
        <v>#VALUE!</v>
      </c>
      <c r="AV45" s="1" t="e">
        <f t="shared" si="6"/>
        <v>#VALUE!</v>
      </c>
      <c r="AW45" s="1" t="e">
        <f t="shared" si="7"/>
        <v>#VALUE!</v>
      </c>
    </row>
    <row r="46" spans="1:49" x14ac:dyDescent="0.2">
      <c r="A46">
        <v>44</v>
      </c>
      <c r="B46" t="s">
        <v>1577</v>
      </c>
      <c r="F46" t="s">
        <v>1576</v>
      </c>
      <c r="G46" t="s">
        <v>4</v>
      </c>
      <c r="H46" t="s">
        <v>3</v>
      </c>
      <c r="I46" t="s">
        <v>1575</v>
      </c>
      <c r="J46">
        <v>60028673</v>
      </c>
      <c r="K46" t="s">
        <v>1574</v>
      </c>
      <c r="L46" t="s">
        <v>637</v>
      </c>
      <c r="M46" t="s">
        <v>11</v>
      </c>
      <c r="N46">
        <v>1</v>
      </c>
      <c r="O46" t="s">
        <v>1573</v>
      </c>
      <c r="P46">
        <v>7102652565</v>
      </c>
      <c r="Q46">
        <v>60028673</v>
      </c>
      <c r="R46" s="7">
        <v>32478</v>
      </c>
      <c r="S46" s="8">
        <f t="shared" si="0"/>
        <v>1988</v>
      </c>
      <c r="T46" s="8">
        <v>1988</v>
      </c>
      <c r="U46" s="8">
        <f t="shared" si="1"/>
        <v>34</v>
      </c>
      <c r="V46" s="7">
        <v>1988</v>
      </c>
      <c r="W46" t="s">
        <v>1572</v>
      </c>
      <c r="X46" s="2" t="s">
        <v>5</v>
      </c>
      <c r="Y46" s="6" t="e">
        <f t="shared" si="2"/>
        <v>#VALUE!</v>
      </c>
      <c r="AA46">
        <v>3709736</v>
      </c>
      <c r="AB46">
        <v>30424</v>
      </c>
      <c r="AD46" t="s">
        <v>1</v>
      </c>
      <c r="AE46">
        <v>17</v>
      </c>
      <c r="AF46">
        <v>6</v>
      </c>
      <c r="AH46" t="s">
        <v>124</v>
      </c>
      <c r="AI46" t="s">
        <v>1571</v>
      </c>
      <c r="AK46" t="s">
        <v>1570</v>
      </c>
      <c r="AL46">
        <v>1</v>
      </c>
      <c r="AM46" s="5">
        <f t="shared" si="3"/>
        <v>2.9411764705882353E-2</v>
      </c>
      <c r="AN46" s="4">
        <f t="shared" si="4"/>
        <v>4.4546406218678307E-5</v>
      </c>
      <c r="AO46" s="3"/>
      <c r="AP46">
        <v>0</v>
      </c>
      <c r="AR46" t="s">
        <v>0</v>
      </c>
      <c r="AT46" s="2" t="s">
        <v>5</v>
      </c>
      <c r="AU46" s="1" t="e">
        <f t="shared" si="5"/>
        <v>#VALUE!</v>
      </c>
      <c r="AV46" s="1" t="e">
        <f t="shared" si="6"/>
        <v>#VALUE!</v>
      </c>
      <c r="AW46" s="1" t="e">
        <f t="shared" si="7"/>
        <v>#VALUE!</v>
      </c>
    </row>
    <row r="47" spans="1:49" x14ac:dyDescent="0.2">
      <c r="A47">
        <v>45</v>
      </c>
      <c r="B47" t="s">
        <v>1569</v>
      </c>
      <c r="F47" t="s">
        <v>1568</v>
      </c>
      <c r="G47" t="s">
        <v>4</v>
      </c>
      <c r="H47" t="s">
        <v>3</v>
      </c>
      <c r="I47" t="s">
        <v>1567</v>
      </c>
      <c r="J47">
        <v>100583282</v>
      </c>
      <c r="K47" t="s">
        <v>1456</v>
      </c>
      <c r="L47" t="s">
        <v>1455</v>
      </c>
      <c r="M47" t="s">
        <v>56</v>
      </c>
      <c r="N47">
        <v>1</v>
      </c>
      <c r="O47" t="s">
        <v>1566</v>
      </c>
      <c r="P47">
        <v>7006885961</v>
      </c>
      <c r="Q47">
        <v>100583282</v>
      </c>
      <c r="R47" s="7">
        <v>32478</v>
      </c>
      <c r="S47" s="8">
        <f t="shared" si="0"/>
        <v>1988</v>
      </c>
      <c r="T47" s="8">
        <v>1988</v>
      </c>
      <c r="U47" s="8">
        <f t="shared" si="1"/>
        <v>34</v>
      </c>
      <c r="V47" s="7">
        <v>1988</v>
      </c>
      <c r="W47" t="s">
        <v>1453</v>
      </c>
      <c r="X47" s="2" t="s">
        <v>5</v>
      </c>
      <c r="Y47" s="6" t="e">
        <f t="shared" si="2"/>
        <v>#VALUE!</v>
      </c>
      <c r="AA47">
        <v>2679337</v>
      </c>
      <c r="AB47">
        <v>69667</v>
      </c>
      <c r="AD47" t="s">
        <v>1</v>
      </c>
      <c r="AE47">
        <v>4</v>
      </c>
      <c r="AF47">
        <v>2</v>
      </c>
      <c r="AH47" t="s">
        <v>1565</v>
      </c>
      <c r="AI47" t="s">
        <v>1564</v>
      </c>
      <c r="AK47" t="s">
        <v>1563</v>
      </c>
      <c r="AL47">
        <v>0</v>
      </c>
      <c r="AM47" s="5">
        <f t="shared" si="3"/>
        <v>0</v>
      </c>
      <c r="AN47" s="4">
        <f t="shared" si="4"/>
        <v>0</v>
      </c>
      <c r="AO47" s="3"/>
      <c r="AP47">
        <v>0</v>
      </c>
      <c r="AR47" t="s">
        <v>0</v>
      </c>
      <c r="AT47" s="2" t="s">
        <v>5</v>
      </c>
      <c r="AU47" s="1" t="e">
        <f t="shared" si="5"/>
        <v>#VALUE!</v>
      </c>
      <c r="AV47" s="1" t="e">
        <f t="shared" si="6"/>
        <v>#VALUE!</v>
      </c>
      <c r="AW47" s="1" t="e">
        <f t="shared" si="7"/>
        <v>#VALUE!</v>
      </c>
    </row>
    <row r="48" spans="1:49" x14ac:dyDescent="0.2">
      <c r="A48">
        <v>46</v>
      </c>
      <c r="B48" t="s">
        <v>1562</v>
      </c>
      <c r="F48" t="s">
        <v>1561</v>
      </c>
      <c r="G48" t="s">
        <v>4</v>
      </c>
      <c r="H48" t="s">
        <v>3</v>
      </c>
      <c r="I48" t="s">
        <v>806</v>
      </c>
      <c r="J48">
        <v>101151338</v>
      </c>
      <c r="K48" t="s">
        <v>1560</v>
      </c>
      <c r="M48" t="s">
        <v>115</v>
      </c>
      <c r="N48">
        <v>2</v>
      </c>
      <c r="O48" t="s">
        <v>1559</v>
      </c>
      <c r="P48" t="s">
        <v>1558</v>
      </c>
      <c r="Q48" t="s">
        <v>1557</v>
      </c>
      <c r="R48" s="7">
        <v>32478</v>
      </c>
      <c r="S48" s="8">
        <f t="shared" si="0"/>
        <v>1988</v>
      </c>
      <c r="T48" s="8">
        <v>1988</v>
      </c>
      <c r="U48" s="8">
        <f t="shared" si="1"/>
        <v>34</v>
      </c>
      <c r="V48" s="7">
        <v>32478</v>
      </c>
      <c r="W48" t="s">
        <v>177</v>
      </c>
      <c r="X48" s="2" t="s">
        <v>5</v>
      </c>
      <c r="Y48" s="6" t="e">
        <f t="shared" si="2"/>
        <v>#VALUE!</v>
      </c>
      <c r="AA48">
        <v>262897</v>
      </c>
      <c r="AB48">
        <v>18580</v>
      </c>
      <c r="AD48" t="s">
        <v>1</v>
      </c>
      <c r="AE48">
        <v>31</v>
      </c>
      <c r="AF48">
        <v>12</v>
      </c>
      <c r="AI48" t="s">
        <v>1556</v>
      </c>
      <c r="AK48" t="s">
        <v>1555</v>
      </c>
      <c r="AL48">
        <v>5</v>
      </c>
      <c r="AM48" s="5">
        <f t="shared" si="3"/>
        <v>0.14705882352941177</v>
      </c>
      <c r="AN48" s="4">
        <f t="shared" si="4"/>
        <v>2.2273203109339154E-4</v>
      </c>
      <c r="AO48" s="3"/>
      <c r="AP48">
        <v>0</v>
      </c>
      <c r="AR48" t="s">
        <v>0</v>
      </c>
      <c r="AT48" s="2">
        <v>0.30599999999999999</v>
      </c>
      <c r="AU48" s="1" t="e">
        <f t="shared" si="5"/>
        <v>#VALUE!</v>
      </c>
      <c r="AV48" s="1" t="e">
        <f t="shared" si="6"/>
        <v>#VALUE!</v>
      </c>
      <c r="AW48" s="1" t="e">
        <f t="shared" si="7"/>
        <v>#VALUE!</v>
      </c>
    </row>
    <row r="49" spans="1:49" x14ac:dyDescent="0.2">
      <c r="A49">
        <v>47</v>
      </c>
      <c r="B49" t="s">
        <v>1554</v>
      </c>
      <c r="F49" t="s">
        <v>1553</v>
      </c>
      <c r="G49" t="s">
        <v>4</v>
      </c>
      <c r="H49" t="s">
        <v>3</v>
      </c>
      <c r="I49" t="s">
        <v>1552</v>
      </c>
      <c r="J49">
        <v>100345635</v>
      </c>
      <c r="K49" t="s">
        <v>1551</v>
      </c>
      <c r="M49" t="s">
        <v>1550</v>
      </c>
      <c r="N49">
        <v>1</v>
      </c>
      <c r="O49" t="s">
        <v>1549</v>
      </c>
      <c r="P49">
        <v>57221159279</v>
      </c>
      <c r="Q49">
        <v>100345635</v>
      </c>
      <c r="R49" s="7">
        <v>32478</v>
      </c>
      <c r="S49" s="8">
        <f t="shared" si="0"/>
        <v>1988</v>
      </c>
      <c r="T49" s="8">
        <v>1988</v>
      </c>
      <c r="U49" s="8">
        <f t="shared" si="1"/>
        <v>34</v>
      </c>
      <c r="V49" s="7">
        <v>1988</v>
      </c>
      <c r="W49" t="s">
        <v>1513</v>
      </c>
      <c r="X49" s="2" t="s">
        <v>5</v>
      </c>
      <c r="Y49" s="6" t="e">
        <f t="shared" si="2"/>
        <v>#VALUE!</v>
      </c>
      <c r="AA49">
        <v>7612508</v>
      </c>
      <c r="AB49">
        <v>28513</v>
      </c>
      <c r="AD49" t="s">
        <v>1</v>
      </c>
      <c r="AE49">
        <v>18</v>
      </c>
      <c r="AF49">
        <v>2</v>
      </c>
      <c r="AH49" t="s">
        <v>1548</v>
      </c>
      <c r="AI49" t="s">
        <v>1547</v>
      </c>
      <c r="AK49" t="s">
        <v>1546</v>
      </c>
      <c r="AL49">
        <v>2</v>
      </c>
      <c r="AM49" s="5">
        <f t="shared" si="3"/>
        <v>5.8823529411764705E-2</v>
      </c>
      <c r="AN49" s="4">
        <f t="shared" si="4"/>
        <v>8.9092812437356614E-5</v>
      </c>
      <c r="AO49" s="3"/>
      <c r="AP49">
        <v>0</v>
      </c>
      <c r="AR49" t="s">
        <v>0</v>
      </c>
      <c r="AT49" s="2" t="s">
        <v>5</v>
      </c>
      <c r="AU49" s="1" t="e">
        <f t="shared" si="5"/>
        <v>#VALUE!</v>
      </c>
      <c r="AV49" s="1" t="e">
        <f t="shared" si="6"/>
        <v>#VALUE!</v>
      </c>
      <c r="AW49" s="1" t="e">
        <f t="shared" si="7"/>
        <v>#VALUE!</v>
      </c>
    </row>
    <row r="50" spans="1:49" x14ac:dyDescent="0.2">
      <c r="A50">
        <v>48</v>
      </c>
      <c r="B50" t="s">
        <v>1545</v>
      </c>
      <c r="F50" t="s">
        <v>1544</v>
      </c>
      <c r="G50" t="s">
        <v>4</v>
      </c>
      <c r="H50" t="s">
        <v>3</v>
      </c>
      <c r="I50" t="s">
        <v>80</v>
      </c>
      <c r="N50">
        <v>2</v>
      </c>
      <c r="O50" t="s">
        <v>1543</v>
      </c>
      <c r="P50" t="s">
        <v>1542</v>
      </c>
      <c r="Q50" t="s">
        <v>42</v>
      </c>
      <c r="R50" s="7">
        <v>32478</v>
      </c>
      <c r="S50" s="8">
        <f t="shared" si="0"/>
        <v>1988</v>
      </c>
      <c r="T50" s="8">
        <v>1988</v>
      </c>
      <c r="U50" s="8">
        <f t="shared" si="1"/>
        <v>34</v>
      </c>
      <c r="V50" s="7">
        <v>1988</v>
      </c>
      <c r="W50" t="s">
        <v>1541</v>
      </c>
      <c r="X50" s="2" t="s">
        <v>5</v>
      </c>
      <c r="Y50" s="6" t="e">
        <f t="shared" si="2"/>
        <v>#VALUE!</v>
      </c>
      <c r="AA50">
        <v>134961</v>
      </c>
      <c r="AB50">
        <v>24876</v>
      </c>
      <c r="AD50" t="s">
        <v>1</v>
      </c>
      <c r="AE50">
        <v>29</v>
      </c>
      <c r="AF50">
        <v>1</v>
      </c>
      <c r="AH50" t="s">
        <v>1540</v>
      </c>
      <c r="AI50" t="s">
        <v>1539</v>
      </c>
      <c r="AK50" t="s">
        <v>1538</v>
      </c>
      <c r="AL50">
        <v>0</v>
      </c>
      <c r="AM50" s="5">
        <f t="shared" si="3"/>
        <v>0</v>
      </c>
      <c r="AN50" s="4">
        <f t="shared" si="4"/>
        <v>0</v>
      </c>
      <c r="AO50" s="3"/>
      <c r="AP50">
        <v>0</v>
      </c>
      <c r="AR50" t="s">
        <v>0</v>
      </c>
      <c r="AT50" s="2" t="s">
        <v>5</v>
      </c>
      <c r="AU50" s="1" t="e">
        <f t="shared" si="5"/>
        <v>#VALUE!</v>
      </c>
      <c r="AV50" s="1" t="e">
        <f t="shared" si="6"/>
        <v>#VALUE!</v>
      </c>
      <c r="AW50" s="1" t="e">
        <f t="shared" si="7"/>
        <v>#VALUE!</v>
      </c>
    </row>
    <row r="51" spans="1:49" x14ac:dyDescent="0.2">
      <c r="A51">
        <v>49</v>
      </c>
      <c r="B51" t="s">
        <v>1537</v>
      </c>
      <c r="F51" t="s">
        <v>1536</v>
      </c>
      <c r="G51" t="s">
        <v>4</v>
      </c>
      <c r="H51" t="s">
        <v>3</v>
      </c>
      <c r="I51" t="s">
        <v>1535</v>
      </c>
      <c r="J51">
        <v>60019894</v>
      </c>
      <c r="K51" t="s">
        <v>1447</v>
      </c>
      <c r="L51" t="s">
        <v>98</v>
      </c>
      <c r="M51" t="s">
        <v>20</v>
      </c>
      <c r="N51">
        <v>1</v>
      </c>
      <c r="O51" t="s">
        <v>1534</v>
      </c>
      <c r="P51">
        <v>6506127452</v>
      </c>
      <c r="Q51">
        <v>60019894</v>
      </c>
      <c r="R51" s="7">
        <v>32478</v>
      </c>
      <c r="S51" s="8">
        <f t="shared" si="0"/>
        <v>1988</v>
      </c>
      <c r="T51" s="8">
        <v>1988</v>
      </c>
      <c r="U51" s="8">
        <f t="shared" si="1"/>
        <v>34</v>
      </c>
      <c r="V51" s="7">
        <v>1988</v>
      </c>
      <c r="W51" t="s">
        <v>1445</v>
      </c>
      <c r="X51" s="2" t="s">
        <v>5</v>
      </c>
      <c r="Y51" s="6" t="e">
        <f t="shared" si="2"/>
        <v>#VALUE!</v>
      </c>
      <c r="AA51">
        <v>134252</v>
      </c>
      <c r="AB51">
        <v>32198</v>
      </c>
      <c r="AD51" t="s">
        <v>1</v>
      </c>
      <c r="AE51">
        <v>62</v>
      </c>
      <c r="AF51">
        <v>1</v>
      </c>
      <c r="AH51" t="s">
        <v>1533</v>
      </c>
      <c r="AI51" t="s">
        <v>1532</v>
      </c>
      <c r="AK51" t="s">
        <v>1531</v>
      </c>
      <c r="AL51">
        <v>0</v>
      </c>
      <c r="AM51" s="5">
        <f t="shared" si="3"/>
        <v>0</v>
      </c>
      <c r="AN51" s="4">
        <f t="shared" si="4"/>
        <v>0</v>
      </c>
      <c r="AO51" s="3"/>
      <c r="AP51">
        <v>0</v>
      </c>
      <c r="AR51" t="s">
        <v>0</v>
      </c>
      <c r="AT51" s="2" t="s">
        <v>5</v>
      </c>
      <c r="AU51" s="1" t="e">
        <f t="shared" si="5"/>
        <v>#VALUE!</v>
      </c>
      <c r="AV51" s="1" t="e">
        <f t="shared" si="6"/>
        <v>#VALUE!</v>
      </c>
      <c r="AW51" s="1" t="e">
        <f t="shared" si="7"/>
        <v>#VALUE!</v>
      </c>
    </row>
    <row r="52" spans="1:49" x14ac:dyDescent="0.2">
      <c r="A52">
        <v>50</v>
      </c>
      <c r="B52" t="s">
        <v>1530</v>
      </c>
      <c r="F52" t="s">
        <v>1529</v>
      </c>
      <c r="G52" t="s">
        <v>4</v>
      </c>
      <c r="H52" t="s">
        <v>3</v>
      </c>
      <c r="I52" t="s">
        <v>1528</v>
      </c>
      <c r="J52">
        <v>60007493</v>
      </c>
      <c r="K52" t="s">
        <v>1527</v>
      </c>
      <c r="L52" t="s">
        <v>1526</v>
      </c>
      <c r="M52" t="s">
        <v>11</v>
      </c>
      <c r="N52">
        <v>6</v>
      </c>
      <c r="O52" t="s">
        <v>1525</v>
      </c>
      <c r="P52" t="s">
        <v>1524</v>
      </c>
      <c r="Q52" t="s">
        <v>1523</v>
      </c>
      <c r="R52" s="7">
        <v>32478</v>
      </c>
      <c r="S52" s="8">
        <f t="shared" si="0"/>
        <v>1988</v>
      </c>
      <c r="T52" s="8">
        <v>1988</v>
      </c>
      <c r="U52" s="8">
        <f t="shared" si="1"/>
        <v>34</v>
      </c>
      <c r="V52" s="7">
        <v>1988</v>
      </c>
      <c r="W52" t="s">
        <v>1522</v>
      </c>
      <c r="X52" s="2" t="s">
        <v>5</v>
      </c>
      <c r="Y52" s="6" t="e">
        <f t="shared" si="2"/>
        <v>#VALUE!</v>
      </c>
      <c r="AA52">
        <v>3792285</v>
      </c>
      <c r="AB52">
        <v>34899</v>
      </c>
      <c r="AD52" t="s">
        <v>1</v>
      </c>
      <c r="AE52">
        <v>12</v>
      </c>
      <c r="AF52">
        <v>2</v>
      </c>
      <c r="AH52" t="s">
        <v>1521</v>
      </c>
      <c r="AI52" t="s">
        <v>1520</v>
      </c>
      <c r="AK52" t="s">
        <v>1519</v>
      </c>
      <c r="AL52">
        <v>6</v>
      </c>
      <c r="AM52" s="5">
        <f t="shared" si="3"/>
        <v>0.17647058823529413</v>
      </c>
      <c r="AN52" s="4">
        <f t="shared" si="4"/>
        <v>2.6727843731206988E-4</v>
      </c>
      <c r="AO52" s="3"/>
      <c r="AP52">
        <v>0</v>
      </c>
      <c r="AR52" t="s">
        <v>0</v>
      </c>
      <c r="AT52" s="2" t="s">
        <v>5</v>
      </c>
      <c r="AU52" s="1" t="e">
        <f t="shared" si="5"/>
        <v>#VALUE!</v>
      </c>
      <c r="AV52" s="1" t="e">
        <f t="shared" si="6"/>
        <v>#VALUE!</v>
      </c>
      <c r="AW52" s="1" t="e">
        <f t="shared" si="7"/>
        <v>#VALUE!</v>
      </c>
    </row>
    <row r="53" spans="1:49" x14ac:dyDescent="0.2">
      <c r="A53">
        <v>51</v>
      </c>
      <c r="B53" t="s">
        <v>1518</v>
      </c>
      <c r="F53" t="s">
        <v>1517</v>
      </c>
      <c r="G53" t="s">
        <v>4</v>
      </c>
      <c r="H53" t="s">
        <v>3</v>
      </c>
      <c r="I53" t="s">
        <v>1516</v>
      </c>
      <c r="J53">
        <v>100692904</v>
      </c>
      <c r="K53" t="s">
        <v>1515</v>
      </c>
      <c r="M53" t="s">
        <v>99</v>
      </c>
      <c r="N53">
        <v>1</v>
      </c>
      <c r="O53" t="s">
        <v>1514</v>
      </c>
      <c r="P53">
        <v>6506951838</v>
      </c>
      <c r="Q53">
        <v>100692904</v>
      </c>
      <c r="R53" s="7">
        <v>32478</v>
      </c>
      <c r="S53" s="8">
        <f t="shared" si="0"/>
        <v>1988</v>
      </c>
      <c r="T53" s="8">
        <v>1988</v>
      </c>
      <c r="U53" s="8">
        <f t="shared" si="1"/>
        <v>34</v>
      </c>
      <c r="V53" s="7">
        <v>1988</v>
      </c>
      <c r="W53" t="s">
        <v>1513</v>
      </c>
      <c r="X53" s="2" t="s">
        <v>5</v>
      </c>
      <c r="Y53" s="6" t="e">
        <f t="shared" si="2"/>
        <v>#VALUE!</v>
      </c>
      <c r="AA53">
        <v>7612508</v>
      </c>
      <c r="AB53">
        <v>28513</v>
      </c>
      <c r="AD53" t="s">
        <v>1</v>
      </c>
      <c r="AE53">
        <v>17</v>
      </c>
      <c r="AF53">
        <v>3</v>
      </c>
      <c r="AH53" t="s">
        <v>1512</v>
      </c>
      <c r="AI53" t="s">
        <v>1511</v>
      </c>
      <c r="AK53" t="s">
        <v>1510</v>
      </c>
      <c r="AL53">
        <v>0</v>
      </c>
      <c r="AM53" s="5">
        <f t="shared" si="3"/>
        <v>0</v>
      </c>
      <c r="AN53" s="4">
        <f t="shared" si="4"/>
        <v>0</v>
      </c>
      <c r="AO53" s="3"/>
      <c r="AP53">
        <v>0</v>
      </c>
      <c r="AR53" t="s">
        <v>0</v>
      </c>
      <c r="AT53" s="2" t="s">
        <v>5</v>
      </c>
      <c r="AU53" s="1" t="e">
        <f t="shared" si="5"/>
        <v>#VALUE!</v>
      </c>
      <c r="AV53" s="1" t="e">
        <f t="shared" si="6"/>
        <v>#VALUE!</v>
      </c>
      <c r="AW53" s="1" t="e">
        <f t="shared" si="7"/>
        <v>#VALUE!</v>
      </c>
    </row>
    <row r="54" spans="1:49" x14ac:dyDescent="0.2">
      <c r="A54">
        <v>52</v>
      </c>
      <c r="B54" t="s">
        <v>1509</v>
      </c>
      <c r="F54" t="s">
        <v>1508</v>
      </c>
      <c r="G54" t="s">
        <v>4</v>
      </c>
      <c r="H54" t="s">
        <v>3</v>
      </c>
      <c r="I54" t="s">
        <v>1507</v>
      </c>
      <c r="N54">
        <v>1</v>
      </c>
      <c r="O54" t="s">
        <v>1506</v>
      </c>
      <c r="P54">
        <v>7202278775</v>
      </c>
      <c r="R54" s="7">
        <v>32478</v>
      </c>
      <c r="S54" s="8">
        <f t="shared" si="0"/>
        <v>1988</v>
      </c>
      <c r="T54" s="8">
        <v>1988</v>
      </c>
      <c r="U54" s="8">
        <f t="shared" si="1"/>
        <v>34</v>
      </c>
      <c r="V54" s="7">
        <v>1988</v>
      </c>
      <c r="W54" t="s">
        <v>1453</v>
      </c>
      <c r="X54" s="2" t="s">
        <v>5</v>
      </c>
      <c r="Y54" s="6" t="e">
        <f t="shared" si="2"/>
        <v>#VALUE!</v>
      </c>
      <c r="AA54">
        <v>2679337</v>
      </c>
      <c r="AB54">
        <v>69667</v>
      </c>
      <c r="AD54" t="s">
        <v>1</v>
      </c>
      <c r="AE54">
        <v>4</v>
      </c>
      <c r="AF54">
        <v>3</v>
      </c>
      <c r="AH54" t="s">
        <v>1505</v>
      </c>
      <c r="AI54" t="s">
        <v>1504</v>
      </c>
      <c r="AK54" t="s">
        <v>1503</v>
      </c>
      <c r="AL54">
        <v>0</v>
      </c>
      <c r="AM54" s="5">
        <f t="shared" si="3"/>
        <v>0</v>
      </c>
      <c r="AN54" s="4">
        <f t="shared" si="4"/>
        <v>0</v>
      </c>
      <c r="AO54" s="3"/>
      <c r="AP54">
        <v>0</v>
      </c>
      <c r="AR54" t="s">
        <v>0</v>
      </c>
      <c r="AT54" s="2" t="s">
        <v>5</v>
      </c>
      <c r="AU54" s="1" t="e">
        <f t="shared" si="5"/>
        <v>#VALUE!</v>
      </c>
      <c r="AV54" s="1" t="e">
        <f t="shared" si="6"/>
        <v>#VALUE!</v>
      </c>
      <c r="AW54" s="1" t="e">
        <f t="shared" si="7"/>
        <v>#VALUE!</v>
      </c>
    </row>
    <row r="55" spans="1:49" x14ac:dyDescent="0.2">
      <c r="A55">
        <v>53</v>
      </c>
      <c r="B55" t="s">
        <v>1502</v>
      </c>
      <c r="F55" t="s">
        <v>1501</v>
      </c>
      <c r="G55" t="s">
        <v>4</v>
      </c>
      <c r="H55" t="s">
        <v>3</v>
      </c>
      <c r="I55" t="s">
        <v>1500</v>
      </c>
      <c r="J55">
        <v>60023256</v>
      </c>
      <c r="K55" t="s">
        <v>1499</v>
      </c>
      <c r="L55" t="s">
        <v>171</v>
      </c>
      <c r="M55" t="s">
        <v>72</v>
      </c>
      <c r="N55">
        <v>1</v>
      </c>
      <c r="O55" t="s">
        <v>1498</v>
      </c>
      <c r="P55">
        <v>35587034600</v>
      </c>
      <c r="Q55">
        <v>60023256</v>
      </c>
      <c r="R55" s="7">
        <v>32478</v>
      </c>
      <c r="S55" s="8">
        <f t="shared" si="0"/>
        <v>1988</v>
      </c>
      <c r="T55" s="8">
        <v>1988</v>
      </c>
      <c r="U55" s="8">
        <f t="shared" si="1"/>
        <v>34</v>
      </c>
      <c r="V55" s="7">
        <v>32478</v>
      </c>
      <c r="W55" t="s">
        <v>180</v>
      </c>
      <c r="X55" s="2">
        <v>0.125</v>
      </c>
      <c r="Y55" s="6">
        <f t="shared" si="2"/>
        <v>3.3368036090867838E-3</v>
      </c>
      <c r="AA55">
        <v>26557</v>
      </c>
      <c r="AB55">
        <v>40401</v>
      </c>
      <c r="AD55" t="s">
        <v>1</v>
      </c>
      <c r="AE55">
        <v>57</v>
      </c>
      <c r="AF55">
        <v>10</v>
      </c>
      <c r="AH55" t="s">
        <v>1497</v>
      </c>
      <c r="AI55" t="s">
        <v>1496</v>
      </c>
      <c r="AK55" t="s">
        <v>1495</v>
      </c>
      <c r="AL55">
        <v>0</v>
      </c>
      <c r="AM55" s="5">
        <f t="shared" si="3"/>
        <v>0</v>
      </c>
      <c r="AN55" s="4">
        <f t="shared" si="4"/>
        <v>0</v>
      </c>
      <c r="AO55" s="3"/>
      <c r="AP55">
        <v>0</v>
      </c>
      <c r="AR55" t="s">
        <v>0</v>
      </c>
      <c r="AT55" s="2" t="s">
        <v>5</v>
      </c>
      <c r="AU55" s="1">
        <f t="shared" si="5"/>
        <v>0.23357625263607484</v>
      </c>
      <c r="AV55" s="1">
        <f t="shared" si="6"/>
        <v>0.16684018045433918</v>
      </c>
      <c r="AW55" s="1">
        <f t="shared" si="7"/>
        <v>0.10010410827260351</v>
      </c>
    </row>
    <row r="56" spans="1:49" x14ac:dyDescent="0.2">
      <c r="A56">
        <v>54</v>
      </c>
      <c r="B56" t="s">
        <v>1494</v>
      </c>
      <c r="F56" t="s">
        <v>1493</v>
      </c>
      <c r="G56" t="s">
        <v>4</v>
      </c>
      <c r="H56" t="s">
        <v>3</v>
      </c>
      <c r="I56" t="s">
        <v>1492</v>
      </c>
      <c r="J56">
        <v>60073285</v>
      </c>
      <c r="K56" t="s">
        <v>1491</v>
      </c>
      <c r="L56" t="s">
        <v>85</v>
      </c>
      <c r="M56" t="s">
        <v>72</v>
      </c>
      <c r="N56">
        <v>6</v>
      </c>
      <c r="O56" t="s">
        <v>1490</v>
      </c>
      <c r="P56" t="s">
        <v>1489</v>
      </c>
      <c r="Q56" t="s">
        <v>1488</v>
      </c>
      <c r="R56" s="7">
        <v>32478</v>
      </c>
      <c r="S56" s="8">
        <f t="shared" si="0"/>
        <v>1988</v>
      </c>
      <c r="T56" s="8">
        <v>1988</v>
      </c>
      <c r="U56" s="8">
        <f t="shared" si="1"/>
        <v>34</v>
      </c>
      <c r="V56" s="7">
        <v>32478</v>
      </c>
      <c r="W56" t="s">
        <v>180</v>
      </c>
      <c r="X56" s="2">
        <v>0.125</v>
      </c>
      <c r="Y56" s="6">
        <f t="shared" si="2"/>
        <v>3.3368036090867838E-3</v>
      </c>
      <c r="AA56">
        <v>26557</v>
      </c>
      <c r="AB56">
        <v>40401</v>
      </c>
      <c r="AD56" t="s">
        <v>1</v>
      </c>
      <c r="AE56">
        <v>57</v>
      </c>
      <c r="AF56">
        <v>10</v>
      </c>
      <c r="AH56" t="s">
        <v>1487</v>
      </c>
      <c r="AI56" t="s">
        <v>1486</v>
      </c>
      <c r="AK56" t="s">
        <v>1485</v>
      </c>
      <c r="AL56">
        <v>0</v>
      </c>
      <c r="AM56" s="5">
        <f t="shared" si="3"/>
        <v>0</v>
      </c>
      <c r="AN56" s="4">
        <f t="shared" si="4"/>
        <v>0</v>
      </c>
      <c r="AO56" s="3"/>
      <c r="AP56">
        <v>0</v>
      </c>
      <c r="AR56" t="s">
        <v>0</v>
      </c>
      <c r="AT56" s="2" t="s">
        <v>5</v>
      </c>
      <c r="AU56" s="1">
        <f t="shared" si="5"/>
        <v>0.23357625263607484</v>
      </c>
      <c r="AV56" s="1">
        <f t="shared" si="6"/>
        <v>0.16684018045433918</v>
      </c>
      <c r="AW56" s="1">
        <f t="shared" si="7"/>
        <v>0.10010410827260351</v>
      </c>
    </row>
    <row r="57" spans="1:49" x14ac:dyDescent="0.2">
      <c r="A57">
        <v>55</v>
      </c>
      <c r="B57" t="s">
        <v>1484</v>
      </c>
      <c r="F57" t="s">
        <v>1483</v>
      </c>
      <c r="G57" t="s">
        <v>4</v>
      </c>
      <c r="H57" t="s">
        <v>3</v>
      </c>
      <c r="I57" t="s">
        <v>1482</v>
      </c>
      <c r="N57">
        <v>3</v>
      </c>
      <c r="O57" t="s">
        <v>1481</v>
      </c>
      <c r="P57" t="s">
        <v>1480</v>
      </c>
      <c r="Q57" t="s">
        <v>44</v>
      </c>
      <c r="R57" s="7">
        <v>32478</v>
      </c>
      <c r="S57" s="8">
        <f t="shared" si="0"/>
        <v>1988</v>
      </c>
      <c r="T57" s="8">
        <v>1988</v>
      </c>
      <c r="U57" s="8">
        <f t="shared" si="1"/>
        <v>34</v>
      </c>
      <c r="V57" s="7">
        <v>1988</v>
      </c>
      <c r="W57" t="s">
        <v>1445</v>
      </c>
      <c r="X57" s="2" t="s">
        <v>5</v>
      </c>
      <c r="Y57" s="6" t="e">
        <f t="shared" si="2"/>
        <v>#VALUE!</v>
      </c>
      <c r="AA57">
        <v>134252</v>
      </c>
      <c r="AB57">
        <v>32198</v>
      </c>
      <c r="AD57" t="s">
        <v>1</v>
      </c>
      <c r="AE57">
        <v>62</v>
      </c>
      <c r="AF57">
        <v>1</v>
      </c>
      <c r="AH57" t="s">
        <v>1479</v>
      </c>
      <c r="AI57" t="s">
        <v>1478</v>
      </c>
      <c r="AK57" t="s">
        <v>1477</v>
      </c>
      <c r="AL57">
        <v>0</v>
      </c>
      <c r="AM57" s="5">
        <f t="shared" si="3"/>
        <v>0</v>
      </c>
      <c r="AN57" s="4">
        <f t="shared" si="4"/>
        <v>0</v>
      </c>
      <c r="AO57" s="3"/>
      <c r="AP57">
        <v>0</v>
      </c>
      <c r="AR57" t="s">
        <v>0</v>
      </c>
      <c r="AT57" s="2" t="s">
        <v>5</v>
      </c>
      <c r="AU57" s="1" t="e">
        <f t="shared" si="5"/>
        <v>#VALUE!</v>
      </c>
      <c r="AV57" s="1" t="e">
        <f t="shared" si="6"/>
        <v>#VALUE!</v>
      </c>
      <c r="AW57" s="1" t="e">
        <f t="shared" si="7"/>
        <v>#VALUE!</v>
      </c>
    </row>
    <row r="58" spans="1:49" x14ac:dyDescent="0.2">
      <c r="A58">
        <v>56</v>
      </c>
      <c r="B58" t="s">
        <v>1476</v>
      </c>
      <c r="F58" t="s">
        <v>1475</v>
      </c>
      <c r="G58" t="s">
        <v>4</v>
      </c>
      <c r="H58" t="s">
        <v>3</v>
      </c>
      <c r="I58" t="s">
        <v>1474</v>
      </c>
      <c r="N58">
        <v>1</v>
      </c>
      <c r="O58" t="s">
        <v>1473</v>
      </c>
      <c r="P58">
        <v>6506974710</v>
      </c>
      <c r="R58" s="7">
        <v>32478</v>
      </c>
      <c r="S58" s="8">
        <f t="shared" si="0"/>
        <v>1988</v>
      </c>
      <c r="T58" s="8">
        <v>1988</v>
      </c>
      <c r="U58" s="8">
        <f t="shared" si="1"/>
        <v>34</v>
      </c>
      <c r="V58" s="7">
        <v>32478</v>
      </c>
      <c r="W58" t="s">
        <v>1472</v>
      </c>
      <c r="X58" s="2" t="s">
        <v>5</v>
      </c>
      <c r="Y58" s="6" t="e">
        <f t="shared" si="2"/>
        <v>#VALUE!</v>
      </c>
      <c r="AA58">
        <v>10196587</v>
      </c>
      <c r="AB58">
        <v>18354</v>
      </c>
      <c r="AD58" t="s">
        <v>1</v>
      </c>
      <c r="AF58">
        <v>232</v>
      </c>
      <c r="AH58" t="s">
        <v>1471</v>
      </c>
      <c r="AI58" t="s">
        <v>1470</v>
      </c>
      <c r="AK58" t="s">
        <v>1469</v>
      </c>
      <c r="AL58">
        <v>0</v>
      </c>
      <c r="AM58" s="5">
        <f t="shared" si="3"/>
        <v>0</v>
      </c>
      <c r="AN58" s="4">
        <f t="shared" si="4"/>
        <v>0</v>
      </c>
      <c r="AO58" s="3"/>
      <c r="AP58">
        <v>0</v>
      </c>
      <c r="AR58" t="s">
        <v>0</v>
      </c>
      <c r="AT58" s="2" t="s">
        <v>5</v>
      </c>
      <c r="AU58" s="1" t="e">
        <f t="shared" si="5"/>
        <v>#VALUE!</v>
      </c>
      <c r="AV58" s="1" t="e">
        <f t="shared" si="6"/>
        <v>#VALUE!</v>
      </c>
      <c r="AW58" s="1" t="e">
        <f t="shared" si="7"/>
        <v>#VALUE!</v>
      </c>
    </row>
    <row r="59" spans="1:49" x14ac:dyDescent="0.2">
      <c r="A59">
        <v>57</v>
      </c>
      <c r="B59" t="s">
        <v>1468</v>
      </c>
      <c r="F59" t="s">
        <v>1467</v>
      </c>
      <c r="G59" t="s">
        <v>4</v>
      </c>
      <c r="H59" t="s">
        <v>3</v>
      </c>
      <c r="I59" t="s">
        <v>1466</v>
      </c>
      <c r="J59">
        <v>60019894</v>
      </c>
      <c r="K59" t="s">
        <v>1447</v>
      </c>
      <c r="L59" t="s">
        <v>98</v>
      </c>
      <c r="M59" t="s">
        <v>20</v>
      </c>
      <c r="N59">
        <v>2</v>
      </c>
      <c r="O59" t="s">
        <v>1465</v>
      </c>
      <c r="P59" t="s">
        <v>1464</v>
      </c>
      <c r="Q59" t="s">
        <v>1463</v>
      </c>
      <c r="R59" s="7">
        <v>32478</v>
      </c>
      <c r="S59" s="8">
        <f t="shared" si="0"/>
        <v>1988</v>
      </c>
      <c r="T59" s="8">
        <v>1988</v>
      </c>
      <c r="U59" s="8">
        <f t="shared" si="1"/>
        <v>34</v>
      </c>
      <c r="V59" s="7">
        <v>1988</v>
      </c>
      <c r="W59" t="s">
        <v>1445</v>
      </c>
      <c r="X59" s="2" t="s">
        <v>5</v>
      </c>
      <c r="Y59" s="6" t="e">
        <f t="shared" si="2"/>
        <v>#VALUE!</v>
      </c>
      <c r="AA59">
        <v>134252</v>
      </c>
      <c r="AB59">
        <v>32198</v>
      </c>
      <c r="AD59" t="s">
        <v>1</v>
      </c>
      <c r="AE59">
        <v>62</v>
      </c>
      <c r="AF59">
        <v>1</v>
      </c>
      <c r="AH59" t="s">
        <v>1462</v>
      </c>
      <c r="AI59" t="s">
        <v>1461</v>
      </c>
      <c r="AK59" t="s">
        <v>1460</v>
      </c>
      <c r="AL59">
        <v>1</v>
      </c>
      <c r="AM59" s="5">
        <f t="shared" si="3"/>
        <v>2.9411764705882353E-2</v>
      </c>
      <c r="AN59" s="4">
        <f t="shared" si="4"/>
        <v>4.4546406218678307E-5</v>
      </c>
      <c r="AO59" s="3"/>
      <c r="AP59">
        <v>0</v>
      </c>
      <c r="AR59" t="s">
        <v>0</v>
      </c>
      <c r="AT59" s="2" t="s">
        <v>5</v>
      </c>
      <c r="AU59" s="1" t="e">
        <f t="shared" si="5"/>
        <v>#VALUE!</v>
      </c>
      <c r="AV59" s="1" t="e">
        <f t="shared" si="6"/>
        <v>#VALUE!</v>
      </c>
      <c r="AW59" s="1" t="e">
        <f t="shared" si="7"/>
        <v>#VALUE!</v>
      </c>
    </row>
    <row r="60" spans="1:49" x14ac:dyDescent="0.2">
      <c r="A60">
        <v>58</v>
      </c>
      <c r="B60" t="s">
        <v>1459</v>
      </c>
      <c r="F60" t="s">
        <v>1458</v>
      </c>
      <c r="G60" t="s">
        <v>4</v>
      </c>
      <c r="H60" t="s">
        <v>3</v>
      </c>
      <c r="I60" t="s">
        <v>1457</v>
      </c>
      <c r="J60">
        <v>100583282</v>
      </c>
      <c r="K60" t="s">
        <v>1456</v>
      </c>
      <c r="L60" t="s">
        <v>1455</v>
      </c>
      <c r="M60" t="s">
        <v>56</v>
      </c>
      <c r="N60">
        <v>1</v>
      </c>
      <c r="O60" t="s">
        <v>1454</v>
      </c>
      <c r="P60">
        <v>57198982346</v>
      </c>
      <c r="Q60">
        <v>100583282</v>
      </c>
      <c r="R60" s="7">
        <v>32478</v>
      </c>
      <c r="S60" s="8">
        <f t="shared" si="0"/>
        <v>1988</v>
      </c>
      <c r="T60" s="8">
        <v>1988</v>
      </c>
      <c r="U60" s="8">
        <f t="shared" si="1"/>
        <v>34</v>
      </c>
      <c r="V60" s="7">
        <v>1988</v>
      </c>
      <c r="W60" t="s">
        <v>1453</v>
      </c>
      <c r="X60" s="2" t="s">
        <v>5</v>
      </c>
      <c r="Y60" s="6" t="e">
        <f t="shared" si="2"/>
        <v>#VALUE!</v>
      </c>
      <c r="AA60">
        <v>2679337</v>
      </c>
      <c r="AB60">
        <v>69667</v>
      </c>
      <c r="AD60" t="s">
        <v>1</v>
      </c>
      <c r="AE60">
        <v>4</v>
      </c>
      <c r="AF60">
        <v>2</v>
      </c>
      <c r="AH60" t="s">
        <v>150</v>
      </c>
      <c r="AI60" t="s">
        <v>1452</v>
      </c>
      <c r="AK60" t="s">
        <v>1451</v>
      </c>
      <c r="AL60">
        <v>1</v>
      </c>
      <c r="AM60" s="5">
        <f t="shared" si="3"/>
        <v>2.9411764705882353E-2</v>
      </c>
      <c r="AN60" s="4">
        <f t="shared" si="4"/>
        <v>4.4546406218678307E-5</v>
      </c>
      <c r="AO60" s="3"/>
      <c r="AP60">
        <v>0</v>
      </c>
      <c r="AR60" t="s">
        <v>0</v>
      </c>
      <c r="AT60" s="2" t="s">
        <v>5</v>
      </c>
      <c r="AU60" s="1" t="e">
        <f t="shared" si="5"/>
        <v>#VALUE!</v>
      </c>
      <c r="AV60" s="1" t="e">
        <f t="shared" si="6"/>
        <v>#VALUE!</v>
      </c>
      <c r="AW60" s="1" t="e">
        <f t="shared" si="7"/>
        <v>#VALUE!</v>
      </c>
    </row>
    <row r="61" spans="1:49" x14ac:dyDescent="0.2">
      <c r="A61">
        <v>59</v>
      </c>
      <c r="B61" t="s">
        <v>1450</v>
      </c>
      <c r="F61" t="s">
        <v>1449</v>
      </c>
      <c r="G61" t="s">
        <v>4</v>
      </c>
      <c r="H61" t="s">
        <v>3</v>
      </c>
      <c r="I61" t="s">
        <v>1448</v>
      </c>
      <c r="J61">
        <v>60019894</v>
      </c>
      <c r="K61" t="s">
        <v>1447</v>
      </c>
      <c r="L61" t="s">
        <v>98</v>
      </c>
      <c r="M61" t="s">
        <v>20</v>
      </c>
      <c r="N61">
        <v>1</v>
      </c>
      <c r="O61" t="s">
        <v>1446</v>
      </c>
      <c r="P61">
        <v>6507982719</v>
      </c>
      <c r="Q61">
        <v>60019894</v>
      </c>
      <c r="R61" s="7">
        <v>32478</v>
      </c>
      <c r="S61" s="8">
        <f t="shared" si="0"/>
        <v>1988</v>
      </c>
      <c r="T61" s="8">
        <v>1988</v>
      </c>
      <c r="U61" s="8">
        <f t="shared" si="1"/>
        <v>34</v>
      </c>
      <c r="V61" s="7">
        <v>1988</v>
      </c>
      <c r="W61" t="s">
        <v>1445</v>
      </c>
      <c r="X61" s="2" t="s">
        <v>5</v>
      </c>
      <c r="Y61" s="6" t="e">
        <f t="shared" si="2"/>
        <v>#VALUE!</v>
      </c>
      <c r="AA61">
        <v>134252</v>
      </c>
      <c r="AB61">
        <v>32198</v>
      </c>
      <c r="AD61" t="s">
        <v>1</v>
      </c>
      <c r="AE61">
        <v>62</v>
      </c>
      <c r="AF61">
        <v>1</v>
      </c>
      <c r="AH61" t="s">
        <v>1444</v>
      </c>
      <c r="AI61" t="s">
        <v>1443</v>
      </c>
      <c r="AK61" t="s">
        <v>1442</v>
      </c>
      <c r="AL61">
        <v>1</v>
      </c>
      <c r="AM61" s="5">
        <f t="shared" si="3"/>
        <v>2.9411764705882353E-2</v>
      </c>
      <c r="AN61" s="4">
        <f t="shared" si="4"/>
        <v>4.4546406218678307E-5</v>
      </c>
      <c r="AO61" s="3"/>
      <c r="AP61">
        <v>0</v>
      </c>
      <c r="AR61" t="s">
        <v>0</v>
      </c>
      <c r="AT61" s="2" t="s">
        <v>5</v>
      </c>
      <c r="AU61" s="1" t="e">
        <f t="shared" si="5"/>
        <v>#VALUE!</v>
      </c>
      <c r="AV61" s="1" t="e">
        <f t="shared" si="6"/>
        <v>#VALUE!</v>
      </c>
      <c r="AW61" s="1" t="e">
        <f t="shared" si="7"/>
        <v>#VALUE!</v>
      </c>
    </row>
    <row r="62" spans="1:49" x14ac:dyDescent="0.2">
      <c r="A62">
        <v>60</v>
      </c>
      <c r="B62" t="s">
        <v>1441</v>
      </c>
      <c r="F62" t="s">
        <v>1440</v>
      </c>
      <c r="G62" t="s">
        <v>4</v>
      </c>
      <c r="H62" t="s">
        <v>3</v>
      </c>
      <c r="I62" t="s">
        <v>1439</v>
      </c>
      <c r="J62">
        <v>101202839</v>
      </c>
      <c r="K62" t="s">
        <v>1438</v>
      </c>
      <c r="M62" t="s">
        <v>115</v>
      </c>
      <c r="N62">
        <v>2</v>
      </c>
      <c r="O62" t="s">
        <v>1437</v>
      </c>
      <c r="P62" t="s">
        <v>1436</v>
      </c>
      <c r="Q62" t="s">
        <v>1435</v>
      </c>
      <c r="R62" s="7">
        <v>32478</v>
      </c>
      <c r="S62" s="8">
        <f t="shared" si="0"/>
        <v>1988</v>
      </c>
      <c r="T62" s="8">
        <v>1988</v>
      </c>
      <c r="U62" s="8">
        <f t="shared" si="1"/>
        <v>34</v>
      </c>
      <c r="V62" s="7">
        <v>32478</v>
      </c>
      <c r="W62" t="s">
        <v>262</v>
      </c>
      <c r="X62" s="2">
        <v>0.14399999999999999</v>
      </c>
      <c r="Y62" s="6">
        <f t="shared" si="2"/>
        <v>3.8439977576679744E-3</v>
      </c>
      <c r="AA62">
        <v>382221</v>
      </c>
      <c r="AB62">
        <v>19255</v>
      </c>
      <c r="AD62" t="s">
        <v>1</v>
      </c>
      <c r="AE62">
        <v>79</v>
      </c>
      <c r="AF62">
        <v>2</v>
      </c>
      <c r="AH62" t="s">
        <v>1434</v>
      </c>
      <c r="AI62" t="s">
        <v>1433</v>
      </c>
      <c r="AK62" t="s">
        <v>1432</v>
      </c>
      <c r="AL62">
        <v>0</v>
      </c>
      <c r="AM62" s="5">
        <f t="shared" si="3"/>
        <v>0</v>
      </c>
      <c r="AN62" s="4">
        <f t="shared" si="4"/>
        <v>0</v>
      </c>
      <c r="AO62" s="3"/>
      <c r="AP62">
        <v>0</v>
      </c>
      <c r="AR62" t="s">
        <v>0</v>
      </c>
      <c r="AT62" s="2" t="s">
        <v>5</v>
      </c>
      <c r="AU62" s="1">
        <f t="shared" si="5"/>
        <v>0.26907984303675819</v>
      </c>
      <c r="AV62" s="1">
        <f t="shared" si="6"/>
        <v>0.19219988788339873</v>
      </c>
      <c r="AW62" s="1">
        <f t="shared" si="7"/>
        <v>0.11531993273003922</v>
      </c>
    </row>
    <row r="63" spans="1:49" x14ac:dyDescent="0.2">
      <c r="A63">
        <v>61</v>
      </c>
      <c r="B63" t="s">
        <v>1431</v>
      </c>
      <c r="F63" t="s">
        <v>1430</v>
      </c>
      <c r="G63" t="s">
        <v>4</v>
      </c>
      <c r="H63" t="s">
        <v>3</v>
      </c>
      <c r="I63" t="s">
        <v>283</v>
      </c>
      <c r="J63">
        <v>60021902</v>
      </c>
      <c r="K63" t="s">
        <v>117</v>
      </c>
      <c r="L63" t="s">
        <v>116</v>
      </c>
      <c r="M63" t="s">
        <v>115</v>
      </c>
      <c r="N63">
        <v>1</v>
      </c>
      <c r="O63" t="s">
        <v>282</v>
      </c>
      <c r="P63">
        <v>35565202000</v>
      </c>
      <c r="Q63">
        <v>60021902</v>
      </c>
      <c r="R63" s="7">
        <v>32478</v>
      </c>
      <c r="S63" s="8">
        <f t="shared" si="0"/>
        <v>1988</v>
      </c>
      <c r="T63" s="8">
        <v>1988</v>
      </c>
      <c r="U63" s="8">
        <f t="shared" si="1"/>
        <v>34</v>
      </c>
      <c r="V63" s="7">
        <v>32478</v>
      </c>
      <c r="W63" t="s">
        <v>262</v>
      </c>
      <c r="X63" s="2">
        <v>0.14399999999999999</v>
      </c>
      <c r="Y63" s="6">
        <f t="shared" si="2"/>
        <v>3.8439977576679744E-3</v>
      </c>
      <c r="AA63">
        <v>382221</v>
      </c>
      <c r="AB63">
        <v>19255</v>
      </c>
      <c r="AD63" t="s">
        <v>1</v>
      </c>
      <c r="AE63">
        <v>79</v>
      </c>
      <c r="AF63">
        <v>2</v>
      </c>
      <c r="AH63" t="s">
        <v>1429</v>
      </c>
      <c r="AI63" t="s">
        <v>1428</v>
      </c>
      <c r="AK63" t="s">
        <v>1427</v>
      </c>
      <c r="AL63">
        <v>0</v>
      </c>
      <c r="AM63" s="5">
        <f t="shared" si="3"/>
        <v>0</v>
      </c>
      <c r="AN63" s="4">
        <f t="shared" si="4"/>
        <v>0</v>
      </c>
      <c r="AO63" s="3"/>
      <c r="AP63">
        <v>0</v>
      </c>
      <c r="AR63" t="s">
        <v>0</v>
      </c>
      <c r="AT63" s="2" t="s">
        <v>5</v>
      </c>
      <c r="AU63" s="1">
        <f t="shared" si="5"/>
        <v>0.26907984303675819</v>
      </c>
      <c r="AV63" s="1">
        <f t="shared" si="6"/>
        <v>0.19219988788339873</v>
      </c>
      <c r="AW63" s="1">
        <f t="shared" si="7"/>
        <v>0.11531993273003922</v>
      </c>
    </row>
    <row r="64" spans="1:49" x14ac:dyDescent="0.2">
      <c r="A64">
        <v>62</v>
      </c>
      <c r="B64" t="s">
        <v>1426</v>
      </c>
      <c r="C64" t="s">
        <v>1425</v>
      </c>
      <c r="F64" t="s">
        <v>1424</v>
      </c>
      <c r="G64" t="s">
        <v>4</v>
      </c>
      <c r="H64" t="s">
        <v>3</v>
      </c>
      <c r="I64" t="s">
        <v>1423</v>
      </c>
      <c r="J64">
        <v>60025272</v>
      </c>
      <c r="K64" t="s">
        <v>172</v>
      </c>
      <c r="L64" t="s">
        <v>25</v>
      </c>
      <c r="M64" t="s">
        <v>24</v>
      </c>
      <c r="N64">
        <v>4</v>
      </c>
      <c r="O64" t="s">
        <v>1422</v>
      </c>
      <c r="P64" t="s">
        <v>1421</v>
      </c>
      <c r="Q64" t="s">
        <v>1420</v>
      </c>
      <c r="R64" s="7">
        <v>32478</v>
      </c>
      <c r="S64" s="8">
        <f t="shared" si="0"/>
        <v>1988</v>
      </c>
      <c r="T64" s="8">
        <v>1988</v>
      </c>
      <c r="U64" s="8">
        <f t="shared" si="1"/>
        <v>34</v>
      </c>
      <c r="V64" s="7">
        <v>1988</v>
      </c>
      <c r="W64" t="s">
        <v>1407</v>
      </c>
      <c r="X64" s="2">
        <v>0.60499999999999998</v>
      </c>
      <c r="Y64" s="6">
        <f t="shared" si="2"/>
        <v>1.6150129467980032E-2</v>
      </c>
      <c r="AA64">
        <v>346748</v>
      </c>
      <c r="AB64">
        <v>15563</v>
      </c>
      <c r="AD64" t="s">
        <v>1</v>
      </c>
      <c r="AE64">
        <v>59</v>
      </c>
      <c r="AF64">
        <v>1</v>
      </c>
      <c r="AH64" t="s">
        <v>1419</v>
      </c>
      <c r="AI64" t="s">
        <v>1418</v>
      </c>
      <c r="AK64" t="s">
        <v>1417</v>
      </c>
      <c r="AL64">
        <v>5</v>
      </c>
      <c r="AM64" s="5">
        <f t="shared" si="3"/>
        <v>0.14705882352941177</v>
      </c>
      <c r="AN64" s="4">
        <f t="shared" si="4"/>
        <v>2.2273203109339154E-4</v>
      </c>
      <c r="AO64" s="3"/>
      <c r="AP64">
        <v>0</v>
      </c>
      <c r="AR64" t="s">
        <v>0</v>
      </c>
      <c r="AT64" s="2">
        <v>1.5229999999999999</v>
      </c>
      <c r="AU64" s="1">
        <f t="shared" si="5"/>
        <v>1.137191023691404</v>
      </c>
      <c r="AV64" s="1">
        <f t="shared" si="6"/>
        <v>0.81864307495367117</v>
      </c>
      <c r="AW64" s="1">
        <f t="shared" si="7"/>
        <v>0.50009512621593832</v>
      </c>
    </row>
    <row r="65" spans="1:49" x14ac:dyDescent="0.2">
      <c r="A65">
        <v>63</v>
      </c>
      <c r="B65" t="s">
        <v>1416</v>
      </c>
      <c r="C65" t="s">
        <v>1415</v>
      </c>
      <c r="F65" t="s">
        <v>1414</v>
      </c>
      <c r="G65" t="s">
        <v>4</v>
      </c>
      <c r="H65" t="s">
        <v>3</v>
      </c>
      <c r="I65" t="s">
        <v>1413</v>
      </c>
      <c r="J65">
        <v>60018020</v>
      </c>
      <c r="K65" t="s">
        <v>1412</v>
      </c>
      <c r="L65" t="s">
        <v>1411</v>
      </c>
      <c r="M65" t="s">
        <v>10</v>
      </c>
      <c r="N65">
        <v>3</v>
      </c>
      <c r="O65" t="s">
        <v>1410</v>
      </c>
      <c r="P65" t="s">
        <v>1409</v>
      </c>
      <c r="Q65" t="s">
        <v>1408</v>
      </c>
      <c r="R65" s="7">
        <v>32478</v>
      </c>
      <c r="S65" s="8">
        <f t="shared" si="0"/>
        <v>1988</v>
      </c>
      <c r="T65" s="8">
        <v>1988</v>
      </c>
      <c r="U65" s="8">
        <f t="shared" si="1"/>
        <v>34</v>
      </c>
      <c r="V65" s="7">
        <v>1988</v>
      </c>
      <c r="W65" t="s">
        <v>1407</v>
      </c>
      <c r="X65" s="2">
        <v>0.60499999999999998</v>
      </c>
      <c r="Y65" s="6">
        <f t="shared" si="2"/>
        <v>1.6150129467980032E-2</v>
      </c>
      <c r="AA65">
        <v>346748</v>
      </c>
      <c r="AB65">
        <v>15563</v>
      </c>
      <c r="AD65" t="s">
        <v>1</v>
      </c>
      <c r="AE65">
        <v>59</v>
      </c>
      <c r="AF65">
        <v>6</v>
      </c>
      <c r="AH65" t="s">
        <v>1406</v>
      </c>
      <c r="AI65" t="s">
        <v>1405</v>
      </c>
      <c r="AK65" t="s">
        <v>1404</v>
      </c>
      <c r="AL65">
        <v>43</v>
      </c>
      <c r="AM65" s="5">
        <f t="shared" si="3"/>
        <v>1.2647058823529411</v>
      </c>
      <c r="AN65" s="4">
        <f t="shared" si="4"/>
        <v>1.9154954674031671E-3</v>
      </c>
      <c r="AO65" s="3"/>
      <c r="AP65">
        <v>0</v>
      </c>
      <c r="AR65" t="s">
        <v>0</v>
      </c>
      <c r="AT65" s="2">
        <v>1.5229999999999999</v>
      </c>
      <c r="AU65" s="1">
        <f t="shared" si="5"/>
        <v>1.187973926780697</v>
      </c>
      <c r="AV65" s="1">
        <f t="shared" si="6"/>
        <v>0.90328124676916</v>
      </c>
      <c r="AW65" s="1">
        <f t="shared" si="7"/>
        <v>0.61858856675762275</v>
      </c>
    </row>
    <row r="66" spans="1:49" x14ac:dyDescent="0.2">
      <c r="A66">
        <v>64</v>
      </c>
      <c r="B66" t="s">
        <v>1403</v>
      </c>
      <c r="C66" t="s">
        <v>1402</v>
      </c>
      <c r="F66" t="s">
        <v>1401</v>
      </c>
      <c r="G66" t="s">
        <v>4</v>
      </c>
      <c r="H66" t="s">
        <v>3</v>
      </c>
      <c r="I66" t="s">
        <v>1400</v>
      </c>
      <c r="J66" t="s">
        <v>1399</v>
      </c>
      <c r="K66" t="s">
        <v>1398</v>
      </c>
      <c r="L66" t="s">
        <v>1397</v>
      </c>
      <c r="M66" t="s">
        <v>1396</v>
      </c>
      <c r="N66">
        <v>4</v>
      </c>
      <c r="O66" t="s">
        <v>1395</v>
      </c>
      <c r="P66" t="s">
        <v>1394</v>
      </c>
      <c r="Q66" t="s">
        <v>1393</v>
      </c>
      <c r="R66" s="7">
        <v>32478</v>
      </c>
      <c r="S66" s="8">
        <f t="shared" ref="S66:S129" si="8">YEAR(R66)</f>
        <v>1988</v>
      </c>
      <c r="T66" s="8">
        <v>1988</v>
      </c>
      <c r="U66" s="8">
        <f t="shared" ref="U66:U129" si="9">2022-T66</f>
        <v>34</v>
      </c>
      <c r="V66" s="7">
        <v>1988</v>
      </c>
      <c r="W66" t="s">
        <v>1392</v>
      </c>
      <c r="X66" s="2" t="s">
        <v>5</v>
      </c>
      <c r="Y66" s="6" t="e">
        <f t="shared" ref="Y66:Y129" si="10">(X66-$Z$4)/($Z$3-$Z$4)</f>
        <v>#VALUE!</v>
      </c>
      <c r="AA66">
        <v>3009238</v>
      </c>
      <c r="AB66">
        <v>110274</v>
      </c>
      <c r="AD66" t="s">
        <v>1</v>
      </c>
      <c r="AE66">
        <v>84</v>
      </c>
      <c r="AF66">
        <v>4</v>
      </c>
      <c r="AH66" t="s">
        <v>1391</v>
      </c>
      <c r="AI66" t="s">
        <v>1390</v>
      </c>
      <c r="AK66" t="s">
        <v>1389</v>
      </c>
      <c r="AL66">
        <v>19</v>
      </c>
      <c r="AM66" s="5">
        <f t="shared" ref="AM66:AM129" si="11">AL66/U66</f>
        <v>0.55882352941176472</v>
      </c>
      <c r="AN66" s="4">
        <f t="shared" ref="AN66:AN129" si="12">(AM66-$AO$4)/($AO$3-$AO$4)</f>
        <v>8.4638171815488788E-4</v>
      </c>
      <c r="AO66" s="3"/>
      <c r="AP66">
        <v>0</v>
      </c>
      <c r="AR66" t="s">
        <v>0</v>
      </c>
      <c r="AT66" s="2" t="s">
        <v>5</v>
      </c>
      <c r="AU66" s="1" t="e">
        <f t="shared" ref="AU66:AU129" si="13">(Y66*0.7+AN66*0.3)*100</f>
        <v>#VALUE!</v>
      </c>
      <c r="AV66" s="1" t="e">
        <f t="shared" ref="AV66:AV129" si="14">(Y66*0.5+AN66*0.5)*100</f>
        <v>#VALUE!</v>
      </c>
      <c r="AW66" s="1" t="e">
        <f t="shared" ref="AW66:AW129" si="15">(Y66*0.3+AN66*0.7)*100</f>
        <v>#VALUE!</v>
      </c>
    </row>
    <row r="67" spans="1:49" x14ac:dyDescent="0.2">
      <c r="A67">
        <v>65</v>
      </c>
      <c r="B67" t="s">
        <v>1388</v>
      </c>
      <c r="C67" t="s">
        <v>1387</v>
      </c>
      <c r="F67" t="s">
        <v>1386</v>
      </c>
      <c r="G67" t="s">
        <v>4</v>
      </c>
      <c r="H67" t="s">
        <v>3</v>
      </c>
      <c r="I67" t="s">
        <v>1385</v>
      </c>
      <c r="J67">
        <v>60019269</v>
      </c>
      <c r="K67" t="s">
        <v>111</v>
      </c>
      <c r="L67" t="s">
        <v>110</v>
      </c>
      <c r="M67" t="s">
        <v>20</v>
      </c>
      <c r="N67">
        <v>3</v>
      </c>
      <c r="O67" t="s">
        <v>1384</v>
      </c>
      <c r="P67" t="s">
        <v>1383</v>
      </c>
      <c r="Q67" t="s">
        <v>1382</v>
      </c>
      <c r="R67" s="7">
        <v>32478</v>
      </c>
      <c r="S67" s="8">
        <f t="shared" si="8"/>
        <v>1988</v>
      </c>
      <c r="T67" s="8">
        <v>1988</v>
      </c>
      <c r="U67" s="8">
        <f t="shared" si="9"/>
        <v>34</v>
      </c>
      <c r="V67" s="7">
        <v>1988</v>
      </c>
      <c r="W67" t="s">
        <v>1372</v>
      </c>
      <c r="X67" s="2">
        <v>0.69899999999999995</v>
      </c>
      <c r="Y67" s="6">
        <f t="shared" si="10"/>
        <v>1.8659405782013295E-2</v>
      </c>
      <c r="AA67">
        <v>218979</v>
      </c>
      <c r="AB67">
        <v>28132</v>
      </c>
      <c r="AD67" t="s">
        <v>1</v>
      </c>
      <c r="AE67">
        <v>64</v>
      </c>
      <c r="AF67">
        <v>10</v>
      </c>
      <c r="AH67" t="s">
        <v>1381</v>
      </c>
      <c r="AI67" t="s">
        <v>1380</v>
      </c>
      <c r="AK67" t="s">
        <v>1379</v>
      </c>
      <c r="AL67">
        <v>53</v>
      </c>
      <c r="AM67" s="5">
        <f t="shared" si="11"/>
        <v>1.5588235294117647</v>
      </c>
      <c r="AN67" s="4">
        <f t="shared" si="12"/>
        <v>2.3609595295899502E-3</v>
      </c>
      <c r="AO67" s="3"/>
      <c r="AP67">
        <v>0</v>
      </c>
      <c r="AR67" t="s">
        <v>0</v>
      </c>
      <c r="AT67" s="2">
        <v>2.5459999999999998</v>
      </c>
      <c r="AU67" s="1">
        <f t="shared" si="13"/>
        <v>1.3769871906286291</v>
      </c>
      <c r="AV67" s="1">
        <f t="shared" si="14"/>
        <v>1.0510182655801623</v>
      </c>
      <c r="AW67" s="1">
        <f t="shared" si="15"/>
        <v>0.72504934053169534</v>
      </c>
    </row>
    <row r="68" spans="1:49" x14ac:dyDescent="0.2">
      <c r="A68">
        <v>66</v>
      </c>
      <c r="B68" t="s">
        <v>1378</v>
      </c>
      <c r="C68" t="s">
        <v>1377</v>
      </c>
      <c r="F68" t="s">
        <v>1376</v>
      </c>
      <c r="G68" t="s">
        <v>4</v>
      </c>
      <c r="H68" t="s">
        <v>3</v>
      </c>
      <c r="I68" t="s">
        <v>1375</v>
      </c>
      <c r="J68">
        <v>60020304</v>
      </c>
      <c r="K68" t="s">
        <v>1374</v>
      </c>
      <c r="L68" t="s">
        <v>178</v>
      </c>
      <c r="M68" t="s">
        <v>10</v>
      </c>
      <c r="N68">
        <v>1</v>
      </c>
      <c r="O68" t="s">
        <v>1373</v>
      </c>
      <c r="P68">
        <v>16437065300</v>
      </c>
      <c r="Q68">
        <v>60020304</v>
      </c>
      <c r="R68" s="7">
        <v>32478</v>
      </c>
      <c r="S68" s="8">
        <f t="shared" si="8"/>
        <v>1988</v>
      </c>
      <c r="T68" s="8">
        <v>1988</v>
      </c>
      <c r="U68" s="8">
        <f t="shared" si="9"/>
        <v>34</v>
      </c>
      <c r="V68" s="7">
        <v>1988</v>
      </c>
      <c r="W68" t="s">
        <v>1372</v>
      </c>
      <c r="X68" s="2">
        <v>0.69899999999999995</v>
      </c>
      <c r="Y68" s="6">
        <f t="shared" si="10"/>
        <v>1.8659405782013295E-2</v>
      </c>
      <c r="AA68">
        <v>218979</v>
      </c>
      <c r="AB68">
        <v>28132</v>
      </c>
      <c r="AD68" t="s">
        <v>1</v>
      </c>
      <c r="AE68">
        <v>64</v>
      </c>
      <c r="AF68">
        <v>4</v>
      </c>
      <c r="AH68" t="s">
        <v>1371</v>
      </c>
      <c r="AI68" t="s">
        <v>1370</v>
      </c>
      <c r="AK68" t="s">
        <v>1369</v>
      </c>
      <c r="AL68">
        <v>26</v>
      </c>
      <c r="AM68" s="5">
        <f t="shared" si="11"/>
        <v>0.76470588235294112</v>
      </c>
      <c r="AN68" s="4">
        <f t="shared" si="12"/>
        <v>1.1582065616856359E-3</v>
      </c>
      <c r="AO68" s="3"/>
      <c r="AP68">
        <v>0</v>
      </c>
      <c r="AR68" t="s">
        <v>0</v>
      </c>
      <c r="AT68" s="2">
        <v>2.5459999999999998</v>
      </c>
      <c r="AU68" s="1">
        <f t="shared" si="13"/>
        <v>1.3409046015914996</v>
      </c>
      <c r="AV68" s="1">
        <f t="shared" si="14"/>
        <v>0.99088061718494658</v>
      </c>
      <c r="AW68" s="1">
        <f t="shared" si="15"/>
        <v>0.64085663277839333</v>
      </c>
    </row>
    <row r="69" spans="1:49" x14ac:dyDescent="0.2">
      <c r="A69">
        <v>67</v>
      </c>
      <c r="B69" t="s">
        <v>1368</v>
      </c>
      <c r="C69" t="s">
        <v>1367</v>
      </c>
      <c r="F69" t="s">
        <v>1366</v>
      </c>
      <c r="G69" t="s">
        <v>4</v>
      </c>
      <c r="H69" t="s">
        <v>3</v>
      </c>
      <c r="I69" t="s">
        <v>1365</v>
      </c>
      <c r="J69">
        <v>60018373</v>
      </c>
      <c r="K69" t="s">
        <v>1364</v>
      </c>
      <c r="L69" t="s">
        <v>35</v>
      </c>
      <c r="M69" t="s">
        <v>11</v>
      </c>
      <c r="N69">
        <v>3</v>
      </c>
      <c r="O69" t="s">
        <v>1363</v>
      </c>
      <c r="P69" t="s">
        <v>1362</v>
      </c>
      <c r="Q69" t="s">
        <v>1361</v>
      </c>
      <c r="R69" s="7">
        <v>32478</v>
      </c>
      <c r="S69" s="8">
        <f t="shared" si="8"/>
        <v>1988</v>
      </c>
      <c r="T69" s="8">
        <v>1988</v>
      </c>
      <c r="U69" s="8">
        <f t="shared" si="9"/>
        <v>34</v>
      </c>
      <c r="V69" s="7">
        <v>32478</v>
      </c>
      <c r="W69" t="s">
        <v>1360</v>
      </c>
      <c r="X69" s="2">
        <v>0.78300000000000003</v>
      </c>
      <c r="Y69" s="6">
        <f t="shared" si="10"/>
        <v>2.0901737807319614E-2</v>
      </c>
      <c r="AA69">
        <v>281042</v>
      </c>
      <c r="AB69">
        <v>21662</v>
      </c>
      <c r="AC69">
        <v>14321904</v>
      </c>
      <c r="AD69" t="s">
        <v>1</v>
      </c>
      <c r="AE69">
        <v>75</v>
      </c>
      <c r="AF69">
        <v>12</v>
      </c>
      <c r="AH69">
        <v>627</v>
      </c>
      <c r="AL69">
        <v>14</v>
      </c>
      <c r="AM69" s="5">
        <f t="shared" si="11"/>
        <v>0.41176470588235292</v>
      </c>
      <c r="AN69" s="4">
        <f t="shared" si="12"/>
        <v>6.2364968706149634E-4</v>
      </c>
      <c r="AO69" s="3"/>
      <c r="AP69">
        <v>0</v>
      </c>
      <c r="AR69" t="s">
        <v>0</v>
      </c>
      <c r="AT69" s="2" t="s">
        <v>5</v>
      </c>
      <c r="AU69" s="1">
        <f t="shared" si="13"/>
        <v>1.4818311371242177</v>
      </c>
      <c r="AV69" s="1">
        <f t="shared" si="14"/>
        <v>1.0762693747190555</v>
      </c>
      <c r="AW69" s="1">
        <f t="shared" si="15"/>
        <v>0.6707076123138932</v>
      </c>
    </row>
    <row r="70" spans="1:49" x14ac:dyDescent="0.2">
      <c r="A70">
        <v>68</v>
      </c>
      <c r="B70" t="s">
        <v>1359</v>
      </c>
      <c r="C70" t="s">
        <v>1358</v>
      </c>
      <c r="D70" t="s">
        <v>1357</v>
      </c>
      <c r="F70" t="s">
        <v>1356</v>
      </c>
      <c r="G70" t="s">
        <v>4</v>
      </c>
      <c r="H70" t="s">
        <v>3</v>
      </c>
      <c r="I70" t="s">
        <v>195</v>
      </c>
      <c r="J70">
        <v>60014036</v>
      </c>
      <c r="K70" t="s">
        <v>204</v>
      </c>
      <c r="L70" t="s">
        <v>203</v>
      </c>
      <c r="M70" t="s">
        <v>202</v>
      </c>
      <c r="N70">
        <v>1</v>
      </c>
      <c r="O70" t="s">
        <v>201</v>
      </c>
      <c r="P70">
        <v>7004976431</v>
      </c>
      <c r="Q70">
        <v>60014036</v>
      </c>
      <c r="R70" s="7">
        <v>32475</v>
      </c>
      <c r="S70" s="8">
        <f t="shared" si="8"/>
        <v>1988</v>
      </c>
      <c r="T70" s="8">
        <v>1988</v>
      </c>
      <c r="U70" s="8">
        <f t="shared" si="9"/>
        <v>34</v>
      </c>
      <c r="V70" s="7">
        <v>32475</v>
      </c>
      <c r="W70" t="s">
        <v>198</v>
      </c>
      <c r="X70" s="2">
        <v>0.499</v>
      </c>
      <c r="Y70" s="6">
        <f t="shared" si="10"/>
        <v>1.332052000747444E-2</v>
      </c>
      <c r="AA70">
        <v>3759601</v>
      </c>
      <c r="AB70">
        <v>29464</v>
      </c>
      <c r="AD70" t="s">
        <v>1</v>
      </c>
      <c r="AE70">
        <v>133</v>
      </c>
      <c r="AF70" s="9">
        <v>44415</v>
      </c>
      <c r="AH70" t="s">
        <v>1355</v>
      </c>
      <c r="AI70" t="s">
        <v>1354</v>
      </c>
      <c r="AK70" t="s">
        <v>1353</v>
      </c>
      <c r="AL70">
        <v>0</v>
      </c>
      <c r="AM70" s="5">
        <f t="shared" si="11"/>
        <v>0</v>
      </c>
      <c r="AN70" s="4">
        <f t="shared" si="12"/>
        <v>0</v>
      </c>
      <c r="AO70" s="3"/>
      <c r="AP70">
        <v>0</v>
      </c>
      <c r="AR70" t="s">
        <v>0</v>
      </c>
      <c r="AT70" s="2">
        <v>2.6539999999999999</v>
      </c>
      <c r="AU70" s="1">
        <f t="shared" si="13"/>
        <v>0.93243640052321086</v>
      </c>
      <c r="AV70" s="1">
        <f t="shared" si="14"/>
        <v>0.66602600037372195</v>
      </c>
      <c r="AW70" s="1">
        <f t="shared" si="15"/>
        <v>0.3996156002242332</v>
      </c>
    </row>
    <row r="71" spans="1:49" x14ac:dyDescent="0.2">
      <c r="A71">
        <v>69</v>
      </c>
      <c r="B71" t="s">
        <v>1352</v>
      </c>
      <c r="C71" t="s">
        <v>1351</v>
      </c>
      <c r="D71">
        <v>5272888902320</v>
      </c>
      <c r="F71" t="s">
        <v>1350</v>
      </c>
      <c r="G71" t="s">
        <v>4</v>
      </c>
      <c r="H71" t="s">
        <v>3</v>
      </c>
      <c r="I71" t="s">
        <v>1349</v>
      </c>
      <c r="J71" t="s">
        <v>1348</v>
      </c>
      <c r="K71" t="s">
        <v>1347</v>
      </c>
      <c r="L71" t="s">
        <v>1346</v>
      </c>
      <c r="M71" t="s">
        <v>1345</v>
      </c>
      <c r="N71">
        <v>2</v>
      </c>
      <c r="O71" t="s">
        <v>1344</v>
      </c>
      <c r="P71" t="s">
        <v>1343</v>
      </c>
      <c r="Q71" t="s">
        <v>1342</v>
      </c>
      <c r="R71" s="7">
        <v>32463</v>
      </c>
      <c r="S71" s="8">
        <f t="shared" si="8"/>
        <v>1988</v>
      </c>
      <c r="T71" s="8">
        <v>1988</v>
      </c>
      <c r="U71" s="8">
        <f t="shared" si="9"/>
        <v>34</v>
      </c>
      <c r="V71" s="7">
        <v>32463</v>
      </c>
      <c r="W71" t="s">
        <v>9</v>
      </c>
      <c r="X71" s="2">
        <v>1.59</v>
      </c>
      <c r="Y71" s="6">
        <f t="shared" si="10"/>
        <v>4.2444141907583888E-2</v>
      </c>
      <c r="AA71">
        <v>52728</v>
      </c>
      <c r="AB71">
        <v>16791</v>
      </c>
      <c r="AD71" t="s">
        <v>1</v>
      </c>
      <c r="AE71">
        <v>936</v>
      </c>
      <c r="AF71">
        <v>2</v>
      </c>
      <c r="AH71" t="s">
        <v>1341</v>
      </c>
      <c r="AI71" t="s">
        <v>1340</v>
      </c>
      <c r="AJ71" t="s">
        <v>1339</v>
      </c>
      <c r="AK71" t="s">
        <v>1338</v>
      </c>
      <c r="AL71">
        <v>91</v>
      </c>
      <c r="AM71" s="5">
        <f t="shared" si="11"/>
        <v>2.6764705882352939</v>
      </c>
      <c r="AN71" s="4">
        <f t="shared" si="12"/>
        <v>4.0537229658997257E-3</v>
      </c>
      <c r="AO71" s="3"/>
      <c r="AP71">
        <v>0</v>
      </c>
      <c r="AQ71" t="s">
        <v>7</v>
      </c>
      <c r="AR71" t="s">
        <v>1337</v>
      </c>
      <c r="AS71" t="s">
        <v>6</v>
      </c>
      <c r="AT71" s="2" t="s">
        <v>5</v>
      </c>
      <c r="AU71" s="1">
        <f t="shared" si="13"/>
        <v>3.0927016225078638</v>
      </c>
      <c r="AV71" s="1">
        <f t="shared" si="14"/>
        <v>2.3248932436741807</v>
      </c>
      <c r="AW71" s="1">
        <f t="shared" si="15"/>
        <v>1.5570848648404974</v>
      </c>
    </row>
    <row r="72" spans="1:49" x14ac:dyDescent="0.2">
      <c r="A72">
        <v>70</v>
      </c>
      <c r="B72" t="s">
        <v>1336</v>
      </c>
      <c r="C72" t="s">
        <v>1335</v>
      </c>
      <c r="D72">
        <v>5272888902411</v>
      </c>
      <c r="F72" t="s">
        <v>1334</v>
      </c>
      <c r="G72" t="s">
        <v>4</v>
      </c>
      <c r="H72" t="s">
        <v>3</v>
      </c>
      <c r="I72" t="s">
        <v>1333</v>
      </c>
      <c r="J72">
        <v>60004156</v>
      </c>
      <c r="K72" t="s">
        <v>207</v>
      </c>
      <c r="L72" t="s">
        <v>206</v>
      </c>
      <c r="M72" t="s">
        <v>61</v>
      </c>
      <c r="N72">
        <v>2</v>
      </c>
      <c r="O72" t="s">
        <v>1332</v>
      </c>
      <c r="P72" t="s">
        <v>1331</v>
      </c>
      <c r="Q72" t="s">
        <v>205</v>
      </c>
      <c r="R72" s="7">
        <v>32463</v>
      </c>
      <c r="S72" s="8">
        <f t="shared" si="8"/>
        <v>1988</v>
      </c>
      <c r="T72" s="8">
        <v>1988</v>
      </c>
      <c r="U72" s="8">
        <f t="shared" si="9"/>
        <v>34</v>
      </c>
      <c r="V72" s="7">
        <v>32463</v>
      </c>
      <c r="W72" t="s">
        <v>9</v>
      </c>
      <c r="X72" s="2">
        <v>1.59</v>
      </c>
      <c r="Y72" s="6">
        <f t="shared" si="10"/>
        <v>4.2444141907583888E-2</v>
      </c>
      <c r="AA72">
        <v>52728</v>
      </c>
      <c r="AB72">
        <v>16791</v>
      </c>
      <c r="AD72" t="s">
        <v>1</v>
      </c>
      <c r="AE72">
        <v>936</v>
      </c>
      <c r="AF72">
        <v>2</v>
      </c>
      <c r="AH72" t="s">
        <v>1330</v>
      </c>
      <c r="AI72" t="s">
        <v>1329</v>
      </c>
      <c r="AJ72" t="s">
        <v>1328</v>
      </c>
      <c r="AK72" t="s">
        <v>1327</v>
      </c>
      <c r="AL72">
        <v>9</v>
      </c>
      <c r="AM72" s="5">
        <f t="shared" si="11"/>
        <v>0.26470588235294118</v>
      </c>
      <c r="AN72" s="4">
        <f t="shared" si="12"/>
        <v>4.009176559681048E-4</v>
      </c>
      <c r="AO72" s="3"/>
      <c r="AP72">
        <v>0</v>
      </c>
      <c r="AR72" t="s">
        <v>0</v>
      </c>
      <c r="AT72" s="2" t="s">
        <v>5</v>
      </c>
      <c r="AU72" s="1">
        <f t="shared" si="13"/>
        <v>2.9831174632099153</v>
      </c>
      <c r="AV72" s="1">
        <f t="shared" si="14"/>
        <v>2.1422529781775999</v>
      </c>
      <c r="AW72" s="1">
        <f t="shared" si="15"/>
        <v>1.3013884931452839</v>
      </c>
    </row>
    <row r="73" spans="1:49" x14ac:dyDescent="0.2">
      <c r="A73">
        <v>71</v>
      </c>
      <c r="B73" t="s">
        <v>1326</v>
      </c>
      <c r="C73" t="s">
        <v>1325</v>
      </c>
      <c r="D73">
        <v>5272888902381</v>
      </c>
      <c r="F73" t="s">
        <v>1324</v>
      </c>
      <c r="G73" t="s">
        <v>4</v>
      </c>
      <c r="H73" t="s">
        <v>3</v>
      </c>
      <c r="I73" t="s">
        <v>1323</v>
      </c>
      <c r="J73">
        <v>60029170</v>
      </c>
      <c r="K73" t="s">
        <v>162</v>
      </c>
      <c r="L73" t="s">
        <v>161</v>
      </c>
      <c r="M73" t="s">
        <v>160</v>
      </c>
      <c r="N73">
        <v>2</v>
      </c>
      <c r="O73" t="s">
        <v>1322</v>
      </c>
      <c r="P73" t="s">
        <v>1321</v>
      </c>
      <c r="Q73" t="s">
        <v>879</v>
      </c>
      <c r="R73" s="7">
        <v>32463</v>
      </c>
      <c r="S73" s="8">
        <f t="shared" si="8"/>
        <v>1988</v>
      </c>
      <c r="T73" s="8">
        <v>1988</v>
      </c>
      <c r="U73" s="8">
        <f t="shared" si="9"/>
        <v>34</v>
      </c>
      <c r="V73" s="7">
        <v>32463</v>
      </c>
      <c r="W73" t="s">
        <v>9</v>
      </c>
      <c r="X73" s="2">
        <v>1.59</v>
      </c>
      <c r="Y73" s="6">
        <f t="shared" si="10"/>
        <v>4.2444141907583888E-2</v>
      </c>
      <c r="AA73">
        <v>52728</v>
      </c>
      <c r="AB73">
        <v>16791</v>
      </c>
      <c r="AD73" t="s">
        <v>1</v>
      </c>
      <c r="AE73">
        <v>936</v>
      </c>
      <c r="AF73">
        <v>2</v>
      </c>
      <c r="AH73" t="s">
        <v>1320</v>
      </c>
      <c r="AI73" t="s">
        <v>1319</v>
      </c>
      <c r="AJ73" t="s">
        <v>1318</v>
      </c>
      <c r="AK73" t="s">
        <v>1317</v>
      </c>
      <c r="AL73">
        <v>31</v>
      </c>
      <c r="AM73" s="5">
        <f t="shared" si="11"/>
        <v>0.91176470588235292</v>
      </c>
      <c r="AN73" s="4">
        <f t="shared" si="12"/>
        <v>1.3809385927790274E-3</v>
      </c>
      <c r="AO73" s="3"/>
      <c r="AP73">
        <v>0</v>
      </c>
      <c r="AR73" t="s">
        <v>0</v>
      </c>
      <c r="AT73" s="2" t="s">
        <v>5</v>
      </c>
      <c r="AU73" s="1">
        <f t="shared" si="13"/>
        <v>3.0125180913142429</v>
      </c>
      <c r="AV73" s="1">
        <f t="shared" si="14"/>
        <v>2.1912540250181456</v>
      </c>
      <c r="AW73" s="1">
        <f t="shared" si="15"/>
        <v>1.3699899587220483</v>
      </c>
    </row>
    <row r="74" spans="1:49" x14ac:dyDescent="0.2">
      <c r="A74">
        <v>72</v>
      </c>
      <c r="B74" t="s">
        <v>1316</v>
      </c>
      <c r="C74" t="s">
        <v>1315</v>
      </c>
      <c r="F74" t="s">
        <v>1314</v>
      </c>
      <c r="G74" t="s">
        <v>4</v>
      </c>
      <c r="H74" t="s">
        <v>3</v>
      </c>
      <c r="I74" t="s">
        <v>37</v>
      </c>
      <c r="J74">
        <v>60032350</v>
      </c>
      <c r="K74" t="s">
        <v>118</v>
      </c>
      <c r="L74" t="s">
        <v>85</v>
      </c>
      <c r="M74" t="s">
        <v>72</v>
      </c>
      <c r="N74">
        <v>1</v>
      </c>
      <c r="O74" t="s">
        <v>36</v>
      </c>
      <c r="P74">
        <v>7003386560</v>
      </c>
      <c r="Q74">
        <v>60032350</v>
      </c>
      <c r="R74" s="7">
        <v>32448</v>
      </c>
      <c r="S74" s="8">
        <f t="shared" si="8"/>
        <v>1988</v>
      </c>
      <c r="T74" s="8">
        <v>1988</v>
      </c>
      <c r="U74" s="8">
        <f t="shared" si="9"/>
        <v>34</v>
      </c>
      <c r="V74" s="7">
        <v>32448</v>
      </c>
      <c r="W74" t="s">
        <v>1313</v>
      </c>
      <c r="X74" s="2" t="s">
        <v>5</v>
      </c>
      <c r="Y74" s="6" t="e">
        <f t="shared" si="10"/>
        <v>#VALUE!</v>
      </c>
      <c r="AA74">
        <v>3693554</v>
      </c>
      <c r="AB74">
        <v>29862</v>
      </c>
      <c r="AC74">
        <v>18269877</v>
      </c>
      <c r="AD74" t="s">
        <v>1</v>
      </c>
      <c r="AE74">
        <v>102</v>
      </c>
      <c r="AF74">
        <v>5</v>
      </c>
      <c r="AH74" t="s">
        <v>1312</v>
      </c>
      <c r="AI74" t="s">
        <v>1311</v>
      </c>
      <c r="AJ74" t="s">
        <v>1310</v>
      </c>
      <c r="AK74" t="s">
        <v>1309</v>
      </c>
      <c r="AL74">
        <v>9</v>
      </c>
      <c r="AM74" s="5">
        <f t="shared" si="11"/>
        <v>0.26470588235294118</v>
      </c>
      <c r="AN74" s="4">
        <f t="shared" si="12"/>
        <v>4.009176559681048E-4</v>
      </c>
      <c r="AO74" s="3"/>
      <c r="AP74">
        <v>0</v>
      </c>
      <c r="AR74" t="s">
        <v>0</v>
      </c>
      <c r="AT74" s="2" t="s">
        <v>5</v>
      </c>
      <c r="AU74" s="1" t="e">
        <f t="shared" si="13"/>
        <v>#VALUE!</v>
      </c>
      <c r="AV74" s="1" t="e">
        <f t="shared" si="14"/>
        <v>#VALUE!</v>
      </c>
      <c r="AW74" s="1" t="e">
        <f t="shared" si="15"/>
        <v>#VALUE!</v>
      </c>
    </row>
    <row r="75" spans="1:49" x14ac:dyDescent="0.2">
      <c r="A75">
        <v>73</v>
      </c>
      <c r="B75" t="s">
        <v>1308</v>
      </c>
      <c r="C75" t="s">
        <v>1307</v>
      </c>
      <c r="F75" t="s">
        <v>1306</v>
      </c>
      <c r="G75" t="s">
        <v>4</v>
      </c>
      <c r="H75" t="s">
        <v>3</v>
      </c>
      <c r="I75" t="s">
        <v>1096</v>
      </c>
      <c r="N75">
        <v>3</v>
      </c>
      <c r="O75" t="s">
        <v>1305</v>
      </c>
      <c r="P75" t="s">
        <v>1304</v>
      </c>
      <c r="Q75" t="s">
        <v>44</v>
      </c>
      <c r="R75" s="7">
        <v>32448</v>
      </c>
      <c r="S75" s="8">
        <f t="shared" si="8"/>
        <v>1988</v>
      </c>
      <c r="T75" s="8">
        <v>1988</v>
      </c>
      <c r="U75" s="8">
        <f t="shared" si="9"/>
        <v>34</v>
      </c>
      <c r="V75" s="7">
        <v>32448</v>
      </c>
      <c r="W75" t="s">
        <v>194</v>
      </c>
      <c r="X75" s="2">
        <v>0.318</v>
      </c>
      <c r="Y75" s="6">
        <f t="shared" si="10"/>
        <v>8.4888283815167786E-3</v>
      </c>
      <c r="AA75">
        <v>338443</v>
      </c>
      <c r="AB75">
        <v>27160</v>
      </c>
      <c r="AC75">
        <v>15739120</v>
      </c>
      <c r="AD75" t="s">
        <v>1</v>
      </c>
      <c r="AE75">
        <v>31</v>
      </c>
      <c r="AF75">
        <v>11</v>
      </c>
      <c r="AH75" t="s">
        <v>1303</v>
      </c>
      <c r="AL75">
        <v>0</v>
      </c>
      <c r="AM75" s="5">
        <f t="shared" si="11"/>
        <v>0</v>
      </c>
      <c r="AN75" s="4">
        <f t="shared" si="12"/>
        <v>0</v>
      </c>
      <c r="AO75" s="3"/>
      <c r="AP75">
        <v>0</v>
      </c>
      <c r="AR75" t="s">
        <v>0</v>
      </c>
      <c r="AT75" s="2">
        <v>0.77</v>
      </c>
      <c r="AU75" s="1">
        <f t="shared" si="13"/>
        <v>0.59421798670617454</v>
      </c>
      <c r="AV75" s="1">
        <f t="shared" si="14"/>
        <v>0.42444141907583893</v>
      </c>
      <c r="AW75" s="1">
        <f t="shared" si="15"/>
        <v>0.25466485144550338</v>
      </c>
    </row>
    <row r="76" spans="1:49" x14ac:dyDescent="0.2">
      <c r="A76">
        <v>74</v>
      </c>
      <c r="B76" t="s">
        <v>1302</v>
      </c>
      <c r="C76" t="s">
        <v>1301</v>
      </c>
      <c r="F76" t="s">
        <v>1300</v>
      </c>
      <c r="G76" t="s">
        <v>4</v>
      </c>
      <c r="H76" t="s">
        <v>3</v>
      </c>
      <c r="I76" t="s">
        <v>1299</v>
      </c>
      <c r="J76">
        <v>60010355</v>
      </c>
      <c r="K76" t="s">
        <v>1298</v>
      </c>
      <c r="L76" t="s">
        <v>1297</v>
      </c>
      <c r="M76" t="s">
        <v>202</v>
      </c>
      <c r="N76">
        <v>2</v>
      </c>
      <c r="O76" t="s">
        <v>1296</v>
      </c>
      <c r="P76" t="s">
        <v>1295</v>
      </c>
      <c r="Q76" t="s">
        <v>1294</v>
      </c>
      <c r="R76" s="7">
        <v>32448</v>
      </c>
      <c r="S76" s="8">
        <f t="shared" si="8"/>
        <v>1988</v>
      </c>
      <c r="T76" s="8">
        <v>1988</v>
      </c>
      <c r="U76" s="8">
        <f t="shared" si="9"/>
        <v>34</v>
      </c>
      <c r="V76" s="7">
        <v>32448</v>
      </c>
      <c r="W76" t="s">
        <v>1293</v>
      </c>
      <c r="X76" s="2" t="s">
        <v>5</v>
      </c>
      <c r="Y76" s="6" t="e">
        <f t="shared" si="10"/>
        <v>#VALUE!</v>
      </c>
      <c r="AA76">
        <v>385697</v>
      </c>
      <c r="AB76">
        <v>33903</v>
      </c>
      <c r="AC76">
        <v>15739228</v>
      </c>
      <c r="AD76" t="s">
        <v>1</v>
      </c>
      <c r="AE76">
        <v>31</v>
      </c>
      <c r="AF76">
        <v>11</v>
      </c>
      <c r="AH76" t="s">
        <v>1292</v>
      </c>
      <c r="AI76" t="s">
        <v>1291</v>
      </c>
      <c r="AK76" t="s">
        <v>1290</v>
      </c>
      <c r="AL76">
        <v>20</v>
      </c>
      <c r="AM76" s="5">
        <f t="shared" si="11"/>
        <v>0.58823529411764708</v>
      </c>
      <c r="AN76" s="4">
        <f t="shared" si="12"/>
        <v>8.9092812437356617E-4</v>
      </c>
      <c r="AO76" s="3"/>
      <c r="AP76">
        <v>0</v>
      </c>
      <c r="AR76" t="s">
        <v>0</v>
      </c>
      <c r="AT76" s="2" t="s">
        <v>5</v>
      </c>
      <c r="AU76" s="1" t="e">
        <f t="shared" si="13"/>
        <v>#VALUE!</v>
      </c>
      <c r="AV76" s="1" t="e">
        <f t="shared" si="14"/>
        <v>#VALUE!</v>
      </c>
      <c r="AW76" s="1" t="e">
        <f t="shared" si="15"/>
        <v>#VALUE!</v>
      </c>
    </row>
    <row r="77" spans="1:49" x14ac:dyDescent="0.2">
      <c r="A77">
        <v>75</v>
      </c>
      <c r="B77" t="s">
        <v>1289</v>
      </c>
      <c r="F77" t="s">
        <v>1288</v>
      </c>
      <c r="G77" t="s">
        <v>4</v>
      </c>
      <c r="H77" t="s">
        <v>3</v>
      </c>
      <c r="I77" t="s">
        <v>1287</v>
      </c>
      <c r="N77">
        <v>1</v>
      </c>
      <c r="O77" t="s">
        <v>1286</v>
      </c>
      <c r="P77">
        <v>7005716049</v>
      </c>
      <c r="R77" s="7">
        <v>32448</v>
      </c>
      <c r="S77" s="8">
        <f t="shared" si="8"/>
        <v>1988</v>
      </c>
      <c r="T77" s="8">
        <v>1988</v>
      </c>
      <c r="U77" s="8">
        <f t="shared" si="9"/>
        <v>34</v>
      </c>
      <c r="V77" s="7">
        <v>32448</v>
      </c>
      <c r="W77" t="s">
        <v>52</v>
      </c>
      <c r="X77" s="2">
        <v>0.14099999999999999</v>
      </c>
      <c r="Y77" s="6">
        <f t="shared" si="10"/>
        <v>3.7639144710498915E-3</v>
      </c>
      <c r="AA77">
        <v>402508</v>
      </c>
      <c r="AB77">
        <v>20868</v>
      </c>
      <c r="AD77" t="s">
        <v>1</v>
      </c>
      <c r="AE77">
        <v>43</v>
      </c>
      <c r="AF77">
        <v>11</v>
      </c>
      <c r="AH77" t="s">
        <v>1285</v>
      </c>
      <c r="AI77" t="s">
        <v>1284</v>
      </c>
      <c r="AK77" t="s">
        <v>1283</v>
      </c>
      <c r="AL77">
        <v>0</v>
      </c>
      <c r="AM77" s="5">
        <f t="shared" si="11"/>
        <v>0</v>
      </c>
      <c r="AN77" s="4">
        <f t="shared" si="12"/>
        <v>0</v>
      </c>
      <c r="AO77" s="3"/>
      <c r="AP77">
        <v>0</v>
      </c>
      <c r="AR77" t="s">
        <v>0</v>
      </c>
      <c r="AT77" s="2" t="s">
        <v>5</v>
      </c>
      <c r="AU77" s="1">
        <f t="shared" si="13"/>
        <v>0.26347401297349238</v>
      </c>
      <c r="AV77" s="1">
        <f t="shared" si="14"/>
        <v>0.18819572355249459</v>
      </c>
      <c r="AW77" s="1">
        <f t="shared" si="15"/>
        <v>0.11291743413149673</v>
      </c>
    </row>
    <row r="78" spans="1:49" x14ac:dyDescent="0.2">
      <c r="A78">
        <v>76</v>
      </c>
      <c r="B78" t="s">
        <v>1282</v>
      </c>
      <c r="F78" t="s">
        <v>1281</v>
      </c>
      <c r="G78" t="s">
        <v>4</v>
      </c>
      <c r="H78" t="s">
        <v>3</v>
      </c>
      <c r="I78" t="s">
        <v>53</v>
      </c>
      <c r="N78">
        <v>5</v>
      </c>
      <c r="O78" t="s">
        <v>1280</v>
      </c>
      <c r="P78" t="s">
        <v>1279</v>
      </c>
      <c r="Q78" t="s">
        <v>66</v>
      </c>
      <c r="R78" s="7">
        <v>32448</v>
      </c>
      <c r="S78" s="8">
        <f t="shared" si="8"/>
        <v>1988</v>
      </c>
      <c r="T78" s="8">
        <v>1988</v>
      </c>
      <c r="U78" s="8">
        <f t="shared" si="9"/>
        <v>34</v>
      </c>
      <c r="V78" s="7">
        <v>32448</v>
      </c>
      <c r="W78" t="s">
        <v>52</v>
      </c>
      <c r="X78" s="2">
        <v>0.14099999999999999</v>
      </c>
      <c r="Y78" s="6">
        <f t="shared" si="10"/>
        <v>3.7639144710498915E-3</v>
      </c>
      <c r="AA78">
        <v>402508</v>
      </c>
      <c r="AB78">
        <v>20868</v>
      </c>
      <c r="AD78" t="s">
        <v>1</v>
      </c>
      <c r="AE78">
        <v>43</v>
      </c>
      <c r="AF78">
        <v>11</v>
      </c>
      <c r="AH78" t="s">
        <v>1278</v>
      </c>
      <c r="AI78" t="s">
        <v>1277</v>
      </c>
      <c r="AK78" t="s">
        <v>1276</v>
      </c>
      <c r="AL78">
        <v>0</v>
      </c>
      <c r="AM78" s="5">
        <f t="shared" si="11"/>
        <v>0</v>
      </c>
      <c r="AN78" s="4">
        <f t="shared" si="12"/>
        <v>0</v>
      </c>
      <c r="AO78" s="3"/>
      <c r="AP78">
        <v>0</v>
      </c>
      <c r="AR78" t="s">
        <v>0</v>
      </c>
      <c r="AT78" s="2" t="s">
        <v>5</v>
      </c>
      <c r="AU78" s="1">
        <f t="shared" si="13"/>
        <v>0.26347401297349238</v>
      </c>
      <c r="AV78" s="1">
        <f t="shared" si="14"/>
        <v>0.18819572355249459</v>
      </c>
      <c r="AW78" s="1">
        <f t="shared" si="15"/>
        <v>0.11291743413149673</v>
      </c>
    </row>
    <row r="79" spans="1:49" x14ac:dyDescent="0.2">
      <c r="A79">
        <v>77</v>
      </c>
      <c r="B79" t="s">
        <v>1275</v>
      </c>
      <c r="F79" t="s">
        <v>1274</v>
      </c>
      <c r="G79" t="s">
        <v>4</v>
      </c>
      <c r="H79" t="s">
        <v>3</v>
      </c>
      <c r="I79" t="s">
        <v>1273</v>
      </c>
      <c r="N79">
        <v>1</v>
      </c>
      <c r="O79" t="s">
        <v>1272</v>
      </c>
      <c r="P79">
        <v>57210528384</v>
      </c>
      <c r="R79" s="7">
        <v>32448</v>
      </c>
      <c r="S79" s="8">
        <f t="shared" si="8"/>
        <v>1988</v>
      </c>
      <c r="T79" s="8">
        <v>1988</v>
      </c>
      <c r="U79" s="8">
        <f t="shared" si="9"/>
        <v>34</v>
      </c>
      <c r="V79" s="7">
        <v>32448</v>
      </c>
      <c r="W79" t="s">
        <v>52</v>
      </c>
      <c r="X79" s="2">
        <v>0.14099999999999999</v>
      </c>
      <c r="Y79" s="6">
        <f t="shared" si="10"/>
        <v>3.7639144710498915E-3</v>
      </c>
      <c r="AA79">
        <v>402508</v>
      </c>
      <c r="AB79">
        <v>20868</v>
      </c>
      <c r="AD79" t="s">
        <v>1</v>
      </c>
      <c r="AE79">
        <v>43</v>
      </c>
      <c r="AF79">
        <v>11</v>
      </c>
      <c r="AH79" t="s">
        <v>60</v>
      </c>
      <c r="AI79" t="s">
        <v>1271</v>
      </c>
      <c r="AK79" t="s">
        <v>1270</v>
      </c>
      <c r="AL79">
        <v>0</v>
      </c>
      <c r="AM79" s="5">
        <f t="shared" si="11"/>
        <v>0</v>
      </c>
      <c r="AN79" s="4">
        <f t="shared" si="12"/>
        <v>0</v>
      </c>
      <c r="AO79" s="3"/>
      <c r="AP79">
        <v>0</v>
      </c>
      <c r="AR79" t="s">
        <v>0</v>
      </c>
      <c r="AT79" s="2" t="s">
        <v>5</v>
      </c>
      <c r="AU79" s="1">
        <f t="shared" si="13"/>
        <v>0.26347401297349238</v>
      </c>
      <c r="AV79" s="1">
        <f t="shared" si="14"/>
        <v>0.18819572355249459</v>
      </c>
      <c r="AW79" s="1">
        <f t="shared" si="15"/>
        <v>0.11291743413149673</v>
      </c>
    </row>
    <row r="80" spans="1:49" x14ac:dyDescent="0.2">
      <c r="A80">
        <v>78</v>
      </c>
      <c r="B80" t="s">
        <v>1269</v>
      </c>
      <c r="F80" t="s">
        <v>1268</v>
      </c>
      <c r="G80" t="s">
        <v>4</v>
      </c>
      <c r="H80" t="s">
        <v>3</v>
      </c>
      <c r="I80" t="s">
        <v>1267</v>
      </c>
      <c r="N80">
        <v>2</v>
      </c>
      <c r="O80" t="s">
        <v>1266</v>
      </c>
      <c r="P80" t="s">
        <v>1265</v>
      </c>
      <c r="Q80" t="s">
        <v>42</v>
      </c>
      <c r="R80" s="7">
        <v>32448</v>
      </c>
      <c r="S80" s="8">
        <f t="shared" si="8"/>
        <v>1988</v>
      </c>
      <c r="T80" s="8">
        <v>1988</v>
      </c>
      <c r="U80" s="8">
        <f t="shared" si="9"/>
        <v>34</v>
      </c>
      <c r="V80" s="7">
        <v>32448</v>
      </c>
      <c r="W80" t="s">
        <v>52</v>
      </c>
      <c r="X80" s="2">
        <v>0.14099999999999999</v>
      </c>
      <c r="Y80" s="6">
        <f t="shared" si="10"/>
        <v>3.7639144710498915E-3</v>
      </c>
      <c r="AA80">
        <v>402508</v>
      </c>
      <c r="AB80">
        <v>20868</v>
      </c>
      <c r="AD80" t="s">
        <v>1</v>
      </c>
      <c r="AE80">
        <v>43</v>
      </c>
      <c r="AF80">
        <v>11</v>
      </c>
      <c r="AH80" t="s">
        <v>1264</v>
      </c>
      <c r="AI80" t="s">
        <v>1263</v>
      </c>
      <c r="AK80" t="s">
        <v>1262</v>
      </c>
      <c r="AL80">
        <v>0</v>
      </c>
      <c r="AM80" s="5">
        <f t="shared" si="11"/>
        <v>0</v>
      </c>
      <c r="AN80" s="4">
        <f t="shared" si="12"/>
        <v>0</v>
      </c>
      <c r="AO80" s="3"/>
      <c r="AP80">
        <v>0</v>
      </c>
      <c r="AR80" t="s">
        <v>0</v>
      </c>
      <c r="AT80" s="2" t="s">
        <v>5</v>
      </c>
      <c r="AU80" s="1">
        <f t="shared" si="13"/>
        <v>0.26347401297349238</v>
      </c>
      <c r="AV80" s="1">
        <f t="shared" si="14"/>
        <v>0.18819572355249459</v>
      </c>
      <c r="AW80" s="1">
        <f t="shared" si="15"/>
        <v>0.11291743413149673</v>
      </c>
    </row>
    <row r="81" spans="1:49" x14ac:dyDescent="0.2">
      <c r="A81">
        <v>79</v>
      </c>
      <c r="B81" t="s">
        <v>1261</v>
      </c>
      <c r="F81" t="s">
        <v>1260</v>
      </c>
      <c r="G81" t="s">
        <v>4</v>
      </c>
      <c r="H81" t="s">
        <v>3</v>
      </c>
      <c r="I81" t="s">
        <v>1259</v>
      </c>
      <c r="N81">
        <v>2</v>
      </c>
      <c r="O81" t="s">
        <v>1258</v>
      </c>
      <c r="P81" t="s">
        <v>1257</v>
      </c>
      <c r="Q81" t="s">
        <v>42</v>
      </c>
      <c r="R81" s="7">
        <v>32448</v>
      </c>
      <c r="S81" s="8">
        <f t="shared" si="8"/>
        <v>1988</v>
      </c>
      <c r="T81" s="8">
        <v>1988</v>
      </c>
      <c r="U81" s="8">
        <f t="shared" si="9"/>
        <v>34</v>
      </c>
      <c r="V81" s="7">
        <v>32448</v>
      </c>
      <c r="W81" t="s">
        <v>52</v>
      </c>
      <c r="X81" s="2">
        <v>0.14099999999999999</v>
      </c>
      <c r="Y81" s="6">
        <f t="shared" si="10"/>
        <v>3.7639144710498915E-3</v>
      </c>
      <c r="AA81">
        <v>402508</v>
      </c>
      <c r="AB81">
        <v>20868</v>
      </c>
      <c r="AD81" t="s">
        <v>1</v>
      </c>
      <c r="AE81">
        <v>43</v>
      </c>
      <c r="AF81">
        <v>11</v>
      </c>
      <c r="AH81" t="s">
        <v>1256</v>
      </c>
      <c r="AI81" t="s">
        <v>1255</v>
      </c>
      <c r="AK81" t="s">
        <v>1254</v>
      </c>
      <c r="AL81">
        <v>1</v>
      </c>
      <c r="AM81" s="5">
        <f t="shared" si="11"/>
        <v>2.9411764705882353E-2</v>
      </c>
      <c r="AN81" s="4">
        <f t="shared" si="12"/>
        <v>4.4546406218678307E-5</v>
      </c>
      <c r="AO81" s="3"/>
      <c r="AP81">
        <v>0</v>
      </c>
      <c r="AR81" t="s">
        <v>0</v>
      </c>
      <c r="AT81" s="2" t="s">
        <v>5</v>
      </c>
      <c r="AU81" s="1">
        <f t="shared" si="13"/>
        <v>0.26481040516005272</v>
      </c>
      <c r="AV81" s="1">
        <f t="shared" si="14"/>
        <v>0.19042304386342851</v>
      </c>
      <c r="AW81" s="1">
        <f t="shared" si="15"/>
        <v>0.11603568256680422</v>
      </c>
    </row>
    <row r="82" spans="1:49" x14ac:dyDescent="0.2">
      <c r="A82">
        <v>80</v>
      </c>
      <c r="B82" t="s">
        <v>1253</v>
      </c>
      <c r="F82" t="s">
        <v>1252</v>
      </c>
      <c r="G82" t="s">
        <v>4</v>
      </c>
      <c r="H82" t="s">
        <v>3</v>
      </c>
      <c r="I82" t="s">
        <v>1251</v>
      </c>
      <c r="N82">
        <v>1</v>
      </c>
      <c r="O82" t="s">
        <v>1250</v>
      </c>
      <c r="P82">
        <v>6603346090</v>
      </c>
      <c r="R82" s="7">
        <v>32448</v>
      </c>
      <c r="S82" s="8">
        <f t="shared" si="8"/>
        <v>1988</v>
      </c>
      <c r="T82" s="8">
        <v>1988</v>
      </c>
      <c r="U82" s="8">
        <f t="shared" si="9"/>
        <v>34</v>
      </c>
      <c r="V82" s="7">
        <v>32448</v>
      </c>
      <c r="W82" t="s">
        <v>41</v>
      </c>
      <c r="X82" s="2" t="s">
        <v>5</v>
      </c>
      <c r="Y82" s="6" t="e">
        <f t="shared" si="10"/>
        <v>#VALUE!</v>
      </c>
      <c r="AA82">
        <v>87566648</v>
      </c>
      <c r="AB82">
        <v>74127</v>
      </c>
      <c r="AD82" t="s">
        <v>1</v>
      </c>
      <c r="AE82">
        <v>33</v>
      </c>
      <c r="AF82">
        <v>11</v>
      </c>
      <c r="AH82" t="s">
        <v>1249</v>
      </c>
      <c r="AI82" t="s">
        <v>1248</v>
      </c>
      <c r="AK82" t="s">
        <v>1247</v>
      </c>
      <c r="AL82">
        <v>0</v>
      </c>
      <c r="AM82" s="5">
        <f t="shared" si="11"/>
        <v>0</v>
      </c>
      <c r="AN82" s="4">
        <f t="shared" si="12"/>
        <v>0</v>
      </c>
      <c r="AO82" s="3"/>
      <c r="AP82">
        <v>0</v>
      </c>
      <c r="AR82" t="s">
        <v>0</v>
      </c>
      <c r="AT82" s="2" t="s">
        <v>5</v>
      </c>
      <c r="AU82" s="1" t="e">
        <f t="shared" si="13"/>
        <v>#VALUE!</v>
      </c>
      <c r="AV82" s="1" t="e">
        <f t="shared" si="14"/>
        <v>#VALUE!</v>
      </c>
      <c r="AW82" s="1" t="e">
        <f t="shared" si="15"/>
        <v>#VALUE!</v>
      </c>
    </row>
    <row r="83" spans="1:49" x14ac:dyDescent="0.2">
      <c r="A83">
        <v>81</v>
      </c>
      <c r="B83" t="s">
        <v>1246</v>
      </c>
      <c r="F83" t="s">
        <v>1245</v>
      </c>
      <c r="G83" t="s">
        <v>4</v>
      </c>
      <c r="H83" t="s">
        <v>3</v>
      </c>
      <c r="I83" t="s">
        <v>1244</v>
      </c>
      <c r="N83">
        <v>2</v>
      </c>
      <c r="O83" t="s">
        <v>1243</v>
      </c>
      <c r="P83" t="s">
        <v>1242</v>
      </c>
      <c r="Q83" t="s">
        <v>42</v>
      </c>
      <c r="R83" s="7">
        <v>32448</v>
      </c>
      <c r="S83" s="8">
        <f t="shared" si="8"/>
        <v>1988</v>
      </c>
      <c r="T83" s="8">
        <v>1988</v>
      </c>
      <c r="U83" s="8">
        <f t="shared" si="9"/>
        <v>34</v>
      </c>
      <c r="V83" s="7">
        <v>32448</v>
      </c>
      <c r="W83" t="s">
        <v>52</v>
      </c>
      <c r="X83" s="2">
        <v>0.14099999999999999</v>
      </c>
      <c r="Y83" s="6">
        <f t="shared" si="10"/>
        <v>3.7639144710498915E-3</v>
      </c>
      <c r="AA83">
        <v>402508</v>
      </c>
      <c r="AB83">
        <v>20868</v>
      </c>
      <c r="AD83" t="s">
        <v>1</v>
      </c>
      <c r="AE83">
        <v>43</v>
      </c>
      <c r="AF83">
        <v>11</v>
      </c>
      <c r="AH83" t="s">
        <v>224</v>
      </c>
      <c r="AI83" t="s">
        <v>1241</v>
      </c>
      <c r="AK83" t="s">
        <v>1240</v>
      </c>
      <c r="AL83">
        <v>0</v>
      </c>
      <c r="AM83" s="5">
        <f t="shared" si="11"/>
        <v>0</v>
      </c>
      <c r="AN83" s="4">
        <f t="shared" si="12"/>
        <v>0</v>
      </c>
      <c r="AO83" s="3"/>
      <c r="AP83">
        <v>0</v>
      </c>
      <c r="AR83" t="s">
        <v>0</v>
      </c>
      <c r="AT83" s="2" t="s">
        <v>5</v>
      </c>
      <c r="AU83" s="1">
        <f t="shared" si="13"/>
        <v>0.26347401297349238</v>
      </c>
      <c r="AV83" s="1">
        <f t="shared" si="14"/>
        <v>0.18819572355249459</v>
      </c>
      <c r="AW83" s="1">
        <f t="shared" si="15"/>
        <v>0.11291743413149673</v>
      </c>
    </row>
    <row r="84" spans="1:49" x14ac:dyDescent="0.2">
      <c r="A84">
        <v>82</v>
      </c>
      <c r="B84" t="s">
        <v>1239</v>
      </c>
      <c r="F84" t="s">
        <v>1238</v>
      </c>
      <c r="G84" t="s">
        <v>4</v>
      </c>
      <c r="H84" t="s">
        <v>3</v>
      </c>
      <c r="I84" t="s">
        <v>1237</v>
      </c>
      <c r="N84">
        <v>1</v>
      </c>
      <c r="O84" t="s">
        <v>1236</v>
      </c>
      <c r="P84">
        <v>6602358861</v>
      </c>
      <c r="R84" s="7">
        <v>32448</v>
      </c>
      <c r="S84" s="8">
        <f t="shared" si="8"/>
        <v>1988</v>
      </c>
      <c r="T84" s="8">
        <v>1988</v>
      </c>
      <c r="U84" s="8">
        <f t="shared" si="9"/>
        <v>34</v>
      </c>
      <c r="V84" s="7">
        <v>32448</v>
      </c>
      <c r="W84" t="s">
        <v>41</v>
      </c>
      <c r="X84" s="2" t="s">
        <v>5</v>
      </c>
      <c r="Y84" s="6" t="e">
        <f t="shared" si="10"/>
        <v>#VALUE!</v>
      </c>
      <c r="AA84">
        <v>87566648</v>
      </c>
      <c r="AB84">
        <v>74127</v>
      </c>
      <c r="AD84" t="s">
        <v>1</v>
      </c>
      <c r="AE84">
        <v>33</v>
      </c>
      <c r="AF84">
        <v>11</v>
      </c>
      <c r="AH84" t="s">
        <v>1235</v>
      </c>
      <c r="AI84" t="s">
        <v>1234</v>
      </c>
      <c r="AK84" t="s">
        <v>1233</v>
      </c>
      <c r="AL84">
        <v>0</v>
      </c>
      <c r="AM84" s="5">
        <f t="shared" si="11"/>
        <v>0</v>
      </c>
      <c r="AN84" s="4">
        <f t="shared" si="12"/>
        <v>0</v>
      </c>
      <c r="AO84" s="3"/>
      <c r="AP84">
        <v>0</v>
      </c>
      <c r="AR84" t="s">
        <v>0</v>
      </c>
      <c r="AT84" s="2" t="s">
        <v>5</v>
      </c>
      <c r="AU84" s="1" t="e">
        <f t="shared" si="13"/>
        <v>#VALUE!</v>
      </c>
      <c r="AV84" s="1" t="e">
        <f t="shared" si="14"/>
        <v>#VALUE!</v>
      </c>
      <c r="AW84" s="1" t="e">
        <f t="shared" si="15"/>
        <v>#VALUE!</v>
      </c>
    </row>
    <row r="85" spans="1:49" x14ac:dyDescent="0.2">
      <c r="A85">
        <v>83</v>
      </c>
      <c r="B85" t="s">
        <v>1232</v>
      </c>
      <c r="F85" t="s">
        <v>1231</v>
      </c>
      <c r="G85" t="s">
        <v>4</v>
      </c>
      <c r="H85" t="s">
        <v>3</v>
      </c>
      <c r="I85" t="s">
        <v>1230</v>
      </c>
      <c r="J85">
        <v>101170980</v>
      </c>
      <c r="K85" t="s">
        <v>1229</v>
      </c>
      <c r="M85" t="s">
        <v>10</v>
      </c>
      <c r="N85">
        <v>1</v>
      </c>
      <c r="O85" t="s">
        <v>1228</v>
      </c>
      <c r="P85">
        <v>7103175544</v>
      </c>
      <c r="Q85">
        <v>101170980</v>
      </c>
      <c r="R85" s="7">
        <v>32448</v>
      </c>
      <c r="S85" s="8">
        <f t="shared" si="8"/>
        <v>1988</v>
      </c>
      <c r="T85" s="8">
        <v>1988</v>
      </c>
      <c r="U85" s="8">
        <f t="shared" si="9"/>
        <v>34</v>
      </c>
      <c r="V85" s="7">
        <v>32448</v>
      </c>
      <c r="W85" t="s">
        <v>177</v>
      </c>
      <c r="X85" s="2" t="s">
        <v>5</v>
      </c>
      <c r="Y85" s="6" t="e">
        <f t="shared" si="10"/>
        <v>#VALUE!</v>
      </c>
      <c r="AA85">
        <v>262897</v>
      </c>
      <c r="AB85">
        <v>18580</v>
      </c>
      <c r="AD85" t="s">
        <v>1</v>
      </c>
      <c r="AE85">
        <v>31</v>
      </c>
      <c r="AF85">
        <v>11</v>
      </c>
      <c r="AI85" t="s">
        <v>1227</v>
      </c>
      <c r="AK85" t="s">
        <v>1226</v>
      </c>
      <c r="AL85">
        <v>0</v>
      </c>
      <c r="AM85" s="5">
        <f t="shared" si="11"/>
        <v>0</v>
      </c>
      <c r="AN85" s="4">
        <f t="shared" si="12"/>
        <v>0</v>
      </c>
      <c r="AO85" s="3"/>
      <c r="AP85">
        <v>0</v>
      </c>
      <c r="AR85" t="s">
        <v>0</v>
      </c>
      <c r="AT85" s="2">
        <v>0.30599999999999999</v>
      </c>
      <c r="AU85" s="1" t="e">
        <f t="shared" si="13"/>
        <v>#VALUE!</v>
      </c>
      <c r="AV85" s="1" t="e">
        <f t="shared" si="14"/>
        <v>#VALUE!</v>
      </c>
      <c r="AW85" s="1" t="e">
        <f t="shared" si="15"/>
        <v>#VALUE!</v>
      </c>
    </row>
    <row r="86" spans="1:49" x14ac:dyDescent="0.2">
      <c r="A86">
        <v>84</v>
      </c>
      <c r="B86" t="s">
        <v>1225</v>
      </c>
      <c r="F86" t="s">
        <v>1224</v>
      </c>
      <c r="G86" t="s">
        <v>4</v>
      </c>
      <c r="H86" t="s">
        <v>3</v>
      </c>
      <c r="I86" t="s">
        <v>1223</v>
      </c>
      <c r="J86">
        <v>60007902</v>
      </c>
      <c r="K86" t="s">
        <v>219</v>
      </c>
      <c r="L86" t="s">
        <v>218</v>
      </c>
      <c r="M86" t="s">
        <v>11</v>
      </c>
      <c r="N86">
        <v>2</v>
      </c>
      <c r="O86" t="s">
        <v>1222</v>
      </c>
      <c r="P86" t="s">
        <v>1221</v>
      </c>
      <c r="Q86" t="s">
        <v>1220</v>
      </c>
      <c r="R86" s="7">
        <v>32448</v>
      </c>
      <c r="S86" s="8">
        <f t="shared" si="8"/>
        <v>1988</v>
      </c>
      <c r="T86" s="8">
        <v>1988</v>
      </c>
      <c r="U86" s="8">
        <f t="shared" si="9"/>
        <v>34</v>
      </c>
      <c r="V86" s="7">
        <v>32448</v>
      </c>
      <c r="W86" t="s">
        <v>217</v>
      </c>
      <c r="X86" s="2">
        <v>0.54700000000000004</v>
      </c>
      <c r="Y86" s="6">
        <f t="shared" si="10"/>
        <v>1.4601852593363766E-2</v>
      </c>
      <c r="AA86">
        <v>11096</v>
      </c>
      <c r="AB86">
        <v>31211</v>
      </c>
      <c r="AD86" t="s">
        <v>1</v>
      </c>
      <c r="AE86">
        <v>42</v>
      </c>
      <c r="AF86">
        <v>6</v>
      </c>
      <c r="AH86" t="s">
        <v>1219</v>
      </c>
      <c r="AI86" t="s">
        <v>1218</v>
      </c>
      <c r="AK86" t="s">
        <v>1217</v>
      </c>
      <c r="AL86">
        <v>1</v>
      </c>
      <c r="AM86" s="5">
        <f t="shared" si="11"/>
        <v>2.9411764705882353E-2</v>
      </c>
      <c r="AN86" s="4">
        <f t="shared" si="12"/>
        <v>4.4546406218678307E-5</v>
      </c>
      <c r="AO86" s="3"/>
      <c r="AP86">
        <v>0</v>
      </c>
      <c r="AR86" t="s">
        <v>0</v>
      </c>
      <c r="AT86" s="2" t="s">
        <v>5</v>
      </c>
      <c r="AU86" s="1">
        <f t="shared" si="13"/>
        <v>1.023466073722024</v>
      </c>
      <c r="AV86" s="1">
        <f t="shared" si="14"/>
        <v>0.7323199499791222</v>
      </c>
      <c r="AW86" s="1">
        <f t="shared" si="15"/>
        <v>0.44117382623622042</v>
      </c>
    </row>
    <row r="87" spans="1:49" x14ac:dyDescent="0.2">
      <c r="A87">
        <v>85</v>
      </c>
      <c r="B87" t="s">
        <v>1216</v>
      </c>
      <c r="F87" t="s">
        <v>1215</v>
      </c>
      <c r="G87" t="s">
        <v>4</v>
      </c>
      <c r="H87" t="s">
        <v>3</v>
      </c>
      <c r="I87" t="s">
        <v>1214</v>
      </c>
      <c r="J87">
        <v>60029747</v>
      </c>
      <c r="K87" t="s">
        <v>1213</v>
      </c>
      <c r="L87" t="s">
        <v>164</v>
      </c>
      <c r="M87" t="s">
        <v>10</v>
      </c>
      <c r="N87">
        <v>5</v>
      </c>
      <c r="O87" t="s">
        <v>1212</v>
      </c>
      <c r="P87" t="s">
        <v>1211</v>
      </c>
      <c r="Q87" t="s">
        <v>1210</v>
      </c>
      <c r="R87" s="7">
        <v>32448</v>
      </c>
      <c r="S87" s="8">
        <f t="shared" si="8"/>
        <v>1988</v>
      </c>
      <c r="T87" s="8">
        <v>1988</v>
      </c>
      <c r="U87" s="8">
        <f t="shared" si="9"/>
        <v>34</v>
      </c>
      <c r="V87" s="7">
        <v>32448</v>
      </c>
      <c r="W87" t="s">
        <v>1209</v>
      </c>
      <c r="X87" s="2" t="s">
        <v>5</v>
      </c>
      <c r="Y87" s="6" t="e">
        <f t="shared" si="10"/>
        <v>#VALUE!</v>
      </c>
      <c r="AA87">
        <v>12351</v>
      </c>
      <c r="AB87">
        <v>15776</v>
      </c>
      <c r="AD87" t="s">
        <v>1</v>
      </c>
      <c r="AE87">
        <v>31</v>
      </c>
      <c r="AF87">
        <v>6</v>
      </c>
      <c r="AH87" t="s">
        <v>1208</v>
      </c>
      <c r="AI87" t="s">
        <v>1207</v>
      </c>
      <c r="AK87" t="s">
        <v>1206</v>
      </c>
      <c r="AL87">
        <v>20</v>
      </c>
      <c r="AM87" s="5">
        <f t="shared" si="11"/>
        <v>0.58823529411764708</v>
      </c>
      <c r="AN87" s="4">
        <f t="shared" si="12"/>
        <v>8.9092812437356617E-4</v>
      </c>
      <c r="AO87" s="3"/>
      <c r="AP87">
        <v>0</v>
      </c>
      <c r="AR87" t="s">
        <v>0</v>
      </c>
      <c r="AT87" s="2" t="s">
        <v>5</v>
      </c>
      <c r="AU87" s="1" t="e">
        <f t="shared" si="13"/>
        <v>#VALUE!</v>
      </c>
      <c r="AV87" s="1" t="e">
        <f t="shared" si="14"/>
        <v>#VALUE!</v>
      </c>
      <c r="AW87" s="1" t="e">
        <f t="shared" si="15"/>
        <v>#VALUE!</v>
      </c>
    </row>
    <row r="88" spans="1:49" x14ac:dyDescent="0.2">
      <c r="A88">
        <v>86</v>
      </c>
      <c r="B88" t="s">
        <v>1205</v>
      </c>
      <c r="F88" t="s">
        <v>1204</v>
      </c>
      <c r="G88" t="s">
        <v>4</v>
      </c>
      <c r="H88" t="s">
        <v>3</v>
      </c>
      <c r="I88" t="s">
        <v>1203</v>
      </c>
      <c r="J88">
        <v>112351770</v>
      </c>
      <c r="K88" t="s">
        <v>149</v>
      </c>
      <c r="L88" t="s">
        <v>1202</v>
      </c>
      <c r="M88" t="s">
        <v>10</v>
      </c>
      <c r="N88">
        <v>2</v>
      </c>
      <c r="O88" t="s">
        <v>1201</v>
      </c>
      <c r="P88" t="s">
        <v>1200</v>
      </c>
      <c r="Q88" t="s">
        <v>1199</v>
      </c>
      <c r="R88" s="7">
        <v>32448</v>
      </c>
      <c r="S88" s="8">
        <f t="shared" si="8"/>
        <v>1988</v>
      </c>
      <c r="T88" s="8">
        <v>1988</v>
      </c>
      <c r="U88" s="8">
        <f t="shared" si="9"/>
        <v>34</v>
      </c>
      <c r="V88" s="7">
        <v>32448</v>
      </c>
      <c r="W88" t="s">
        <v>130</v>
      </c>
      <c r="X88" s="2" t="s">
        <v>5</v>
      </c>
      <c r="Y88" s="6" t="e">
        <f t="shared" si="10"/>
        <v>#VALUE!</v>
      </c>
      <c r="AA88">
        <v>7481896</v>
      </c>
      <c r="AB88">
        <v>78193</v>
      </c>
      <c r="AD88" t="s">
        <v>1</v>
      </c>
      <c r="AE88">
        <v>14</v>
      </c>
      <c r="AF88">
        <v>3</v>
      </c>
      <c r="AH88" t="s">
        <v>1198</v>
      </c>
      <c r="AI88" t="s">
        <v>1197</v>
      </c>
      <c r="AK88" t="s">
        <v>1196</v>
      </c>
      <c r="AL88">
        <v>1</v>
      </c>
      <c r="AM88" s="5">
        <f t="shared" si="11"/>
        <v>2.9411764705882353E-2</v>
      </c>
      <c r="AN88" s="4">
        <f t="shared" si="12"/>
        <v>4.4546406218678307E-5</v>
      </c>
      <c r="AO88" s="3"/>
      <c r="AP88">
        <v>0</v>
      </c>
      <c r="AR88" t="s">
        <v>0</v>
      </c>
      <c r="AT88" s="2" t="s">
        <v>5</v>
      </c>
      <c r="AU88" s="1" t="e">
        <f t="shared" si="13"/>
        <v>#VALUE!</v>
      </c>
      <c r="AV88" s="1" t="e">
        <f t="shared" si="14"/>
        <v>#VALUE!</v>
      </c>
      <c r="AW88" s="1" t="e">
        <f t="shared" si="15"/>
        <v>#VALUE!</v>
      </c>
    </row>
    <row r="89" spans="1:49" x14ac:dyDescent="0.2">
      <c r="A89">
        <v>87</v>
      </c>
      <c r="B89" t="s">
        <v>1195</v>
      </c>
      <c r="C89" t="s">
        <v>1194</v>
      </c>
      <c r="F89" t="s">
        <v>1193</v>
      </c>
      <c r="G89" t="s">
        <v>4</v>
      </c>
      <c r="H89" t="s">
        <v>3</v>
      </c>
      <c r="I89" t="s">
        <v>1192</v>
      </c>
      <c r="J89">
        <v>60004156</v>
      </c>
      <c r="K89" t="s">
        <v>207</v>
      </c>
      <c r="L89" t="s">
        <v>206</v>
      </c>
      <c r="M89" t="s">
        <v>61</v>
      </c>
      <c r="N89">
        <v>2</v>
      </c>
      <c r="O89" t="s">
        <v>1191</v>
      </c>
      <c r="P89" t="s">
        <v>1190</v>
      </c>
      <c r="Q89" t="s">
        <v>205</v>
      </c>
      <c r="R89" s="7">
        <v>32448</v>
      </c>
      <c r="S89" s="8">
        <f t="shared" si="8"/>
        <v>1988</v>
      </c>
      <c r="T89" s="8">
        <v>1988</v>
      </c>
      <c r="U89" s="8">
        <f t="shared" si="9"/>
        <v>34</v>
      </c>
      <c r="V89" s="7">
        <v>32448</v>
      </c>
      <c r="W89" t="s">
        <v>22</v>
      </c>
      <c r="X89" s="2">
        <v>0.85499999999999998</v>
      </c>
      <c r="Y89" s="6">
        <f t="shared" si="10"/>
        <v>2.28237366861536E-2</v>
      </c>
      <c r="AA89">
        <v>980331</v>
      </c>
      <c r="AB89">
        <v>23342</v>
      </c>
      <c r="AC89">
        <v>15731561</v>
      </c>
      <c r="AD89" t="s">
        <v>1</v>
      </c>
      <c r="AE89">
        <v>14</v>
      </c>
      <c r="AF89">
        <v>11</v>
      </c>
      <c r="AH89" t="s">
        <v>1189</v>
      </c>
      <c r="AI89" t="s">
        <v>1188</v>
      </c>
      <c r="AJ89" t="s">
        <v>1187</v>
      </c>
      <c r="AK89" t="s">
        <v>1186</v>
      </c>
      <c r="AL89">
        <v>27</v>
      </c>
      <c r="AM89" s="5">
        <f t="shared" si="11"/>
        <v>0.79411764705882348</v>
      </c>
      <c r="AN89" s="4">
        <f t="shared" si="12"/>
        <v>1.2027529679043143E-3</v>
      </c>
      <c r="AO89" s="3"/>
      <c r="AP89">
        <v>0</v>
      </c>
      <c r="AR89" t="s">
        <v>0</v>
      </c>
      <c r="AT89" s="2">
        <v>2.6259999999999999</v>
      </c>
      <c r="AU89" s="1">
        <f t="shared" si="13"/>
        <v>1.633744157067881</v>
      </c>
      <c r="AV89" s="1">
        <f t="shared" si="14"/>
        <v>1.2013244827028957</v>
      </c>
      <c r="AW89" s="1">
        <f t="shared" si="15"/>
        <v>0.76890480833790997</v>
      </c>
    </row>
    <row r="90" spans="1:49" x14ac:dyDescent="0.2">
      <c r="A90">
        <v>88</v>
      </c>
      <c r="B90" t="s">
        <v>1185</v>
      </c>
      <c r="C90" t="s">
        <v>1184</v>
      </c>
      <c r="F90" t="s">
        <v>1183</v>
      </c>
      <c r="G90" t="s">
        <v>4</v>
      </c>
      <c r="H90" t="s">
        <v>3</v>
      </c>
      <c r="I90" t="s">
        <v>1182</v>
      </c>
      <c r="J90">
        <v>60026415</v>
      </c>
      <c r="K90" t="s">
        <v>184</v>
      </c>
      <c r="L90" t="s">
        <v>183</v>
      </c>
      <c r="M90" t="s">
        <v>10</v>
      </c>
      <c r="N90">
        <v>2</v>
      </c>
      <c r="O90" t="s">
        <v>1181</v>
      </c>
      <c r="P90" t="s">
        <v>1180</v>
      </c>
      <c r="Q90" t="s">
        <v>182</v>
      </c>
      <c r="R90" s="7">
        <v>32448</v>
      </c>
      <c r="S90" s="8">
        <f t="shared" si="8"/>
        <v>1988</v>
      </c>
      <c r="T90" s="8">
        <v>1988</v>
      </c>
      <c r="U90" s="8">
        <f t="shared" si="9"/>
        <v>34</v>
      </c>
      <c r="V90" s="7">
        <v>32448</v>
      </c>
      <c r="W90" t="s">
        <v>22</v>
      </c>
      <c r="X90" s="2">
        <v>0.85499999999999998</v>
      </c>
      <c r="Y90" s="6">
        <f t="shared" si="10"/>
        <v>2.28237366861536E-2</v>
      </c>
      <c r="AA90">
        <v>980331</v>
      </c>
      <c r="AB90">
        <v>23342</v>
      </c>
      <c r="AC90">
        <v>15731561</v>
      </c>
      <c r="AD90" t="s">
        <v>1</v>
      </c>
      <c r="AE90">
        <v>14</v>
      </c>
      <c r="AF90">
        <v>11</v>
      </c>
      <c r="AH90" t="s">
        <v>1179</v>
      </c>
      <c r="AI90" t="s">
        <v>1178</v>
      </c>
      <c r="AJ90" t="s">
        <v>1177</v>
      </c>
      <c r="AK90" t="s">
        <v>1176</v>
      </c>
      <c r="AL90">
        <v>19</v>
      </c>
      <c r="AM90" s="5">
        <f t="shared" si="11"/>
        <v>0.55882352941176472</v>
      </c>
      <c r="AN90" s="4">
        <f t="shared" si="12"/>
        <v>8.4638171815488788E-4</v>
      </c>
      <c r="AO90" s="3"/>
      <c r="AP90">
        <v>0</v>
      </c>
      <c r="AR90" t="s">
        <v>0</v>
      </c>
      <c r="AT90" s="2">
        <v>2.6259999999999999</v>
      </c>
      <c r="AU90" s="1">
        <f t="shared" si="13"/>
        <v>1.6230530195753985</v>
      </c>
      <c r="AV90" s="1">
        <f t="shared" si="14"/>
        <v>1.1835059202154243</v>
      </c>
      <c r="AW90" s="1">
        <f t="shared" si="15"/>
        <v>0.74395882085545018</v>
      </c>
    </row>
    <row r="91" spans="1:49" x14ac:dyDescent="0.2">
      <c r="A91">
        <v>89</v>
      </c>
      <c r="B91" t="s">
        <v>1175</v>
      </c>
      <c r="C91" t="s">
        <v>1174</v>
      </c>
      <c r="F91" t="s">
        <v>1173</v>
      </c>
      <c r="G91" t="s">
        <v>4</v>
      </c>
      <c r="H91" t="s">
        <v>3</v>
      </c>
      <c r="I91" t="s">
        <v>1172</v>
      </c>
      <c r="N91">
        <v>2</v>
      </c>
      <c r="O91" t="s">
        <v>1171</v>
      </c>
      <c r="P91" t="s">
        <v>1170</v>
      </c>
      <c r="Q91" t="s">
        <v>42</v>
      </c>
      <c r="R91" s="7">
        <v>32448</v>
      </c>
      <c r="S91" s="8">
        <f t="shared" si="8"/>
        <v>1988</v>
      </c>
      <c r="T91" s="8">
        <v>1988</v>
      </c>
      <c r="U91" s="8">
        <f t="shared" si="9"/>
        <v>34</v>
      </c>
      <c r="V91" s="7">
        <v>32448</v>
      </c>
      <c r="W91" t="s">
        <v>179</v>
      </c>
      <c r="X91" s="2">
        <v>0.61499999999999999</v>
      </c>
      <c r="Y91" s="6">
        <f t="shared" si="10"/>
        <v>1.6417073756706976E-2</v>
      </c>
      <c r="AA91">
        <v>1959271</v>
      </c>
      <c r="AB91">
        <v>12141</v>
      </c>
      <c r="AC91">
        <v>15729559</v>
      </c>
      <c r="AD91" t="s">
        <v>1</v>
      </c>
      <c r="AE91">
        <v>9</v>
      </c>
      <c r="AF91">
        <v>11</v>
      </c>
      <c r="AH91" t="s">
        <v>1169</v>
      </c>
      <c r="AI91" t="s">
        <v>1168</v>
      </c>
      <c r="AK91" t="s">
        <v>1167</v>
      </c>
      <c r="AL91">
        <v>35</v>
      </c>
      <c r="AM91" s="5">
        <f t="shared" si="11"/>
        <v>1.0294117647058822</v>
      </c>
      <c r="AN91" s="4">
        <f t="shared" si="12"/>
        <v>1.5591242176537406E-3</v>
      </c>
      <c r="AO91" s="3"/>
      <c r="AP91">
        <v>0</v>
      </c>
      <c r="AR91" t="s">
        <v>0</v>
      </c>
      <c r="AT91" s="2" t="s">
        <v>5</v>
      </c>
      <c r="AU91" s="1">
        <f t="shared" si="13"/>
        <v>1.1959688894991005</v>
      </c>
      <c r="AV91" s="1">
        <f t="shared" si="14"/>
        <v>0.89880989871803585</v>
      </c>
      <c r="AW91" s="1">
        <f t="shared" si="15"/>
        <v>0.60165090793697107</v>
      </c>
    </row>
    <row r="92" spans="1:49" x14ac:dyDescent="0.2">
      <c r="A92">
        <v>90</v>
      </c>
      <c r="B92" t="s">
        <v>1166</v>
      </c>
      <c r="C92" t="s">
        <v>1165</v>
      </c>
      <c r="D92">
        <v>378109788900316</v>
      </c>
      <c r="F92" t="s">
        <v>1164</v>
      </c>
      <c r="G92" t="s">
        <v>4</v>
      </c>
      <c r="H92" t="s">
        <v>3</v>
      </c>
      <c r="I92" t="s">
        <v>102</v>
      </c>
      <c r="J92" t="s">
        <v>1163</v>
      </c>
      <c r="K92" t="s">
        <v>1162</v>
      </c>
      <c r="L92" t="s">
        <v>1161</v>
      </c>
      <c r="M92" t="s">
        <v>92</v>
      </c>
      <c r="N92">
        <v>3</v>
      </c>
      <c r="O92" t="s">
        <v>1160</v>
      </c>
      <c r="P92" t="s">
        <v>1159</v>
      </c>
      <c r="Q92" t="s">
        <v>1158</v>
      </c>
      <c r="R92" s="7">
        <v>32431</v>
      </c>
      <c r="S92" s="8">
        <f t="shared" si="8"/>
        <v>1988</v>
      </c>
      <c r="T92" s="8">
        <v>1988</v>
      </c>
      <c r="U92" s="8">
        <f t="shared" si="9"/>
        <v>34</v>
      </c>
      <c r="V92" s="7">
        <v>32431</v>
      </c>
      <c r="W92" t="s">
        <v>1157</v>
      </c>
      <c r="X92" s="2">
        <v>0.89900000000000002</v>
      </c>
      <c r="Y92" s="6">
        <f t="shared" si="10"/>
        <v>2.399829155655215E-2</v>
      </c>
      <c r="AA92">
        <v>3781097</v>
      </c>
      <c r="AB92">
        <v>19706</v>
      </c>
      <c r="AC92">
        <v>15746968</v>
      </c>
      <c r="AD92" t="s">
        <v>1</v>
      </c>
      <c r="AE92">
        <v>55</v>
      </c>
      <c r="AF92">
        <v>3</v>
      </c>
      <c r="AH92" t="s">
        <v>1156</v>
      </c>
      <c r="AI92" t="s">
        <v>1155</v>
      </c>
      <c r="AJ92" t="s">
        <v>1154</v>
      </c>
      <c r="AK92" t="s">
        <v>1153</v>
      </c>
      <c r="AL92">
        <v>3</v>
      </c>
      <c r="AM92" s="5">
        <f t="shared" si="11"/>
        <v>8.8235294117647065E-2</v>
      </c>
      <c r="AN92" s="4">
        <f t="shared" si="12"/>
        <v>1.3363921865603494E-4</v>
      </c>
      <c r="AO92" s="3"/>
      <c r="AP92">
        <v>0</v>
      </c>
      <c r="AR92" t="s">
        <v>0</v>
      </c>
      <c r="AT92" s="2">
        <v>2.742</v>
      </c>
      <c r="AU92" s="1">
        <f t="shared" si="13"/>
        <v>1.6838895855183313</v>
      </c>
      <c r="AV92" s="1">
        <f t="shared" si="14"/>
        <v>1.2065965387604092</v>
      </c>
      <c r="AW92" s="1">
        <f t="shared" si="15"/>
        <v>0.72930349200248679</v>
      </c>
    </row>
    <row r="93" spans="1:49" x14ac:dyDescent="0.2">
      <c r="A93">
        <v>91</v>
      </c>
      <c r="B93" t="s">
        <v>1152</v>
      </c>
      <c r="C93" t="s">
        <v>1151</v>
      </c>
      <c r="D93" t="s">
        <v>1150</v>
      </c>
      <c r="F93" t="s">
        <v>1149</v>
      </c>
      <c r="G93" t="s">
        <v>4</v>
      </c>
      <c r="H93" t="s">
        <v>3</v>
      </c>
      <c r="I93" t="s">
        <v>1148</v>
      </c>
      <c r="J93">
        <v>60113665</v>
      </c>
      <c r="K93" t="s">
        <v>200</v>
      </c>
      <c r="L93" t="s">
        <v>199</v>
      </c>
      <c r="M93" t="s">
        <v>72</v>
      </c>
      <c r="N93">
        <v>6</v>
      </c>
      <c r="O93" t="s">
        <v>1147</v>
      </c>
      <c r="P93" t="s">
        <v>1146</v>
      </c>
      <c r="Q93" t="s">
        <v>1145</v>
      </c>
      <c r="R93" s="7">
        <v>32426</v>
      </c>
      <c r="S93" s="8">
        <f t="shared" si="8"/>
        <v>1988</v>
      </c>
      <c r="T93" s="8">
        <v>1988</v>
      </c>
      <c r="U93" s="8">
        <f t="shared" si="9"/>
        <v>34</v>
      </c>
      <c r="V93" s="7">
        <v>32426</v>
      </c>
      <c r="W93" t="s">
        <v>198</v>
      </c>
      <c r="X93" s="2">
        <v>0.499</v>
      </c>
      <c r="Y93" s="6">
        <f t="shared" si="10"/>
        <v>1.332052000747444E-2</v>
      </c>
      <c r="AA93">
        <v>3759601</v>
      </c>
      <c r="AB93">
        <v>29464</v>
      </c>
      <c r="AD93" t="s">
        <v>1</v>
      </c>
      <c r="AE93">
        <v>132</v>
      </c>
      <c r="AF93">
        <v>5</v>
      </c>
      <c r="AH93" t="s">
        <v>121</v>
      </c>
      <c r="AI93" t="s">
        <v>1144</v>
      </c>
      <c r="AK93" t="s">
        <v>1143</v>
      </c>
      <c r="AL93">
        <v>25</v>
      </c>
      <c r="AM93" s="5">
        <f t="shared" si="11"/>
        <v>0.73529411764705888</v>
      </c>
      <c r="AN93" s="4">
        <f t="shared" si="12"/>
        <v>1.1136601554669577E-3</v>
      </c>
      <c r="AO93" s="3"/>
      <c r="AP93">
        <v>0</v>
      </c>
      <c r="AR93" t="s">
        <v>0</v>
      </c>
      <c r="AT93" s="2">
        <v>2.6539999999999999</v>
      </c>
      <c r="AU93" s="1">
        <f t="shared" si="13"/>
        <v>0.96584620518721953</v>
      </c>
      <c r="AV93" s="1">
        <f t="shared" si="14"/>
        <v>0.72170900814706984</v>
      </c>
      <c r="AW93" s="1">
        <f t="shared" si="15"/>
        <v>0.47757181110692026</v>
      </c>
    </row>
    <row r="94" spans="1:49" x14ac:dyDescent="0.2">
      <c r="A94">
        <v>92</v>
      </c>
      <c r="B94" t="s">
        <v>1142</v>
      </c>
      <c r="C94" t="s">
        <v>1141</v>
      </c>
      <c r="D94">
        <v>14579388805180</v>
      </c>
      <c r="E94">
        <v>3169266</v>
      </c>
      <c r="F94" t="s">
        <v>1140</v>
      </c>
      <c r="G94" t="s">
        <v>4</v>
      </c>
      <c r="H94" t="s">
        <v>3</v>
      </c>
      <c r="I94" t="s">
        <v>1139</v>
      </c>
      <c r="J94" t="s">
        <v>1138</v>
      </c>
      <c r="K94" t="s">
        <v>1137</v>
      </c>
      <c r="L94" t="s">
        <v>1136</v>
      </c>
      <c r="M94" t="s">
        <v>71</v>
      </c>
      <c r="N94">
        <v>5</v>
      </c>
      <c r="O94" t="s">
        <v>1135</v>
      </c>
      <c r="P94" t="s">
        <v>1134</v>
      </c>
      <c r="Q94" t="s">
        <v>1133</v>
      </c>
      <c r="R94" s="7">
        <v>32426</v>
      </c>
      <c r="S94" s="8">
        <f t="shared" si="8"/>
        <v>1988</v>
      </c>
      <c r="T94" s="8">
        <v>1988</v>
      </c>
      <c r="U94" s="8">
        <f t="shared" si="9"/>
        <v>34</v>
      </c>
      <c r="V94" s="7">
        <v>32426</v>
      </c>
      <c r="W94" t="s">
        <v>173</v>
      </c>
      <c r="X94" s="2">
        <v>1.593</v>
      </c>
      <c r="Y94" s="6">
        <f t="shared" si="10"/>
        <v>4.2524225194201973E-2</v>
      </c>
      <c r="AA94">
        <v>145793</v>
      </c>
      <c r="AB94">
        <v>17481</v>
      </c>
      <c r="AD94" t="s">
        <v>1</v>
      </c>
      <c r="AE94">
        <v>238</v>
      </c>
      <c r="AF94">
        <v>2</v>
      </c>
      <c r="AH94" t="s">
        <v>1132</v>
      </c>
      <c r="AI94" t="s">
        <v>1131</v>
      </c>
      <c r="AJ94" t="s">
        <v>1130</v>
      </c>
      <c r="AK94" t="s">
        <v>1129</v>
      </c>
      <c r="AL94">
        <v>29</v>
      </c>
      <c r="AM94" s="5">
        <f t="shared" si="11"/>
        <v>0.8529411764705882</v>
      </c>
      <c r="AN94" s="4">
        <f t="shared" si="12"/>
        <v>1.2918457803416709E-3</v>
      </c>
      <c r="AO94" s="3"/>
      <c r="AP94">
        <v>0</v>
      </c>
      <c r="AQ94" t="s">
        <v>1128</v>
      </c>
      <c r="AR94" t="s">
        <v>0</v>
      </c>
      <c r="AS94" t="s">
        <v>1127</v>
      </c>
      <c r="AT94" s="2">
        <v>4.1239999999999997</v>
      </c>
      <c r="AU94" s="1">
        <f t="shared" si="13"/>
        <v>3.0154511370043879</v>
      </c>
      <c r="AV94" s="1">
        <f t="shared" si="14"/>
        <v>2.1908035487271822</v>
      </c>
      <c r="AW94" s="1">
        <f t="shared" si="15"/>
        <v>1.3661559604499762</v>
      </c>
    </row>
    <row r="95" spans="1:49" x14ac:dyDescent="0.2">
      <c r="A95">
        <v>93</v>
      </c>
      <c r="B95" t="s">
        <v>1126</v>
      </c>
      <c r="C95" t="s">
        <v>1125</v>
      </c>
      <c r="D95">
        <v>5272888902241</v>
      </c>
      <c r="F95" t="s">
        <v>1124</v>
      </c>
      <c r="G95" t="s">
        <v>4</v>
      </c>
      <c r="H95" t="s">
        <v>3</v>
      </c>
      <c r="I95" t="s">
        <v>1123</v>
      </c>
      <c r="J95" t="s">
        <v>1122</v>
      </c>
      <c r="K95" t="s">
        <v>1121</v>
      </c>
      <c r="L95" t="s">
        <v>1120</v>
      </c>
      <c r="M95" t="s">
        <v>74</v>
      </c>
      <c r="N95">
        <v>3</v>
      </c>
      <c r="O95" t="s">
        <v>1119</v>
      </c>
      <c r="P95" t="s">
        <v>1118</v>
      </c>
      <c r="Q95" t="s">
        <v>1117</v>
      </c>
      <c r="R95" s="7">
        <v>32421</v>
      </c>
      <c r="S95" s="8">
        <f t="shared" si="8"/>
        <v>1988</v>
      </c>
      <c r="T95" s="8">
        <v>1988</v>
      </c>
      <c r="U95" s="8">
        <f t="shared" si="9"/>
        <v>34</v>
      </c>
      <c r="V95" s="7">
        <v>32421</v>
      </c>
      <c r="W95" t="s">
        <v>9</v>
      </c>
      <c r="X95" s="2">
        <v>1.59</v>
      </c>
      <c r="Y95" s="6">
        <f t="shared" si="10"/>
        <v>4.2444141907583888E-2</v>
      </c>
      <c r="AA95">
        <v>52728</v>
      </c>
      <c r="AB95">
        <v>16791</v>
      </c>
      <c r="AD95" t="s">
        <v>1</v>
      </c>
      <c r="AE95">
        <v>935</v>
      </c>
      <c r="AF95">
        <v>3</v>
      </c>
      <c r="AH95" t="s">
        <v>1116</v>
      </c>
      <c r="AI95" t="s">
        <v>1115</v>
      </c>
      <c r="AJ95" t="s">
        <v>1114</v>
      </c>
      <c r="AK95" t="s">
        <v>1113</v>
      </c>
      <c r="AL95">
        <v>52</v>
      </c>
      <c r="AM95" s="5">
        <f t="shared" si="11"/>
        <v>1.5294117647058822</v>
      </c>
      <c r="AN95" s="4">
        <f t="shared" si="12"/>
        <v>2.3164131233712718E-3</v>
      </c>
      <c r="AO95" s="3"/>
      <c r="AP95">
        <v>0</v>
      </c>
      <c r="AR95" t="s">
        <v>0</v>
      </c>
      <c r="AT95" s="2" t="s">
        <v>5</v>
      </c>
      <c r="AU95" s="1">
        <f t="shared" si="13"/>
        <v>3.0405823272320101</v>
      </c>
      <c r="AV95" s="1">
        <f t="shared" si="14"/>
        <v>2.238027751547758</v>
      </c>
      <c r="AW95" s="1">
        <f t="shared" si="15"/>
        <v>1.4354731758635055</v>
      </c>
    </row>
    <row r="96" spans="1:49" x14ac:dyDescent="0.2">
      <c r="A96">
        <v>94</v>
      </c>
      <c r="B96" t="s">
        <v>1112</v>
      </c>
      <c r="C96" t="s">
        <v>1111</v>
      </c>
      <c r="F96" t="s">
        <v>1110</v>
      </c>
      <c r="G96" t="s">
        <v>4</v>
      </c>
      <c r="H96" t="s">
        <v>3</v>
      </c>
      <c r="I96" t="s">
        <v>1109</v>
      </c>
      <c r="J96" t="s">
        <v>1108</v>
      </c>
      <c r="K96" t="s">
        <v>1107</v>
      </c>
      <c r="L96" t="s">
        <v>1106</v>
      </c>
      <c r="M96" t="s">
        <v>31</v>
      </c>
      <c r="N96">
        <v>2</v>
      </c>
      <c r="O96" t="s">
        <v>1105</v>
      </c>
      <c r="P96" t="s">
        <v>1104</v>
      </c>
      <c r="Q96" t="s">
        <v>1103</v>
      </c>
      <c r="R96" s="7">
        <v>32417</v>
      </c>
      <c r="S96" s="8">
        <f t="shared" si="8"/>
        <v>1988</v>
      </c>
      <c r="T96" s="8">
        <v>1988</v>
      </c>
      <c r="U96" s="8">
        <f t="shared" si="9"/>
        <v>34</v>
      </c>
      <c r="V96" s="7">
        <v>32417</v>
      </c>
      <c r="W96" t="s">
        <v>163</v>
      </c>
      <c r="X96" s="2">
        <v>1.1879999999999999</v>
      </c>
      <c r="Y96" s="6">
        <f t="shared" si="10"/>
        <v>3.1712981500760788E-2</v>
      </c>
      <c r="AA96">
        <v>10706631</v>
      </c>
      <c r="AB96">
        <v>29210</v>
      </c>
      <c r="AC96">
        <v>10897666</v>
      </c>
      <c r="AD96" t="s">
        <v>1</v>
      </c>
      <c r="AE96">
        <v>31</v>
      </c>
      <c r="AF96">
        <v>10</v>
      </c>
      <c r="AH96" t="s">
        <v>1102</v>
      </c>
      <c r="AI96" t="s">
        <v>1101</v>
      </c>
      <c r="AK96" t="s">
        <v>1100</v>
      </c>
      <c r="AL96">
        <v>4</v>
      </c>
      <c r="AM96" s="5">
        <f t="shared" si="11"/>
        <v>0.11764705882352941</v>
      </c>
      <c r="AN96" s="4">
        <f t="shared" si="12"/>
        <v>1.7818562487471323E-4</v>
      </c>
      <c r="AO96" s="3"/>
      <c r="AP96">
        <v>0</v>
      </c>
      <c r="AR96" t="s">
        <v>0</v>
      </c>
      <c r="AT96" s="2">
        <v>3.5209999999999999</v>
      </c>
      <c r="AU96" s="1">
        <f t="shared" si="13"/>
        <v>2.2252542737994965</v>
      </c>
      <c r="AV96" s="1">
        <f t="shared" si="14"/>
        <v>1.5945583562817749</v>
      </c>
      <c r="AW96" s="1">
        <f t="shared" si="15"/>
        <v>0.96386243876405364</v>
      </c>
    </row>
    <row r="97" spans="1:49" x14ac:dyDescent="0.2">
      <c r="A97">
        <v>95</v>
      </c>
      <c r="B97" t="s">
        <v>1099</v>
      </c>
      <c r="C97" t="s">
        <v>1098</v>
      </c>
      <c r="F97" t="s">
        <v>1097</v>
      </c>
      <c r="G97" t="s">
        <v>4</v>
      </c>
      <c r="H97" t="s">
        <v>3</v>
      </c>
      <c r="I97" t="s">
        <v>1096</v>
      </c>
      <c r="N97">
        <v>2</v>
      </c>
      <c r="O97" t="s">
        <v>1095</v>
      </c>
      <c r="P97" t="s">
        <v>1094</v>
      </c>
      <c r="Q97" t="s">
        <v>42</v>
      </c>
      <c r="R97" s="7">
        <v>32417</v>
      </c>
      <c r="S97" s="8">
        <f t="shared" si="8"/>
        <v>1988</v>
      </c>
      <c r="T97" s="8">
        <v>1988</v>
      </c>
      <c r="U97" s="8">
        <f t="shared" si="9"/>
        <v>34</v>
      </c>
      <c r="V97" s="7">
        <v>32417</v>
      </c>
      <c r="W97" t="s">
        <v>194</v>
      </c>
      <c r="X97" s="2">
        <v>0.318</v>
      </c>
      <c r="Y97" s="6">
        <f t="shared" si="10"/>
        <v>8.4888283815167786E-3</v>
      </c>
      <c r="AA97">
        <v>338443</v>
      </c>
      <c r="AB97">
        <v>27160</v>
      </c>
      <c r="AC97">
        <v>15739120</v>
      </c>
      <c r="AD97" t="s">
        <v>1</v>
      </c>
      <c r="AE97">
        <v>31</v>
      </c>
      <c r="AF97">
        <v>10</v>
      </c>
      <c r="AH97" t="s">
        <v>1093</v>
      </c>
      <c r="AL97">
        <v>2</v>
      </c>
      <c r="AM97" s="5">
        <f t="shared" si="11"/>
        <v>5.8823529411764705E-2</v>
      </c>
      <c r="AN97" s="4">
        <f t="shared" si="12"/>
        <v>8.9092812437356614E-5</v>
      </c>
      <c r="AO97" s="3"/>
      <c r="AP97">
        <v>0</v>
      </c>
      <c r="AR97" t="s">
        <v>0</v>
      </c>
      <c r="AT97" s="2">
        <v>0.77</v>
      </c>
      <c r="AU97" s="1">
        <f t="shared" si="13"/>
        <v>0.59689077107929522</v>
      </c>
      <c r="AV97" s="1">
        <f t="shared" si="14"/>
        <v>0.42889605969770672</v>
      </c>
      <c r="AW97" s="1">
        <f t="shared" si="15"/>
        <v>0.26090134831611833</v>
      </c>
    </row>
    <row r="98" spans="1:49" x14ac:dyDescent="0.2">
      <c r="A98">
        <v>96</v>
      </c>
      <c r="B98" t="s">
        <v>1092</v>
      </c>
      <c r="C98" t="s">
        <v>1091</v>
      </c>
      <c r="F98" t="s">
        <v>1090</v>
      </c>
      <c r="G98" t="s">
        <v>4</v>
      </c>
      <c r="H98" t="s">
        <v>3</v>
      </c>
      <c r="I98" t="s">
        <v>1089</v>
      </c>
      <c r="J98">
        <v>60005322</v>
      </c>
      <c r="K98" t="s">
        <v>1088</v>
      </c>
      <c r="L98" t="s">
        <v>1087</v>
      </c>
      <c r="M98" t="s">
        <v>11</v>
      </c>
      <c r="N98">
        <v>2</v>
      </c>
      <c r="O98" t="s">
        <v>1086</v>
      </c>
      <c r="P98" t="s">
        <v>1085</v>
      </c>
      <c r="Q98" t="s">
        <v>1084</v>
      </c>
      <c r="R98" s="7">
        <v>32417</v>
      </c>
      <c r="S98" s="8">
        <f t="shared" si="8"/>
        <v>1988</v>
      </c>
      <c r="T98" s="8">
        <v>1988</v>
      </c>
      <c r="U98" s="8">
        <f t="shared" si="9"/>
        <v>34</v>
      </c>
      <c r="V98" s="7">
        <v>32417</v>
      </c>
      <c r="W98" t="s">
        <v>1083</v>
      </c>
      <c r="X98" s="2" t="s">
        <v>5</v>
      </c>
      <c r="Y98" s="6" t="e">
        <f t="shared" si="10"/>
        <v>#VALUE!</v>
      </c>
      <c r="AA98">
        <v>7217269</v>
      </c>
      <c r="AB98">
        <v>39311</v>
      </c>
      <c r="AC98">
        <v>14320649</v>
      </c>
      <c r="AD98" t="s">
        <v>1</v>
      </c>
      <c r="AE98">
        <v>47</v>
      </c>
      <c r="AF98">
        <v>2</v>
      </c>
      <c r="AH98" t="s">
        <v>1082</v>
      </c>
      <c r="AI98" t="s">
        <v>1081</v>
      </c>
      <c r="AJ98" t="s">
        <v>1080</v>
      </c>
      <c r="AK98" t="s">
        <v>1079</v>
      </c>
      <c r="AL98">
        <v>9</v>
      </c>
      <c r="AM98" s="5">
        <f t="shared" si="11"/>
        <v>0.26470588235294118</v>
      </c>
      <c r="AN98" s="4">
        <f t="shared" si="12"/>
        <v>4.009176559681048E-4</v>
      </c>
      <c r="AO98" s="3"/>
      <c r="AP98">
        <v>0</v>
      </c>
      <c r="AR98" t="s">
        <v>0</v>
      </c>
      <c r="AT98" s="2" t="s">
        <v>5</v>
      </c>
      <c r="AU98" s="1" t="e">
        <f t="shared" si="13"/>
        <v>#VALUE!</v>
      </c>
      <c r="AV98" s="1" t="e">
        <f t="shared" si="14"/>
        <v>#VALUE!</v>
      </c>
      <c r="AW98" s="1" t="e">
        <f t="shared" si="15"/>
        <v>#VALUE!</v>
      </c>
    </row>
    <row r="99" spans="1:49" x14ac:dyDescent="0.2">
      <c r="A99">
        <v>97</v>
      </c>
      <c r="B99" t="s">
        <v>1078</v>
      </c>
      <c r="F99" t="s">
        <v>1077</v>
      </c>
      <c r="G99" t="s">
        <v>4</v>
      </c>
      <c r="H99" t="s">
        <v>3</v>
      </c>
      <c r="I99" t="s">
        <v>321</v>
      </c>
      <c r="N99">
        <v>3</v>
      </c>
      <c r="O99" t="s">
        <v>1076</v>
      </c>
      <c r="P99" t="s">
        <v>1075</v>
      </c>
      <c r="Q99" t="s">
        <v>44</v>
      </c>
      <c r="R99" s="7">
        <v>32417</v>
      </c>
      <c r="S99" s="8">
        <f t="shared" si="8"/>
        <v>1988</v>
      </c>
      <c r="T99" s="8">
        <v>1988</v>
      </c>
      <c r="U99" s="8">
        <f t="shared" si="9"/>
        <v>34</v>
      </c>
      <c r="V99" s="7">
        <v>32417</v>
      </c>
      <c r="W99" t="s">
        <v>41</v>
      </c>
      <c r="X99" s="2" t="s">
        <v>5</v>
      </c>
      <c r="Y99" s="6" t="e">
        <f t="shared" si="10"/>
        <v>#VALUE!</v>
      </c>
      <c r="AA99">
        <v>87566648</v>
      </c>
      <c r="AB99">
        <v>74127</v>
      </c>
      <c r="AD99" t="s">
        <v>1</v>
      </c>
      <c r="AE99">
        <v>33</v>
      </c>
      <c r="AF99">
        <v>10</v>
      </c>
      <c r="AH99" t="s">
        <v>1074</v>
      </c>
      <c r="AI99" t="s">
        <v>1073</v>
      </c>
      <c r="AK99" t="s">
        <v>1072</v>
      </c>
      <c r="AL99">
        <v>0</v>
      </c>
      <c r="AM99" s="5">
        <f t="shared" si="11"/>
        <v>0</v>
      </c>
      <c r="AN99" s="4">
        <f t="shared" si="12"/>
        <v>0</v>
      </c>
      <c r="AO99" s="3"/>
      <c r="AP99">
        <v>0</v>
      </c>
      <c r="AR99" t="s">
        <v>0</v>
      </c>
      <c r="AT99" s="2" t="s">
        <v>5</v>
      </c>
      <c r="AU99" s="1" t="e">
        <f t="shared" si="13"/>
        <v>#VALUE!</v>
      </c>
      <c r="AV99" s="1" t="e">
        <f t="shared" si="14"/>
        <v>#VALUE!</v>
      </c>
      <c r="AW99" s="1" t="e">
        <f t="shared" si="15"/>
        <v>#VALUE!</v>
      </c>
    </row>
    <row r="100" spans="1:49" x14ac:dyDescent="0.2">
      <c r="A100">
        <v>98</v>
      </c>
      <c r="B100" t="s">
        <v>1071</v>
      </c>
      <c r="F100" t="s">
        <v>1070</v>
      </c>
      <c r="G100" t="s">
        <v>4</v>
      </c>
      <c r="H100" t="s">
        <v>3</v>
      </c>
      <c r="I100" t="s">
        <v>1069</v>
      </c>
      <c r="N100">
        <v>2</v>
      </c>
      <c r="O100" t="s">
        <v>1068</v>
      </c>
      <c r="P100" t="s">
        <v>1067</v>
      </c>
      <c r="Q100" t="s">
        <v>42</v>
      </c>
      <c r="R100" s="7">
        <v>32417</v>
      </c>
      <c r="S100" s="8">
        <f t="shared" si="8"/>
        <v>1988</v>
      </c>
      <c r="T100" s="8">
        <v>1988</v>
      </c>
      <c r="U100" s="8">
        <f t="shared" si="9"/>
        <v>34</v>
      </c>
      <c r="V100" s="7">
        <v>32417</v>
      </c>
      <c r="W100" t="s">
        <v>41</v>
      </c>
      <c r="X100" s="2" t="s">
        <v>5</v>
      </c>
      <c r="Y100" s="6" t="e">
        <f t="shared" si="10"/>
        <v>#VALUE!</v>
      </c>
      <c r="AA100">
        <v>87566648</v>
      </c>
      <c r="AB100">
        <v>74127</v>
      </c>
      <c r="AD100" t="s">
        <v>1</v>
      </c>
      <c r="AE100">
        <v>33</v>
      </c>
      <c r="AF100">
        <v>10</v>
      </c>
      <c r="AH100" t="s">
        <v>1066</v>
      </c>
      <c r="AI100" t="s">
        <v>1065</v>
      </c>
      <c r="AK100" t="s">
        <v>1064</v>
      </c>
      <c r="AL100">
        <v>0</v>
      </c>
      <c r="AM100" s="5">
        <f t="shared" si="11"/>
        <v>0</v>
      </c>
      <c r="AN100" s="4">
        <f t="shared" si="12"/>
        <v>0</v>
      </c>
      <c r="AO100" s="3"/>
      <c r="AP100">
        <v>0</v>
      </c>
      <c r="AR100" t="s">
        <v>0</v>
      </c>
      <c r="AT100" s="2" t="s">
        <v>5</v>
      </c>
      <c r="AU100" s="1" t="e">
        <f t="shared" si="13"/>
        <v>#VALUE!</v>
      </c>
      <c r="AV100" s="1" t="e">
        <f t="shared" si="14"/>
        <v>#VALUE!</v>
      </c>
      <c r="AW100" s="1" t="e">
        <f t="shared" si="15"/>
        <v>#VALUE!</v>
      </c>
    </row>
    <row r="101" spans="1:49" x14ac:dyDescent="0.2">
      <c r="A101">
        <v>99</v>
      </c>
      <c r="B101" t="s">
        <v>1063</v>
      </c>
      <c r="F101" t="s">
        <v>1062</v>
      </c>
      <c r="G101" t="s">
        <v>4</v>
      </c>
      <c r="H101" t="s">
        <v>3</v>
      </c>
      <c r="I101" t="s">
        <v>1061</v>
      </c>
      <c r="N101">
        <v>3</v>
      </c>
      <c r="O101" t="s">
        <v>1060</v>
      </c>
      <c r="P101" t="s">
        <v>1059</v>
      </c>
      <c r="Q101" t="s">
        <v>44</v>
      </c>
      <c r="R101" s="7">
        <v>32417</v>
      </c>
      <c r="S101" s="8">
        <f t="shared" si="8"/>
        <v>1988</v>
      </c>
      <c r="T101" s="8">
        <v>1988</v>
      </c>
      <c r="U101" s="8">
        <f t="shared" si="9"/>
        <v>34</v>
      </c>
      <c r="V101" s="7">
        <v>32417</v>
      </c>
      <c r="W101" t="s">
        <v>41</v>
      </c>
      <c r="X101" s="2" t="s">
        <v>5</v>
      </c>
      <c r="Y101" s="6" t="e">
        <f t="shared" si="10"/>
        <v>#VALUE!</v>
      </c>
      <c r="AA101">
        <v>87566648</v>
      </c>
      <c r="AB101">
        <v>74127</v>
      </c>
      <c r="AD101" t="s">
        <v>1</v>
      </c>
      <c r="AE101">
        <v>33</v>
      </c>
      <c r="AF101">
        <v>10</v>
      </c>
      <c r="AH101" t="s">
        <v>1058</v>
      </c>
      <c r="AI101" t="s">
        <v>1057</v>
      </c>
      <c r="AK101" t="s">
        <v>1056</v>
      </c>
      <c r="AL101">
        <v>0</v>
      </c>
      <c r="AM101" s="5">
        <f t="shared" si="11"/>
        <v>0</v>
      </c>
      <c r="AN101" s="4">
        <f t="shared" si="12"/>
        <v>0</v>
      </c>
      <c r="AO101" s="3"/>
      <c r="AP101">
        <v>0</v>
      </c>
      <c r="AR101" t="s">
        <v>0</v>
      </c>
      <c r="AT101" s="2" t="s">
        <v>5</v>
      </c>
      <c r="AU101" s="1" t="e">
        <f t="shared" si="13"/>
        <v>#VALUE!</v>
      </c>
      <c r="AV101" s="1" t="e">
        <f t="shared" si="14"/>
        <v>#VALUE!</v>
      </c>
      <c r="AW101" s="1" t="e">
        <f t="shared" si="15"/>
        <v>#VALUE!</v>
      </c>
    </row>
    <row r="102" spans="1:49" x14ac:dyDescent="0.2">
      <c r="A102">
        <v>100</v>
      </c>
      <c r="B102" t="s">
        <v>1055</v>
      </c>
      <c r="F102" t="s">
        <v>1054</v>
      </c>
      <c r="G102" t="s">
        <v>4</v>
      </c>
      <c r="H102" t="s">
        <v>3</v>
      </c>
      <c r="I102" t="s">
        <v>1053</v>
      </c>
      <c r="N102">
        <v>1</v>
      </c>
      <c r="O102" t="s">
        <v>1052</v>
      </c>
      <c r="P102">
        <v>7102434021</v>
      </c>
      <c r="R102" s="7">
        <v>32417</v>
      </c>
      <c r="S102" s="8">
        <f t="shared" si="8"/>
        <v>1988</v>
      </c>
      <c r="T102" s="8">
        <v>1988</v>
      </c>
      <c r="U102" s="8">
        <f t="shared" si="9"/>
        <v>34</v>
      </c>
      <c r="V102" s="7">
        <v>32417</v>
      </c>
      <c r="W102" t="s">
        <v>52</v>
      </c>
      <c r="X102" s="2">
        <v>0.14099999999999999</v>
      </c>
      <c r="Y102" s="6">
        <f t="shared" si="10"/>
        <v>3.7639144710498915E-3</v>
      </c>
      <c r="AA102">
        <v>402508</v>
      </c>
      <c r="AB102">
        <v>20868</v>
      </c>
      <c r="AD102" t="s">
        <v>1</v>
      </c>
      <c r="AE102">
        <v>43</v>
      </c>
      <c r="AF102">
        <v>10</v>
      </c>
      <c r="AH102" t="s">
        <v>1051</v>
      </c>
      <c r="AI102" t="s">
        <v>1050</v>
      </c>
      <c r="AK102" t="s">
        <v>1049</v>
      </c>
      <c r="AL102">
        <v>0</v>
      </c>
      <c r="AM102" s="5">
        <f t="shared" si="11"/>
        <v>0</v>
      </c>
      <c r="AN102" s="4">
        <f t="shared" si="12"/>
        <v>0</v>
      </c>
      <c r="AO102" s="3"/>
      <c r="AP102">
        <v>0</v>
      </c>
      <c r="AR102" t="s">
        <v>0</v>
      </c>
      <c r="AT102" s="2" t="s">
        <v>5</v>
      </c>
      <c r="AU102" s="1">
        <f t="shared" si="13"/>
        <v>0.26347401297349238</v>
      </c>
      <c r="AV102" s="1">
        <f t="shared" si="14"/>
        <v>0.18819572355249459</v>
      </c>
      <c r="AW102" s="1">
        <f t="shared" si="15"/>
        <v>0.11291743413149673</v>
      </c>
    </row>
    <row r="103" spans="1:49" x14ac:dyDescent="0.2">
      <c r="A103">
        <v>101</v>
      </c>
      <c r="B103" t="s">
        <v>1048</v>
      </c>
      <c r="F103" t="s">
        <v>1047</v>
      </c>
      <c r="G103" t="s">
        <v>4</v>
      </c>
      <c r="H103" t="s">
        <v>3</v>
      </c>
      <c r="I103" t="s">
        <v>1046</v>
      </c>
      <c r="N103">
        <v>2</v>
      </c>
      <c r="O103" t="s">
        <v>1045</v>
      </c>
      <c r="P103" t="s">
        <v>1044</v>
      </c>
      <c r="Q103" t="s">
        <v>42</v>
      </c>
      <c r="R103" s="7">
        <v>32417</v>
      </c>
      <c r="S103" s="8">
        <f t="shared" si="8"/>
        <v>1988</v>
      </c>
      <c r="T103" s="8">
        <v>1988</v>
      </c>
      <c r="U103" s="8">
        <f t="shared" si="9"/>
        <v>34</v>
      </c>
      <c r="V103" s="7">
        <v>32417</v>
      </c>
      <c r="W103" t="s">
        <v>52</v>
      </c>
      <c r="X103" s="2">
        <v>0.14099999999999999</v>
      </c>
      <c r="Y103" s="6">
        <f t="shared" si="10"/>
        <v>3.7639144710498915E-3</v>
      </c>
      <c r="AA103">
        <v>402508</v>
      </c>
      <c r="AB103">
        <v>20868</v>
      </c>
      <c r="AD103" t="s">
        <v>1</v>
      </c>
      <c r="AE103">
        <v>43</v>
      </c>
      <c r="AF103">
        <v>10</v>
      </c>
      <c r="AH103" t="s">
        <v>1043</v>
      </c>
      <c r="AI103" t="s">
        <v>1042</v>
      </c>
      <c r="AK103" t="s">
        <v>1041</v>
      </c>
      <c r="AL103">
        <v>0</v>
      </c>
      <c r="AM103" s="5">
        <f t="shared" si="11"/>
        <v>0</v>
      </c>
      <c r="AN103" s="4">
        <f t="shared" si="12"/>
        <v>0</v>
      </c>
      <c r="AO103" s="3"/>
      <c r="AP103">
        <v>0</v>
      </c>
      <c r="AR103" t="s">
        <v>0</v>
      </c>
      <c r="AT103" s="2" t="s">
        <v>5</v>
      </c>
      <c r="AU103" s="1">
        <f t="shared" si="13"/>
        <v>0.26347401297349238</v>
      </c>
      <c r="AV103" s="1">
        <f t="shared" si="14"/>
        <v>0.18819572355249459</v>
      </c>
      <c r="AW103" s="1">
        <f t="shared" si="15"/>
        <v>0.11291743413149673</v>
      </c>
    </row>
    <row r="104" spans="1:49" x14ac:dyDescent="0.2">
      <c r="A104">
        <v>102</v>
      </c>
      <c r="B104" t="s">
        <v>1040</v>
      </c>
      <c r="F104" t="s">
        <v>1039</v>
      </c>
      <c r="G104" t="s">
        <v>4</v>
      </c>
      <c r="H104" t="s">
        <v>3</v>
      </c>
      <c r="I104" t="s">
        <v>1038</v>
      </c>
      <c r="N104">
        <v>1</v>
      </c>
      <c r="O104" t="s">
        <v>1037</v>
      </c>
      <c r="P104">
        <v>7005792907</v>
      </c>
      <c r="R104" s="7">
        <v>32417</v>
      </c>
      <c r="S104" s="8">
        <f t="shared" si="8"/>
        <v>1988</v>
      </c>
      <c r="T104" s="8">
        <v>1988</v>
      </c>
      <c r="U104" s="8">
        <f t="shared" si="9"/>
        <v>34</v>
      </c>
      <c r="V104" s="7">
        <v>32417</v>
      </c>
      <c r="W104" t="s">
        <v>52</v>
      </c>
      <c r="X104" s="2">
        <v>0.14099999999999999</v>
      </c>
      <c r="Y104" s="6">
        <f t="shared" si="10"/>
        <v>3.7639144710498915E-3</v>
      </c>
      <c r="AA104">
        <v>402508</v>
      </c>
      <c r="AB104">
        <v>20868</v>
      </c>
      <c r="AD104" t="s">
        <v>1</v>
      </c>
      <c r="AE104">
        <v>43</v>
      </c>
      <c r="AF104">
        <v>10</v>
      </c>
      <c r="AH104" t="s">
        <v>1036</v>
      </c>
      <c r="AI104" t="s">
        <v>1035</v>
      </c>
      <c r="AK104" t="s">
        <v>1034</v>
      </c>
      <c r="AL104">
        <v>0</v>
      </c>
      <c r="AM104" s="5">
        <f t="shared" si="11"/>
        <v>0</v>
      </c>
      <c r="AN104" s="4">
        <f t="shared" si="12"/>
        <v>0</v>
      </c>
      <c r="AO104" s="3"/>
      <c r="AP104">
        <v>0</v>
      </c>
      <c r="AR104" t="s">
        <v>0</v>
      </c>
      <c r="AT104" s="2" t="s">
        <v>5</v>
      </c>
      <c r="AU104" s="1">
        <f t="shared" si="13"/>
        <v>0.26347401297349238</v>
      </c>
      <c r="AV104" s="1">
        <f t="shared" si="14"/>
        <v>0.18819572355249459</v>
      </c>
      <c r="AW104" s="1">
        <f t="shared" si="15"/>
        <v>0.11291743413149673</v>
      </c>
    </row>
    <row r="105" spans="1:49" x14ac:dyDescent="0.2">
      <c r="A105">
        <v>103</v>
      </c>
      <c r="B105" t="s">
        <v>1033</v>
      </c>
      <c r="F105" t="s">
        <v>1032</v>
      </c>
      <c r="G105" t="s">
        <v>4</v>
      </c>
      <c r="H105" t="s">
        <v>3</v>
      </c>
      <c r="I105" t="s">
        <v>454</v>
      </c>
      <c r="N105">
        <v>3</v>
      </c>
      <c r="O105" t="s">
        <v>1031</v>
      </c>
      <c r="P105" t="s">
        <v>1030</v>
      </c>
      <c r="Q105" t="s">
        <v>44</v>
      </c>
      <c r="R105" s="7">
        <v>32417</v>
      </c>
      <c r="S105" s="8">
        <f t="shared" si="8"/>
        <v>1988</v>
      </c>
      <c r="T105" s="8">
        <v>1988</v>
      </c>
      <c r="U105" s="8">
        <f t="shared" si="9"/>
        <v>34</v>
      </c>
      <c r="V105" s="7">
        <v>32417</v>
      </c>
      <c r="W105" t="s">
        <v>52</v>
      </c>
      <c r="X105" s="2">
        <v>0.14099999999999999</v>
      </c>
      <c r="Y105" s="6">
        <f t="shared" si="10"/>
        <v>3.7639144710498915E-3</v>
      </c>
      <c r="AA105">
        <v>402508</v>
      </c>
      <c r="AB105">
        <v>20868</v>
      </c>
      <c r="AD105" t="s">
        <v>1</v>
      </c>
      <c r="AE105">
        <v>43</v>
      </c>
      <c r="AF105">
        <v>10</v>
      </c>
      <c r="AH105" t="s">
        <v>1029</v>
      </c>
      <c r="AI105" t="s">
        <v>1028</v>
      </c>
      <c r="AK105" t="s">
        <v>1027</v>
      </c>
      <c r="AL105">
        <v>0</v>
      </c>
      <c r="AM105" s="5">
        <f t="shared" si="11"/>
        <v>0</v>
      </c>
      <c r="AN105" s="4">
        <f t="shared" si="12"/>
        <v>0</v>
      </c>
      <c r="AO105" s="3"/>
      <c r="AP105">
        <v>0</v>
      </c>
      <c r="AR105" t="s">
        <v>0</v>
      </c>
      <c r="AT105" s="2" t="s">
        <v>5</v>
      </c>
      <c r="AU105" s="1">
        <f t="shared" si="13"/>
        <v>0.26347401297349238</v>
      </c>
      <c r="AV105" s="1">
        <f t="shared" si="14"/>
        <v>0.18819572355249459</v>
      </c>
      <c r="AW105" s="1">
        <f t="shared" si="15"/>
        <v>0.11291743413149673</v>
      </c>
    </row>
    <row r="106" spans="1:49" x14ac:dyDescent="0.2">
      <c r="A106">
        <v>104</v>
      </c>
      <c r="B106" t="s">
        <v>1026</v>
      </c>
      <c r="F106" t="s">
        <v>1025</v>
      </c>
      <c r="G106" t="s">
        <v>4</v>
      </c>
      <c r="H106" t="s">
        <v>3</v>
      </c>
      <c r="I106" t="s">
        <v>1024</v>
      </c>
      <c r="N106">
        <v>1</v>
      </c>
      <c r="O106" t="s">
        <v>1023</v>
      </c>
      <c r="P106">
        <v>7005521573</v>
      </c>
      <c r="R106" s="7">
        <v>32417</v>
      </c>
      <c r="S106" s="8">
        <f t="shared" si="8"/>
        <v>1988</v>
      </c>
      <c r="T106" s="8">
        <v>1988</v>
      </c>
      <c r="U106" s="8">
        <f t="shared" si="9"/>
        <v>34</v>
      </c>
      <c r="V106" s="7">
        <v>32417</v>
      </c>
      <c r="W106" t="s">
        <v>52</v>
      </c>
      <c r="X106" s="2">
        <v>0.14099999999999999</v>
      </c>
      <c r="Y106" s="6">
        <f t="shared" si="10"/>
        <v>3.7639144710498915E-3</v>
      </c>
      <c r="AA106">
        <v>402508</v>
      </c>
      <c r="AB106">
        <v>20868</v>
      </c>
      <c r="AD106" t="s">
        <v>1</v>
      </c>
      <c r="AE106">
        <v>43</v>
      </c>
      <c r="AF106">
        <v>10</v>
      </c>
      <c r="AH106" s="10">
        <v>41821</v>
      </c>
      <c r="AI106" t="s">
        <v>1022</v>
      </c>
      <c r="AK106" t="s">
        <v>1021</v>
      </c>
      <c r="AL106">
        <v>0</v>
      </c>
      <c r="AM106" s="5">
        <f t="shared" si="11"/>
        <v>0</v>
      </c>
      <c r="AN106" s="4">
        <f t="shared" si="12"/>
        <v>0</v>
      </c>
      <c r="AO106" s="3"/>
      <c r="AP106">
        <v>0</v>
      </c>
      <c r="AR106" t="s">
        <v>0</v>
      </c>
      <c r="AT106" s="2" t="s">
        <v>5</v>
      </c>
      <c r="AU106" s="1">
        <f t="shared" si="13"/>
        <v>0.26347401297349238</v>
      </c>
      <c r="AV106" s="1">
        <f t="shared" si="14"/>
        <v>0.18819572355249459</v>
      </c>
      <c r="AW106" s="1">
        <f t="shared" si="15"/>
        <v>0.11291743413149673</v>
      </c>
    </row>
    <row r="107" spans="1:49" x14ac:dyDescent="0.2">
      <c r="A107">
        <v>105</v>
      </c>
      <c r="B107" t="s">
        <v>1020</v>
      </c>
      <c r="F107" t="s">
        <v>1019</v>
      </c>
      <c r="G107" t="s">
        <v>4</v>
      </c>
      <c r="H107" t="s">
        <v>3</v>
      </c>
      <c r="I107" t="s">
        <v>187</v>
      </c>
      <c r="N107">
        <v>2</v>
      </c>
      <c r="O107" t="s">
        <v>1018</v>
      </c>
      <c r="P107" t="s">
        <v>1017</v>
      </c>
      <c r="Q107" t="s">
        <v>42</v>
      </c>
      <c r="R107" s="7">
        <v>32417</v>
      </c>
      <c r="S107" s="8">
        <f t="shared" si="8"/>
        <v>1988</v>
      </c>
      <c r="T107" s="8">
        <v>1988</v>
      </c>
      <c r="U107" s="8">
        <f t="shared" si="9"/>
        <v>34</v>
      </c>
      <c r="V107" s="7">
        <v>32417</v>
      </c>
      <c r="W107" t="s">
        <v>52</v>
      </c>
      <c r="X107" s="2">
        <v>0.14099999999999999</v>
      </c>
      <c r="Y107" s="6">
        <f t="shared" si="10"/>
        <v>3.7639144710498915E-3</v>
      </c>
      <c r="AA107">
        <v>402508</v>
      </c>
      <c r="AB107">
        <v>20868</v>
      </c>
      <c r="AD107" t="s">
        <v>1</v>
      </c>
      <c r="AE107">
        <v>43</v>
      </c>
      <c r="AF107">
        <v>10</v>
      </c>
      <c r="AH107" t="s">
        <v>1016</v>
      </c>
      <c r="AI107" t="s">
        <v>1015</v>
      </c>
      <c r="AK107" t="s">
        <v>1014</v>
      </c>
      <c r="AL107">
        <v>0</v>
      </c>
      <c r="AM107" s="5">
        <f t="shared" si="11"/>
        <v>0</v>
      </c>
      <c r="AN107" s="4">
        <f t="shared" si="12"/>
        <v>0</v>
      </c>
      <c r="AO107" s="3"/>
      <c r="AP107">
        <v>0</v>
      </c>
      <c r="AR107" t="s">
        <v>0</v>
      </c>
      <c r="AT107" s="2" t="s">
        <v>5</v>
      </c>
      <c r="AU107" s="1">
        <f t="shared" si="13"/>
        <v>0.26347401297349238</v>
      </c>
      <c r="AV107" s="1">
        <f t="shared" si="14"/>
        <v>0.18819572355249459</v>
      </c>
      <c r="AW107" s="1">
        <f t="shared" si="15"/>
        <v>0.11291743413149673</v>
      </c>
    </row>
    <row r="108" spans="1:49" x14ac:dyDescent="0.2">
      <c r="A108">
        <v>106</v>
      </c>
      <c r="B108" t="s">
        <v>1013</v>
      </c>
      <c r="F108" t="s">
        <v>1012</v>
      </c>
      <c r="G108" t="s">
        <v>4</v>
      </c>
      <c r="H108" t="s">
        <v>3</v>
      </c>
      <c r="I108" t="s">
        <v>1011</v>
      </c>
      <c r="J108">
        <v>60031028</v>
      </c>
      <c r="K108" t="s">
        <v>1010</v>
      </c>
      <c r="L108" t="s">
        <v>81</v>
      </c>
      <c r="M108" t="s">
        <v>56</v>
      </c>
      <c r="N108">
        <v>1</v>
      </c>
      <c r="O108" t="s">
        <v>1009</v>
      </c>
      <c r="P108">
        <v>7005764180</v>
      </c>
      <c r="Q108">
        <v>60031028</v>
      </c>
      <c r="R108" s="7">
        <v>32417</v>
      </c>
      <c r="S108" s="8">
        <f t="shared" si="8"/>
        <v>1988</v>
      </c>
      <c r="T108" s="8">
        <v>1988</v>
      </c>
      <c r="U108" s="8">
        <f t="shared" si="9"/>
        <v>34</v>
      </c>
      <c r="V108" s="7">
        <v>32417</v>
      </c>
      <c r="W108" t="s">
        <v>1008</v>
      </c>
      <c r="X108" s="2" t="s">
        <v>5</v>
      </c>
      <c r="Y108" s="6" t="e">
        <f t="shared" si="10"/>
        <v>#VALUE!</v>
      </c>
      <c r="AA108" t="s">
        <v>1007</v>
      </c>
      <c r="AB108">
        <v>77883</v>
      </c>
      <c r="AD108" t="s">
        <v>1</v>
      </c>
      <c r="AE108" t="s">
        <v>1006</v>
      </c>
      <c r="AH108" t="s">
        <v>1005</v>
      </c>
      <c r="AI108" t="s">
        <v>1004</v>
      </c>
      <c r="AK108" t="s">
        <v>1003</v>
      </c>
      <c r="AL108">
        <v>0</v>
      </c>
      <c r="AM108" s="5">
        <f t="shared" si="11"/>
        <v>0</v>
      </c>
      <c r="AN108" s="4">
        <f t="shared" si="12"/>
        <v>0</v>
      </c>
      <c r="AO108" s="3"/>
      <c r="AP108">
        <v>0</v>
      </c>
      <c r="AR108" t="s">
        <v>0</v>
      </c>
      <c r="AT108" s="2" t="s">
        <v>5</v>
      </c>
      <c r="AU108" s="1" t="e">
        <f t="shared" si="13"/>
        <v>#VALUE!</v>
      </c>
      <c r="AV108" s="1" t="e">
        <f t="shared" si="14"/>
        <v>#VALUE!</v>
      </c>
      <c r="AW108" s="1" t="e">
        <f t="shared" si="15"/>
        <v>#VALUE!</v>
      </c>
    </row>
    <row r="109" spans="1:49" x14ac:dyDescent="0.2">
      <c r="A109">
        <v>107</v>
      </c>
      <c r="B109" t="s">
        <v>1002</v>
      </c>
      <c r="C109" t="s">
        <v>1001</v>
      </c>
      <c r="F109" t="s">
        <v>1000</v>
      </c>
      <c r="G109" t="s">
        <v>4</v>
      </c>
      <c r="H109" t="s">
        <v>3</v>
      </c>
      <c r="I109" t="s">
        <v>999</v>
      </c>
      <c r="J109">
        <v>60022109</v>
      </c>
      <c r="K109" t="s">
        <v>82</v>
      </c>
      <c r="L109" t="s">
        <v>81</v>
      </c>
      <c r="M109" t="s">
        <v>56</v>
      </c>
      <c r="N109">
        <v>3</v>
      </c>
      <c r="O109" t="s">
        <v>998</v>
      </c>
      <c r="P109" t="s">
        <v>997</v>
      </c>
      <c r="Q109" t="s">
        <v>103</v>
      </c>
      <c r="R109" s="7">
        <v>32417</v>
      </c>
      <c r="S109" s="8">
        <f t="shared" si="8"/>
        <v>1988</v>
      </c>
      <c r="T109" s="8">
        <v>1988</v>
      </c>
      <c r="U109" s="8">
        <f t="shared" si="9"/>
        <v>34</v>
      </c>
      <c r="V109" s="7">
        <v>32417</v>
      </c>
      <c r="W109" t="s">
        <v>179</v>
      </c>
      <c r="X109" s="2">
        <v>0.61499999999999999</v>
      </c>
      <c r="Y109" s="6">
        <f t="shared" si="10"/>
        <v>1.6417073756706976E-2</v>
      </c>
      <c r="AA109">
        <v>1959271</v>
      </c>
      <c r="AB109">
        <v>12141</v>
      </c>
      <c r="AC109">
        <v>15729559</v>
      </c>
      <c r="AD109" t="s">
        <v>1</v>
      </c>
      <c r="AE109">
        <v>9</v>
      </c>
      <c r="AF109">
        <v>10</v>
      </c>
      <c r="AH109" t="s">
        <v>996</v>
      </c>
      <c r="AI109" t="s">
        <v>995</v>
      </c>
      <c r="AK109" t="s">
        <v>994</v>
      </c>
      <c r="AL109">
        <v>1</v>
      </c>
      <c r="AM109" s="5">
        <f t="shared" si="11"/>
        <v>2.9411764705882353E-2</v>
      </c>
      <c r="AN109" s="4">
        <f t="shared" si="12"/>
        <v>4.4546406218678307E-5</v>
      </c>
      <c r="AO109" s="3"/>
      <c r="AP109">
        <v>0</v>
      </c>
      <c r="AR109" t="s">
        <v>0</v>
      </c>
      <c r="AT109" s="2" t="s">
        <v>5</v>
      </c>
      <c r="AU109" s="1">
        <f t="shared" si="13"/>
        <v>1.1505315551560484</v>
      </c>
      <c r="AV109" s="1">
        <f t="shared" si="14"/>
        <v>0.82308100814628271</v>
      </c>
      <c r="AW109" s="1">
        <f t="shared" si="15"/>
        <v>0.49563046113651665</v>
      </c>
    </row>
    <row r="110" spans="1:49" x14ac:dyDescent="0.2">
      <c r="A110">
        <v>108</v>
      </c>
      <c r="B110" t="s">
        <v>993</v>
      </c>
      <c r="F110" t="s">
        <v>992</v>
      </c>
      <c r="G110" t="s">
        <v>4</v>
      </c>
      <c r="H110" t="s">
        <v>3</v>
      </c>
      <c r="I110" t="s">
        <v>991</v>
      </c>
      <c r="J110">
        <v>60013183</v>
      </c>
      <c r="K110" t="s">
        <v>990</v>
      </c>
      <c r="L110" t="s">
        <v>989</v>
      </c>
      <c r="M110" t="s">
        <v>988</v>
      </c>
      <c r="N110">
        <v>3</v>
      </c>
      <c r="O110" t="s">
        <v>987</v>
      </c>
      <c r="P110" t="s">
        <v>986</v>
      </c>
      <c r="Q110" t="s">
        <v>985</v>
      </c>
      <c r="R110" s="7">
        <v>32417</v>
      </c>
      <c r="S110" s="8">
        <f t="shared" si="8"/>
        <v>1988</v>
      </c>
      <c r="T110" s="8">
        <v>1988</v>
      </c>
      <c r="U110" s="8">
        <f t="shared" si="9"/>
        <v>34</v>
      </c>
      <c r="V110" s="7">
        <v>32417</v>
      </c>
      <c r="W110" t="s">
        <v>16</v>
      </c>
      <c r="X110" s="2">
        <v>1.6519999999999999</v>
      </c>
      <c r="Y110" s="6">
        <f t="shared" si="10"/>
        <v>4.409919649769093E-2</v>
      </c>
      <c r="AA110" t="s">
        <v>15</v>
      </c>
      <c r="AB110">
        <v>17337</v>
      </c>
      <c r="AD110" t="s">
        <v>1</v>
      </c>
      <c r="AE110">
        <v>36</v>
      </c>
      <c r="AF110">
        <v>10</v>
      </c>
      <c r="AH110" t="s">
        <v>984</v>
      </c>
      <c r="AI110" t="s">
        <v>983</v>
      </c>
      <c r="AK110" t="s">
        <v>982</v>
      </c>
      <c r="AL110">
        <v>12</v>
      </c>
      <c r="AM110" s="5">
        <f t="shared" si="11"/>
        <v>0.35294117647058826</v>
      </c>
      <c r="AN110" s="4">
        <f t="shared" si="12"/>
        <v>5.3455687462413976E-4</v>
      </c>
      <c r="AO110" s="3"/>
      <c r="AP110">
        <v>0</v>
      </c>
      <c r="AR110" t="s">
        <v>0</v>
      </c>
      <c r="AT110" s="2" t="s">
        <v>5</v>
      </c>
      <c r="AU110" s="1">
        <f t="shared" si="13"/>
        <v>3.1029804610770895</v>
      </c>
      <c r="AV110" s="1">
        <f t="shared" si="14"/>
        <v>2.2316876686157539</v>
      </c>
      <c r="AW110" s="1">
        <f t="shared" si="15"/>
        <v>1.3603948761544176</v>
      </c>
    </row>
    <row r="111" spans="1:49" x14ac:dyDescent="0.2">
      <c r="A111">
        <v>109</v>
      </c>
      <c r="B111" t="s">
        <v>981</v>
      </c>
      <c r="C111" t="s">
        <v>980</v>
      </c>
      <c r="F111" t="s">
        <v>979</v>
      </c>
      <c r="G111" t="s">
        <v>4</v>
      </c>
      <c r="H111" t="s">
        <v>3</v>
      </c>
      <c r="I111" t="s">
        <v>978</v>
      </c>
      <c r="J111" t="s">
        <v>973</v>
      </c>
      <c r="K111" t="s">
        <v>977</v>
      </c>
      <c r="L111" t="s">
        <v>976</v>
      </c>
      <c r="M111" t="s">
        <v>65</v>
      </c>
      <c r="N111">
        <v>2</v>
      </c>
      <c r="O111" t="s">
        <v>975</v>
      </c>
      <c r="P111" t="s">
        <v>974</v>
      </c>
      <c r="Q111" t="s">
        <v>973</v>
      </c>
      <c r="R111" s="7">
        <v>32417</v>
      </c>
      <c r="S111" s="8">
        <f t="shared" si="8"/>
        <v>1988</v>
      </c>
      <c r="T111" s="8">
        <v>1988</v>
      </c>
      <c r="U111" s="8">
        <f t="shared" si="9"/>
        <v>34</v>
      </c>
      <c r="V111" s="7">
        <v>32417</v>
      </c>
      <c r="W111" t="s">
        <v>208</v>
      </c>
      <c r="X111" s="2">
        <v>0.84299999999999997</v>
      </c>
      <c r="Y111" s="6">
        <f t="shared" si="10"/>
        <v>2.250340353968127E-2</v>
      </c>
      <c r="AA111">
        <v>188158</v>
      </c>
      <c r="AB111">
        <v>15168</v>
      </c>
      <c r="AC111">
        <v>15735117</v>
      </c>
      <c r="AD111" t="s">
        <v>1</v>
      </c>
      <c r="AE111" t="s">
        <v>972</v>
      </c>
      <c r="AF111">
        <v>1</v>
      </c>
      <c r="AH111" t="s">
        <v>100</v>
      </c>
      <c r="AI111" t="s">
        <v>971</v>
      </c>
      <c r="AJ111" t="s">
        <v>970</v>
      </c>
      <c r="AK111" t="s">
        <v>969</v>
      </c>
      <c r="AL111">
        <v>12</v>
      </c>
      <c r="AM111" s="5">
        <f t="shared" si="11"/>
        <v>0.35294117647058826</v>
      </c>
      <c r="AN111" s="4">
        <f t="shared" si="12"/>
        <v>5.3455687462413976E-4</v>
      </c>
      <c r="AO111" s="3"/>
      <c r="AP111">
        <v>0</v>
      </c>
      <c r="AR111" t="s">
        <v>0</v>
      </c>
      <c r="AT111" s="2">
        <v>2.694</v>
      </c>
      <c r="AU111" s="1">
        <f t="shared" si="13"/>
        <v>1.5912749540164133</v>
      </c>
      <c r="AV111" s="1">
        <f t="shared" si="14"/>
        <v>1.1518980207152705</v>
      </c>
      <c r="AW111" s="1">
        <f t="shared" si="15"/>
        <v>0.7125210874141279</v>
      </c>
    </row>
    <row r="112" spans="1:49" x14ac:dyDescent="0.2">
      <c r="A112">
        <v>110</v>
      </c>
      <c r="B112" t="s">
        <v>968</v>
      </c>
      <c r="C112" t="s">
        <v>967</v>
      </c>
      <c r="D112">
        <v>22283688900022</v>
      </c>
      <c r="E112">
        <v>2974085</v>
      </c>
      <c r="F112" t="s">
        <v>966</v>
      </c>
      <c r="G112" t="s">
        <v>4</v>
      </c>
      <c r="H112" t="s">
        <v>3</v>
      </c>
      <c r="I112" t="s">
        <v>965</v>
      </c>
      <c r="J112" t="s">
        <v>964</v>
      </c>
      <c r="K112" t="s">
        <v>963</v>
      </c>
      <c r="L112" t="s">
        <v>962</v>
      </c>
      <c r="M112" t="s">
        <v>31</v>
      </c>
      <c r="N112">
        <v>10</v>
      </c>
      <c r="O112" t="s">
        <v>961</v>
      </c>
      <c r="P112" t="s">
        <v>960</v>
      </c>
      <c r="Q112" t="s">
        <v>959</v>
      </c>
      <c r="R112" s="7">
        <v>32406</v>
      </c>
      <c r="S112" s="8">
        <f t="shared" si="8"/>
        <v>1988</v>
      </c>
      <c r="T112" s="8">
        <v>1988</v>
      </c>
      <c r="U112" s="8">
        <f t="shared" si="9"/>
        <v>34</v>
      </c>
      <c r="V112" s="7">
        <v>32406</v>
      </c>
      <c r="W112" t="s">
        <v>582</v>
      </c>
      <c r="X112" s="2">
        <v>3.1890000000000001</v>
      </c>
      <c r="Y112" s="6">
        <f t="shared" si="10"/>
        <v>8.5128533675022031E-2</v>
      </c>
      <c r="AA112">
        <v>222836</v>
      </c>
      <c r="AB112">
        <v>17618</v>
      </c>
      <c r="AD112" t="s">
        <v>1</v>
      </c>
      <c r="AE112">
        <v>203</v>
      </c>
      <c r="AF112">
        <v>2</v>
      </c>
      <c r="AH112" t="s">
        <v>958</v>
      </c>
      <c r="AI112" t="s">
        <v>957</v>
      </c>
      <c r="AK112" t="s">
        <v>956</v>
      </c>
      <c r="AL112">
        <v>61</v>
      </c>
      <c r="AM112" s="5">
        <f t="shared" si="11"/>
        <v>1.7941176470588236</v>
      </c>
      <c r="AN112" s="4">
        <f t="shared" si="12"/>
        <v>2.7173307793393769E-3</v>
      </c>
      <c r="AO112" s="3"/>
      <c r="AP112">
        <v>0</v>
      </c>
      <c r="AQ112" t="s">
        <v>955</v>
      </c>
      <c r="AR112" t="s">
        <v>0</v>
      </c>
      <c r="AS112" t="s">
        <v>954</v>
      </c>
      <c r="AT112" s="2">
        <v>5.4690000000000003</v>
      </c>
      <c r="AU112" s="1">
        <f t="shared" si="13"/>
        <v>6.0405172806317227</v>
      </c>
      <c r="AV112" s="1">
        <f t="shared" si="14"/>
        <v>4.3922932227180702</v>
      </c>
      <c r="AW112" s="1">
        <f t="shared" si="15"/>
        <v>2.7440691648044173</v>
      </c>
    </row>
    <row r="113" spans="1:49" x14ac:dyDescent="0.2">
      <c r="A113">
        <v>111</v>
      </c>
      <c r="B113" t="s">
        <v>953</v>
      </c>
      <c r="C113" t="s">
        <v>952</v>
      </c>
      <c r="D113">
        <v>22283688900010</v>
      </c>
      <c r="E113">
        <v>2462054</v>
      </c>
      <c r="F113" t="s">
        <v>951</v>
      </c>
      <c r="G113" t="s">
        <v>4</v>
      </c>
      <c r="H113" t="s">
        <v>3</v>
      </c>
      <c r="I113" t="s">
        <v>950</v>
      </c>
      <c r="J113">
        <v>60011001</v>
      </c>
      <c r="K113" t="s">
        <v>64</v>
      </c>
      <c r="L113" t="s">
        <v>63</v>
      </c>
      <c r="M113" t="s">
        <v>24</v>
      </c>
      <c r="N113">
        <v>12</v>
      </c>
      <c r="O113" t="s">
        <v>949</v>
      </c>
      <c r="P113" t="s">
        <v>948</v>
      </c>
      <c r="Q113" t="s">
        <v>947</v>
      </c>
      <c r="R113" s="7">
        <v>32406</v>
      </c>
      <c r="S113" s="8">
        <f t="shared" si="8"/>
        <v>1988</v>
      </c>
      <c r="T113" s="8">
        <v>1988</v>
      </c>
      <c r="U113" s="8">
        <f t="shared" si="9"/>
        <v>34</v>
      </c>
      <c r="V113" s="7">
        <v>32406</v>
      </c>
      <c r="W113" t="s">
        <v>582</v>
      </c>
      <c r="X113" s="2">
        <v>3.1890000000000001</v>
      </c>
      <c r="Y113" s="6">
        <f t="shared" si="10"/>
        <v>8.5128533675022031E-2</v>
      </c>
      <c r="AA113">
        <v>222836</v>
      </c>
      <c r="AB113">
        <v>17618</v>
      </c>
      <c r="AD113" t="s">
        <v>1</v>
      </c>
      <c r="AE113">
        <v>203</v>
      </c>
      <c r="AF113">
        <v>2</v>
      </c>
      <c r="AH113" t="s">
        <v>946</v>
      </c>
      <c r="AI113" t="s">
        <v>945</v>
      </c>
      <c r="AK113" t="s">
        <v>944</v>
      </c>
      <c r="AL113">
        <v>90</v>
      </c>
      <c r="AM113" s="5">
        <f t="shared" si="11"/>
        <v>2.6470588235294117</v>
      </c>
      <c r="AN113" s="4">
        <f t="shared" si="12"/>
        <v>4.0091765596810477E-3</v>
      </c>
      <c r="AO113" s="3"/>
      <c r="AP113">
        <v>0</v>
      </c>
      <c r="AQ113" t="s">
        <v>943</v>
      </c>
      <c r="AR113" t="s">
        <v>0</v>
      </c>
      <c r="AS113" t="s">
        <v>942</v>
      </c>
      <c r="AT113" s="2">
        <v>5.4690000000000003</v>
      </c>
      <c r="AU113" s="1">
        <f t="shared" si="13"/>
        <v>6.079272654041973</v>
      </c>
      <c r="AV113" s="1">
        <f t="shared" si="14"/>
        <v>4.4568855117351536</v>
      </c>
      <c r="AW113" s="1">
        <f t="shared" si="15"/>
        <v>2.8344983694283341</v>
      </c>
    </row>
    <row r="114" spans="1:49" x14ac:dyDescent="0.2">
      <c r="A114">
        <v>112</v>
      </c>
      <c r="B114" t="s">
        <v>941</v>
      </c>
      <c r="C114" t="s">
        <v>940</v>
      </c>
      <c r="D114">
        <v>22098188902511</v>
      </c>
      <c r="F114" t="s">
        <v>939</v>
      </c>
      <c r="G114" t="s">
        <v>4</v>
      </c>
      <c r="H114" t="s">
        <v>3</v>
      </c>
      <c r="I114" t="s">
        <v>938</v>
      </c>
      <c r="J114" t="s">
        <v>937</v>
      </c>
      <c r="K114" t="s">
        <v>936</v>
      </c>
      <c r="L114" t="s">
        <v>935</v>
      </c>
      <c r="M114" t="s">
        <v>153</v>
      </c>
      <c r="N114">
        <v>2</v>
      </c>
      <c r="O114" t="s">
        <v>934</v>
      </c>
      <c r="P114" t="s">
        <v>933</v>
      </c>
      <c r="Q114" t="s">
        <v>932</v>
      </c>
      <c r="R114" s="7">
        <v>32401</v>
      </c>
      <c r="S114" s="8">
        <f t="shared" si="8"/>
        <v>1988</v>
      </c>
      <c r="T114" s="8">
        <v>1988</v>
      </c>
      <c r="U114" s="8">
        <f t="shared" si="9"/>
        <v>34</v>
      </c>
      <c r="V114" s="7">
        <v>32401</v>
      </c>
      <c r="W114" t="s">
        <v>181</v>
      </c>
      <c r="X114" s="2">
        <v>0.96499999999999997</v>
      </c>
      <c r="Y114" s="6">
        <f t="shared" si="10"/>
        <v>2.5760123862149969E-2</v>
      </c>
      <c r="AA114">
        <v>220981</v>
      </c>
      <c r="AB114">
        <v>29606</v>
      </c>
      <c r="AD114" t="s">
        <v>1</v>
      </c>
      <c r="AE114">
        <v>121</v>
      </c>
      <c r="AF114">
        <v>2</v>
      </c>
      <c r="AH114" t="s">
        <v>931</v>
      </c>
      <c r="AI114" t="s">
        <v>930</v>
      </c>
      <c r="AJ114" t="s">
        <v>929</v>
      </c>
      <c r="AK114" t="s">
        <v>928</v>
      </c>
      <c r="AL114">
        <v>39</v>
      </c>
      <c r="AM114" s="5">
        <f t="shared" si="11"/>
        <v>1.1470588235294117</v>
      </c>
      <c r="AN114" s="4">
        <f t="shared" si="12"/>
        <v>1.7373098425284539E-3</v>
      </c>
      <c r="AO114" s="3"/>
      <c r="AP114">
        <v>0</v>
      </c>
      <c r="AR114" t="s">
        <v>0</v>
      </c>
      <c r="AT114" s="2" t="s">
        <v>5</v>
      </c>
      <c r="AU114" s="1">
        <f t="shared" si="13"/>
        <v>1.855327965626351</v>
      </c>
      <c r="AV114" s="1">
        <f t="shared" si="14"/>
        <v>1.3748716852339211</v>
      </c>
      <c r="AW114" s="1">
        <f t="shared" si="15"/>
        <v>0.89441540484149085</v>
      </c>
    </row>
    <row r="115" spans="1:49" x14ac:dyDescent="0.2">
      <c r="A115">
        <v>113</v>
      </c>
      <c r="B115" t="s">
        <v>927</v>
      </c>
      <c r="C115" t="s">
        <v>926</v>
      </c>
      <c r="D115">
        <v>5272888902113</v>
      </c>
      <c r="E115">
        <v>3137971</v>
      </c>
      <c r="F115" t="s">
        <v>925</v>
      </c>
      <c r="G115" t="s">
        <v>4</v>
      </c>
      <c r="H115" t="s">
        <v>3</v>
      </c>
      <c r="I115" t="s">
        <v>924</v>
      </c>
      <c r="J115">
        <v>60006173</v>
      </c>
      <c r="K115" t="s">
        <v>923</v>
      </c>
      <c r="L115" t="s">
        <v>155</v>
      </c>
      <c r="M115" t="s">
        <v>10</v>
      </c>
      <c r="N115">
        <v>2</v>
      </c>
      <c r="O115" t="s">
        <v>922</v>
      </c>
      <c r="P115" t="s">
        <v>921</v>
      </c>
      <c r="Q115" t="s">
        <v>920</v>
      </c>
      <c r="R115" s="7">
        <v>32400</v>
      </c>
      <c r="S115" s="8">
        <f t="shared" si="8"/>
        <v>1988</v>
      </c>
      <c r="T115" s="8">
        <v>1988</v>
      </c>
      <c r="U115" s="8">
        <f t="shared" si="9"/>
        <v>34</v>
      </c>
      <c r="V115" s="7">
        <v>32400</v>
      </c>
      <c r="W115" t="s">
        <v>9</v>
      </c>
      <c r="X115" s="2">
        <v>1.59</v>
      </c>
      <c r="Y115" s="6">
        <f t="shared" si="10"/>
        <v>4.2444141907583888E-2</v>
      </c>
      <c r="AA115">
        <v>52728</v>
      </c>
      <c r="AB115">
        <v>16791</v>
      </c>
      <c r="AD115" t="s">
        <v>1</v>
      </c>
      <c r="AE115">
        <v>935</v>
      </c>
      <c r="AF115">
        <v>2</v>
      </c>
      <c r="AH115" t="s">
        <v>919</v>
      </c>
      <c r="AI115" t="s">
        <v>918</v>
      </c>
      <c r="AJ115" t="s">
        <v>917</v>
      </c>
      <c r="AK115" t="s">
        <v>916</v>
      </c>
      <c r="AL115">
        <v>66</v>
      </c>
      <c r="AM115" s="5">
        <f t="shared" si="11"/>
        <v>1.9411764705882353</v>
      </c>
      <c r="AN115" s="4">
        <f t="shared" si="12"/>
        <v>2.9400628104327684E-3</v>
      </c>
      <c r="AO115" s="3"/>
      <c r="AP115">
        <v>0</v>
      </c>
      <c r="AQ115" t="s">
        <v>47</v>
      </c>
      <c r="AR115" t="s">
        <v>915</v>
      </c>
      <c r="AS115" t="s">
        <v>46</v>
      </c>
      <c r="AT115" s="2" t="s">
        <v>5</v>
      </c>
      <c r="AU115" s="1">
        <f t="shared" si="13"/>
        <v>3.0592918178438553</v>
      </c>
      <c r="AV115" s="1">
        <f t="shared" si="14"/>
        <v>2.2692102359008328</v>
      </c>
      <c r="AW115" s="1">
        <f t="shared" si="15"/>
        <v>1.4791286539578103</v>
      </c>
    </row>
    <row r="116" spans="1:49" x14ac:dyDescent="0.2">
      <c r="A116">
        <v>114</v>
      </c>
      <c r="B116" t="s">
        <v>914</v>
      </c>
      <c r="C116" t="s">
        <v>913</v>
      </c>
      <c r="F116" t="s">
        <v>912</v>
      </c>
      <c r="G116" t="s">
        <v>4</v>
      </c>
      <c r="H116" t="s">
        <v>3</v>
      </c>
      <c r="I116" t="s">
        <v>911</v>
      </c>
      <c r="J116" t="s">
        <v>910</v>
      </c>
      <c r="K116" t="s">
        <v>909</v>
      </c>
      <c r="L116" t="s">
        <v>908</v>
      </c>
      <c r="M116" t="s">
        <v>122</v>
      </c>
      <c r="N116">
        <v>4</v>
      </c>
      <c r="O116" t="s">
        <v>907</v>
      </c>
      <c r="P116" t="s">
        <v>906</v>
      </c>
      <c r="Q116" t="s">
        <v>905</v>
      </c>
      <c r="R116" s="7">
        <v>32400</v>
      </c>
      <c r="S116" s="8">
        <f t="shared" si="8"/>
        <v>1988</v>
      </c>
      <c r="T116" s="8">
        <v>1988</v>
      </c>
      <c r="U116" s="8">
        <f t="shared" si="9"/>
        <v>34</v>
      </c>
      <c r="V116" s="7">
        <v>32400</v>
      </c>
      <c r="W116" t="s">
        <v>904</v>
      </c>
      <c r="X116" s="2">
        <v>0.85699999999999998</v>
      </c>
      <c r="Y116" s="6">
        <f t="shared" si="10"/>
        <v>2.287712554389899E-2</v>
      </c>
      <c r="AA116">
        <v>223727</v>
      </c>
      <c r="AB116">
        <v>28570</v>
      </c>
      <c r="AC116">
        <v>13616463</v>
      </c>
      <c r="AD116" t="s">
        <v>1</v>
      </c>
      <c r="AE116">
        <v>21</v>
      </c>
      <c r="AF116">
        <v>9</v>
      </c>
      <c r="AH116" t="s">
        <v>903</v>
      </c>
      <c r="AI116" t="s">
        <v>902</v>
      </c>
      <c r="AK116" t="s">
        <v>901</v>
      </c>
      <c r="AL116">
        <v>16</v>
      </c>
      <c r="AM116" s="5">
        <f t="shared" si="11"/>
        <v>0.47058823529411764</v>
      </c>
      <c r="AN116" s="4">
        <f t="shared" si="12"/>
        <v>7.1274249949885291E-4</v>
      </c>
      <c r="AO116" s="3"/>
      <c r="AP116">
        <v>0</v>
      </c>
      <c r="AR116" t="s">
        <v>0</v>
      </c>
      <c r="AT116" s="2" t="s">
        <v>5</v>
      </c>
      <c r="AU116" s="1">
        <f t="shared" si="13"/>
        <v>1.6227810630578949</v>
      </c>
      <c r="AV116" s="1">
        <f t="shared" si="14"/>
        <v>1.1794934021698922</v>
      </c>
      <c r="AW116" s="1">
        <f t="shared" si="15"/>
        <v>0.73620574128188943</v>
      </c>
    </row>
    <row r="117" spans="1:49" x14ac:dyDescent="0.2">
      <c r="A117">
        <v>115</v>
      </c>
      <c r="B117" t="s">
        <v>900</v>
      </c>
      <c r="C117" t="s">
        <v>899</v>
      </c>
      <c r="D117">
        <v>5272888902125</v>
      </c>
      <c r="F117" t="s">
        <v>898</v>
      </c>
      <c r="G117" t="s">
        <v>4</v>
      </c>
      <c r="H117" t="s">
        <v>3</v>
      </c>
      <c r="I117" t="s">
        <v>897</v>
      </c>
      <c r="J117" t="s">
        <v>896</v>
      </c>
      <c r="K117" t="s">
        <v>895</v>
      </c>
      <c r="L117" t="s">
        <v>894</v>
      </c>
      <c r="M117" t="s">
        <v>893</v>
      </c>
      <c r="N117">
        <v>3</v>
      </c>
      <c r="O117" t="s">
        <v>892</v>
      </c>
      <c r="P117" t="s">
        <v>891</v>
      </c>
      <c r="Q117" t="s">
        <v>890</v>
      </c>
      <c r="R117" s="7">
        <v>32400</v>
      </c>
      <c r="S117" s="8">
        <f t="shared" si="8"/>
        <v>1988</v>
      </c>
      <c r="T117" s="8">
        <v>1988</v>
      </c>
      <c r="U117" s="8">
        <f t="shared" si="9"/>
        <v>34</v>
      </c>
      <c r="V117" s="7">
        <v>32400</v>
      </c>
      <c r="W117" t="s">
        <v>9</v>
      </c>
      <c r="X117" s="2">
        <v>1.59</v>
      </c>
      <c r="Y117" s="6">
        <f t="shared" si="10"/>
        <v>4.2444141907583888E-2</v>
      </c>
      <c r="AA117">
        <v>52728</v>
      </c>
      <c r="AB117">
        <v>16791</v>
      </c>
      <c r="AD117" t="s">
        <v>1</v>
      </c>
      <c r="AE117">
        <v>935</v>
      </c>
      <c r="AF117">
        <v>2</v>
      </c>
      <c r="AH117" t="s">
        <v>889</v>
      </c>
      <c r="AI117" t="s">
        <v>888</v>
      </c>
      <c r="AJ117" t="s">
        <v>887</v>
      </c>
      <c r="AK117" t="s">
        <v>886</v>
      </c>
      <c r="AL117">
        <v>65</v>
      </c>
      <c r="AM117" s="5">
        <f t="shared" si="11"/>
        <v>1.911764705882353</v>
      </c>
      <c r="AN117" s="4">
        <f t="shared" si="12"/>
        <v>2.89551640421409E-3</v>
      </c>
      <c r="AO117" s="3"/>
      <c r="AP117">
        <v>0</v>
      </c>
      <c r="AR117" t="s">
        <v>0</v>
      </c>
      <c r="AT117" s="2" t="s">
        <v>5</v>
      </c>
      <c r="AU117" s="1">
        <f t="shared" si="13"/>
        <v>3.0579554256572949</v>
      </c>
      <c r="AV117" s="1">
        <f t="shared" si="14"/>
        <v>2.2669829155898991</v>
      </c>
      <c r="AW117" s="1">
        <f t="shared" si="15"/>
        <v>1.476010405522503</v>
      </c>
    </row>
    <row r="118" spans="1:49" x14ac:dyDescent="0.2">
      <c r="A118">
        <v>116</v>
      </c>
      <c r="B118" t="s">
        <v>885</v>
      </c>
      <c r="C118" t="s">
        <v>884</v>
      </c>
      <c r="D118">
        <v>550321388904415</v>
      </c>
      <c r="F118" t="s">
        <v>883</v>
      </c>
      <c r="G118" t="s">
        <v>4</v>
      </c>
      <c r="H118" t="s">
        <v>3</v>
      </c>
      <c r="I118" t="s">
        <v>882</v>
      </c>
      <c r="J118">
        <v>60029170</v>
      </c>
      <c r="K118" t="s">
        <v>162</v>
      </c>
      <c r="L118" t="s">
        <v>161</v>
      </c>
      <c r="M118" t="s">
        <v>160</v>
      </c>
      <c r="N118">
        <v>2</v>
      </c>
      <c r="O118" t="s">
        <v>881</v>
      </c>
      <c r="P118" t="s">
        <v>880</v>
      </c>
      <c r="Q118" t="s">
        <v>879</v>
      </c>
      <c r="R118" s="7">
        <v>32391</v>
      </c>
      <c r="S118" s="8">
        <f t="shared" si="8"/>
        <v>1988</v>
      </c>
      <c r="T118" s="8">
        <v>1988</v>
      </c>
      <c r="U118" s="8">
        <f t="shared" si="9"/>
        <v>34</v>
      </c>
      <c r="V118" s="7">
        <v>32391</v>
      </c>
      <c r="W118" t="s">
        <v>878</v>
      </c>
      <c r="X118" s="2" t="s">
        <v>5</v>
      </c>
      <c r="Y118" s="6" t="e">
        <f t="shared" si="10"/>
        <v>#VALUE!</v>
      </c>
      <c r="AA118">
        <v>5503213</v>
      </c>
      <c r="AB118">
        <v>29086</v>
      </c>
      <c r="AD118" t="s">
        <v>1</v>
      </c>
      <c r="AE118">
        <v>306</v>
      </c>
      <c r="AF118">
        <v>4</v>
      </c>
      <c r="AH118" t="s">
        <v>877</v>
      </c>
      <c r="AI118" t="s">
        <v>876</v>
      </c>
      <c r="AK118" t="s">
        <v>875</v>
      </c>
      <c r="AL118">
        <v>248</v>
      </c>
      <c r="AM118" s="5">
        <f t="shared" si="11"/>
        <v>7.2941176470588234</v>
      </c>
      <c r="AN118" s="4">
        <f t="shared" si="12"/>
        <v>1.1047508742232219E-2</v>
      </c>
      <c r="AO118" s="3"/>
      <c r="AP118">
        <v>0</v>
      </c>
      <c r="AR118" t="s">
        <v>0</v>
      </c>
      <c r="AT118" s="2" t="s">
        <v>5</v>
      </c>
      <c r="AU118" s="1" t="e">
        <f t="shared" si="13"/>
        <v>#VALUE!</v>
      </c>
      <c r="AV118" s="1" t="e">
        <f t="shared" si="14"/>
        <v>#VALUE!</v>
      </c>
      <c r="AW118" s="1" t="e">
        <f t="shared" si="15"/>
        <v>#VALUE!</v>
      </c>
    </row>
    <row r="119" spans="1:49" x14ac:dyDescent="0.2">
      <c r="A119">
        <v>117</v>
      </c>
      <c r="B119" t="s">
        <v>874</v>
      </c>
      <c r="C119" t="s">
        <v>873</v>
      </c>
      <c r="F119" t="s">
        <v>872</v>
      </c>
      <c r="G119" t="s">
        <v>4</v>
      </c>
      <c r="H119" t="s">
        <v>3</v>
      </c>
      <c r="I119" t="s">
        <v>871</v>
      </c>
      <c r="J119">
        <v>60009037</v>
      </c>
      <c r="K119" t="s">
        <v>34</v>
      </c>
      <c r="L119" t="s">
        <v>33</v>
      </c>
      <c r="M119" t="s">
        <v>10</v>
      </c>
      <c r="N119">
        <v>2</v>
      </c>
      <c r="O119" t="s">
        <v>870</v>
      </c>
      <c r="P119" t="s">
        <v>869</v>
      </c>
      <c r="Q119" t="s">
        <v>50</v>
      </c>
      <c r="R119" s="7">
        <v>32387</v>
      </c>
      <c r="S119" s="8">
        <f t="shared" si="8"/>
        <v>1988</v>
      </c>
      <c r="T119" s="8">
        <v>1988</v>
      </c>
      <c r="U119" s="8">
        <f t="shared" si="9"/>
        <v>34</v>
      </c>
      <c r="V119" s="7">
        <v>32387</v>
      </c>
      <c r="W119" t="s">
        <v>30</v>
      </c>
      <c r="X119" s="2">
        <v>0.66800000000000004</v>
      </c>
      <c r="Y119" s="6">
        <f t="shared" si="10"/>
        <v>1.7831878486959774E-2</v>
      </c>
      <c r="AA119" t="s">
        <v>29</v>
      </c>
      <c r="AB119">
        <v>29593</v>
      </c>
      <c r="AC119">
        <v>21553165</v>
      </c>
      <c r="AD119" t="s">
        <v>1</v>
      </c>
      <c r="AE119">
        <v>27</v>
      </c>
      <c r="AF119">
        <v>17</v>
      </c>
      <c r="AH119" t="s">
        <v>868</v>
      </c>
      <c r="AI119" t="s">
        <v>867</v>
      </c>
      <c r="AK119" t="s">
        <v>866</v>
      </c>
      <c r="AL119">
        <v>13</v>
      </c>
      <c r="AM119" s="5">
        <f t="shared" si="11"/>
        <v>0.38235294117647056</v>
      </c>
      <c r="AN119" s="4">
        <f t="shared" si="12"/>
        <v>5.7910328084281794E-4</v>
      </c>
      <c r="AO119" s="3"/>
      <c r="AP119">
        <v>0</v>
      </c>
      <c r="AR119" t="s">
        <v>0</v>
      </c>
      <c r="AT119" s="2">
        <v>1.98</v>
      </c>
      <c r="AU119" s="1">
        <f t="shared" si="13"/>
        <v>1.2656045925124684</v>
      </c>
      <c r="AV119" s="1">
        <f t="shared" si="14"/>
        <v>0.92054908839012961</v>
      </c>
      <c r="AW119" s="1">
        <f t="shared" si="15"/>
        <v>0.5754935842677904</v>
      </c>
    </row>
    <row r="120" spans="1:49" x14ac:dyDescent="0.2">
      <c r="A120">
        <v>118</v>
      </c>
      <c r="B120" t="s">
        <v>865</v>
      </c>
      <c r="C120" t="s">
        <v>864</v>
      </c>
      <c r="F120" t="s">
        <v>863</v>
      </c>
      <c r="G120" t="s">
        <v>4</v>
      </c>
      <c r="H120" t="s">
        <v>3</v>
      </c>
      <c r="I120" t="s">
        <v>862</v>
      </c>
      <c r="J120">
        <v>60088072</v>
      </c>
      <c r="K120" t="s">
        <v>861</v>
      </c>
      <c r="L120" t="s">
        <v>109</v>
      </c>
      <c r="M120" t="s">
        <v>38</v>
      </c>
      <c r="N120">
        <v>3</v>
      </c>
      <c r="O120" t="s">
        <v>860</v>
      </c>
      <c r="P120" t="s">
        <v>859</v>
      </c>
      <c r="Q120" t="s">
        <v>858</v>
      </c>
      <c r="R120" s="7">
        <v>32387</v>
      </c>
      <c r="S120" s="8">
        <f t="shared" si="8"/>
        <v>1988</v>
      </c>
      <c r="T120" s="8">
        <v>1988</v>
      </c>
      <c r="U120" s="8">
        <f t="shared" si="9"/>
        <v>34</v>
      </c>
      <c r="V120" s="7">
        <v>32387</v>
      </c>
      <c r="W120" t="s">
        <v>857</v>
      </c>
      <c r="X120" s="2">
        <v>0.2</v>
      </c>
      <c r="Y120" s="6">
        <f t="shared" si="10"/>
        <v>5.3388857745388539E-3</v>
      </c>
      <c r="AA120">
        <v>10009116</v>
      </c>
      <c r="AB120">
        <v>27421</v>
      </c>
      <c r="AC120">
        <v>19931344</v>
      </c>
      <c r="AD120" t="s">
        <v>1</v>
      </c>
      <c r="AE120">
        <v>1</v>
      </c>
      <c r="AF120">
        <v>4</v>
      </c>
      <c r="AH120" t="s">
        <v>83</v>
      </c>
      <c r="AI120" t="s">
        <v>856</v>
      </c>
      <c r="AJ120" t="s">
        <v>855</v>
      </c>
      <c r="AK120" t="s">
        <v>854</v>
      </c>
      <c r="AL120">
        <v>2</v>
      </c>
      <c r="AM120" s="5">
        <f t="shared" si="11"/>
        <v>5.8823529411764705E-2</v>
      </c>
      <c r="AN120" s="4">
        <f t="shared" si="12"/>
        <v>8.9092812437356614E-5</v>
      </c>
      <c r="AO120" s="3"/>
      <c r="AP120">
        <v>0</v>
      </c>
      <c r="AR120" t="s">
        <v>0</v>
      </c>
      <c r="AT120" s="2" t="s">
        <v>5</v>
      </c>
      <c r="AU120" s="1">
        <f t="shared" si="13"/>
        <v>0.37639478859084047</v>
      </c>
      <c r="AV120" s="1">
        <f t="shared" si="14"/>
        <v>0.27139892934881055</v>
      </c>
      <c r="AW120" s="1">
        <f t="shared" si="15"/>
        <v>0.16640307010678057</v>
      </c>
    </row>
    <row r="121" spans="1:49" x14ac:dyDescent="0.2">
      <c r="A121">
        <v>119</v>
      </c>
      <c r="B121" t="s">
        <v>853</v>
      </c>
      <c r="F121" t="s">
        <v>852</v>
      </c>
      <c r="G121" t="s">
        <v>4</v>
      </c>
      <c r="H121" t="s">
        <v>3</v>
      </c>
      <c r="I121" t="s">
        <v>851</v>
      </c>
      <c r="J121">
        <v>60008134</v>
      </c>
      <c r="K121" t="s">
        <v>28</v>
      </c>
      <c r="L121" t="s">
        <v>27</v>
      </c>
      <c r="M121" t="s">
        <v>20</v>
      </c>
      <c r="N121">
        <v>5</v>
      </c>
      <c r="O121" t="s">
        <v>850</v>
      </c>
      <c r="P121" t="s">
        <v>849</v>
      </c>
      <c r="Q121" t="s">
        <v>848</v>
      </c>
      <c r="R121" s="7">
        <v>32387</v>
      </c>
      <c r="S121" s="8">
        <f t="shared" si="8"/>
        <v>1988</v>
      </c>
      <c r="T121" s="8">
        <v>1988</v>
      </c>
      <c r="U121" s="8">
        <f t="shared" si="9"/>
        <v>34</v>
      </c>
      <c r="V121" s="7">
        <v>32387</v>
      </c>
      <c r="W121" t="s">
        <v>243</v>
      </c>
      <c r="X121" s="2">
        <v>1.9750000000000001</v>
      </c>
      <c r="Y121" s="6">
        <f t="shared" si="10"/>
        <v>5.2721497023571186E-2</v>
      </c>
      <c r="AA121">
        <v>320781</v>
      </c>
      <c r="AB121">
        <v>19019</v>
      </c>
      <c r="AD121" t="s">
        <v>1</v>
      </c>
      <c r="AE121">
        <v>29</v>
      </c>
      <c r="AF121">
        <v>6</v>
      </c>
      <c r="AH121" t="s">
        <v>847</v>
      </c>
      <c r="AI121" t="s">
        <v>846</v>
      </c>
      <c r="AJ121" t="s">
        <v>845</v>
      </c>
      <c r="AK121" t="s">
        <v>844</v>
      </c>
      <c r="AL121">
        <v>3</v>
      </c>
      <c r="AM121" s="5">
        <f t="shared" si="11"/>
        <v>8.8235294117647065E-2</v>
      </c>
      <c r="AN121" s="4">
        <f t="shared" si="12"/>
        <v>1.3363921865603494E-4</v>
      </c>
      <c r="AO121" s="3"/>
      <c r="AP121">
        <v>0</v>
      </c>
      <c r="AR121" t="s">
        <v>0</v>
      </c>
      <c r="AT121" s="2">
        <v>4.9269999999999996</v>
      </c>
      <c r="AU121" s="1">
        <f t="shared" si="13"/>
        <v>3.6945139682096637</v>
      </c>
      <c r="AV121" s="1">
        <f t="shared" si="14"/>
        <v>2.6427568121113612</v>
      </c>
      <c r="AW121" s="1">
        <f t="shared" si="15"/>
        <v>1.5909996560130579</v>
      </c>
    </row>
    <row r="122" spans="1:49" x14ac:dyDescent="0.2">
      <c r="A122">
        <v>120</v>
      </c>
      <c r="B122" t="s">
        <v>843</v>
      </c>
      <c r="C122" t="s">
        <v>842</v>
      </c>
      <c r="F122" t="s">
        <v>841</v>
      </c>
      <c r="G122" t="s">
        <v>4</v>
      </c>
      <c r="H122" t="s">
        <v>3</v>
      </c>
      <c r="I122" t="s">
        <v>840</v>
      </c>
      <c r="N122">
        <v>3</v>
      </c>
      <c r="O122" t="s">
        <v>839</v>
      </c>
      <c r="P122" t="s">
        <v>838</v>
      </c>
      <c r="Q122" t="s">
        <v>44</v>
      </c>
      <c r="R122" s="7">
        <v>32387</v>
      </c>
      <c r="S122" s="8">
        <f t="shared" si="8"/>
        <v>1988</v>
      </c>
      <c r="T122" s="8">
        <v>1988</v>
      </c>
      <c r="U122" s="8">
        <f t="shared" si="9"/>
        <v>34</v>
      </c>
      <c r="V122" s="7">
        <v>32387</v>
      </c>
      <c r="W122" t="s">
        <v>220</v>
      </c>
      <c r="X122" s="2">
        <v>0.14899999999999999</v>
      </c>
      <c r="Y122" s="6">
        <f t="shared" si="10"/>
        <v>3.977469902031446E-3</v>
      </c>
      <c r="AA122">
        <v>5431972</v>
      </c>
      <c r="AB122">
        <v>15425</v>
      </c>
      <c r="AC122">
        <v>15738906</v>
      </c>
      <c r="AD122" t="s">
        <v>1</v>
      </c>
      <c r="AE122">
        <v>31</v>
      </c>
      <c r="AF122">
        <v>9</v>
      </c>
      <c r="AH122" t="s">
        <v>837</v>
      </c>
      <c r="AL122">
        <v>0</v>
      </c>
      <c r="AM122" s="5">
        <f t="shared" si="11"/>
        <v>0</v>
      </c>
      <c r="AN122" s="4">
        <f t="shared" si="12"/>
        <v>0</v>
      </c>
      <c r="AO122" s="3"/>
      <c r="AP122">
        <v>0</v>
      </c>
      <c r="AR122" t="s">
        <v>0</v>
      </c>
      <c r="AT122" s="2" t="s">
        <v>5</v>
      </c>
      <c r="AU122" s="1">
        <f t="shared" si="13"/>
        <v>0.2784228931422012</v>
      </c>
      <c r="AV122" s="1">
        <f t="shared" si="14"/>
        <v>0.19887349510157229</v>
      </c>
      <c r="AW122" s="1">
        <f t="shared" si="15"/>
        <v>0.11932409706094337</v>
      </c>
    </row>
    <row r="123" spans="1:49" x14ac:dyDescent="0.2">
      <c r="A123">
        <v>121</v>
      </c>
      <c r="B123" t="s">
        <v>836</v>
      </c>
      <c r="C123" t="s">
        <v>835</v>
      </c>
      <c r="F123" t="s">
        <v>834</v>
      </c>
      <c r="G123" t="s">
        <v>4</v>
      </c>
      <c r="H123" t="s">
        <v>3</v>
      </c>
      <c r="I123" t="s">
        <v>833</v>
      </c>
      <c r="J123">
        <v>60020650</v>
      </c>
      <c r="K123" t="s">
        <v>832</v>
      </c>
      <c r="L123" t="s">
        <v>831</v>
      </c>
      <c r="M123" t="s">
        <v>56</v>
      </c>
      <c r="N123">
        <v>3</v>
      </c>
      <c r="O123" t="s">
        <v>830</v>
      </c>
      <c r="P123" t="s">
        <v>829</v>
      </c>
      <c r="Q123" t="s">
        <v>828</v>
      </c>
      <c r="R123" s="7">
        <v>32387</v>
      </c>
      <c r="S123" s="8">
        <f t="shared" si="8"/>
        <v>1988</v>
      </c>
      <c r="T123" s="8">
        <v>1988</v>
      </c>
      <c r="U123" s="8">
        <f t="shared" si="9"/>
        <v>34</v>
      </c>
      <c r="V123" s="7">
        <v>32387</v>
      </c>
      <c r="W123" s="11" t="s">
        <v>147</v>
      </c>
      <c r="X123" s="2">
        <v>2.383</v>
      </c>
      <c r="Y123" s="6">
        <f t="shared" si="10"/>
        <v>6.3612824003630442E-2</v>
      </c>
      <c r="AA123">
        <v>1437070</v>
      </c>
      <c r="AB123">
        <v>39742</v>
      </c>
      <c r="AD123" t="s">
        <v>1</v>
      </c>
      <c r="AE123">
        <v>135</v>
      </c>
      <c r="AF123">
        <v>5</v>
      </c>
      <c r="AH123" t="s">
        <v>827</v>
      </c>
      <c r="AI123" t="s">
        <v>826</v>
      </c>
      <c r="AJ123" t="s">
        <v>825</v>
      </c>
      <c r="AK123" t="s">
        <v>824</v>
      </c>
      <c r="AL123">
        <v>57</v>
      </c>
      <c r="AM123" s="5">
        <f t="shared" si="11"/>
        <v>1.6764705882352942</v>
      </c>
      <c r="AN123" s="4">
        <f t="shared" si="12"/>
        <v>2.5391451544646637E-3</v>
      </c>
      <c r="AO123" s="3"/>
      <c r="AP123">
        <v>0</v>
      </c>
      <c r="AR123" t="s">
        <v>0</v>
      </c>
      <c r="AT123" s="2" t="s">
        <v>5</v>
      </c>
      <c r="AU123" s="1">
        <f t="shared" si="13"/>
        <v>4.5290720348880704</v>
      </c>
      <c r="AV123" s="1">
        <f t="shared" si="14"/>
        <v>3.3075984579047555</v>
      </c>
      <c r="AW123" s="1">
        <f t="shared" si="15"/>
        <v>2.0861248809214397</v>
      </c>
    </row>
    <row r="124" spans="1:49" x14ac:dyDescent="0.2">
      <c r="A124">
        <v>122</v>
      </c>
      <c r="B124" t="s">
        <v>823</v>
      </c>
      <c r="F124" t="s">
        <v>822</v>
      </c>
      <c r="G124" t="s">
        <v>4</v>
      </c>
      <c r="H124" t="s">
        <v>3</v>
      </c>
      <c r="I124" t="s">
        <v>821</v>
      </c>
      <c r="J124">
        <v>60015916</v>
      </c>
      <c r="K124" t="s">
        <v>820</v>
      </c>
      <c r="L124" t="s">
        <v>729</v>
      </c>
      <c r="M124" t="s">
        <v>10</v>
      </c>
      <c r="N124">
        <v>1</v>
      </c>
      <c r="O124" t="s">
        <v>819</v>
      </c>
      <c r="P124">
        <v>6602731264</v>
      </c>
      <c r="Q124">
        <v>60015916</v>
      </c>
      <c r="R124" s="7">
        <v>32387</v>
      </c>
      <c r="S124" s="8">
        <f t="shared" si="8"/>
        <v>1988</v>
      </c>
      <c r="T124" s="8">
        <v>1988</v>
      </c>
      <c r="U124" s="8">
        <f t="shared" si="9"/>
        <v>34</v>
      </c>
      <c r="V124" s="7">
        <v>32387</v>
      </c>
      <c r="W124" t="s">
        <v>177</v>
      </c>
      <c r="X124" s="2" t="s">
        <v>5</v>
      </c>
      <c r="Y124" s="6" t="e">
        <f t="shared" si="10"/>
        <v>#VALUE!</v>
      </c>
      <c r="AA124">
        <v>262897</v>
      </c>
      <c r="AB124">
        <v>18580</v>
      </c>
      <c r="AD124" t="s">
        <v>1</v>
      </c>
      <c r="AE124">
        <v>31</v>
      </c>
      <c r="AF124">
        <v>9</v>
      </c>
      <c r="AI124" t="s">
        <v>818</v>
      </c>
      <c r="AK124" t="s">
        <v>817</v>
      </c>
      <c r="AL124">
        <v>0</v>
      </c>
      <c r="AM124" s="5">
        <f t="shared" si="11"/>
        <v>0</v>
      </c>
      <c r="AN124" s="4">
        <f t="shared" si="12"/>
        <v>0</v>
      </c>
      <c r="AO124" s="3"/>
      <c r="AP124">
        <v>0</v>
      </c>
      <c r="AR124" t="s">
        <v>0</v>
      </c>
      <c r="AT124" s="2">
        <v>0.30599999999999999</v>
      </c>
      <c r="AU124" s="1" t="e">
        <f t="shared" si="13"/>
        <v>#VALUE!</v>
      </c>
      <c r="AV124" s="1" t="e">
        <f t="shared" si="14"/>
        <v>#VALUE!</v>
      </c>
      <c r="AW124" s="1" t="e">
        <f t="shared" si="15"/>
        <v>#VALUE!</v>
      </c>
    </row>
    <row r="125" spans="1:49" x14ac:dyDescent="0.2">
      <c r="A125">
        <v>123</v>
      </c>
      <c r="B125" t="s">
        <v>816</v>
      </c>
      <c r="F125" t="s">
        <v>815</v>
      </c>
      <c r="G125" t="s">
        <v>4</v>
      </c>
      <c r="H125" t="s">
        <v>3</v>
      </c>
      <c r="I125" t="s">
        <v>814</v>
      </c>
      <c r="J125">
        <v>100914062</v>
      </c>
      <c r="K125" t="s">
        <v>813</v>
      </c>
      <c r="M125" t="s">
        <v>72</v>
      </c>
      <c r="N125">
        <v>1</v>
      </c>
      <c r="O125" t="s">
        <v>812</v>
      </c>
      <c r="P125">
        <v>57193396592</v>
      </c>
      <c r="Q125">
        <v>100914062</v>
      </c>
      <c r="R125" s="7">
        <v>32387</v>
      </c>
      <c r="S125" s="8">
        <f t="shared" si="8"/>
        <v>1988</v>
      </c>
      <c r="T125" s="8">
        <v>1988</v>
      </c>
      <c r="U125" s="8">
        <f t="shared" si="9"/>
        <v>34</v>
      </c>
      <c r="V125" s="7">
        <v>32387</v>
      </c>
      <c r="W125" t="s">
        <v>223</v>
      </c>
      <c r="X125" s="2" t="s">
        <v>5</v>
      </c>
      <c r="Y125" s="6" t="e">
        <f t="shared" si="10"/>
        <v>#VALUE!</v>
      </c>
      <c r="AA125" t="s">
        <v>222</v>
      </c>
      <c r="AB125">
        <v>35968</v>
      </c>
      <c r="AD125" t="s">
        <v>1</v>
      </c>
      <c r="AE125">
        <v>55</v>
      </c>
      <c r="AF125">
        <v>9</v>
      </c>
      <c r="AH125" t="s">
        <v>811</v>
      </c>
      <c r="AI125" t="s">
        <v>810</v>
      </c>
      <c r="AK125" t="s">
        <v>809</v>
      </c>
      <c r="AL125">
        <v>0</v>
      </c>
      <c r="AM125" s="5">
        <f t="shared" si="11"/>
        <v>0</v>
      </c>
      <c r="AN125" s="4">
        <f t="shared" si="12"/>
        <v>0</v>
      </c>
      <c r="AO125" s="3"/>
      <c r="AP125">
        <v>0</v>
      </c>
      <c r="AR125" t="s">
        <v>0</v>
      </c>
      <c r="AT125" s="2" t="s">
        <v>5</v>
      </c>
      <c r="AU125" s="1" t="e">
        <f t="shared" si="13"/>
        <v>#VALUE!</v>
      </c>
      <c r="AV125" s="1" t="e">
        <f t="shared" si="14"/>
        <v>#VALUE!</v>
      </c>
      <c r="AW125" s="1" t="e">
        <f t="shared" si="15"/>
        <v>#VALUE!</v>
      </c>
    </row>
    <row r="126" spans="1:49" x14ac:dyDescent="0.2">
      <c r="A126">
        <v>124</v>
      </c>
      <c r="B126" t="s">
        <v>808</v>
      </c>
      <c r="F126" t="s">
        <v>807</v>
      </c>
      <c r="G126" t="s">
        <v>4</v>
      </c>
      <c r="H126" t="s">
        <v>3</v>
      </c>
      <c r="I126" t="s">
        <v>806</v>
      </c>
      <c r="J126">
        <v>60013272</v>
      </c>
      <c r="K126" t="s">
        <v>805</v>
      </c>
      <c r="L126" t="s">
        <v>116</v>
      </c>
      <c r="M126" t="s">
        <v>115</v>
      </c>
      <c r="N126">
        <v>2</v>
      </c>
      <c r="O126" t="s">
        <v>804</v>
      </c>
      <c r="P126" t="s">
        <v>803</v>
      </c>
      <c r="Q126" t="s">
        <v>802</v>
      </c>
      <c r="R126" s="7">
        <v>32387</v>
      </c>
      <c r="S126" s="8">
        <f t="shared" si="8"/>
        <v>1988</v>
      </c>
      <c r="T126" s="8">
        <v>1988</v>
      </c>
      <c r="U126" s="8">
        <f t="shared" si="9"/>
        <v>34</v>
      </c>
      <c r="V126" s="7">
        <v>32387</v>
      </c>
      <c r="W126" t="s">
        <v>177</v>
      </c>
      <c r="X126" s="2" t="s">
        <v>5</v>
      </c>
      <c r="Y126" s="6" t="e">
        <f t="shared" si="10"/>
        <v>#VALUE!</v>
      </c>
      <c r="AA126">
        <v>262897</v>
      </c>
      <c r="AB126">
        <v>18580</v>
      </c>
      <c r="AD126" t="s">
        <v>1</v>
      </c>
      <c r="AE126">
        <v>31</v>
      </c>
      <c r="AF126">
        <v>9</v>
      </c>
      <c r="AI126" t="s">
        <v>801</v>
      </c>
      <c r="AK126" t="s">
        <v>800</v>
      </c>
      <c r="AL126">
        <v>1</v>
      </c>
      <c r="AM126" s="5">
        <f t="shared" si="11"/>
        <v>2.9411764705882353E-2</v>
      </c>
      <c r="AN126" s="4">
        <f t="shared" si="12"/>
        <v>4.4546406218678307E-5</v>
      </c>
      <c r="AO126" s="3"/>
      <c r="AP126">
        <v>0</v>
      </c>
      <c r="AR126" t="s">
        <v>0</v>
      </c>
      <c r="AT126" s="2">
        <v>0.30599999999999999</v>
      </c>
      <c r="AU126" s="1" t="e">
        <f t="shared" si="13"/>
        <v>#VALUE!</v>
      </c>
      <c r="AV126" s="1" t="e">
        <f t="shared" si="14"/>
        <v>#VALUE!</v>
      </c>
      <c r="AW126" s="1" t="e">
        <f t="shared" si="15"/>
        <v>#VALUE!</v>
      </c>
    </row>
    <row r="127" spans="1:49" x14ac:dyDescent="0.2">
      <c r="A127">
        <v>125</v>
      </c>
      <c r="B127" t="s">
        <v>799</v>
      </c>
      <c r="F127" t="s">
        <v>798</v>
      </c>
      <c r="G127" t="s">
        <v>4</v>
      </c>
      <c r="H127" t="s">
        <v>3</v>
      </c>
      <c r="I127" t="s">
        <v>797</v>
      </c>
      <c r="N127">
        <v>4</v>
      </c>
      <c r="O127" t="s">
        <v>796</v>
      </c>
      <c r="P127" t="s">
        <v>795</v>
      </c>
      <c r="Q127" t="s">
        <v>43</v>
      </c>
      <c r="R127" s="7">
        <v>32387</v>
      </c>
      <c r="S127" s="8">
        <f t="shared" si="8"/>
        <v>1988</v>
      </c>
      <c r="T127" s="8">
        <v>1988</v>
      </c>
      <c r="U127" s="8">
        <f t="shared" si="9"/>
        <v>34</v>
      </c>
      <c r="V127" s="7">
        <v>32387</v>
      </c>
      <c r="W127" t="s">
        <v>52</v>
      </c>
      <c r="X127" s="2">
        <v>0.14099999999999999</v>
      </c>
      <c r="Y127" s="6">
        <f t="shared" si="10"/>
        <v>3.7639144710498915E-3</v>
      </c>
      <c r="AA127">
        <v>402508</v>
      </c>
      <c r="AB127">
        <v>20868</v>
      </c>
      <c r="AD127" t="s">
        <v>1</v>
      </c>
      <c r="AE127">
        <v>43</v>
      </c>
      <c r="AF127">
        <v>9</v>
      </c>
      <c r="AH127" t="s">
        <v>175</v>
      </c>
      <c r="AI127" t="s">
        <v>794</v>
      </c>
      <c r="AK127" t="s">
        <v>793</v>
      </c>
      <c r="AL127">
        <v>0</v>
      </c>
      <c r="AM127" s="5">
        <f t="shared" si="11"/>
        <v>0</v>
      </c>
      <c r="AN127" s="4">
        <f t="shared" si="12"/>
        <v>0</v>
      </c>
      <c r="AO127" s="3"/>
      <c r="AP127">
        <v>0</v>
      </c>
      <c r="AR127" t="s">
        <v>0</v>
      </c>
      <c r="AT127" s="2" t="s">
        <v>5</v>
      </c>
      <c r="AU127" s="1">
        <f t="shared" si="13"/>
        <v>0.26347401297349238</v>
      </c>
      <c r="AV127" s="1">
        <f t="shared" si="14"/>
        <v>0.18819572355249459</v>
      </c>
      <c r="AW127" s="1">
        <f t="shared" si="15"/>
        <v>0.11291743413149673</v>
      </c>
    </row>
    <row r="128" spans="1:49" x14ac:dyDescent="0.2">
      <c r="A128">
        <v>126</v>
      </c>
      <c r="B128" t="s">
        <v>792</v>
      </c>
      <c r="F128" t="s">
        <v>791</v>
      </c>
      <c r="G128" t="s">
        <v>4</v>
      </c>
      <c r="H128" t="s">
        <v>3</v>
      </c>
      <c r="I128" t="s">
        <v>790</v>
      </c>
      <c r="N128">
        <v>2</v>
      </c>
      <c r="O128" t="s">
        <v>789</v>
      </c>
      <c r="P128" t="s">
        <v>788</v>
      </c>
      <c r="Q128" t="s">
        <v>42</v>
      </c>
      <c r="R128" s="7">
        <v>32387</v>
      </c>
      <c r="S128" s="8">
        <f t="shared" si="8"/>
        <v>1988</v>
      </c>
      <c r="T128" s="8">
        <v>1988</v>
      </c>
      <c r="U128" s="8">
        <f t="shared" si="9"/>
        <v>34</v>
      </c>
      <c r="V128" s="7">
        <v>32387</v>
      </c>
      <c r="W128" t="s">
        <v>52</v>
      </c>
      <c r="X128" s="2">
        <v>0.14099999999999999</v>
      </c>
      <c r="Y128" s="6">
        <f t="shared" si="10"/>
        <v>3.7639144710498915E-3</v>
      </c>
      <c r="AA128">
        <v>402508</v>
      </c>
      <c r="AB128">
        <v>20868</v>
      </c>
      <c r="AD128" t="s">
        <v>1</v>
      </c>
      <c r="AE128">
        <v>43</v>
      </c>
      <c r="AF128">
        <v>9</v>
      </c>
      <c r="AH128" t="s">
        <v>787</v>
      </c>
      <c r="AI128" t="s">
        <v>786</v>
      </c>
      <c r="AK128" t="s">
        <v>785</v>
      </c>
      <c r="AL128">
        <v>0</v>
      </c>
      <c r="AM128" s="5">
        <f t="shared" si="11"/>
        <v>0</v>
      </c>
      <c r="AN128" s="4">
        <f t="shared" si="12"/>
        <v>0</v>
      </c>
      <c r="AO128" s="3"/>
      <c r="AP128">
        <v>0</v>
      </c>
      <c r="AR128" t="s">
        <v>0</v>
      </c>
      <c r="AT128" s="2" t="s">
        <v>5</v>
      </c>
      <c r="AU128" s="1">
        <f t="shared" si="13"/>
        <v>0.26347401297349238</v>
      </c>
      <c r="AV128" s="1">
        <f t="shared" si="14"/>
        <v>0.18819572355249459</v>
      </c>
      <c r="AW128" s="1">
        <f t="shared" si="15"/>
        <v>0.11291743413149673</v>
      </c>
    </row>
    <row r="129" spans="1:49" x14ac:dyDescent="0.2">
      <c r="A129">
        <v>127</v>
      </c>
      <c r="B129" t="s">
        <v>784</v>
      </c>
      <c r="F129" t="s">
        <v>783</v>
      </c>
      <c r="G129" t="s">
        <v>4</v>
      </c>
      <c r="H129" t="s">
        <v>3</v>
      </c>
      <c r="I129" t="s">
        <v>782</v>
      </c>
      <c r="J129">
        <v>60011976</v>
      </c>
      <c r="K129" t="s">
        <v>781</v>
      </c>
      <c r="L129" t="s">
        <v>780</v>
      </c>
      <c r="M129" t="s">
        <v>10</v>
      </c>
      <c r="N129">
        <v>1</v>
      </c>
      <c r="O129" t="s">
        <v>779</v>
      </c>
      <c r="P129">
        <v>7103047649</v>
      </c>
      <c r="Q129">
        <v>60011976</v>
      </c>
      <c r="R129" s="7">
        <v>32387</v>
      </c>
      <c r="S129" s="8">
        <f t="shared" si="8"/>
        <v>1988</v>
      </c>
      <c r="T129" s="8">
        <v>1988</v>
      </c>
      <c r="U129" s="8">
        <f t="shared" si="9"/>
        <v>34</v>
      </c>
      <c r="V129" s="7">
        <v>32387</v>
      </c>
      <c r="W129" t="s">
        <v>778</v>
      </c>
      <c r="X129" s="2" t="s">
        <v>5</v>
      </c>
      <c r="Y129" s="6" t="e">
        <f t="shared" si="10"/>
        <v>#VALUE!</v>
      </c>
      <c r="AA129">
        <v>293083</v>
      </c>
      <c r="AB129">
        <v>36388</v>
      </c>
      <c r="AD129" t="s">
        <v>1</v>
      </c>
      <c r="AE129">
        <v>20</v>
      </c>
      <c r="AF129" s="9">
        <v>44289</v>
      </c>
      <c r="AH129" t="s">
        <v>777</v>
      </c>
      <c r="AI129" t="s">
        <v>776</v>
      </c>
      <c r="AK129" t="s">
        <v>775</v>
      </c>
      <c r="AL129">
        <v>0</v>
      </c>
      <c r="AM129" s="5">
        <f t="shared" si="11"/>
        <v>0</v>
      </c>
      <c r="AN129" s="4">
        <f t="shared" si="12"/>
        <v>0</v>
      </c>
      <c r="AO129" s="3"/>
      <c r="AP129">
        <v>0</v>
      </c>
      <c r="AR129" t="s">
        <v>0</v>
      </c>
      <c r="AT129" s="2" t="s">
        <v>5</v>
      </c>
      <c r="AU129" s="1" t="e">
        <f t="shared" si="13"/>
        <v>#VALUE!</v>
      </c>
      <c r="AV129" s="1" t="e">
        <f t="shared" si="14"/>
        <v>#VALUE!</v>
      </c>
      <c r="AW129" s="1" t="e">
        <f t="shared" si="15"/>
        <v>#VALUE!</v>
      </c>
    </row>
    <row r="130" spans="1:49" x14ac:dyDescent="0.2">
      <c r="A130">
        <v>128</v>
      </c>
      <c r="B130" t="s">
        <v>774</v>
      </c>
      <c r="F130" t="s">
        <v>773</v>
      </c>
      <c r="G130" t="s">
        <v>4</v>
      </c>
      <c r="H130" t="s">
        <v>3</v>
      </c>
      <c r="I130" t="s">
        <v>772</v>
      </c>
      <c r="N130">
        <v>2</v>
      </c>
      <c r="O130" t="s">
        <v>771</v>
      </c>
      <c r="P130" t="s">
        <v>770</v>
      </c>
      <c r="Q130" t="s">
        <v>42</v>
      </c>
      <c r="R130" s="7">
        <v>32387</v>
      </c>
      <c r="S130" s="8">
        <f t="shared" ref="S130:S188" si="16">YEAR(R130)</f>
        <v>1988</v>
      </c>
      <c r="T130" s="8">
        <v>1988</v>
      </c>
      <c r="U130" s="8">
        <f t="shared" ref="U130:U188" si="17">2022-T130</f>
        <v>34</v>
      </c>
      <c r="V130" s="7">
        <v>32387</v>
      </c>
      <c r="W130" t="s">
        <v>41</v>
      </c>
      <c r="X130" s="2" t="s">
        <v>5</v>
      </c>
      <c r="Y130" s="6" t="e">
        <f t="shared" ref="Y130:Y188" si="18">(X130-$Z$4)/($Z$3-$Z$4)</f>
        <v>#VALUE!</v>
      </c>
      <c r="AA130">
        <v>87566648</v>
      </c>
      <c r="AB130">
        <v>74127</v>
      </c>
      <c r="AD130" t="s">
        <v>1</v>
      </c>
      <c r="AE130">
        <v>33</v>
      </c>
      <c r="AF130">
        <v>9</v>
      </c>
      <c r="AH130" t="s">
        <v>769</v>
      </c>
      <c r="AI130" t="s">
        <v>768</v>
      </c>
      <c r="AK130" t="s">
        <v>767</v>
      </c>
      <c r="AL130">
        <v>0</v>
      </c>
      <c r="AM130" s="5">
        <f t="shared" ref="AM130:AM188" si="19">AL130/U130</f>
        <v>0</v>
      </c>
      <c r="AN130" s="4">
        <f t="shared" ref="AN130:AN188" si="20">(AM130-$AO$4)/($AO$3-$AO$4)</f>
        <v>0</v>
      </c>
      <c r="AO130" s="3"/>
      <c r="AP130">
        <v>0</v>
      </c>
      <c r="AR130" t="s">
        <v>0</v>
      </c>
      <c r="AT130" s="2" t="s">
        <v>5</v>
      </c>
      <c r="AU130" s="1" t="e">
        <f t="shared" ref="AU130:AU188" si="21">(Y130*0.7+AN130*0.3)*100</f>
        <v>#VALUE!</v>
      </c>
      <c r="AV130" s="1" t="e">
        <f t="shared" ref="AV130:AV188" si="22">(Y130*0.5+AN130*0.5)*100</f>
        <v>#VALUE!</v>
      </c>
      <c r="AW130" s="1" t="e">
        <f t="shared" ref="AW130:AW188" si="23">(Y130*0.3+AN130*0.7)*100</f>
        <v>#VALUE!</v>
      </c>
    </row>
    <row r="131" spans="1:49" x14ac:dyDescent="0.2">
      <c r="A131">
        <v>129</v>
      </c>
      <c r="B131" t="s">
        <v>766</v>
      </c>
      <c r="F131" t="s">
        <v>765</v>
      </c>
      <c r="G131" t="s">
        <v>4</v>
      </c>
      <c r="H131" t="s">
        <v>3</v>
      </c>
      <c r="I131" t="s">
        <v>138</v>
      </c>
      <c r="N131">
        <v>2</v>
      </c>
      <c r="O131" t="s">
        <v>764</v>
      </c>
      <c r="P131" t="s">
        <v>763</v>
      </c>
      <c r="Q131" t="s">
        <v>42</v>
      </c>
      <c r="R131" s="7">
        <v>32387</v>
      </c>
      <c r="S131" s="8">
        <f t="shared" si="16"/>
        <v>1988</v>
      </c>
      <c r="T131" s="8">
        <v>1988</v>
      </c>
      <c r="U131" s="8">
        <f t="shared" si="17"/>
        <v>34</v>
      </c>
      <c r="V131" s="7">
        <v>32387</v>
      </c>
      <c r="W131" t="s">
        <v>189</v>
      </c>
      <c r="X131" s="2">
        <v>0.14099999999999999</v>
      </c>
      <c r="Y131" s="6">
        <f t="shared" si="18"/>
        <v>3.7639144710498915E-3</v>
      </c>
      <c r="AA131">
        <v>7252986</v>
      </c>
      <c r="AB131">
        <v>18037</v>
      </c>
      <c r="AD131" t="s">
        <v>1</v>
      </c>
      <c r="AE131">
        <v>8</v>
      </c>
      <c r="AF131">
        <v>3</v>
      </c>
      <c r="AH131" t="s">
        <v>762</v>
      </c>
      <c r="AI131" t="s">
        <v>761</v>
      </c>
      <c r="AK131" t="s">
        <v>760</v>
      </c>
      <c r="AL131">
        <v>6</v>
      </c>
      <c r="AM131" s="5">
        <f t="shared" si="19"/>
        <v>0.17647058823529413</v>
      </c>
      <c r="AN131" s="4">
        <f t="shared" si="20"/>
        <v>2.6727843731206988E-4</v>
      </c>
      <c r="AO131" s="3"/>
      <c r="AP131">
        <v>0</v>
      </c>
      <c r="AR131" t="s">
        <v>0</v>
      </c>
      <c r="AT131" s="2" t="s">
        <v>5</v>
      </c>
      <c r="AU131" s="1">
        <f t="shared" si="21"/>
        <v>0.27149236609285449</v>
      </c>
      <c r="AV131" s="1">
        <f t="shared" si="22"/>
        <v>0.20155964541809807</v>
      </c>
      <c r="AW131" s="1">
        <f t="shared" si="23"/>
        <v>0.13162692474334164</v>
      </c>
    </row>
    <row r="132" spans="1:49" x14ac:dyDescent="0.2">
      <c r="A132">
        <v>130</v>
      </c>
      <c r="B132" t="s">
        <v>759</v>
      </c>
      <c r="F132" t="s">
        <v>758</v>
      </c>
      <c r="G132" t="s">
        <v>4</v>
      </c>
      <c r="H132" t="s">
        <v>3</v>
      </c>
      <c r="I132" t="s">
        <v>757</v>
      </c>
      <c r="J132">
        <v>60022476</v>
      </c>
      <c r="K132" t="s">
        <v>188</v>
      </c>
      <c r="L132" t="s">
        <v>123</v>
      </c>
      <c r="M132" t="s">
        <v>10</v>
      </c>
      <c r="N132">
        <v>1</v>
      </c>
      <c r="O132" t="s">
        <v>756</v>
      </c>
      <c r="P132">
        <v>6601958113</v>
      </c>
      <c r="Q132">
        <v>60022476</v>
      </c>
      <c r="R132" s="7">
        <v>32387</v>
      </c>
      <c r="S132" s="8">
        <f t="shared" si="16"/>
        <v>1988</v>
      </c>
      <c r="T132" s="8">
        <v>1988</v>
      </c>
      <c r="U132" s="8">
        <f t="shared" si="17"/>
        <v>34</v>
      </c>
      <c r="V132" s="7">
        <v>32387</v>
      </c>
      <c r="W132" t="s">
        <v>727</v>
      </c>
      <c r="X132" s="2" t="s">
        <v>5</v>
      </c>
      <c r="Y132" s="6" t="e">
        <f t="shared" si="18"/>
        <v>#VALUE!</v>
      </c>
      <c r="AA132">
        <v>959669</v>
      </c>
      <c r="AB132">
        <v>94658</v>
      </c>
      <c r="AD132" t="s">
        <v>1</v>
      </c>
      <c r="AE132">
        <v>18</v>
      </c>
      <c r="AF132">
        <v>2</v>
      </c>
      <c r="AH132" t="s">
        <v>755</v>
      </c>
      <c r="AI132" t="s">
        <v>754</v>
      </c>
      <c r="AK132" t="s">
        <v>753</v>
      </c>
      <c r="AL132">
        <v>1</v>
      </c>
      <c r="AM132" s="5">
        <f t="shared" si="19"/>
        <v>2.9411764705882353E-2</v>
      </c>
      <c r="AN132" s="4">
        <f t="shared" si="20"/>
        <v>4.4546406218678307E-5</v>
      </c>
      <c r="AO132" s="3"/>
      <c r="AP132">
        <v>0</v>
      </c>
      <c r="AR132" t="s">
        <v>0</v>
      </c>
      <c r="AT132" s="2" t="s">
        <v>5</v>
      </c>
      <c r="AU132" s="1" t="e">
        <f t="shared" si="21"/>
        <v>#VALUE!</v>
      </c>
      <c r="AV132" s="1" t="e">
        <f t="shared" si="22"/>
        <v>#VALUE!</v>
      </c>
      <c r="AW132" s="1" t="e">
        <f t="shared" si="23"/>
        <v>#VALUE!</v>
      </c>
    </row>
    <row r="133" spans="1:49" x14ac:dyDescent="0.2">
      <c r="A133">
        <v>131</v>
      </c>
      <c r="B133" t="s">
        <v>752</v>
      </c>
      <c r="F133" t="s">
        <v>751</v>
      </c>
      <c r="G133" t="s">
        <v>4</v>
      </c>
      <c r="H133" t="s">
        <v>3</v>
      </c>
      <c r="I133" t="s">
        <v>750</v>
      </c>
      <c r="J133">
        <v>100641744</v>
      </c>
      <c r="K133" t="s">
        <v>749</v>
      </c>
      <c r="M133" t="s">
        <v>10</v>
      </c>
      <c r="N133">
        <v>2</v>
      </c>
      <c r="O133" t="s">
        <v>748</v>
      </c>
      <c r="P133" t="s">
        <v>747</v>
      </c>
      <c r="Q133" t="s">
        <v>746</v>
      </c>
      <c r="R133" s="7">
        <v>32387</v>
      </c>
      <c r="S133" s="8">
        <f t="shared" si="16"/>
        <v>1988</v>
      </c>
      <c r="T133" s="8">
        <v>1988</v>
      </c>
      <c r="U133" s="8">
        <f t="shared" si="17"/>
        <v>34</v>
      </c>
      <c r="V133" s="7">
        <v>32387</v>
      </c>
      <c r="W133" t="s">
        <v>189</v>
      </c>
      <c r="X133" s="2">
        <v>0.14099999999999999</v>
      </c>
      <c r="Y133" s="6">
        <f t="shared" si="18"/>
        <v>3.7639144710498915E-3</v>
      </c>
      <c r="AA133">
        <v>7252986</v>
      </c>
      <c r="AB133">
        <v>18037</v>
      </c>
      <c r="AD133" t="s">
        <v>1</v>
      </c>
      <c r="AE133">
        <v>8</v>
      </c>
      <c r="AF133">
        <v>3</v>
      </c>
      <c r="AH133" t="s">
        <v>21</v>
      </c>
      <c r="AI133" t="s">
        <v>745</v>
      </c>
      <c r="AK133" t="s">
        <v>744</v>
      </c>
      <c r="AL133">
        <v>0</v>
      </c>
      <c r="AM133" s="5">
        <f t="shared" si="19"/>
        <v>0</v>
      </c>
      <c r="AN133" s="4">
        <f t="shared" si="20"/>
        <v>0</v>
      </c>
      <c r="AO133" s="3"/>
      <c r="AP133">
        <v>0</v>
      </c>
      <c r="AR133" t="s">
        <v>0</v>
      </c>
      <c r="AT133" s="2" t="s">
        <v>5</v>
      </c>
      <c r="AU133" s="1">
        <f t="shared" si="21"/>
        <v>0.26347401297349238</v>
      </c>
      <c r="AV133" s="1">
        <f t="shared" si="22"/>
        <v>0.18819572355249459</v>
      </c>
      <c r="AW133" s="1">
        <f t="shared" si="23"/>
        <v>0.11291743413149673</v>
      </c>
    </row>
    <row r="134" spans="1:49" x14ac:dyDescent="0.2">
      <c r="A134">
        <v>132</v>
      </c>
      <c r="B134" t="s">
        <v>743</v>
      </c>
      <c r="F134" t="s">
        <v>742</v>
      </c>
      <c r="G134" t="s">
        <v>4</v>
      </c>
      <c r="H134" t="s">
        <v>3</v>
      </c>
      <c r="I134" t="s">
        <v>741</v>
      </c>
      <c r="J134">
        <v>100402986</v>
      </c>
      <c r="K134" t="s">
        <v>740</v>
      </c>
      <c r="L134" t="s">
        <v>137</v>
      </c>
      <c r="M134" t="s">
        <v>10</v>
      </c>
      <c r="N134">
        <v>3</v>
      </c>
      <c r="O134" t="s">
        <v>739</v>
      </c>
      <c r="P134" t="s">
        <v>738</v>
      </c>
      <c r="Q134" t="s">
        <v>737</v>
      </c>
      <c r="R134" s="7">
        <v>32387</v>
      </c>
      <c r="S134" s="8">
        <f t="shared" si="16"/>
        <v>1988</v>
      </c>
      <c r="T134" s="8">
        <v>1988</v>
      </c>
      <c r="U134" s="8">
        <f t="shared" si="17"/>
        <v>34</v>
      </c>
      <c r="V134" s="7">
        <v>32387</v>
      </c>
      <c r="W134" t="s">
        <v>727</v>
      </c>
      <c r="X134" s="2" t="s">
        <v>5</v>
      </c>
      <c r="Y134" s="6" t="e">
        <f t="shared" si="18"/>
        <v>#VALUE!</v>
      </c>
      <c r="AA134">
        <v>959669</v>
      </c>
      <c r="AB134">
        <v>94658</v>
      </c>
      <c r="AD134" t="s">
        <v>1</v>
      </c>
      <c r="AE134">
        <v>18</v>
      </c>
      <c r="AF134">
        <v>2</v>
      </c>
      <c r="AH134" t="s">
        <v>736</v>
      </c>
      <c r="AI134" t="s">
        <v>735</v>
      </c>
      <c r="AK134" t="s">
        <v>734</v>
      </c>
      <c r="AL134">
        <v>1</v>
      </c>
      <c r="AM134" s="5">
        <f t="shared" si="19"/>
        <v>2.9411764705882353E-2</v>
      </c>
      <c r="AN134" s="4">
        <f t="shared" si="20"/>
        <v>4.4546406218678307E-5</v>
      </c>
      <c r="AO134" s="3"/>
      <c r="AP134">
        <v>0</v>
      </c>
      <c r="AR134" t="s">
        <v>0</v>
      </c>
      <c r="AT134" s="2" t="s">
        <v>5</v>
      </c>
      <c r="AU134" s="1" t="e">
        <f t="shared" si="21"/>
        <v>#VALUE!</v>
      </c>
      <c r="AV134" s="1" t="e">
        <f t="shared" si="22"/>
        <v>#VALUE!</v>
      </c>
      <c r="AW134" s="1" t="e">
        <f t="shared" si="23"/>
        <v>#VALUE!</v>
      </c>
    </row>
    <row r="135" spans="1:49" x14ac:dyDescent="0.2">
      <c r="A135">
        <v>133</v>
      </c>
      <c r="B135" t="s">
        <v>733</v>
      </c>
      <c r="F135" t="s">
        <v>732</v>
      </c>
      <c r="G135" t="s">
        <v>4</v>
      </c>
      <c r="H135" t="s">
        <v>3</v>
      </c>
      <c r="I135" t="s">
        <v>731</v>
      </c>
      <c r="J135">
        <v>60021613</v>
      </c>
      <c r="K135" t="s">
        <v>730</v>
      </c>
      <c r="L135" t="s">
        <v>729</v>
      </c>
      <c r="M135" t="s">
        <v>10</v>
      </c>
      <c r="N135">
        <v>1</v>
      </c>
      <c r="O135" t="s">
        <v>728</v>
      </c>
      <c r="P135">
        <v>6507059523</v>
      </c>
      <c r="Q135">
        <v>60021613</v>
      </c>
      <c r="R135" s="7">
        <v>32387</v>
      </c>
      <c r="S135" s="8">
        <f t="shared" si="16"/>
        <v>1988</v>
      </c>
      <c r="T135" s="8">
        <v>1988</v>
      </c>
      <c r="U135" s="8">
        <f t="shared" si="17"/>
        <v>34</v>
      </c>
      <c r="V135" s="7">
        <v>32387</v>
      </c>
      <c r="W135" t="s">
        <v>727</v>
      </c>
      <c r="X135" s="2" t="s">
        <v>5</v>
      </c>
      <c r="Y135" s="6" t="e">
        <f t="shared" si="18"/>
        <v>#VALUE!</v>
      </c>
      <c r="AA135">
        <v>959669</v>
      </c>
      <c r="AB135">
        <v>94658</v>
      </c>
      <c r="AD135" t="s">
        <v>1</v>
      </c>
      <c r="AE135">
        <v>18</v>
      </c>
      <c r="AF135">
        <v>2</v>
      </c>
      <c r="AH135" t="s">
        <v>726</v>
      </c>
      <c r="AI135" t="s">
        <v>725</v>
      </c>
      <c r="AK135" t="s">
        <v>724</v>
      </c>
      <c r="AL135">
        <v>0</v>
      </c>
      <c r="AM135" s="5">
        <f t="shared" si="19"/>
        <v>0</v>
      </c>
      <c r="AN135" s="4">
        <f t="shared" si="20"/>
        <v>0</v>
      </c>
      <c r="AO135" s="3"/>
      <c r="AP135">
        <v>0</v>
      </c>
      <c r="AR135" t="s">
        <v>0</v>
      </c>
      <c r="AT135" s="2" t="s">
        <v>5</v>
      </c>
      <c r="AU135" s="1" t="e">
        <f t="shared" si="21"/>
        <v>#VALUE!</v>
      </c>
      <c r="AV135" s="1" t="e">
        <f t="shared" si="22"/>
        <v>#VALUE!</v>
      </c>
      <c r="AW135" s="1" t="e">
        <f t="shared" si="23"/>
        <v>#VALUE!</v>
      </c>
    </row>
    <row r="136" spans="1:49" x14ac:dyDescent="0.2">
      <c r="A136">
        <v>134</v>
      </c>
      <c r="B136" t="s">
        <v>723</v>
      </c>
      <c r="C136" t="s">
        <v>722</v>
      </c>
      <c r="F136" t="s">
        <v>721</v>
      </c>
      <c r="G136" t="s">
        <v>4</v>
      </c>
      <c r="H136" t="s">
        <v>3</v>
      </c>
      <c r="I136" t="s">
        <v>720</v>
      </c>
      <c r="J136">
        <v>60025555</v>
      </c>
      <c r="K136" t="s">
        <v>51</v>
      </c>
      <c r="L136" t="s">
        <v>25</v>
      </c>
      <c r="M136" t="s">
        <v>24</v>
      </c>
      <c r="N136">
        <v>2</v>
      </c>
      <c r="O136" t="s">
        <v>719</v>
      </c>
      <c r="P136" t="s">
        <v>718</v>
      </c>
      <c r="Q136" t="s">
        <v>136</v>
      </c>
      <c r="R136" s="7">
        <v>32387</v>
      </c>
      <c r="S136" s="8">
        <f t="shared" si="16"/>
        <v>1988</v>
      </c>
      <c r="T136" s="8">
        <v>1988</v>
      </c>
      <c r="U136" s="8">
        <f t="shared" si="17"/>
        <v>34</v>
      </c>
      <c r="V136" s="7">
        <v>32387</v>
      </c>
      <c r="W136" s="11" t="s">
        <v>147</v>
      </c>
      <c r="X136" s="2">
        <v>2.383</v>
      </c>
      <c r="Y136" s="6">
        <f t="shared" si="18"/>
        <v>6.3612824003630442E-2</v>
      </c>
      <c r="AA136">
        <v>1437070</v>
      </c>
      <c r="AB136">
        <v>39742</v>
      </c>
      <c r="AD136" t="s">
        <v>1</v>
      </c>
      <c r="AE136">
        <v>135</v>
      </c>
      <c r="AF136">
        <v>4</v>
      </c>
      <c r="AH136" t="s">
        <v>717</v>
      </c>
      <c r="AI136" t="s">
        <v>716</v>
      </c>
      <c r="AJ136" t="s">
        <v>692</v>
      </c>
      <c r="AK136" t="s">
        <v>715</v>
      </c>
      <c r="AL136">
        <v>10</v>
      </c>
      <c r="AM136" s="5">
        <f t="shared" si="19"/>
        <v>0.29411764705882354</v>
      </c>
      <c r="AN136" s="4">
        <f t="shared" si="20"/>
        <v>4.4546406218678308E-4</v>
      </c>
      <c r="AO136" s="3"/>
      <c r="AP136">
        <v>0</v>
      </c>
      <c r="AR136" t="s">
        <v>0</v>
      </c>
      <c r="AT136" s="2" t="s">
        <v>5</v>
      </c>
      <c r="AU136" s="1">
        <f t="shared" si="21"/>
        <v>4.4662616021197348</v>
      </c>
      <c r="AV136" s="1">
        <f t="shared" si="22"/>
        <v>3.2029144032908614</v>
      </c>
      <c r="AW136" s="1">
        <f t="shared" si="23"/>
        <v>1.939567204461988</v>
      </c>
    </row>
    <row r="137" spans="1:49" x14ac:dyDescent="0.2">
      <c r="A137">
        <v>135</v>
      </c>
      <c r="B137" t="s">
        <v>714</v>
      </c>
      <c r="C137" t="s">
        <v>713</v>
      </c>
      <c r="F137" t="s">
        <v>712</v>
      </c>
      <c r="G137" t="s">
        <v>4</v>
      </c>
      <c r="H137" t="s">
        <v>3</v>
      </c>
      <c r="I137" t="s">
        <v>711</v>
      </c>
      <c r="J137" t="s">
        <v>710</v>
      </c>
      <c r="K137" t="s">
        <v>709</v>
      </c>
      <c r="L137" t="s">
        <v>708</v>
      </c>
      <c r="M137" t="s">
        <v>166</v>
      </c>
      <c r="N137">
        <v>3</v>
      </c>
      <c r="O137" t="s">
        <v>707</v>
      </c>
      <c r="P137" t="s">
        <v>706</v>
      </c>
      <c r="Q137" t="s">
        <v>705</v>
      </c>
      <c r="R137" s="7">
        <v>32387</v>
      </c>
      <c r="S137" s="8">
        <f t="shared" si="16"/>
        <v>1988</v>
      </c>
      <c r="T137" s="8">
        <v>1988</v>
      </c>
      <c r="U137" s="8">
        <f t="shared" si="17"/>
        <v>34</v>
      </c>
      <c r="V137" s="7">
        <v>32387</v>
      </c>
      <c r="W137" s="11" t="s">
        <v>147</v>
      </c>
      <c r="X137" s="2">
        <v>2.383</v>
      </c>
      <c r="Y137" s="6">
        <f t="shared" si="18"/>
        <v>6.3612824003630442E-2</v>
      </c>
      <c r="AA137">
        <v>1437070</v>
      </c>
      <c r="AB137">
        <v>39742</v>
      </c>
      <c r="AD137" t="s">
        <v>1</v>
      </c>
      <c r="AE137">
        <v>135</v>
      </c>
      <c r="AF137">
        <v>4</v>
      </c>
      <c r="AH137" t="s">
        <v>704</v>
      </c>
      <c r="AI137" t="s">
        <v>703</v>
      </c>
      <c r="AJ137" t="s">
        <v>692</v>
      </c>
      <c r="AK137" t="s">
        <v>702</v>
      </c>
      <c r="AL137">
        <v>2</v>
      </c>
      <c r="AM137" s="5">
        <f t="shared" si="19"/>
        <v>5.8823529411764705E-2</v>
      </c>
      <c r="AN137" s="4">
        <f t="shared" si="20"/>
        <v>8.9092812437356614E-5</v>
      </c>
      <c r="AO137" s="3"/>
      <c r="AP137">
        <v>0</v>
      </c>
      <c r="AR137" t="s">
        <v>0</v>
      </c>
      <c r="AT137" s="2" t="s">
        <v>5</v>
      </c>
      <c r="AU137" s="1">
        <f t="shared" si="21"/>
        <v>4.455570464627252</v>
      </c>
      <c r="AV137" s="1">
        <f t="shared" si="22"/>
        <v>3.1850958408033896</v>
      </c>
      <c r="AW137" s="1">
        <f t="shared" si="23"/>
        <v>1.914621216979528</v>
      </c>
    </row>
    <row r="138" spans="1:49" x14ac:dyDescent="0.2">
      <c r="A138">
        <v>136</v>
      </c>
      <c r="B138" t="s">
        <v>701</v>
      </c>
      <c r="C138" t="s">
        <v>700</v>
      </c>
      <c r="F138" t="s">
        <v>699</v>
      </c>
      <c r="G138" t="s">
        <v>4</v>
      </c>
      <c r="H138" t="s">
        <v>3</v>
      </c>
      <c r="I138" t="s">
        <v>698</v>
      </c>
      <c r="J138">
        <v>60003500</v>
      </c>
      <c r="K138" t="s">
        <v>70</v>
      </c>
      <c r="L138" t="s">
        <v>69</v>
      </c>
      <c r="M138" t="s">
        <v>10</v>
      </c>
      <c r="N138">
        <v>5</v>
      </c>
      <c r="O138" t="s">
        <v>697</v>
      </c>
      <c r="P138" t="s">
        <v>696</v>
      </c>
      <c r="Q138" t="s">
        <v>695</v>
      </c>
      <c r="R138" s="7">
        <v>32387</v>
      </c>
      <c r="S138" s="8">
        <f t="shared" si="16"/>
        <v>1988</v>
      </c>
      <c r="T138" s="8">
        <v>1988</v>
      </c>
      <c r="U138" s="8">
        <f t="shared" si="17"/>
        <v>34</v>
      </c>
      <c r="V138" s="7">
        <v>32387</v>
      </c>
      <c r="W138" s="11" t="s">
        <v>147</v>
      </c>
      <c r="X138" s="2">
        <v>2.383</v>
      </c>
      <c r="Y138" s="6">
        <f t="shared" si="18"/>
        <v>6.3612824003630442E-2</v>
      </c>
      <c r="AA138">
        <v>1437070</v>
      </c>
      <c r="AB138">
        <v>39742</v>
      </c>
      <c r="AD138" t="s">
        <v>1</v>
      </c>
      <c r="AE138">
        <v>135</v>
      </c>
      <c r="AF138">
        <v>4</v>
      </c>
      <c r="AH138" t="s">
        <v>694</v>
      </c>
      <c r="AI138" t="s">
        <v>693</v>
      </c>
      <c r="AJ138" t="s">
        <v>692</v>
      </c>
      <c r="AK138" t="s">
        <v>691</v>
      </c>
      <c r="AL138">
        <v>11</v>
      </c>
      <c r="AM138" s="5">
        <f t="shared" si="19"/>
        <v>0.3235294117647059</v>
      </c>
      <c r="AN138" s="4">
        <f t="shared" si="20"/>
        <v>4.9001046840546137E-4</v>
      </c>
      <c r="AO138" s="3"/>
      <c r="AP138">
        <v>0</v>
      </c>
      <c r="AR138" t="s">
        <v>0</v>
      </c>
      <c r="AT138" s="2" t="s">
        <v>5</v>
      </c>
      <c r="AU138" s="1">
        <f t="shared" si="21"/>
        <v>4.4675979943062947</v>
      </c>
      <c r="AV138" s="1">
        <f t="shared" si="22"/>
        <v>3.2051417236017956</v>
      </c>
      <c r="AW138" s="1">
        <f t="shared" si="23"/>
        <v>1.9426854528972957</v>
      </c>
    </row>
    <row r="139" spans="1:49" x14ac:dyDescent="0.2">
      <c r="A139">
        <v>137</v>
      </c>
      <c r="B139" t="s">
        <v>690</v>
      </c>
      <c r="C139" t="s">
        <v>689</v>
      </c>
      <c r="F139" t="s">
        <v>688</v>
      </c>
      <c r="G139" t="s">
        <v>4</v>
      </c>
      <c r="H139" t="s">
        <v>3</v>
      </c>
      <c r="I139" t="s">
        <v>687</v>
      </c>
      <c r="J139" t="s">
        <v>686</v>
      </c>
      <c r="K139" t="s">
        <v>685</v>
      </c>
      <c r="L139" t="s">
        <v>684</v>
      </c>
      <c r="M139" t="s">
        <v>74</v>
      </c>
      <c r="N139">
        <v>3</v>
      </c>
      <c r="O139" t="s">
        <v>683</v>
      </c>
      <c r="P139" t="s">
        <v>682</v>
      </c>
      <c r="Q139" t="s">
        <v>681</v>
      </c>
      <c r="R139" s="7">
        <v>32387</v>
      </c>
      <c r="S139" s="8">
        <f t="shared" si="16"/>
        <v>1988</v>
      </c>
      <c r="T139" s="8">
        <v>1988</v>
      </c>
      <c r="U139" s="8">
        <f t="shared" si="17"/>
        <v>34</v>
      </c>
      <c r="V139" s="7">
        <v>32387</v>
      </c>
      <c r="W139" s="11" t="s">
        <v>147</v>
      </c>
      <c r="X139" s="2">
        <v>2.383</v>
      </c>
      <c r="Y139" s="6">
        <f t="shared" si="18"/>
        <v>6.3612824003630442E-2</v>
      </c>
      <c r="AA139">
        <v>1437070</v>
      </c>
      <c r="AB139">
        <v>39742</v>
      </c>
      <c r="AD139" t="s">
        <v>1</v>
      </c>
      <c r="AE139">
        <v>135</v>
      </c>
      <c r="AF139">
        <v>4</v>
      </c>
      <c r="AH139" t="s">
        <v>680</v>
      </c>
      <c r="AI139" t="s">
        <v>679</v>
      </c>
      <c r="AJ139" t="s">
        <v>678</v>
      </c>
      <c r="AK139" t="s">
        <v>677</v>
      </c>
      <c r="AL139">
        <v>253</v>
      </c>
      <c r="AM139" s="5">
        <f t="shared" si="19"/>
        <v>7.4411764705882355</v>
      </c>
      <c r="AN139" s="4">
        <f t="shared" si="20"/>
        <v>1.1270240773325613E-2</v>
      </c>
      <c r="AO139" s="3"/>
      <c r="AP139">
        <v>0</v>
      </c>
      <c r="AR139" t="s">
        <v>0</v>
      </c>
      <c r="AT139" s="2" t="s">
        <v>5</v>
      </c>
      <c r="AU139" s="1">
        <f t="shared" si="21"/>
        <v>4.7910049034538993</v>
      </c>
      <c r="AV139" s="1">
        <f t="shared" si="22"/>
        <v>3.7441532388478027</v>
      </c>
      <c r="AW139" s="1">
        <f t="shared" si="23"/>
        <v>2.6973015742417061</v>
      </c>
    </row>
    <row r="140" spans="1:49" x14ac:dyDescent="0.2">
      <c r="A140">
        <v>138</v>
      </c>
      <c r="B140" t="s">
        <v>676</v>
      </c>
      <c r="C140" t="s">
        <v>675</v>
      </c>
      <c r="F140" t="s">
        <v>674</v>
      </c>
      <c r="G140" t="s">
        <v>4</v>
      </c>
      <c r="H140" t="s">
        <v>3</v>
      </c>
      <c r="I140" t="s">
        <v>673</v>
      </c>
      <c r="J140">
        <v>60001881</v>
      </c>
      <c r="K140" t="s">
        <v>58</v>
      </c>
      <c r="L140" t="s">
        <v>57</v>
      </c>
      <c r="M140" t="s">
        <v>56</v>
      </c>
      <c r="N140">
        <v>2</v>
      </c>
      <c r="O140" t="s">
        <v>672</v>
      </c>
      <c r="P140" t="s">
        <v>671</v>
      </c>
      <c r="Q140" t="s">
        <v>670</v>
      </c>
      <c r="R140" s="7">
        <v>32387</v>
      </c>
      <c r="S140" s="8">
        <f t="shared" si="16"/>
        <v>1988</v>
      </c>
      <c r="T140" s="8">
        <v>1988</v>
      </c>
      <c r="U140" s="8">
        <f t="shared" si="17"/>
        <v>34</v>
      </c>
      <c r="V140" s="7">
        <v>32387</v>
      </c>
      <c r="W140" s="11" t="s">
        <v>147</v>
      </c>
      <c r="X140" s="2">
        <v>2.383</v>
      </c>
      <c r="Y140" s="6">
        <f t="shared" si="18"/>
        <v>6.3612824003630442E-2</v>
      </c>
      <c r="AA140">
        <v>1437070</v>
      </c>
      <c r="AB140">
        <v>39742</v>
      </c>
      <c r="AD140" t="s">
        <v>1</v>
      </c>
      <c r="AE140">
        <v>135</v>
      </c>
      <c r="AF140">
        <v>4</v>
      </c>
      <c r="AH140" t="s">
        <v>669</v>
      </c>
      <c r="AI140" t="s">
        <v>668</v>
      </c>
      <c r="AJ140" t="s">
        <v>667</v>
      </c>
      <c r="AK140" t="s">
        <v>666</v>
      </c>
      <c r="AL140">
        <v>19</v>
      </c>
      <c r="AM140" s="5">
        <f t="shared" si="19"/>
        <v>0.55882352941176472</v>
      </c>
      <c r="AN140" s="4">
        <f t="shared" si="20"/>
        <v>8.4638171815488788E-4</v>
      </c>
      <c r="AO140" s="3"/>
      <c r="AP140">
        <v>0</v>
      </c>
      <c r="AR140" t="s">
        <v>0</v>
      </c>
      <c r="AT140" s="2" t="s">
        <v>5</v>
      </c>
      <c r="AU140" s="1">
        <f t="shared" si="21"/>
        <v>4.4782891317987774</v>
      </c>
      <c r="AV140" s="1">
        <f t="shared" si="22"/>
        <v>3.2229602860892665</v>
      </c>
      <c r="AW140" s="1">
        <f t="shared" si="23"/>
        <v>1.9676314403797555</v>
      </c>
    </row>
    <row r="141" spans="1:49" x14ac:dyDescent="0.2">
      <c r="A141">
        <v>139</v>
      </c>
      <c r="B141" t="s">
        <v>665</v>
      </c>
      <c r="C141" t="s">
        <v>664</v>
      </c>
      <c r="F141" t="s">
        <v>663</v>
      </c>
      <c r="G141" t="s">
        <v>4</v>
      </c>
      <c r="H141" t="s">
        <v>3</v>
      </c>
      <c r="I141" t="s">
        <v>67</v>
      </c>
      <c r="J141" t="s">
        <v>657</v>
      </c>
      <c r="K141" t="s">
        <v>662</v>
      </c>
      <c r="L141" t="s">
        <v>661</v>
      </c>
      <c r="M141" t="s">
        <v>660</v>
      </c>
      <c r="N141">
        <v>2</v>
      </c>
      <c r="O141" t="s">
        <v>659</v>
      </c>
      <c r="P141" t="s">
        <v>658</v>
      </c>
      <c r="Q141" t="s">
        <v>657</v>
      </c>
      <c r="R141" s="7">
        <v>32387</v>
      </c>
      <c r="S141" s="8">
        <f t="shared" si="16"/>
        <v>1988</v>
      </c>
      <c r="T141" s="8">
        <v>1988</v>
      </c>
      <c r="U141" s="8">
        <f t="shared" si="17"/>
        <v>34</v>
      </c>
      <c r="V141" s="7">
        <v>32387</v>
      </c>
      <c r="W141" s="11" t="s">
        <v>147</v>
      </c>
      <c r="X141" s="2">
        <v>2.383</v>
      </c>
      <c r="Y141" s="6">
        <f t="shared" si="18"/>
        <v>6.3612824003630442E-2</v>
      </c>
      <c r="AA141">
        <v>1437070</v>
      </c>
      <c r="AB141">
        <v>39742</v>
      </c>
      <c r="AD141" t="s">
        <v>1</v>
      </c>
      <c r="AE141">
        <v>135</v>
      </c>
      <c r="AF141">
        <v>3</v>
      </c>
      <c r="AH141" t="s">
        <v>656</v>
      </c>
      <c r="AI141" t="s">
        <v>655</v>
      </c>
      <c r="AJ141" t="s">
        <v>654</v>
      </c>
      <c r="AK141" t="s">
        <v>653</v>
      </c>
      <c r="AL141">
        <v>2</v>
      </c>
      <c r="AM141" s="5">
        <f t="shared" si="19"/>
        <v>5.8823529411764705E-2</v>
      </c>
      <c r="AN141" s="4">
        <f t="shared" si="20"/>
        <v>8.9092812437356614E-5</v>
      </c>
      <c r="AO141" s="3"/>
      <c r="AP141">
        <v>0</v>
      </c>
      <c r="AR141" t="s">
        <v>0</v>
      </c>
      <c r="AT141" s="2" t="s">
        <v>5</v>
      </c>
      <c r="AU141" s="1">
        <f t="shared" si="21"/>
        <v>4.455570464627252</v>
      </c>
      <c r="AV141" s="1">
        <f t="shared" si="22"/>
        <v>3.1850958408033896</v>
      </c>
      <c r="AW141" s="1">
        <f t="shared" si="23"/>
        <v>1.914621216979528</v>
      </c>
    </row>
    <row r="142" spans="1:49" x14ac:dyDescent="0.2">
      <c r="A142">
        <v>140</v>
      </c>
      <c r="B142" t="s">
        <v>652</v>
      </c>
      <c r="C142" t="s">
        <v>651</v>
      </c>
      <c r="F142" t="s">
        <v>650</v>
      </c>
      <c r="G142" t="s">
        <v>4</v>
      </c>
      <c r="H142" t="s">
        <v>3</v>
      </c>
      <c r="I142" t="s">
        <v>649</v>
      </c>
      <c r="J142">
        <v>60031828</v>
      </c>
      <c r="K142" t="s">
        <v>127</v>
      </c>
      <c r="L142" t="s">
        <v>126</v>
      </c>
      <c r="M142" t="s">
        <v>39</v>
      </c>
      <c r="N142">
        <v>2</v>
      </c>
      <c r="O142" t="s">
        <v>648</v>
      </c>
      <c r="P142" t="s">
        <v>647</v>
      </c>
      <c r="Q142" t="s">
        <v>125</v>
      </c>
      <c r="R142" s="7">
        <v>32387</v>
      </c>
      <c r="S142" s="8">
        <f t="shared" si="16"/>
        <v>1988</v>
      </c>
      <c r="T142" s="8">
        <v>1988</v>
      </c>
      <c r="U142" s="8">
        <f t="shared" si="17"/>
        <v>34</v>
      </c>
      <c r="V142" s="7">
        <v>32387</v>
      </c>
      <c r="W142" s="11" t="s">
        <v>147</v>
      </c>
      <c r="X142" s="2">
        <v>2.383</v>
      </c>
      <c r="Y142" s="6">
        <f t="shared" si="18"/>
        <v>6.3612824003630442E-2</v>
      </c>
      <c r="AA142">
        <v>1437070</v>
      </c>
      <c r="AB142">
        <v>39742</v>
      </c>
      <c r="AD142" t="s">
        <v>1</v>
      </c>
      <c r="AE142">
        <v>135</v>
      </c>
      <c r="AF142">
        <v>1</v>
      </c>
      <c r="AH142" t="s">
        <v>646</v>
      </c>
      <c r="AI142" t="s">
        <v>645</v>
      </c>
      <c r="AJ142" t="s">
        <v>644</v>
      </c>
      <c r="AK142" t="s">
        <v>643</v>
      </c>
      <c r="AL142">
        <v>0</v>
      </c>
      <c r="AM142" s="5">
        <f t="shared" si="19"/>
        <v>0</v>
      </c>
      <c r="AN142" s="4">
        <f t="shared" si="20"/>
        <v>0</v>
      </c>
      <c r="AO142" s="3"/>
      <c r="AP142">
        <v>0</v>
      </c>
      <c r="AR142" t="s">
        <v>0</v>
      </c>
      <c r="AT142" s="2" t="s">
        <v>5</v>
      </c>
      <c r="AU142" s="1">
        <f t="shared" si="21"/>
        <v>4.4528976802541305</v>
      </c>
      <c r="AV142" s="1">
        <f t="shared" si="22"/>
        <v>3.1806412001815221</v>
      </c>
      <c r="AW142" s="1">
        <f t="shared" si="23"/>
        <v>1.9083847201089132</v>
      </c>
    </row>
    <row r="143" spans="1:49" x14ac:dyDescent="0.2">
      <c r="A143">
        <v>141</v>
      </c>
      <c r="B143" t="s">
        <v>642</v>
      </c>
      <c r="C143" t="s">
        <v>641</v>
      </c>
      <c r="F143" t="s">
        <v>640</v>
      </c>
      <c r="G143" t="s">
        <v>4</v>
      </c>
      <c r="H143" t="s">
        <v>3</v>
      </c>
      <c r="I143" t="s">
        <v>639</v>
      </c>
      <c r="J143">
        <v>60005811</v>
      </c>
      <c r="K143" t="s">
        <v>638</v>
      </c>
      <c r="L143" t="s">
        <v>637</v>
      </c>
      <c r="M143" t="s">
        <v>11</v>
      </c>
      <c r="N143">
        <v>1</v>
      </c>
      <c r="O143" t="s">
        <v>636</v>
      </c>
      <c r="P143">
        <v>7004196658</v>
      </c>
      <c r="Q143">
        <v>60005811</v>
      </c>
      <c r="R143" s="7">
        <v>32387</v>
      </c>
      <c r="S143" s="8">
        <f t="shared" si="16"/>
        <v>1988</v>
      </c>
      <c r="T143" s="8">
        <v>1988</v>
      </c>
      <c r="U143" s="8">
        <f t="shared" si="17"/>
        <v>34</v>
      </c>
      <c r="V143" s="7">
        <v>32387</v>
      </c>
      <c r="W143" s="11" t="s">
        <v>147</v>
      </c>
      <c r="X143" s="2">
        <v>2.383</v>
      </c>
      <c r="Y143" s="6">
        <f t="shared" si="18"/>
        <v>6.3612824003630442E-2</v>
      </c>
      <c r="AA143">
        <v>1437070</v>
      </c>
      <c r="AB143">
        <v>39742</v>
      </c>
      <c r="AD143" t="s">
        <v>1</v>
      </c>
      <c r="AE143">
        <v>135</v>
      </c>
      <c r="AF143">
        <v>1</v>
      </c>
      <c r="AH143" s="9">
        <v>44476</v>
      </c>
      <c r="AI143" t="s">
        <v>635</v>
      </c>
      <c r="AJ143" t="s">
        <v>634</v>
      </c>
      <c r="AK143" t="s">
        <v>633</v>
      </c>
      <c r="AL143">
        <v>28</v>
      </c>
      <c r="AM143" s="5">
        <f t="shared" si="19"/>
        <v>0.82352941176470584</v>
      </c>
      <c r="AN143" s="4">
        <f t="shared" si="20"/>
        <v>1.2472993741229927E-3</v>
      </c>
      <c r="AO143" s="3"/>
      <c r="AP143">
        <v>0</v>
      </c>
      <c r="AR143" t="s">
        <v>0</v>
      </c>
      <c r="AT143" s="2" t="s">
        <v>5</v>
      </c>
      <c r="AU143" s="1">
        <f t="shared" si="21"/>
        <v>4.4903166614778209</v>
      </c>
      <c r="AV143" s="1">
        <f t="shared" si="22"/>
        <v>3.2430061688876717</v>
      </c>
      <c r="AW143" s="1">
        <f t="shared" si="23"/>
        <v>1.9956956762975226</v>
      </c>
    </row>
    <row r="144" spans="1:49" x14ac:dyDescent="0.2">
      <c r="A144">
        <v>142</v>
      </c>
      <c r="B144" t="s">
        <v>632</v>
      </c>
      <c r="C144" t="s">
        <v>631</v>
      </c>
      <c r="F144" t="s">
        <v>630</v>
      </c>
      <c r="G144" t="s">
        <v>4</v>
      </c>
      <c r="H144" t="s">
        <v>3</v>
      </c>
      <c r="I144" t="s">
        <v>629</v>
      </c>
      <c r="J144">
        <v>60021859</v>
      </c>
      <c r="K144" t="s">
        <v>628</v>
      </c>
      <c r="L144" t="s">
        <v>627</v>
      </c>
      <c r="M144" t="s">
        <v>72</v>
      </c>
      <c r="N144">
        <v>3</v>
      </c>
      <c r="O144" t="s">
        <v>626</v>
      </c>
      <c r="P144" t="s">
        <v>625</v>
      </c>
      <c r="Q144" t="s">
        <v>624</v>
      </c>
      <c r="R144" s="7">
        <v>32387</v>
      </c>
      <c r="S144" s="8">
        <f t="shared" si="16"/>
        <v>1988</v>
      </c>
      <c r="T144" s="8">
        <v>1988</v>
      </c>
      <c r="U144" s="8">
        <f t="shared" si="17"/>
        <v>34</v>
      </c>
      <c r="V144" s="7">
        <v>32387</v>
      </c>
      <c r="W144" s="11" t="s">
        <v>147</v>
      </c>
      <c r="X144" s="2">
        <v>2.383</v>
      </c>
      <c r="Y144" s="6">
        <f t="shared" si="18"/>
        <v>6.3612824003630442E-2</v>
      </c>
      <c r="AA144">
        <v>1437070</v>
      </c>
      <c r="AB144">
        <v>39742</v>
      </c>
      <c r="AD144" t="s">
        <v>1</v>
      </c>
      <c r="AE144">
        <v>135</v>
      </c>
      <c r="AF144">
        <v>1</v>
      </c>
      <c r="AH144" t="s">
        <v>623</v>
      </c>
      <c r="AI144" t="s">
        <v>622</v>
      </c>
      <c r="AJ144" t="s">
        <v>621</v>
      </c>
      <c r="AK144" t="s">
        <v>620</v>
      </c>
      <c r="AL144">
        <v>35</v>
      </c>
      <c r="AM144" s="5">
        <f t="shared" si="19"/>
        <v>1.0294117647058822</v>
      </c>
      <c r="AN144" s="4">
        <f t="shared" si="20"/>
        <v>1.5591242176537406E-3</v>
      </c>
      <c r="AO144" s="3"/>
      <c r="AP144">
        <v>0</v>
      </c>
      <c r="AR144" t="s">
        <v>0</v>
      </c>
      <c r="AT144" s="2" t="s">
        <v>5</v>
      </c>
      <c r="AU144" s="1">
        <f t="shared" si="21"/>
        <v>4.4996714067837429</v>
      </c>
      <c r="AV144" s="1">
        <f t="shared" si="22"/>
        <v>3.2585974110642089</v>
      </c>
      <c r="AW144" s="1">
        <f t="shared" si="23"/>
        <v>2.0175234153446753</v>
      </c>
    </row>
    <row r="145" spans="1:49" x14ac:dyDescent="0.2">
      <c r="A145">
        <v>143</v>
      </c>
      <c r="B145" t="s">
        <v>619</v>
      </c>
      <c r="C145" t="s">
        <v>618</v>
      </c>
      <c r="F145" t="s">
        <v>617</v>
      </c>
      <c r="G145" t="s">
        <v>4</v>
      </c>
      <c r="H145" t="s">
        <v>3</v>
      </c>
      <c r="I145" t="s">
        <v>108</v>
      </c>
      <c r="J145" t="s">
        <v>104</v>
      </c>
      <c r="K145" t="s">
        <v>107</v>
      </c>
      <c r="L145" t="s">
        <v>106</v>
      </c>
      <c r="M145" t="s">
        <v>105</v>
      </c>
      <c r="N145">
        <v>3</v>
      </c>
      <c r="O145" t="s">
        <v>616</v>
      </c>
      <c r="P145" t="s">
        <v>615</v>
      </c>
      <c r="Q145" t="s">
        <v>148</v>
      </c>
      <c r="R145" s="7">
        <v>32387</v>
      </c>
      <c r="S145" s="8">
        <f t="shared" si="16"/>
        <v>1988</v>
      </c>
      <c r="T145" s="8">
        <v>1988</v>
      </c>
      <c r="U145" s="8">
        <f t="shared" si="17"/>
        <v>34</v>
      </c>
      <c r="V145" s="7">
        <v>32387</v>
      </c>
      <c r="W145" s="11" t="s">
        <v>147</v>
      </c>
      <c r="X145" s="2">
        <v>2.383</v>
      </c>
      <c r="Y145" s="6">
        <f t="shared" si="18"/>
        <v>6.3612824003630442E-2</v>
      </c>
      <c r="AA145">
        <v>1437070</v>
      </c>
      <c r="AB145">
        <v>39742</v>
      </c>
      <c r="AD145" t="s">
        <v>1</v>
      </c>
      <c r="AE145">
        <v>135</v>
      </c>
      <c r="AF145">
        <v>1</v>
      </c>
      <c r="AH145" s="10">
        <v>43040</v>
      </c>
      <c r="AI145" t="s">
        <v>614</v>
      </c>
      <c r="AJ145" t="s">
        <v>146</v>
      </c>
      <c r="AK145" t="s">
        <v>613</v>
      </c>
      <c r="AL145">
        <v>45</v>
      </c>
      <c r="AM145" s="5">
        <f t="shared" si="19"/>
        <v>1.3235294117647058</v>
      </c>
      <c r="AN145" s="4">
        <f t="shared" si="20"/>
        <v>2.0045882798405239E-3</v>
      </c>
      <c r="AO145" s="3"/>
      <c r="AP145">
        <v>0</v>
      </c>
      <c r="AR145" t="s">
        <v>0</v>
      </c>
      <c r="AT145" s="2" t="s">
        <v>5</v>
      </c>
      <c r="AU145" s="1">
        <f t="shared" si="21"/>
        <v>4.5130353286493463</v>
      </c>
      <c r="AV145" s="1">
        <f t="shared" si="22"/>
        <v>3.2808706141735486</v>
      </c>
      <c r="AW145" s="1">
        <f t="shared" si="23"/>
        <v>2.0487058996977501</v>
      </c>
    </row>
    <row r="146" spans="1:49" x14ac:dyDescent="0.2">
      <c r="A146">
        <v>144</v>
      </c>
      <c r="B146" t="s">
        <v>612</v>
      </c>
      <c r="C146" t="s">
        <v>611</v>
      </c>
      <c r="E146">
        <v>3193377</v>
      </c>
      <c r="F146" t="s">
        <v>610</v>
      </c>
      <c r="G146" t="s">
        <v>4</v>
      </c>
      <c r="H146" t="s">
        <v>3</v>
      </c>
      <c r="I146" t="s">
        <v>609</v>
      </c>
      <c r="J146">
        <v>60000986</v>
      </c>
      <c r="K146" t="s">
        <v>608</v>
      </c>
      <c r="L146" t="s">
        <v>607</v>
      </c>
      <c r="M146" t="s">
        <v>10</v>
      </c>
      <c r="N146">
        <v>2</v>
      </c>
      <c r="O146" t="s">
        <v>606</v>
      </c>
      <c r="P146" t="s">
        <v>605</v>
      </c>
      <c r="Q146" t="s">
        <v>604</v>
      </c>
      <c r="R146" s="7">
        <v>32387</v>
      </c>
      <c r="S146" s="8">
        <f t="shared" si="16"/>
        <v>1988</v>
      </c>
      <c r="T146" s="8">
        <v>1988</v>
      </c>
      <c r="U146" s="8">
        <f t="shared" si="17"/>
        <v>34</v>
      </c>
      <c r="V146" s="7">
        <v>32387</v>
      </c>
      <c r="W146" t="s">
        <v>228</v>
      </c>
      <c r="X146" s="2">
        <v>0.8</v>
      </c>
      <c r="Y146" s="6">
        <f t="shared" si="18"/>
        <v>2.1355543098155415E-2</v>
      </c>
      <c r="AA146">
        <v>3407594</v>
      </c>
      <c r="AB146">
        <v>23456</v>
      </c>
      <c r="AC146">
        <v>14321351</v>
      </c>
      <c r="AD146" t="s">
        <v>1</v>
      </c>
      <c r="AE146">
        <v>163</v>
      </c>
      <c r="AF146">
        <v>5</v>
      </c>
      <c r="AH146" t="s">
        <v>603</v>
      </c>
      <c r="AI146" t="s">
        <v>602</v>
      </c>
      <c r="AK146" t="s">
        <v>601</v>
      </c>
      <c r="AL146">
        <v>32</v>
      </c>
      <c r="AM146" s="5">
        <f t="shared" si="19"/>
        <v>0.94117647058823528</v>
      </c>
      <c r="AN146" s="4">
        <f t="shared" si="20"/>
        <v>1.4254849989977058E-3</v>
      </c>
      <c r="AO146" s="3"/>
      <c r="AP146">
        <v>0</v>
      </c>
      <c r="AQ146" t="s">
        <v>157</v>
      </c>
      <c r="AR146" t="s">
        <v>600</v>
      </c>
      <c r="AS146" t="s">
        <v>156</v>
      </c>
      <c r="AT146" s="2" t="s">
        <v>5</v>
      </c>
      <c r="AU146" s="1">
        <f t="shared" si="21"/>
        <v>1.5376525668408101</v>
      </c>
      <c r="AV146" s="1">
        <f t="shared" si="22"/>
        <v>1.1390514048576561</v>
      </c>
      <c r="AW146" s="1">
        <f t="shared" si="23"/>
        <v>0.74045024287450179</v>
      </c>
    </row>
    <row r="147" spans="1:49" x14ac:dyDescent="0.2">
      <c r="A147">
        <v>145</v>
      </c>
      <c r="B147" t="s">
        <v>599</v>
      </c>
      <c r="C147" t="s">
        <v>598</v>
      </c>
      <c r="F147" t="s">
        <v>597</v>
      </c>
      <c r="G147" t="s">
        <v>4</v>
      </c>
      <c r="H147" t="s">
        <v>3</v>
      </c>
      <c r="I147" t="s">
        <v>596</v>
      </c>
      <c r="J147">
        <v>60011226</v>
      </c>
      <c r="K147" t="s">
        <v>595</v>
      </c>
      <c r="L147" t="s">
        <v>144</v>
      </c>
      <c r="M147" t="s">
        <v>11</v>
      </c>
      <c r="N147">
        <v>1</v>
      </c>
      <c r="O147" t="s">
        <v>594</v>
      </c>
      <c r="P147">
        <v>7402267836</v>
      </c>
      <c r="Q147">
        <v>60011226</v>
      </c>
      <c r="R147" s="7">
        <v>32387</v>
      </c>
      <c r="S147" s="8">
        <f t="shared" si="16"/>
        <v>1988</v>
      </c>
      <c r="T147" s="8">
        <v>1988</v>
      </c>
      <c r="U147" s="8">
        <f t="shared" si="17"/>
        <v>34</v>
      </c>
      <c r="V147" s="7">
        <v>32387</v>
      </c>
      <c r="W147" t="s">
        <v>228</v>
      </c>
      <c r="X147" s="2">
        <v>0.8</v>
      </c>
      <c r="Y147" s="6">
        <f t="shared" si="18"/>
        <v>2.1355543098155415E-2</v>
      </c>
      <c r="AA147">
        <v>3407594</v>
      </c>
      <c r="AB147">
        <v>23456</v>
      </c>
      <c r="AC147">
        <v>14321351</v>
      </c>
      <c r="AD147" t="s">
        <v>1</v>
      </c>
      <c r="AE147">
        <v>163</v>
      </c>
      <c r="AF147">
        <v>5</v>
      </c>
      <c r="AH147" t="s">
        <v>593</v>
      </c>
      <c r="AI147" t="s">
        <v>592</v>
      </c>
      <c r="AK147" t="s">
        <v>591</v>
      </c>
      <c r="AL147">
        <v>108</v>
      </c>
      <c r="AM147" s="5">
        <f t="shared" si="19"/>
        <v>3.1764705882352939</v>
      </c>
      <c r="AN147" s="4">
        <f t="shared" si="20"/>
        <v>4.8110118716172571E-3</v>
      </c>
      <c r="AO147" s="3"/>
      <c r="AP147">
        <v>0</v>
      </c>
      <c r="AR147" t="s">
        <v>0</v>
      </c>
      <c r="AT147" s="2" t="s">
        <v>5</v>
      </c>
      <c r="AU147" s="1">
        <f t="shared" si="21"/>
        <v>1.6392183730193965</v>
      </c>
      <c r="AV147" s="1">
        <f t="shared" si="22"/>
        <v>1.3083277484886338</v>
      </c>
      <c r="AW147" s="1">
        <f t="shared" si="23"/>
        <v>0.97743712395787041</v>
      </c>
    </row>
    <row r="148" spans="1:49" x14ac:dyDescent="0.2">
      <c r="A148">
        <v>146</v>
      </c>
      <c r="B148" t="s">
        <v>590</v>
      </c>
      <c r="C148" t="s">
        <v>589</v>
      </c>
      <c r="D148">
        <v>22283688905633</v>
      </c>
      <c r="E148">
        <v>3050133</v>
      </c>
      <c r="F148" t="s">
        <v>588</v>
      </c>
      <c r="G148" t="s">
        <v>4</v>
      </c>
      <c r="H148" t="s">
        <v>3</v>
      </c>
      <c r="I148" t="s">
        <v>174</v>
      </c>
      <c r="J148" t="s">
        <v>587</v>
      </c>
      <c r="K148" t="s">
        <v>586</v>
      </c>
      <c r="L148" t="s">
        <v>585</v>
      </c>
      <c r="M148" t="s">
        <v>74</v>
      </c>
      <c r="N148">
        <v>1</v>
      </c>
      <c r="O148" t="s">
        <v>584</v>
      </c>
      <c r="P148">
        <v>7006010107</v>
      </c>
      <c r="Q148" t="s">
        <v>583</v>
      </c>
      <c r="R148" s="7">
        <v>32375</v>
      </c>
      <c r="S148" s="8">
        <f t="shared" si="16"/>
        <v>1988</v>
      </c>
      <c r="T148" s="8">
        <v>1988</v>
      </c>
      <c r="U148" s="8">
        <f t="shared" si="17"/>
        <v>34</v>
      </c>
      <c r="V148" s="7">
        <v>32375</v>
      </c>
      <c r="W148" t="s">
        <v>582</v>
      </c>
      <c r="X148" s="2">
        <v>3.1890000000000001</v>
      </c>
      <c r="Y148" s="6">
        <f t="shared" si="18"/>
        <v>8.5128533675022031E-2</v>
      </c>
      <c r="AA148">
        <v>222836</v>
      </c>
      <c r="AB148">
        <v>17618</v>
      </c>
      <c r="AD148" t="s">
        <v>1</v>
      </c>
      <c r="AE148">
        <v>202</v>
      </c>
      <c r="AF148">
        <v>4</v>
      </c>
      <c r="AH148" t="s">
        <v>135</v>
      </c>
      <c r="AI148" t="s">
        <v>581</v>
      </c>
      <c r="AK148" t="s">
        <v>580</v>
      </c>
      <c r="AL148">
        <v>35</v>
      </c>
      <c r="AM148" s="5">
        <f t="shared" si="19"/>
        <v>1.0294117647058822</v>
      </c>
      <c r="AN148" s="4">
        <f t="shared" si="20"/>
        <v>1.5591242176537406E-3</v>
      </c>
      <c r="AO148" s="3"/>
      <c r="AP148">
        <v>0</v>
      </c>
      <c r="AR148" t="s">
        <v>0</v>
      </c>
      <c r="AT148" s="2">
        <v>5.4690000000000003</v>
      </c>
      <c r="AU148" s="1">
        <f t="shared" si="21"/>
        <v>6.0057710837811538</v>
      </c>
      <c r="AV148" s="1">
        <f t="shared" si="22"/>
        <v>4.3343828946337881</v>
      </c>
      <c r="AW148" s="1">
        <f t="shared" si="23"/>
        <v>2.6629947054864229</v>
      </c>
    </row>
    <row r="149" spans="1:49" x14ac:dyDescent="0.2">
      <c r="A149">
        <v>147</v>
      </c>
      <c r="B149" t="s">
        <v>579</v>
      </c>
      <c r="C149" t="s">
        <v>578</v>
      </c>
      <c r="F149" t="s">
        <v>577</v>
      </c>
      <c r="G149" t="s">
        <v>4</v>
      </c>
      <c r="H149" t="s">
        <v>3</v>
      </c>
      <c r="I149" t="s">
        <v>576</v>
      </c>
      <c r="N149">
        <v>3</v>
      </c>
      <c r="O149" t="s">
        <v>575</v>
      </c>
      <c r="P149" t="s">
        <v>574</v>
      </c>
      <c r="Q149" t="s">
        <v>44</v>
      </c>
      <c r="R149" s="7">
        <v>32356</v>
      </c>
      <c r="S149" s="8">
        <f t="shared" si="16"/>
        <v>1988</v>
      </c>
      <c r="T149" s="8">
        <v>1988</v>
      </c>
      <c r="U149" s="8">
        <f t="shared" si="17"/>
        <v>34</v>
      </c>
      <c r="V149" s="7">
        <v>32356</v>
      </c>
      <c r="W149" t="s">
        <v>220</v>
      </c>
      <c r="X149" s="2">
        <v>0.14899999999999999</v>
      </c>
      <c r="Y149" s="6">
        <f t="shared" si="18"/>
        <v>3.977469902031446E-3</v>
      </c>
      <c r="AA149">
        <v>5431972</v>
      </c>
      <c r="AB149">
        <v>15425</v>
      </c>
      <c r="AC149">
        <v>15738906</v>
      </c>
      <c r="AD149" t="s">
        <v>1</v>
      </c>
      <c r="AE149">
        <v>31</v>
      </c>
      <c r="AF149">
        <v>8</v>
      </c>
      <c r="AH149" t="s">
        <v>573</v>
      </c>
      <c r="AL149">
        <v>0</v>
      </c>
      <c r="AM149" s="5">
        <f t="shared" si="19"/>
        <v>0</v>
      </c>
      <c r="AN149" s="4">
        <f t="shared" si="20"/>
        <v>0</v>
      </c>
      <c r="AO149" s="3"/>
      <c r="AP149">
        <v>0</v>
      </c>
      <c r="AR149" t="s">
        <v>0</v>
      </c>
      <c r="AT149" s="2" t="s">
        <v>5</v>
      </c>
      <c r="AU149" s="1">
        <f t="shared" si="21"/>
        <v>0.2784228931422012</v>
      </c>
      <c r="AV149" s="1">
        <f t="shared" si="22"/>
        <v>0.19887349510157229</v>
      </c>
      <c r="AW149" s="1">
        <f t="shared" si="23"/>
        <v>0.11932409706094337</v>
      </c>
    </row>
    <row r="150" spans="1:49" x14ac:dyDescent="0.2">
      <c r="A150">
        <v>148</v>
      </c>
      <c r="B150" t="s">
        <v>572</v>
      </c>
      <c r="C150" t="s">
        <v>571</v>
      </c>
      <c r="F150" t="s">
        <v>570</v>
      </c>
      <c r="G150" t="s">
        <v>4</v>
      </c>
      <c r="H150" t="s">
        <v>3</v>
      </c>
      <c r="I150" t="s">
        <v>569</v>
      </c>
      <c r="N150">
        <v>2</v>
      </c>
      <c r="O150" t="s">
        <v>568</v>
      </c>
      <c r="P150" t="s">
        <v>567</v>
      </c>
      <c r="Q150" t="s">
        <v>42</v>
      </c>
      <c r="R150" s="7">
        <v>32356</v>
      </c>
      <c r="S150" s="8">
        <f t="shared" si="16"/>
        <v>1988</v>
      </c>
      <c r="T150" s="8">
        <v>1988</v>
      </c>
      <c r="U150" s="8">
        <f t="shared" si="17"/>
        <v>34</v>
      </c>
      <c r="V150" s="7">
        <v>32356</v>
      </c>
      <c r="W150" t="s">
        <v>220</v>
      </c>
      <c r="X150" s="2">
        <v>0.14899999999999999</v>
      </c>
      <c r="Y150" s="6">
        <f t="shared" si="18"/>
        <v>3.977469902031446E-3</v>
      </c>
      <c r="AA150">
        <v>5431972</v>
      </c>
      <c r="AB150">
        <v>15425</v>
      </c>
      <c r="AC150">
        <v>15738906</v>
      </c>
      <c r="AD150" t="s">
        <v>1</v>
      </c>
      <c r="AE150">
        <v>31</v>
      </c>
      <c r="AF150">
        <v>8</v>
      </c>
      <c r="AH150" t="s">
        <v>566</v>
      </c>
      <c r="AL150">
        <v>0</v>
      </c>
      <c r="AM150" s="5">
        <f t="shared" si="19"/>
        <v>0</v>
      </c>
      <c r="AN150" s="4">
        <f t="shared" si="20"/>
        <v>0</v>
      </c>
      <c r="AO150" s="3"/>
      <c r="AP150">
        <v>0</v>
      </c>
      <c r="AR150" t="s">
        <v>0</v>
      </c>
      <c r="AT150" s="2" t="s">
        <v>5</v>
      </c>
      <c r="AU150" s="1">
        <f t="shared" si="21"/>
        <v>0.2784228931422012</v>
      </c>
      <c r="AV150" s="1">
        <f t="shared" si="22"/>
        <v>0.19887349510157229</v>
      </c>
      <c r="AW150" s="1">
        <f t="shared" si="23"/>
        <v>0.11932409706094337</v>
      </c>
    </row>
    <row r="151" spans="1:49" x14ac:dyDescent="0.2">
      <c r="A151">
        <v>149</v>
      </c>
      <c r="B151" t="s">
        <v>565</v>
      </c>
      <c r="F151" t="s">
        <v>564</v>
      </c>
      <c r="G151" t="s">
        <v>4</v>
      </c>
      <c r="H151" t="s">
        <v>3</v>
      </c>
      <c r="I151" t="s">
        <v>563</v>
      </c>
      <c r="J151">
        <v>60013141</v>
      </c>
      <c r="K151" t="s">
        <v>14</v>
      </c>
      <c r="L151" t="s">
        <v>13</v>
      </c>
      <c r="M151" t="s">
        <v>12</v>
      </c>
      <c r="N151">
        <v>1</v>
      </c>
      <c r="O151" t="s">
        <v>562</v>
      </c>
      <c r="P151">
        <v>6508119503</v>
      </c>
      <c r="Q151">
        <v>60013141</v>
      </c>
      <c r="R151" s="7">
        <v>32356</v>
      </c>
      <c r="S151" s="8">
        <f t="shared" si="16"/>
        <v>1988</v>
      </c>
      <c r="T151" s="8">
        <v>1988</v>
      </c>
      <c r="U151" s="8">
        <f t="shared" si="17"/>
        <v>34</v>
      </c>
      <c r="V151" s="7">
        <v>32356</v>
      </c>
      <c r="W151" s="11" t="s">
        <v>79</v>
      </c>
      <c r="X151" s="2">
        <v>2.383</v>
      </c>
      <c r="Y151" s="6">
        <f t="shared" si="18"/>
        <v>6.3612824003630442E-2</v>
      </c>
      <c r="AA151" t="s">
        <v>78</v>
      </c>
      <c r="AB151">
        <v>101151</v>
      </c>
      <c r="AD151" t="s">
        <v>1</v>
      </c>
      <c r="AE151">
        <v>135</v>
      </c>
      <c r="AF151">
        <v>4</v>
      </c>
      <c r="AH151" t="s">
        <v>561</v>
      </c>
      <c r="AI151" t="s">
        <v>560</v>
      </c>
      <c r="AK151" t="s">
        <v>559</v>
      </c>
      <c r="AL151">
        <v>28</v>
      </c>
      <c r="AM151" s="5">
        <f t="shared" si="19"/>
        <v>0.82352941176470584</v>
      </c>
      <c r="AN151" s="4">
        <f t="shared" si="20"/>
        <v>1.2472993741229927E-3</v>
      </c>
      <c r="AO151" s="3"/>
      <c r="AP151">
        <v>0</v>
      </c>
      <c r="AR151" t="s">
        <v>0</v>
      </c>
      <c r="AT151" s="2" t="s">
        <v>5</v>
      </c>
      <c r="AU151" s="1">
        <f t="shared" si="21"/>
        <v>4.4903166614778209</v>
      </c>
      <c r="AV151" s="1">
        <f t="shared" si="22"/>
        <v>3.2430061688876717</v>
      </c>
      <c r="AW151" s="1">
        <f t="shared" si="23"/>
        <v>1.9956956762975226</v>
      </c>
    </row>
    <row r="152" spans="1:49" x14ac:dyDescent="0.2">
      <c r="A152">
        <v>150</v>
      </c>
      <c r="B152" t="s">
        <v>558</v>
      </c>
      <c r="F152" t="s">
        <v>557</v>
      </c>
      <c r="G152" t="s">
        <v>4</v>
      </c>
      <c r="H152" t="s">
        <v>3</v>
      </c>
      <c r="I152" t="s">
        <v>556</v>
      </c>
      <c r="J152">
        <v>100381148</v>
      </c>
      <c r="K152" t="s">
        <v>197</v>
      </c>
      <c r="L152" t="s">
        <v>196</v>
      </c>
      <c r="M152" t="s">
        <v>38</v>
      </c>
      <c r="N152">
        <v>4</v>
      </c>
      <c r="O152" t="s">
        <v>555</v>
      </c>
      <c r="P152" t="s">
        <v>554</v>
      </c>
      <c r="Q152" t="s">
        <v>553</v>
      </c>
      <c r="R152" s="7">
        <v>32356</v>
      </c>
      <c r="S152" s="8">
        <f t="shared" si="16"/>
        <v>1988</v>
      </c>
      <c r="T152" s="8">
        <v>1988</v>
      </c>
      <c r="U152" s="8">
        <f t="shared" si="17"/>
        <v>34</v>
      </c>
      <c r="V152" s="7">
        <v>32356</v>
      </c>
      <c r="W152" t="s">
        <v>193</v>
      </c>
      <c r="X152" s="2" t="s">
        <v>5</v>
      </c>
      <c r="Y152" s="6" t="e">
        <f t="shared" si="18"/>
        <v>#VALUE!</v>
      </c>
      <c r="AA152">
        <v>2535831</v>
      </c>
      <c r="AB152">
        <v>33812</v>
      </c>
      <c r="AD152" t="s">
        <v>1</v>
      </c>
      <c r="AE152">
        <v>31</v>
      </c>
      <c r="AF152">
        <v>8</v>
      </c>
      <c r="AH152" t="s">
        <v>552</v>
      </c>
      <c r="AI152" t="s">
        <v>551</v>
      </c>
      <c r="AK152" t="s">
        <v>550</v>
      </c>
      <c r="AL152">
        <v>0</v>
      </c>
      <c r="AM152" s="5">
        <f t="shared" si="19"/>
        <v>0</v>
      </c>
      <c r="AN152" s="4">
        <f t="shared" si="20"/>
        <v>0</v>
      </c>
      <c r="AO152" s="3"/>
      <c r="AP152">
        <v>0</v>
      </c>
      <c r="AR152" t="s">
        <v>0</v>
      </c>
      <c r="AT152" s="2" t="s">
        <v>5</v>
      </c>
      <c r="AU152" s="1" t="e">
        <f t="shared" si="21"/>
        <v>#VALUE!</v>
      </c>
      <c r="AV152" s="1" t="e">
        <f t="shared" si="22"/>
        <v>#VALUE!</v>
      </c>
      <c r="AW152" s="1" t="e">
        <f t="shared" si="23"/>
        <v>#VALUE!</v>
      </c>
    </row>
    <row r="153" spans="1:49" x14ac:dyDescent="0.2">
      <c r="A153">
        <v>151</v>
      </c>
      <c r="B153" t="s">
        <v>549</v>
      </c>
      <c r="F153" t="s">
        <v>548</v>
      </c>
      <c r="G153" t="s">
        <v>4</v>
      </c>
      <c r="H153" t="s">
        <v>3</v>
      </c>
      <c r="I153" t="s">
        <v>547</v>
      </c>
      <c r="N153">
        <v>1</v>
      </c>
      <c r="O153" t="s">
        <v>546</v>
      </c>
      <c r="P153">
        <v>6602210148</v>
      </c>
      <c r="R153" s="7">
        <v>32356</v>
      </c>
      <c r="S153" s="8">
        <f t="shared" si="16"/>
        <v>1988</v>
      </c>
      <c r="T153" s="8">
        <v>1988</v>
      </c>
      <c r="U153" s="8">
        <f t="shared" si="17"/>
        <v>34</v>
      </c>
      <c r="V153" s="7">
        <v>32356</v>
      </c>
      <c r="W153" t="s">
        <v>52</v>
      </c>
      <c r="X153" s="2">
        <v>0.14099999999999999</v>
      </c>
      <c r="Y153" s="6">
        <f t="shared" si="18"/>
        <v>3.7639144710498915E-3</v>
      </c>
      <c r="AA153">
        <v>402508</v>
      </c>
      <c r="AB153">
        <v>20868</v>
      </c>
      <c r="AD153" t="s">
        <v>1</v>
      </c>
      <c r="AE153">
        <v>43</v>
      </c>
      <c r="AF153">
        <v>8</v>
      </c>
      <c r="AH153" t="s">
        <v>176</v>
      </c>
      <c r="AI153" t="s">
        <v>545</v>
      </c>
      <c r="AK153" t="s">
        <v>544</v>
      </c>
      <c r="AL153">
        <v>0</v>
      </c>
      <c r="AM153" s="5">
        <f t="shared" si="19"/>
        <v>0</v>
      </c>
      <c r="AN153" s="4">
        <f t="shared" si="20"/>
        <v>0</v>
      </c>
      <c r="AO153" s="3"/>
      <c r="AP153">
        <v>0</v>
      </c>
      <c r="AR153" t="s">
        <v>0</v>
      </c>
      <c r="AT153" s="2" t="s">
        <v>5</v>
      </c>
      <c r="AU153" s="1">
        <f t="shared" si="21"/>
        <v>0.26347401297349238</v>
      </c>
      <c r="AV153" s="1">
        <f t="shared" si="22"/>
        <v>0.18819572355249459</v>
      </c>
      <c r="AW153" s="1">
        <f t="shared" si="23"/>
        <v>0.11291743413149673</v>
      </c>
    </row>
    <row r="154" spans="1:49" x14ac:dyDescent="0.2">
      <c r="A154">
        <v>152</v>
      </c>
      <c r="B154" t="s">
        <v>543</v>
      </c>
      <c r="F154" t="s">
        <v>542</v>
      </c>
      <c r="G154" t="s">
        <v>4</v>
      </c>
      <c r="H154" t="s">
        <v>3</v>
      </c>
      <c r="I154" t="s">
        <v>541</v>
      </c>
      <c r="N154">
        <v>1</v>
      </c>
      <c r="O154" t="s">
        <v>540</v>
      </c>
      <c r="P154">
        <v>7005534658</v>
      </c>
      <c r="R154" s="7">
        <v>32356</v>
      </c>
      <c r="S154" s="8">
        <f t="shared" si="16"/>
        <v>1988</v>
      </c>
      <c r="T154" s="8">
        <v>1988</v>
      </c>
      <c r="U154" s="8">
        <f t="shared" si="17"/>
        <v>34</v>
      </c>
      <c r="V154" s="7">
        <v>32356</v>
      </c>
      <c r="W154" t="s">
        <v>52</v>
      </c>
      <c r="X154" s="2">
        <v>0.14099999999999999</v>
      </c>
      <c r="Y154" s="6">
        <f t="shared" si="18"/>
        <v>3.7639144710498915E-3</v>
      </c>
      <c r="AA154">
        <v>402508</v>
      </c>
      <c r="AB154">
        <v>20868</v>
      </c>
      <c r="AD154" t="s">
        <v>1</v>
      </c>
      <c r="AE154">
        <v>43</v>
      </c>
      <c r="AF154">
        <v>8</v>
      </c>
      <c r="AH154" t="s">
        <v>192</v>
      </c>
      <c r="AI154" t="s">
        <v>539</v>
      </c>
      <c r="AK154" t="s">
        <v>538</v>
      </c>
      <c r="AL154">
        <v>0</v>
      </c>
      <c r="AM154" s="5">
        <f t="shared" si="19"/>
        <v>0</v>
      </c>
      <c r="AN154" s="4">
        <f t="shared" si="20"/>
        <v>0</v>
      </c>
      <c r="AO154" s="3"/>
      <c r="AP154">
        <v>0</v>
      </c>
      <c r="AR154" t="s">
        <v>0</v>
      </c>
      <c r="AT154" s="2" t="s">
        <v>5</v>
      </c>
      <c r="AU154" s="1">
        <f t="shared" si="21"/>
        <v>0.26347401297349238</v>
      </c>
      <c r="AV154" s="1">
        <f t="shared" si="22"/>
        <v>0.18819572355249459</v>
      </c>
      <c r="AW154" s="1">
        <f t="shared" si="23"/>
        <v>0.11291743413149673</v>
      </c>
    </row>
    <row r="155" spans="1:49" x14ac:dyDescent="0.2">
      <c r="A155">
        <v>153</v>
      </c>
      <c r="B155" t="s">
        <v>537</v>
      </c>
      <c r="F155" t="s">
        <v>536</v>
      </c>
      <c r="G155" t="s">
        <v>4</v>
      </c>
      <c r="H155" t="s">
        <v>3</v>
      </c>
      <c r="I155" t="s">
        <v>535</v>
      </c>
      <c r="N155">
        <v>2</v>
      </c>
      <c r="O155" t="s">
        <v>534</v>
      </c>
      <c r="P155" t="s">
        <v>533</v>
      </c>
      <c r="Q155" t="s">
        <v>42</v>
      </c>
      <c r="R155" s="7">
        <v>32356</v>
      </c>
      <c r="S155" s="8">
        <f t="shared" si="16"/>
        <v>1988</v>
      </c>
      <c r="T155" s="8">
        <v>1988</v>
      </c>
      <c r="U155" s="8">
        <f t="shared" si="17"/>
        <v>34</v>
      </c>
      <c r="V155" s="7">
        <v>32356</v>
      </c>
      <c r="W155" t="s">
        <v>52</v>
      </c>
      <c r="X155" s="2">
        <v>0.14099999999999999</v>
      </c>
      <c r="Y155" s="6">
        <f t="shared" si="18"/>
        <v>3.7639144710498915E-3</v>
      </c>
      <c r="AA155">
        <v>402508</v>
      </c>
      <c r="AB155">
        <v>20868</v>
      </c>
      <c r="AD155" t="s">
        <v>1</v>
      </c>
      <c r="AE155">
        <v>43</v>
      </c>
      <c r="AF155">
        <v>8</v>
      </c>
      <c r="AH155" t="s">
        <v>532</v>
      </c>
      <c r="AI155" t="s">
        <v>531</v>
      </c>
      <c r="AK155" t="s">
        <v>530</v>
      </c>
      <c r="AL155">
        <v>0</v>
      </c>
      <c r="AM155" s="5">
        <f t="shared" si="19"/>
        <v>0</v>
      </c>
      <c r="AN155" s="4">
        <f t="shared" si="20"/>
        <v>0</v>
      </c>
      <c r="AO155" s="3"/>
      <c r="AP155">
        <v>0</v>
      </c>
      <c r="AR155" t="s">
        <v>0</v>
      </c>
      <c r="AT155" s="2" t="s">
        <v>5</v>
      </c>
      <c r="AU155" s="1">
        <f t="shared" si="21"/>
        <v>0.26347401297349238</v>
      </c>
      <c r="AV155" s="1">
        <f t="shared" si="22"/>
        <v>0.18819572355249459</v>
      </c>
      <c r="AW155" s="1">
        <f t="shared" si="23"/>
        <v>0.11291743413149673</v>
      </c>
    </row>
    <row r="156" spans="1:49" x14ac:dyDescent="0.2">
      <c r="A156">
        <v>154</v>
      </c>
      <c r="B156" t="s">
        <v>529</v>
      </c>
      <c r="F156" t="s">
        <v>528</v>
      </c>
      <c r="G156" t="s">
        <v>4</v>
      </c>
      <c r="H156" t="s">
        <v>3</v>
      </c>
      <c r="I156" t="s">
        <v>53</v>
      </c>
      <c r="N156">
        <v>3</v>
      </c>
      <c r="O156" t="s">
        <v>527</v>
      </c>
      <c r="P156" t="s">
        <v>526</v>
      </c>
      <c r="Q156" t="s">
        <v>44</v>
      </c>
      <c r="R156" s="7">
        <v>32356</v>
      </c>
      <c r="S156" s="8">
        <f t="shared" si="16"/>
        <v>1988</v>
      </c>
      <c r="T156" s="8">
        <v>1988</v>
      </c>
      <c r="U156" s="8">
        <f t="shared" si="17"/>
        <v>34</v>
      </c>
      <c r="V156" s="7">
        <v>32356</v>
      </c>
      <c r="W156" t="s">
        <v>52</v>
      </c>
      <c r="X156" s="2">
        <v>0.14099999999999999</v>
      </c>
      <c r="Y156" s="6">
        <f t="shared" si="18"/>
        <v>3.7639144710498915E-3</v>
      </c>
      <c r="AA156">
        <v>402508</v>
      </c>
      <c r="AB156">
        <v>20868</v>
      </c>
      <c r="AD156" t="s">
        <v>1</v>
      </c>
      <c r="AE156">
        <v>43</v>
      </c>
      <c r="AF156">
        <v>8</v>
      </c>
      <c r="AH156" t="s">
        <v>525</v>
      </c>
      <c r="AI156" t="s">
        <v>524</v>
      </c>
      <c r="AK156" t="s">
        <v>523</v>
      </c>
      <c r="AL156">
        <v>0</v>
      </c>
      <c r="AM156" s="5">
        <f t="shared" si="19"/>
        <v>0</v>
      </c>
      <c r="AN156" s="4">
        <f t="shared" si="20"/>
        <v>0</v>
      </c>
      <c r="AO156" s="3"/>
      <c r="AP156">
        <v>0</v>
      </c>
      <c r="AR156" t="s">
        <v>0</v>
      </c>
      <c r="AT156" s="2" t="s">
        <v>5</v>
      </c>
      <c r="AU156" s="1">
        <f t="shared" si="21"/>
        <v>0.26347401297349238</v>
      </c>
      <c r="AV156" s="1">
        <f t="shared" si="22"/>
        <v>0.18819572355249459</v>
      </c>
      <c r="AW156" s="1">
        <f t="shared" si="23"/>
        <v>0.11291743413149673</v>
      </c>
    </row>
    <row r="157" spans="1:49" x14ac:dyDescent="0.2">
      <c r="A157">
        <v>155</v>
      </c>
      <c r="B157" t="s">
        <v>522</v>
      </c>
      <c r="F157" t="s">
        <v>521</v>
      </c>
      <c r="G157" t="s">
        <v>4</v>
      </c>
      <c r="H157" t="s">
        <v>3</v>
      </c>
      <c r="I157" t="s">
        <v>520</v>
      </c>
      <c r="N157">
        <v>3</v>
      </c>
      <c r="O157" t="s">
        <v>519</v>
      </c>
      <c r="P157" t="s">
        <v>518</v>
      </c>
      <c r="Q157" t="s">
        <v>44</v>
      </c>
      <c r="R157" s="7">
        <v>32356</v>
      </c>
      <c r="S157" s="8">
        <f t="shared" si="16"/>
        <v>1988</v>
      </c>
      <c r="T157" s="8">
        <v>1988</v>
      </c>
      <c r="U157" s="8">
        <f t="shared" si="17"/>
        <v>34</v>
      </c>
      <c r="V157" s="7">
        <v>32356</v>
      </c>
      <c r="W157" t="s">
        <v>52</v>
      </c>
      <c r="X157" s="2">
        <v>0.14099999999999999</v>
      </c>
      <c r="Y157" s="6">
        <f t="shared" si="18"/>
        <v>3.7639144710498915E-3</v>
      </c>
      <c r="AA157">
        <v>402508</v>
      </c>
      <c r="AB157">
        <v>20868</v>
      </c>
      <c r="AD157" t="s">
        <v>1</v>
      </c>
      <c r="AE157">
        <v>43</v>
      </c>
      <c r="AF157">
        <v>8</v>
      </c>
      <c r="AH157" t="s">
        <v>517</v>
      </c>
      <c r="AI157" t="s">
        <v>516</v>
      </c>
      <c r="AK157" t="s">
        <v>515</v>
      </c>
      <c r="AL157">
        <v>0</v>
      </c>
      <c r="AM157" s="5">
        <f t="shared" si="19"/>
        <v>0</v>
      </c>
      <c r="AN157" s="4">
        <f t="shared" si="20"/>
        <v>0</v>
      </c>
      <c r="AO157" s="3"/>
      <c r="AP157">
        <v>0</v>
      </c>
      <c r="AR157" t="s">
        <v>0</v>
      </c>
      <c r="AT157" s="2" t="s">
        <v>5</v>
      </c>
      <c r="AU157" s="1">
        <f t="shared" si="21"/>
        <v>0.26347401297349238</v>
      </c>
      <c r="AV157" s="1">
        <f t="shared" si="22"/>
        <v>0.18819572355249459</v>
      </c>
      <c r="AW157" s="1">
        <f t="shared" si="23"/>
        <v>0.11291743413149673</v>
      </c>
    </row>
    <row r="158" spans="1:49" x14ac:dyDescent="0.2">
      <c r="A158">
        <v>156</v>
      </c>
      <c r="B158" t="s">
        <v>514</v>
      </c>
      <c r="F158" t="s">
        <v>513</v>
      </c>
      <c r="G158" t="s">
        <v>4</v>
      </c>
      <c r="H158" t="s">
        <v>3</v>
      </c>
      <c r="I158" t="s">
        <v>216</v>
      </c>
      <c r="N158">
        <v>2</v>
      </c>
      <c r="O158" t="s">
        <v>512</v>
      </c>
      <c r="P158" t="s">
        <v>511</v>
      </c>
      <c r="Q158" t="s">
        <v>42</v>
      </c>
      <c r="R158" s="7">
        <v>32356</v>
      </c>
      <c r="S158" s="8">
        <f t="shared" si="16"/>
        <v>1988</v>
      </c>
      <c r="T158" s="8">
        <v>1988</v>
      </c>
      <c r="U158" s="8">
        <f t="shared" si="17"/>
        <v>34</v>
      </c>
      <c r="V158" s="7">
        <v>32356</v>
      </c>
      <c r="W158" t="s">
        <v>52</v>
      </c>
      <c r="X158" s="2">
        <v>0.14099999999999999</v>
      </c>
      <c r="Y158" s="6">
        <f t="shared" si="18"/>
        <v>3.7639144710498915E-3</v>
      </c>
      <c r="AA158">
        <v>402508</v>
      </c>
      <c r="AB158">
        <v>20868</v>
      </c>
      <c r="AD158" t="s">
        <v>1</v>
      </c>
      <c r="AE158">
        <v>43</v>
      </c>
      <c r="AF158">
        <v>8</v>
      </c>
      <c r="AH158" t="s">
        <v>510</v>
      </c>
      <c r="AI158" t="s">
        <v>509</v>
      </c>
      <c r="AK158" t="s">
        <v>508</v>
      </c>
      <c r="AL158">
        <v>0</v>
      </c>
      <c r="AM158" s="5">
        <f t="shared" si="19"/>
        <v>0</v>
      </c>
      <c r="AN158" s="4">
        <f t="shared" si="20"/>
        <v>0</v>
      </c>
      <c r="AO158" s="3"/>
      <c r="AP158">
        <v>0</v>
      </c>
      <c r="AR158" t="s">
        <v>0</v>
      </c>
      <c r="AT158" s="2" t="s">
        <v>5</v>
      </c>
      <c r="AU158" s="1">
        <f t="shared" si="21"/>
        <v>0.26347401297349238</v>
      </c>
      <c r="AV158" s="1">
        <f t="shared" si="22"/>
        <v>0.18819572355249459</v>
      </c>
      <c r="AW158" s="1">
        <f t="shared" si="23"/>
        <v>0.11291743413149673</v>
      </c>
    </row>
    <row r="159" spans="1:49" x14ac:dyDescent="0.2">
      <c r="A159">
        <v>157</v>
      </c>
      <c r="B159" t="s">
        <v>507</v>
      </c>
      <c r="F159" t="s">
        <v>506</v>
      </c>
      <c r="G159" t="s">
        <v>4</v>
      </c>
      <c r="H159" t="s">
        <v>3</v>
      </c>
      <c r="I159" t="s">
        <v>505</v>
      </c>
      <c r="N159">
        <v>2</v>
      </c>
      <c r="O159" t="s">
        <v>504</v>
      </c>
      <c r="P159" t="s">
        <v>503</v>
      </c>
      <c r="Q159" t="s">
        <v>42</v>
      </c>
      <c r="R159" s="7">
        <v>32356</v>
      </c>
      <c r="S159" s="8">
        <f t="shared" si="16"/>
        <v>1988</v>
      </c>
      <c r="T159" s="8">
        <v>1988</v>
      </c>
      <c r="U159" s="8">
        <f t="shared" si="17"/>
        <v>34</v>
      </c>
      <c r="V159" s="7">
        <v>32356</v>
      </c>
      <c r="W159" t="s">
        <v>52</v>
      </c>
      <c r="X159" s="2">
        <v>0.14099999999999999</v>
      </c>
      <c r="Y159" s="6">
        <f t="shared" si="18"/>
        <v>3.7639144710498915E-3</v>
      </c>
      <c r="AA159">
        <v>402508</v>
      </c>
      <c r="AB159">
        <v>20868</v>
      </c>
      <c r="AD159" t="s">
        <v>1</v>
      </c>
      <c r="AE159">
        <v>43</v>
      </c>
      <c r="AF159">
        <v>8</v>
      </c>
      <c r="AH159" t="s">
        <v>54</v>
      </c>
      <c r="AI159" t="s">
        <v>502</v>
      </c>
      <c r="AK159" t="s">
        <v>501</v>
      </c>
      <c r="AL159">
        <v>0</v>
      </c>
      <c r="AM159" s="5">
        <f t="shared" si="19"/>
        <v>0</v>
      </c>
      <c r="AN159" s="4">
        <f t="shared" si="20"/>
        <v>0</v>
      </c>
      <c r="AO159" s="3"/>
      <c r="AP159">
        <v>0</v>
      </c>
      <c r="AR159" t="s">
        <v>0</v>
      </c>
      <c r="AT159" s="2" t="s">
        <v>5</v>
      </c>
      <c r="AU159" s="1">
        <f t="shared" si="21"/>
        <v>0.26347401297349238</v>
      </c>
      <c r="AV159" s="1">
        <f t="shared" si="22"/>
        <v>0.18819572355249459</v>
      </c>
      <c r="AW159" s="1">
        <f t="shared" si="23"/>
        <v>0.11291743413149673</v>
      </c>
    </row>
    <row r="160" spans="1:49" x14ac:dyDescent="0.2">
      <c r="A160">
        <v>158</v>
      </c>
      <c r="B160" t="s">
        <v>500</v>
      </c>
      <c r="C160" t="s">
        <v>499</v>
      </c>
      <c r="E160">
        <v>3409288</v>
      </c>
      <c r="F160" t="s">
        <v>498</v>
      </c>
      <c r="G160" t="s">
        <v>4</v>
      </c>
      <c r="H160" t="s">
        <v>3</v>
      </c>
      <c r="I160" t="s">
        <v>165</v>
      </c>
      <c r="J160" t="s">
        <v>497</v>
      </c>
      <c r="K160" t="s">
        <v>496</v>
      </c>
      <c r="L160" t="s">
        <v>495</v>
      </c>
      <c r="M160" t="s">
        <v>494</v>
      </c>
      <c r="N160">
        <v>4</v>
      </c>
      <c r="O160" t="s">
        <v>493</v>
      </c>
      <c r="P160" t="s">
        <v>492</v>
      </c>
      <c r="Q160" t="s">
        <v>491</v>
      </c>
      <c r="R160" s="7">
        <v>32356</v>
      </c>
      <c r="S160" s="8">
        <f t="shared" si="16"/>
        <v>1988</v>
      </c>
      <c r="T160" s="8">
        <v>1988</v>
      </c>
      <c r="U160" s="8">
        <f t="shared" si="17"/>
        <v>34</v>
      </c>
      <c r="V160" s="7">
        <v>32356</v>
      </c>
      <c r="W160" t="s">
        <v>490</v>
      </c>
      <c r="X160" s="2" t="s">
        <v>5</v>
      </c>
      <c r="Y160" s="6" t="e">
        <f t="shared" si="18"/>
        <v>#VALUE!</v>
      </c>
      <c r="AA160" t="s">
        <v>489</v>
      </c>
      <c r="AB160">
        <v>18446</v>
      </c>
      <c r="AC160">
        <v>14320878</v>
      </c>
      <c r="AD160" t="s">
        <v>1</v>
      </c>
      <c r="AE160">
        <v>253</v>
      </c>
      <c r="AF160">
        <v>2</v>
      </c>
      <c r="AH160" t="s">
        <v>488</v>
      </c>
      <c r="AI160" t="s">
        <v>487</v>
      </c>
      <c r="AJ160" t="s">
        <v>486</v>
      </c>
      <c r="AK160" t="s">
        <v>485</v>
      </c>
      <c r="AL160">
        <v>32</v>
      </c>
      <c r="AM160" s="5">
        <f t="shared" si="19"/>
        <v>0.94117647058823528</v>
      </c>
      <c r="AN160" s="4">
        <f t="shared" si="20"/>
        <v>1.4254849989977058E-3</v>
      </c>
      <c r="AO160" s="3"/>
      <c r="AP160">
        <v>0</v>
      </c>
      <c r="AR160" t="s">
        <v>0</v>
      </c>
      <c r="AT160" s="2">
        <v>5.2489999999999997</v>
      </c>
      <c r="AU160" s="1" t="e">
        <f t="shared" si="21"/>
        <v>#VALUE!</v>
      </c>
      <c r="AV160" s="1" t="e">
        <f t="shared" si="22"/>
        <v>#VALUE!</v>
      </c>
      <c r="AW160" s="1" t="e">
        <f t="shared" si="23"/>
        <v>#VALUE!</v>
      </c>
    </row>
    <row r="161" spans="1:49" x14ac:dyDescent="0.2">
      <c r="A161">
        <v>159</v>
      </c>
      <c r="B161" t="s">
        <v>484</v>
      </c>
      <c r="C161" t="s">
        <v>483</v>
      </c>
      <c r="F161" t="s">
        <v>482</v>
      </c>
      <c r="G161" t="s">
        <v>4</v>
      </c>
      <c r="H161" t="s">
        <v>3</v>
      </c>
      <c r="I161" t="s">
        <v>481</v>
      </c>
      <c r="J161" t="s">
        <v>480</v>
      </c>
      <c r="K161" t="s">
        <v>479</v>
      </c>
      <c r="L161" t="s">
        <v>478</v>
      </c>
      <c r="M161" t="s">
        <v>477</v>
      </c>
      <c r="N161">
        <v>2</v>
      </c>
      <c r="O161" t="s">
        <v>476</v>
      </c>
      <c r="P161" t="s">
        <v>475</v>
      </c>
      <c r="Q161" t="s">
        <v>474</v>
      </c>
      <c r="R161" s="7">
        <v>32356</v>
      </c>
      <c r="S161" s="8">
        <f t="shared" si="16"/>
        <v>1988</v>
      </c>
      <c r="T161" s="8">
        <v>1988</v>
      </c>
      <c r="U161" s="8">
        <f t="shared" si="17"/>
        <v>34</v>
      </c>
      <c r="V161" s="7">
        <v>32356</v>
      </c>
      <c r="W161" t="s">
        <v>179</v>
      </c>
      <c r="X161" s="2">
        <v>0.61499999999999999</v>
      </c>
      <c r="Y161" s="6">
        <f t="shared" si="18"/>
        <v>1.6417073756706976E-2</v>
      </c>
      <c r="AA161">
        <v>1959271</v>
      </c>
      <c r="AB161">
        <v>12141</v>
      </c>
      <c r="AC161">
        <v>15729559</v>
      </c>
      <c r="AD161" t="s">
        <v>1</v>
      </c>
      <c r="AE161">
        <v>9</v>
      </c>
      <c r="AF161">
        <v>8</v>
      </c>
      <c r="AH161" t="s">
        <v>473</v>
      </c>
      <c r="AI161" t="s">
        <v>472</v>
      </c>
      <c r="AJ161" t="s">
        <v>471</v>
      </c>
      <c r="AK161" t="s">
        <v>470</v>
      </c>
      <c r="AL161">
        <v>12</v>
      </c>
      <c r="AM161" s="5">
        <f t="shared" si="19"/>
        <v>0.35294117647058826</v>
      </c>
      <c r="AN161" s="4">
        <f t="shared" si="20"/>
        <v>5.3455687462413976E-4</v>
      </c>
      <c r="AO161" s="3"/>
      <c r="AP161">
        <v>0</v>
      </c>
      <c r="AR161" t="s">
        <v>0</v>
      </c>
      <c r="AT161" s="2" t="s">
        <v>5</v>
      </c>
      <c r="AU161" s="1">
        <f t="shared" si="21"/>
        <v>1.1652318692082124</v>
      </c>
      <c r="AV161" s="1">
        <f t="shared" si="22"/>
        <v>0.84758153156655569</v>
      </c>
      <c r="AW161" s="1">
        <f t="shared" si="23"/>
        <v>0.52993119392489907</v>
      </c>
    </row>
    <row r="162" spans="1:49" x14ac:dyDescent="0.2">
      <c r="A162">
        <v>160</v>
      </c>
      <c r="B162" t="s">
        <v>469</v>
      </c>
      <c r="F162" t="s">
        <v>468</v>
      </c>
      <c r="G162" t="s">
        <v>4</v>
      </c>
      <c r="H162" t="s">
        <v>3</v>
      </c>
      <c r="I162" t="s">
        <v>467</v>
      </c>
      <c r="N162">
        <v>1</v>
      </c>
      <c r="O162" t="s">
        <v>466</v>
      </c>
      <c r="P162">
        <v>6507722637</v>
      </c>
      <c r="R162" s="7">
        <v>32356</v>
      </c>
      <c r="S162" s="8">
        <f t="shared" si="16"/>
        <v>1988</v>
      </c>
      <c r="T162" s="8">
        <v>1988</v>
      </c>
      <c r="U162" s="8">
        <f t="shared" si="17"/>
        <v>34</v>
      </c>
      <c r="V162" s="7">
        <v>32356</v>
      </c>
      <c r="W162" t="s">
        <v>41</v>
      </c>
      <c r="X162" s="2" t="s">
        <v>5</v>
      </c>
      <c r="Y162" s="6" t="e">
        <f t="shared" si="18"/>
        <v>#VALUE!</v>
      </c>
      <c r="AA162">
        <v>87566648</v>
      </c>
      <c r="AB162">
        <v>74127</v>
      </c>
      <c r="AD162" t="s">
        <v>1</v>
      </c>
      <c r="AE162">
        <v>33</v>
      </c>
      <c r="AF162">
        <v>8</v>
      </c>
      <c r="AH162" t="s">
        <v>91</v>
      </c>
      <c r="AI162" t="s">
        <v>465</v>
      </c>
      <c r="AK162" t="s">
        <v>464</v>
      </c>
      <c r="AL162">
        <v>0</v>
      </c>
      <c r="AM162" s="5">
        <f t="shared" si="19"/>
        <v>0</v>
      </c>
      <c r="AN162" s="4">
        <f t="shared" si="20"/>
        <v>0</v>
      </c>
      <c r="AO162" s="3"/>
      <c r="AP162">
        <v>0</v>
      </c>
      <c r="AR162" t="s">
        <v>0</v>
      </c>
      <c r="AT162" s="2" t="s">
        <v>5</v>
      </c>
      <c r="AU162" s="1" t="e">
        <f t="shared" si="21"/>
        <v>#VALUE!</v>
      </c>
      <c r="AV162" s="1" t="e">
        <f t="shared" si="22"/>
        <v>#VALUE!</v>
      </c>
      <c r="AW162" s="1" t="e">
        <f t="shared" si="23"/>
        <v>#VALUE!</v>
      </c>
    </row>
    <row r="163" spans="1:49" x14ac:dyDescent="0.2">
      <c r="A163">
        <v>161</v>
      </c>
      <c r="B163" t="s">
        <v>463</v>
      </c>
      <c r="F163" t="s">
        <v>462</v>
      </c>
      <c r="G163" t="s">
        <v>4</v>
      </c>
      <c r="H163" t="s">
        <v>3</v>
      </c>
      <c r="I163" t="s">
        <v>221</v>
      </c>
      <c r="N163">
        <v>2</v>
      </c>
      <c r="O163" t="s">
        <v>461</v>
      </c>
      <c r="P163" t="s">
        <v>460</v>
      </c>
      <c r="Q163" t="s">
        <v>42</v>
      </c>
      <c r="R163" s="7">
        <v>32356</v>
      </c>
      <c r="S163" s="8">
        <f t="shared" si="16"/>
        <v>1988</v>
      </c>
      <c r="T163" s="8">
        <v>1988</v>
      </c>
      <c r="U163" s="8">
        <f t="shared" si="17"/>
        <v>34</v>
      </c>
      <c r="V163" s="7">
        <v>32356</v>
      </c>
      <c r="W163" t="s">
        <v>41</v>
      </c>
      <c r="X163" s="2" t="s">
        <v>5</v>
      </c>
      <c r="Y163" s="6" t="e">
        <f t="shared" si="18"/>
        <v>#VALUE!</v>
      </c>
      <c r="AA163">
        <v>87566648</v>
      </c>
      <c r="AB163">
        <v>74127</v>
      </c>
      <c r="AD163" t="s">
        <v>1</v>
      </c>
      <c r="AE163">
        <v>33</v>
      </c>
      <c r="AF163">
        <v>8</v>
      </c>
      <c r="AH163" t="s">
        <v>459</v>
      </c>
      <c r="AI163" t="s">
        <v>458</v>
      </c>
      <c r="AK163" t="s">
        <v>457</v>
      </c>
      <c r="AL163">
        <v>0</v>
      </c>
      <c r="AM163" s="5">
        <f t="shared" si="19"/>
        <v>0</v>
      </c>
      <c r="AN163" s="4">
        <f t="shared" si="20"/>
        <v>0</v>
      </c>
      <c r="AO163" s="3"/>
      <c r="AP163">
        <v>0</v>
      </c>
      <c r="AR163" t="s">
        <v>0</v>
      </c>
      <c r="AT163" s="2" t="s">
        <v>5</v>
      </c>
      <c r="AU163" s="1" t="e">
        <f t="shared" si="21"/>
        <v>#VALUE!</v>
      </c>
      <c r="AV163" s="1" t="e">
        <f t="shared" si="22"/>
        <v>#VALUE!</v>
      </c>
      <c r="AW163" s="1" t="e">
        <f t="shared" si="23"/>
        <v>#VALUE!</v>
      </c>
    </row>
    <row r="164" spans="1:49" x14ac:dyDescent="0.2">
      <c r="A164">
        <v>162</v>
      </c>
      <c r="B164" t="s">
        <v>456</v>
      </c>
      <c r="F164" t="s">
        <v>455</v>
      </c>
      <c r="G164" t="s">
        <v>4</v>
      </c>
      <c r="H164" t="s">
        <v>3</v>
      </c>
      <c r="I164" t="s">
        <v>454</v>
      </c>
      <c r="N164">
        <v>3</v>
      </c>
      <c r="O164" t="s">
        <v>453</v>
      </c>
      <c r="P164" t="s">
        <v>452</v>
      </c>
      <c r="Q164" t="s">
        <v>44</v>
      </c>
      <c r="R164" s="7">
        <v>32356</v>
      </c>
      <c r="S164" s="8">
        <f t="shared" si="16"/>
        <v>1988</v>
      </c>
      <c r="T164" s="8">
        <v>1988</v>
      </c>
      <c r="U164" s="8">
        <f t="shared" si="17"/>
        <v>34</v>
      </c>
      <c r="V164" s="7">
        <v>32356</v>
      </c>
      <c r="W164" t="s">
        <v>41</v>
      </c>
      <c r="X164" s="2" t="s">
        <v>5</v>
      </c>
      <c r="Y164" s="6" t="e">
        <f t="shared" si="18"/>
        <v>#VALUE!</v>
      </c>
      <c r="AA164">
        <v>87566648</v>
      </c>
      <c r="AB164">
        <v>74127</v>
      </c>
      <c r="AD164" t="s">
        <v>1</v>
      </c>
      <c r="AE164">
        <v>33</v>
      </c>
      <c r="AF164">
        <v>8</v>
      </c>
      <c r="AH164" s="9">
        <v>44537</v>
      </c>
      <c r="AI164" t="s">
        <v>451</v>
      </c>
      <c r="AK164" t="s">
        <v>450</v>
      </c>
      <c r="AL164">
        <v>0</v>
      </c>
      <c r="AM164" s="5">
        <f t="shared" si="19"/>
        <v>0</v>
      </c>
      <c r="AN164" s="4">
        <f t="shared" si="20"/>
        <v>0</v>
      </c>
      <c r="AO164" s="3"/>
      <c r="AP164">
        <v>0</v>
      </c>
      <c r="AR164" t="s">
        <v>0</v>
      </c>
      <c r="AT164" s="2" t="s">
        <v>5</v>
      </c>
      <c r="AU164" s="1" t="e">
        <f t="shared" si="21"/>
        <v>#VALUE!</v>
      </c>
      <c r="AV164" s="1" t="e">
        <f t="shared" si="22"/>
        <v>#VALUE!</v>
      </c>
      <c r="AW164" s="1" t="e">
        <f t="shared" si="23"/>
        <v>#VALUE!</v>
      </c>
    </row>
    <row r="165" spans="1:49" x14ac:dyDescent="0.2">
      <c r="A165">
        <v>163</v>
      </c>
      <c r="B165" t="s">
        <v>449</v>
      </c>
      <c r="F165" t="s">
        <v>448</v>
      </c>
      <c r="G165" t="s">
        <v>4</v>
      </c>
      <c r="H165" t="s">
        <v>3</v>
      </c>
      <c r="I165" t="s">
        <v>447</v>
      </c>
      <c r="J165">
        <v>60072226</v>
      </c>
      <c r="K165" t="s">
        <v>212</v>
      </c>
      <c r="L165" t="s">
        <v>211</v>
      </c>
      <c r="M165" t="s">
        <v>26</v>
      </c>
      <c r="N165">
        <v>4</v>
      </c>
      <c r="O165" t="s">
        <v>446</v>
      </c>
      <c r="P165" t="s">
        <v>445</v>
      </c>
      <c r="Q165" t="s">
        <v>215</v>
      </c>
      <c r="R165" s="7">
        <v>32356</v>
      </c>
      <c r="S165" s="8">
        <f t="shared" si="16"/>
        <v>1988</v>
      </c>
      <c r="T165" s="8">
        <v>1988</v>
      </c>
      <c r="U165" s="8">
        <f t="shared" si="17"/>
        <v>34</v>
      </c>
      <c r="V165" s="7">
        <v>32356</v>
      </c>
      <c r="W165" t="s">
        <v>210</v>
      </c>
      <c r="X165" s="2" t="s">
        <v>5</v>
      </c>
      <c r="Y165" s="6" t="e">
        <f t="shared" si="18"/>
        <v>#VALUE!</v>
      </c>
      <c r="AA165">
        <v>2511096</v>
      </c>
      <c r="AB165">
        <v>26110</v>
      </c>
      <c r="AD165" t="s">
        <v>1</v>
      </c>
      <c r="AE165" t="s">
        <v>444</v>
      </c>
      <c r="AH165" s="9">
        <v>44287</v>
      </c>
      <c r="AI165" t="s">
        <v>443</v>
      </c>
      <c r="AK165" t="s">
        <v>442</v>
      </c>
      <c r="AL165">
        <v>1</v>
      </c>
      <c r="AM165" s="5">
        <f t="shared" si="19"/>
        <v>2.9411764705882353E-2</v>
      </c>
      <c r="AN165" s="4">
        <f t="shared" si="20"/>
        <v>4.4546406218678307E-5</v>
      </c>
      <c r="AO165" s="3"/>
      <c r="AP165">
        <v>0</v>
      </c>
      <c r="AR165" t="s">
        <v>0</v>
      </c>
      <c r="AT165" s="2" t="s">
        <v>5</v>
      </c>
      <c r="AU165" s="1" t="e">
        <f t="shared" si="21"/>
        <v>#VALUE!</v>
      </c>
      <c r="AV165" s="1" t="e">
        <f t="shared" si="22"/>
        <v>#VALUE!</v>
      </c>
      <c r="AW165" s="1" t="e">
        <f t="shared" si="23"/>
        <v>#VALUE!</v>
      </c>
    </row>
    <row r="166" spans="1:49" x14ac:dyDescent="0.2">
      <c r="A166">
        <v>164</v>
      </c>
      <c r="B166" t="s">
        <v>441</v>
      </c>
      <c r="F166" t="s">
        <v>440</v>
      </c>
      <c r="G166" t="s">
        <v>4</v>
      </c>
      <c r="H166" t="s">
        <v>3</v>
      </c>
      <c r="I166" t="s">
        <v>439</v>
      </c>
      <c r="N166">
        <v>1</v>
      </c>
      <c r="O166" t="s">
        <v>438</v>
      </c>
      <c r="P166">
        <v>6602541196</v>
      </c>
      <c r="R166" s="7">
        <v>32356</v>
      </c>
      <c r="S166" s="8">
        <f t="shared" si="16"/>
        <v>1988</v>
      </c>
      <c r="T166" s="8">
        <v>1988</v>
      </c>
      <c r="U166" s="8">
        <f t="shared" si="17"/>
        <v>34</v>
      </c>
      <c r="V166" s="7">
        <v>32356</v>
      </c>
      <c r="W166" t="s">
        <v>41</v>
      </c>
      <c r="X166" s="2" t="s">
        <v>5</v>
      </c>
      <c r="Y166" s="6" t="e">
        <f t="shared" si="18"/>
        <v>#VALUE!</v>
      </c>
      <c r="AA166">
        <v>87566648</v>
      </c>
      <c r="AB166">
        <v>74127</v>
      </c>
      <c r="AD166" t="s">
        <v>1</v>
      </c>
      <c r="AE166">
        <v>33</v>
      </c>
      <c r="AF166">
        <v>8</v>
      </c>
      <c r="AH166" t="s">
        <v>437</v>
      </c>
      <c r="AI166" t="s">
        <v>436</v>
      </c>
      <c r="AK166" t="s">
        <v>435</v>
      </c>
      <c r="AL166">
        <v>0</v>
      </c>
      <c r="AM166" s="5">
        <f t="shared" si="19"/>
        <v>0</v>
      </c>
      <c r="AN166" s="4">
        <f t="shared" si="20"/>
        <v>0</v>
      </c>
      <c r="AO166" s="3"/>
      <c r="AP166">
        <v>0</v>
      </c>
      <c r="AR166" t="s">
        <v>0</v>
      </c>
      <c r="AT166" s="2" t="s">
        <v>5</v>
      </c>
      <c r="AU166" s="1" t="e">
        <f t="shared" si="21"/>
        <v>#VALUE!</v>
      </c>
      <c r="AV166" s="1" t="e">
        <f t="shared" si="22"/>
        <v>#VALUE!</v>
      </c>
      <c r="AW166" s="1" t="e">
        <f t="shared" si="23"/>
        <v>#VALUE!</v>
      </c>
    </row>
    <row r="167" spans="1:49" x14ac:dyDescent="0.2">
      <c r="A167">
        <v>165</v>
      </c>
      <c r="B167" t="s">
        <v>434</v>
      </c>
      <c r="C167" t="s">
        <v>433</v>
      </c>
      <c r="D167">
        <v>14579388812560</v>
      </c>
      <c r="F167" t="s">
        <v>432</v>
      </c>
      <c r="G167" t="s">
        <v>4</v>
      </c>
      <c r="H167" t="s">
        <v>3</v>
      </c>
      <c r="I167" t="s">
        <v>431</v>
      </c>
      <c r="J167" t="s">
        <v>430</v>
      </c>
      <c r="K167" t="s">
        <v>429</v>
      </c>
      <c r="L167" t="s">
        <v>428</v>
      </c>
      <c r="M167" t="s">
        <v>427</v>
      </c>
      <c r="N167">
        <v>3</v>
      </c>
      <c r="O167" t="s">
        <v>426</v>
      </c>
      <c r="P167" t="s">
        <v>425</v>
      </c>
      <c r="Q167" t="s">
        <v>424</v>
      </c>
      <c r="R167" s="7">
        <v>32356</v>
      </c>
      <c r="S167" s="8">
        <f t="shared" si="16"/>
        <v>1988</v>
      </c>
      <c r="T167" s="8">
        <v>1988</v>
      </c>
      <c r="U167" s="8">
        <f t="shared" si="17"/>
        <v>34</v>
      </c>
      <c r="V167" s="7">
        <v>32356</v>
      </c>
      <c r="W167" t="s">
        <v>173</v>
      </c>
      <c r="X167" s="2">
        <v>1.593</v>
      </c>
      <c r="Y167" s="6">
        <f t="shared" si="18"/>
        <v>4.2524225194201973E-2</v>
      </c>
      <c r="AA167">
        <v>145793</v>
      </c>
      <c r="AB167">
        <v>17481</v>
      </c>
      <c r="AD167" t="s">
        <v>1</v>
      </c>
      <c r="AE167">
        <v>235</v>
      </c>
      <c r="AF167" s="9">
        <v>44228</v>
      </c>
      <c r="AH167" t="s">
        <v>423</v>
      </c>
      <c r="AI167" t="s">
        <v>422</v>
      </c>
      <c r="AJ167" t="s">
        <v>421</v>
      </c>
      <c r="AK167" t="s">
        <v>420</v>
      </c>
      <c r="AL167">
        <v>26</v>
      </c>
      <c r="AM167" s="5">
        <f t="shared" si="19"/>
        <v>0.76470588235294112</v>
      </c>
      <c r="AN167" s="4">
        <f t="shared" si="20"/>
        <v>1.1582065616856359E-3</v>
      </c>
      <c r="AO167" s="3"/>
      <c r="AP167">
        <v>1</v>
      </c>
      <c r="AQ167" t="s">
        <v>73</v>
      </c>
      <c r="AR167" t="s">
        <v>0</v>
      </c>
      <c r="AS167" t="s">
        <v>419</v>
      </c>
      <c r="AT167" s="2">
        <v>4.1239999999999997</v>
      </c>
      <c r="AU167" s="1">
        <f t="shared" si="21"/>
        <v>3.0114419604447069</v>
      </c>
      <c r="AV167" s="1">
        <f t="shared" si="22"/>
        <v>2.1841215877943805</v>
      </c>
      <c r="AW167" s="1">
        <f t="shared" si="23"/>
        <v>1.3568012151440536</v>
      </c>
    </row>
    <row r="168" spans="1:49" x14ac:dyDescent="0.2">
      <c r="A168">
        <v>166</v>
      </c>
      <c r="B168" t="s">
        <v>418</v>
      </c>
      <c r="C168" t="s">
        <v>417</v>
      </c>
      <c r="D168">
        <v>5272888900965</v>
      </c>
      <c r="F168" t="s">
        <v>416</v>
      </c>
      <c r="G168" t="s">
        <v>4</v>
      </c>
      <c r="H168" t="s">
        <v>3</v>
      </c>
      <c r="I168" t="s">
        <v>415</v>
      </c>
      <c r="J168" t="s">
        <v>414</v>
      </c>
      <c r="K168" t="s">
        <v>413</v>
      </c>
      <c r="L168" t="s">
        <v>412</v>
      </c>
      <c r="M168" t="s">
        <v>71</v>
      </c>
      <c r="N168">
        <v>5</v>
      </c>
      <c r="O168" t="s">
        <v>411</v>
      </c>
      <c r="P168" t="s">
        <v>410</v>
      </c>
      <c r="Q168" t="s">
        <v>409</v>
      </c>
      <c r="R168" s="7">
        <v>32351</v>
      </c>
      <c r="S168" s="8">
        <f t="shared" si="16"/>
        <v>1988</v>
      </c>
      <c r="T168" s="8">
        <v>1988</v>
      </c>
      <c r="U168" s="8">
        <f t="shared" si="17"/>
        <v>34</v>
      </c>
      <c r="V168" s="7">
        <v>32351</v>
      </c>
      <c r="W168" t="s">
        <v>9</v>
      </c>
      <c r="X168" s="2">
        <v>1.59</v>
      </c>
      <c r="Y168" s="6">
        <f t="shared" si="18"/>
        <v>4.2444141907583888E-2</v>
      </c>
      <c r="AA168">
        <v>52728</v>
      </c>
      <c r="AB168">
        <v>16791</v>
      </c>
      <c r="AD168" t="s">
        <v>1</v>
      </c>
      <c r="AE168">
        <v>934</v>
      </c>
      <c r="AF168">
        <v>3</v>
      </c>
      <c r="AH168" t="s">
        <v>408</v>
      </c>
      <c r="AI168" t="s">
        <v>407</v>
      </c>
      <c r="AJ168" t="s">
        <v>406</v>
      </c>
      <c r="AK168" t="s">
        <v>405</v>
      </c>
      <c r="AL168">
        <v>3</v>
      </c>
      <c r="AM168" s="5">
        <f t="shared" si="19"/>
        <v>8.8235294117647065E-2</v>
      </c>
      <c r="AN168" s="4">
        <f t="shared" si="20"/>
        <v>1.3363921865603494E-4</v>
      </c>
      <c r="AO168" s="3"/>
      <c r="AP168">
        <v>0</v>
      </c>
      <c r="AR168" t="s">
        <v>0</v>
      </c>
      <c r="AT168" s="2" t="s">
        <v>5</v>
      </c>
      <c r="AU168" s="1">
        <f t="shared" si="21"/>
        <v>2.9750991100905533</v>
      </c>
      <c r="AV168" s="1">
        <f t="shared" si="22"/>
        <v>2.128889056311996</v>
      </c>
      <c r="AW168" s="1">
        <f t="shared" si="23"/>
        <v>1.2826790025334389</v>
      </c>
    </row>
    <row r="169" spans="1:49" x14ac:dyDescent="0.2">
      <c r="A169">
        <v>167</v>
      </c>
      <c r="B169" t="s">
        <v>404</v>
      </c>
      <c r="C169" t="s">
        <v>403</v>
      </c>
      <c r="D169">
        <v>5272888901831</v>
      </c>
      <c r="F169" t="s">
        <v>402</v>
      </c>
      <c r="G169" t="s">
        <v>4</v>
      </c>
      <c r="H169" t="s">
        <v>3</v>
      </c>
      <c r="I169" t="s">
        <v>401</v>
      </c>
      <c r="J169">
        <v>60072285</v>
      </c>
      <c r="K169" t="s">
        <v>400</v>
      </c>
      <c r="L169" t="s">
        <v>399</v>
      </c>
      <c r="M169" t="s">
        <v>11</v>
      </c>
      <c r="N169">
        <v>3</v>
      </c>
      <c r="O169" t="s">
        <v>398</v>
      </c>
      <c r="P169" t="s">
        <v>397</v>
      </c>
      <c r="Q169" t="s">
        <v>396</v>
      </c>
      <c r="R169" s="7">
        <v>32330</v>
      </c>
      <c r="S169" s="8">
        <f t="shared" si="16"/>
        <v>1988</v>
      </c>
      <c r="T169" s="8">
        <v>1988</v>
      </c>
      <c r="U169" s="8">
        <f t="shared" si="17"/>
        <v>34</v>
      </c>
      <c r="V169" s="7">
        <v>32330</v>
      </c>
      <c r="W169" t="s">
        <v>9</v>
      </c>
      <c r="X169" s="2">
        <v>1.59</v>
      </c>
      <c r="Y169" s="6">
        <f t="shared" si="18"/>
        <v>4.2444141907583888E-2</v>
      </c>
      <c r="AA169">
        <v>52728</v>
      </c>
      <c r="AB169">
        <v>16791</v>
      </c>
      <c r="AD169" t="s">
        <v>1</v>
      </c>
      <c r="AE169">
        <v>934</v>
      </c>
      <c r="AF169">
        <v>2</v>
      </c>
      <c r="AH169" t="s">
        <v>395</v>
      </c>
      <c r="AI169" t="s">
        <v>394</v>
      </c>
      <c r="AJ169" t="s">
        <v>393</v>
      </c>
      <c r="AK169" t="s">
        <v>392</v>
      </c>
      <c r="AL169">
        <v>39</v>
      </c>
      <c r="AM169" s="5">
        <f t="shared" si="19"/>
        <v>1.1470588235294117</v>
      </c>
      <c r="AN169" s="4">
        <f t="shared" si="20"/>
        <v>1.7373098425284539E-3</v>
      </c>
      <c r="AO169" s="3"/>
      <c r="AP169">
        <v>0</v>
      </c>
      <c r="AR169" t="s">
        <v>0</v>
      </c>
      <c r="AS169" t="s">
        <v>391</v>
      </c>
      <c r="AT169" s="2" t="s">
        <v>5</v>
      </c>
      <c r="AU169" s="1">
        <f t="shared" si="21"/>
        <v>3.0232092288067256</v>
      </c>
      <c r="AV169" s="1">
        <f t="shared" si="22"/>
        <v>2.2090725875056174</v>
      </c>
      <c r="AW169" s="1">
        <f t="shared" si="23"/>
        <v>1.3949359462045083</v>
      </c>
    </row>
    <row r="170" spans="1:49" x14ac:dyDescent="0.2">
      <c r="A170">
        <v>168</v>
      </c>
      <c r="B170" t="s">
        <v>390</v>
      </c>
      <c r="C170" t="s">
        <v>389</v>
      </c>
      <c r="D170">
        <v>22311588902231</v>
      </c>
      <c r="F170" t="s">
        <v>388</v>
      </c>
      <c r="G170" t="s">
        <v>4</v>
      </c>
      <c r="H170" t="s">
        <v>3</v>
      </c>
      <c r="I170" t="s">
        <v>387</v>
      </c>
      <c r="J170" t="s">
        <v>170</v>
      </c>
      <c r="K170" t="s">
        <v>169</v>
      </c>
      <c r="L170" t="s">
        <v>168</v>
      </c>
      <c r="M170" t="s">
        <v>23</v>
      </c>
      <c r="N170">
        <v>11</v>
      </c>
      <c r="O170" t="s">
        <v>386</v>
      </c>
      <c r="P170" t="s">
        <v>385</v>
      </c>
      <c r="Q170" t="s">
        <v>384</v>
      </c>
      <c r="R170" s="7">
        <v>32326</v>
      </c>
      <c r="S170" s="8">
        <f t="shared" si="16"/>
        <v>1988</v>
      </c>
      <c r="T170" s="8">
        <v>1988</v>
      </c>
      <c r="U170" s="8">
        <f t="shared" si="17"/>
        <v>34</v>
      </c>
      <c r="V170" s="7">
        <v>32326</v>
      </c>
      <c r="W170" t="s">
        <v>383</v>
      </c>
      <c r="X170" s="2">
        <v>1.123</v>
      </c>
      <c r="Y170" s="6">
        <f t="shared" si="18"/>
        <v>2.9977843624035664E-2</v>
      </c>
      <c r="AA170">
        <v>223115</v>
      </c>
      <c r="AB170">
        <v>29021</v>
      </c>
      <c r="AD170" t="s">
        <v>1</v>
      </c>
      <c r="AE170" t="s">
        <v>382</v>
      </c>
      <c r="AF170" t="s">
        <v>381</v>
      </c>
      <c r="AH170" t="s">
        <v>68</v>
      </c>
      <c r="AI170" t="s">
        <v>380</v>
      </c>
      <c r="AK170" t="s">
        <v>379</v>
      </c>
      <c r="AL170">
        <v>17</v>
      </c>
      <c r="AM170" s="5">
        <f t="shared" si="19"/>
        <v>0.5</v>
      </c>
      <c r="AN170" s="4">
        <f t="shared" si="20"/>
        <v>7.572889057175312E-4</v>
      </c>
      <c r="AO170" s="3"/>
      <c r="AP170">
        <v>0</v>
      </c>
      <c r="AQ170" t="s">
        <v>7</v>
      </c>
      <c r="AR170" t="s">
        <v>0</v>
      </c>
      <c r="AS170" t="s">
        <v>6</v>
      </c>
      <c r="AT170" s="2">
        <v>2.9359999999999999</v>
      </c>
      <c r="AU170" s="1">
        <f t="shared" si="21"/>
        <v>2.1211677208540225</v>
      </c>
      <c r="AV170" s="1">
        <f t="shared" si="22"/>
        <v>1.5367566264876598</v>
      </c>
      <c r="AW170" s="1">
        <f t="shared" si="23"/>
        <v>0.95234553212129713</v>
      </c>
    </row>
    <row r="171" spans="1:49" x14ac:dyDescent="0.2">
      <c r="A171">
        <v>169</v>
      </c>
      <c r="B171" t="s">
        <v>378</v>
      </c>
      <c r="C171" t="s">
        <v>377</v>
      </c>
      <c r="F171" t="s">
        <v>376</v>
      </c>
      <c r="G171" t="s">
        <v>4</v>
      </c>
      <c r="H171" t="s">
        <v>3</v>
      </c>
      <c r="I171" t="s">
        <v>375</v>
      </c>
      <c r="J171">
        <v>60102437</v>
      </c>
      <c r="K171" t="s">
        <v>374</v>
      </c>
      <c r="L171" t="s">
        <v>89</v>
      </c>
      <c r="M171" t="s">
        <v>38</v>
      </c>
      <c r="N171">
        <v>1</v>
      </c>
      <c r="O171" t="s">
        <v>373</v>
      </c>
      <c r="P171">
        <v>26651007300</v>
      </c>
      <c r="Q171">
        <v>60102437</v>
      </c>
      <c r="R171" s="7">
        <v>32325</v>
      </c>
      <c r="S171" s="8">
        <f t="shared" si="16"/>
        <v>1988</v>
      </c>
      <c r="T171" s="8">
        <v>1988</v>
      </c>
      <c r="U171" s="8">
        <f t="shared" si="17"/>
        <v>34</v>
      </c>
      <c r="V171" s="7">
        <v>32325</v>
      </c>
      <c r="W171" t="s">
        <v>167</v>
      </c>
      <c r="X171" s="2">
        <v>0.11700000000000001</v>
      </c>
      <c r="Y171" s="6">
        <f t="shared" si="18"/>
        <v>3.1232481781052297E-3</v>
      </c>
      <c r="AA171">
        <v>2179822</v>
      </c>
      <c r="AB171">
        <v>5300152612</v>
      </c>
      <c r="AC171">
        <v>19930615</v>
      </c>
      <c r="AD171" t="s">
        <v>1</v>
      </c>
      <c r="AE171">
        <v>5</v>
      </c>
      <c r="AF171">
        <v>3</v>
      </c>
      <c r="AH171" t="s">
        <v>372</v>
      </c>
      <c r="AI171" t="s">
        <v>371</v>
      </c>
      <c r="AJ171" t="s">
        <v>370</v>
      </c>
      <c r="AK171" t="s">
        <v>369</v>
      </c>
      <c r="AL171">
        <v>0</v>
      </c>
      <c r="AM171" s="5">
        <f t="shared" si="19"/>
        <v>0</v>
      </c>
      <c r="AN171" s="4">
        <f t="shared" si="20"/>
        <v>0</v>
      </c>
      <c r="AO171" s="3"/>
      <c r="AP171">
        <v>0</v>
      </c>
      <c r="AR171" t="s">
        <v>0</v>
      </c>
      <c r="AT171" s="2" t="s">
        <v>5</v>
      </c>
      <c r="AU171" s="1">
        <f t="shared" si="21"/>
        <v>0.21862737246736608</v>
      </c>
      <c r="AV171" s="1">
        <f t="shared" si="22"/>
        <v>0.15616240890526148</v>
      </c>
      <c r="AW171" s="1">
        <f t="shared" si="23"/>
        <v>9.3697445343156896E-2</v>
      </c>
    </row>
    <row r="172" spans="1:49" x14ac:dyDescent="0.2">
      <c r="A172">
        <v>170</v>
      </c>
      <c r="B172" t="s">
        <v>368</v>
      </c>
      <c r="C172" t="s">
        <v>367</v>
      </c>
      <c r="F172" t="s">
        <v>366</v>
      </c>
      <c r="G172" t="s">
        <v>4</v>
      </c>
      <c r="H172" t="s">
        <v>3</v>
      </c>
      <c r="I172" t="s">
        <v>365</v>
      </c>
      <c r="J172">
        <v>60028333</v>
      </c>
      <c r="K172" t="s">
        <v>129</v>
      </c>
      <c r="L172" t="s">
        <v>101</v>
      </c>
      <c r="M172" t="s">
        <v>59</v>
      </c>
      <c r="N172">
        <v>2</v>
      </c>
      <c r="O172" t="s">
        <v>364</v>
      </c>
      <c r="P172" t="s">
        <v>363</v>
      </c>
      <c r="Q172" t="s">
        <v>128</v>
      </c>
      <c r="R172" s="7">
        <v>32325</v>
      </c>
      <c r="S172" s="8">
        <f t="shared" si="16"/>
        <v>1988</v>
      </c>
      <c r="T172" s="8">
        <v>1988</v>
      </c>
      <c r="U172" s="8">
        <f t="shared" si="17"/>
        <v>34</v>
      </c>
      <c r="V172" s="7">
        <v>32325</v>
      </c>
      <c r="W172" t="s">
        <v>228</v>
      </c>
      <c r="X172" s="2">
        <v>0.8</v>
      </c>
      <c r="Y172" s="6">
        <f t="shared" si="18"/>
        <v>2.1355543098155415E-2</v>
      </c>
      <c r="AA172">
        <v>3407594</v>
      </c>
      <c r="AB172">
        <v>23456</v>
      </c>
      <c r="AC172">
        <v>14321351</v>
      </c>
      <c r="AD172" t="s">
        <v>1</v>
      </c>
      <c r="AE172">
        <v>163</v>
      </c>
      <c r="AF172">
        <v>4</v>
      </c>
      <c r="AH172" t="s">
        <v>362</v>
      </c>
      <c r="AI172" t="s">
        <v>361</v>
      </c>
      <c r="AK172" t="s">
        <v>360</v>
      </c>
      <c r="AL172">
        <v>27</v>
      </c>
      <c r="AM172" s="5">
        <f t="shared" si="19"/>
        <v>0.79411764705882348</v>
      </c>
      <c r="AN172" s="4">
        <f t="shared" si="20"/>
        <v>1.2027529679043143E-3</v>
      </c>
      <c r="AO172" s="3"/>
      <c r="AP172">
        <v>0</v>
      </c>
      <c r="AR172" t="s">
        <v>0</v>
      </c>
      <c r="AT172" s="2" t="s">
        <v>5</v>
      </c>
      <c r="AU172" s="1">
        <f t="shared" si="21"/>
        <v>1.5309706059080084</v>
      </c>
      <c r="AV172" s="1">
        <f t="shared" si="22"/>
        <v>1.1279148033029864</v>
      </c>
      <c r="AW172" s="1">
        <f t="shared" si="23"/>
        <v>0.72485900069796438</v>
      </c>
    </row>
    <row r="173" spans="1:49" x14ac:dyDescent="0.2">
      <c r="A173">
        <v>171</v>
      </c>
      <c r="B173" t="s">
        <v>359</v>
      </c>
      <c r="F173" t="s">
        <v>358</v>
      </c>
      <c r="G173" t="s">
        <v>4</v>
      </c>
      <c r="H173" t="s">
        <v>3</v>
      </c>
      <c r="I173" t="s">
        <v>357</v>
      </c>
      <c r="J173">
        <v>60011604</v>
      </c>
      <c r="K173" t="s">
        <v>191</v>
      </c>
      <c r="L173" t="s">
        <v>190</v>
      </c>
      <c r="M173" t="s">
        <v>11</v>
      </c>
      <c r="N173">
        <v>1</v>
      </c>
      <c r="O173" t="s">
        <v>356</v>
      </c>
      <c r="P173">
        <v>7003780679</v>
      </c>
      <c r="Q173">
        <v>60011604</v>
      </c>
      <c r="R173" s="7">
        <v>32325</v>
      </c>
      <c r="S173" s="8">
        <f t="shared" si="16"/>
        <v>1988</v>
      </c>
      <c r="T173" s="8">
        <v>1988</v>
      </c>
      <c r="U173" s="8">
        <f t="shared" si="17"/>
        <v>34</v>
      </c>
      <c r="V173" s="7">
        <v>32325</v>
      </c>
      <c r="W173" t="s">
        <v>217</v>
      </c>
      <c r="X173" s="2">
        <v>0.54700000000000004</v>
      </c>
      <c r="Y173" s="6">
        <f t="shared" si="18"/>
        <v>1.4601852593363766E-2</v>
      </c>
      <c r="AA173">
        <v>11096</v>
      </c>
      <c r="AB173">
        <v>31211</v>
      </c>
      <c r="AD173" t="s">
        <v>1</v>
      </c>
      <c r="AE173">
        <v>42</v>
      </c>
      <c r="AF173">
        <v>4</v>
      </c>
      <c r="AH173" t="s">
        <v>355</v>
      </c>
      <c r="AI173" t="s">
        <v>354</v>
      </c>
      <c r="AK173" t="s">
        <v>353</v>
      </c>
      <c r="AL173">
        <v>3</v>
      </c>
      <c r="AM173" s="5">
        <f t="shared" si="19"/>
        <v>8.8235294117647065E-2</v>
      </c>
      <c r="AN173" s="4">
        <f t="shared" si="20"/>
        <v>1.3363921865603494E-4</v>
      </c>
      <c r="AO173" s="3"/>
      <c r="AP173">
        <v>0</v>
      </c>
      <c r="AR173" t="s">
        <v>0</v>
      </c>
      <c r="AT173" s="2" t="s">
        <v>5</v>
      </c>
      <c r="AU173" s="1">
        <f t="shared" si="21"/>
        <v>1.0261388580951447</v>
      </c>
      <c r="AV173" s="1">
        <f t="shared" si="22"/>
        <v>0.73677459060099015</v>
      </c>
      <c r="AW173" s="1">
        <f t="shared" si="23"/>
        <v>0.44741032310683537</v>
      </c>
    </row>
    <row r="174" spans="1:49" x14ac:dyDescent="0.2">
      <c r="A174">
        <v>172</v>
      </c>
      <c r="B174" t="s">
        <v>352</v>
      </c>
      <c r="F174" t="s">
        <v>351</v>
      </c>
      <c r="G174" t="s">
        <v>4</v>
      </c>
      <c r="H174" t="s">
        <v>3</v>
      </c>
      <c r="I174" t="s">
        <v>350</v>
      </c>
      <c r="N174">
        <v>3</v>
      </c>
      <c r="O174" t="s">
        <v>349</v>
      </c>
      <c r="P174" t="s">
        <v>348</v>
      </c>
      <c r="Q174" t="s">
        <v>44</v>
      </c>
      <c r="R174" s="7">
        <v>32325</v>
      </c>
      <c r="S174" s="8">
        <f t="shared" si="16"/>
        <v>1988</v>
      </c>
      <c r="T174" s="8">
        <v>1988</v>
      </c>
      <c r="U174" s="8">
        <f t="shared" si="17"/>
        <v>34</v>
      </c>
      <c r="V174" s="7">
        <v>32325</v>
      </c>
      <c r="W174" t="s">
        <v>52</v>
      </c>
      <c r="X174" s="2">
        <v>0.14099999999999999</v>
      </c>
      <c r="Y174" s="6">
        <f t="shared" si="18"/>
        <v>3.7639144710498915E-3</v>
      </c>
      <c r="AA174">
        <v>402508</v>
      </c>
      <c r="AB174">
        <v>20868</v>
      </c>
      <c r="AD174" t="s">
        <v>1</v>
      </c>
      <c r="AE174">
        <v>43</v>
      </c>
      <c r="AF174">
        <v>7</v>
      </c>
      <c r="AH174" t="s">
        <v>347</v>
      </c>
      <c r="AI174" t="s">
        <v>346</v>
      </c>
      <c r="AK174" t="s">
        <v>345</v>
      </c>
      <c r="AL174">
        <v>0</v>
      </c>
      <c r="AM174" s="5">
        <f t="shared" si="19"/>
        <v>0</v>
      </c>
      <c r="AN174" s="4">
        <f t="shared" si="20"/>
        <v>0</v>
      </c>
      <c r="AO174" s="3"/>
      <c r="AP174">
        <v>0</v>
      </c>
      <c r="AR174" t="s">
        <v>0</v>
      </c>
      <c r="AT174" s="2" t="s">
        <v>5</v>
      </c>
      <c r="AU174" s="1">
        <f t="shared" si="21"/>
        <v>0.26347401297349238</v>
      </c>
      <c r="AV174" s="1">
        <f t="shared" si="22"/>
        <v>0.18819572355249459</v>
      </c>
      <c r="AW174" s="1">
        <f t="shared" si="23"/>
        <v>0.11291743413149673</v>
      </c>
    </row>
    <row r="175" spans="1:49" x14ac:dyDescent="0.2">
      <c r="A175">
        <v>173</v>
      </c>
      <c r="B175" t="s">
        <v>344</v>
      </c>
      <c r="F175" t="s">
        <v>343</v>
      </c>
      <c r="G175" t="s">
        <v>4</v>
      </c>
      <c r="H175" t="s">
        <v>3</v>
      </c>
      <c r="I175" t="s">
        <v>342</v>
      </c>
      <c r="N175">
        <v>3</v>
      </c>
      <c r="O175" t="s">
        <v>341</v>
      </c>
      <c r="P175" t="s">
        <v>340</v>
      </c>
      <c r="Q175" t="s">
        <v>44</v>
      </c>
      <c r="R175" s="7">
        <v>32325</v>
      </c>
      <c r="S175" s="8">
        <f t="shared" si="16"/>
        <v>1988</v>
      </c>
      <c r="T175" s="8">
        <v>1988</v>
      </c>
      <c r="U175" s="8">
        <f t="shared" si="17"/>
        <v>34</v>
      </c>
      <c r="V175" s="7">
        <v>32325</v>
      </c>
      <c r="W175" t="s">
        <v>52</v>
      </c>
      <c r="X175" s="2">
        <v>0.14099999999999999</v>
      </c>
      <c r="Y175" s="6">
        <f t="shared" si="18"/>
        <v>3.7639144710498915E-3</v>
      </c>
      <c r="AA175">
        <v>402508</v>
      </c>
      <c r="AB175">
        <v>20868</v>
      </c>
      <c r="AD175" t="s">
        <v>1</v>
      </c>
      <c r="AE175">
        <v>43</v>
      </c>
      <c r="AF175">
        <v>7</v>
      </c>
      <c r="AH175" t="s">
        <v>90</v>
      </c>
      <c r="AI175" t="s">
        <v>339</v>
      </c>
      <c r="AK175" t="s">
        <v>338</v>
      </c>
      <c r="AL175">
        <v>0</v>
      </c>
      <c r="AM175" s="5">
        <f t="shared" si="19"/>
        <v>0</v>
      </c>
      <c r="AN175" s="4">
        <f t="shared" si="20"/>
        <v>0</v>
      </c>
      <c r="AO175" s="3"/>
      <c r="AP175">
        <v>0</v>
      </c>
      <c r="AR175" t="s">
        <v>0</v>
      </c>
      <c r="AT175" s="2" t="s">
        <v>5</v>
      </c>
      <c r="AU175" s="1">
        <f t="shared" si="21"/>
        <v>0.26347401297349238</v>
      </c>
      <c r="AV175" s="1">
        <f t="shared" si="22"/>
        <v>0.18819572355249459</v>
      </c>
      <c r="AW175" s="1">
        <f t="shared" si="23"/>
        <v>0.11291743413149673</v>
      </c>
    </row>
    <row r="176" spans="1:49" x14ac:dyDescent="0.2">
      <c r="A176">
        <v>174</v>
      </c>
      <c r="B176" t="s">
        <v>337</v>
      </c>
      <c r="F176" t="s">
        <v>336</v>
      </c>
      <c r="G176" t="s">
        <v>4</v>
      </c>
      <c r="H176" t="s">
        <v>3</v>
      </c>
      <c r="I176" t="s">
        <v>335</v>
      </c>
      <c r="N176">
        <v>3</v>
      </c>
      <c r="O176" t="s">
        <v>334</v>
      </c>
      <c r="P176" t="s">
        <v>333</v>
      </c>
      <c r="Q176" t="s">
        <v>44</v>
      </c>
      <c r="R176" s="7">
        <v>32325</v>
      </c>
      <c r="S176" s="8">
        <f t="shared" si="16"/>
        <v>1988</v>
      </c>
      <c r="T176" s="8">
        <v>1988</v>
      </c>
      <c r="U176" s="8">
        <f t="shared" si="17"/>
        <v>34</v>
      </c>
      <c r="V176" s="7">
        <v>32325</v>
      </c>
      <c r="W176" t="s">
        <v>52</v>
      </c>
      <c r="X176" s="2">
        <v>0.14099999999999999</v>
      </c>
      <c r="Y176" s="6">
        <f t="shared" si="18"/>
        <v>3.7639144710498915E-3</v>
      </c>
      <c r="AA176">
        <v>402508</v>
      </c>
      <c r="AB176">
        <v>20868</v>
      </c>
      <c r="AD176" t="s">
        <v>1</v>
      </c>
      <c r="AE176">
        <v>43</v>
      </c>
      <c r="AF176">
        <v>7</v>
      </c>
      <c r="AH176" t="s">
        <v>97</v>
      </c>
      <c r="AI176" t="s">
        <v>332</v>
      </c>
      <c r="AK176" t="s">
        <v>331</v>
      </c>
      <c r="AL176">
        <v>0</v>
      </c>
      <c r="AM176" s="5">
        <f t="shared" si="19"/>
        <v>0</v>
      </c>
      <c r="AN176" s="4">
        <f t="shared" si="20"/>
        <v>0</v>
      </c>
      <c r="AO176" s="3"/>
      <c r="AP176">
        <v>0</v>
      </c>
      <c r="AR176" t="s">
        <v>0</v>
      </c>
      <c r="AT176" s="2" t="s">
        <v>5</v>
      </c>
      <c r="AU176" s="1">
        <f t="shared" si="21"/>
        <v>0.26347401297349238</v>
      </c>
      <c r="AV176" s="1">
        <f t="shared" si="22"/>
        <v>0.18819572355249459</v>
      </c>
      <c r="AW176" s="1">
        <f t="shared" si="23"/>
        <v>0.11291743413149673</v>
      </c>
    </row>
    <row r="177" spans="1:49" x14ac:dyDescent="0.2">
      <c r="A177">
        <v>175</v>
      </c>
      <c r="B177" t="s">
        <v>330</v>
      </c>
      <c r="F177" t="s">
        <v>329</v>
      </c>
      <c r="G177" t="s">
        <v>4</v>
      </c>
      <c r="H177" t="s">
        <v>3</v>
      </c>
      <c r="I177" t="s">
        <v>328</v>
      </c>
      <c r="N177">
        <v>1</v>
      </c>
      <c r="O177" t="s">
        <v>327</v>
      </c>
      <c r="P177">
        <v>6506744920</v>
      </c>
      <c r="R177" s="7">
        <v>32325</v>
      </c>
      <c r="S177" s="8">
        <f t="shared" si="16"/>
        <v>1988</v>
      </c>
      <c r="T177" s="8">
        <v>1988</v>
      </c>
      <c r="U177" s="8">
        <f t="shared" si="17"/>
        <v>34</v>
      </c>
      <c r="V177" s="7">
        <v>32325</v>
      </c>
      <c r="W177" t="s">
        <v>52</v>
      </c>
      <c r="X177" s="2">
        <v>0.14099999999999999</v>
      </c>
      <c r="Y177" s="6">
        <f t="shared" si="18"/>
        <v>3.7639144710498915E-3</v>
      </c>
      <c r="AA177">
        <v>402508</v>
      </c>
      <c r="AB177">
        <v>20868</v>
      </c>
      <c r="AD177" t="s">
        <v>1</v>
      </c>
      <c r="AE177">
        <v>43</v>
      </c>
      <c r="AF177">
        <v>7</v>
      </c>
      <c r="AH177" t="s">
        <v>326</v>
      </c>
      <c r="AI177" t="s">
        <v>325</v>
      </c>
      <c r="AK177" t="s">
        <v>324</v>
      </c>
      <c r="AL177">
        <v>0</v>
      </c>
      <c r="AM177" s="5">
        <f t="shared" si="19"/>
        <v>0</v>
      </c>
      <c r="AN177" s="4">
        <f t="shared" si="20"/>
        <v>0</v>
      </c>
      <c r="AO177" s="3"/>
      <c r="AP177">
        <v>0</v>
      </c>
      <c r="AR177" t="s">
        <v>0</v>
      </c>
      <c r="AT177" s="2" t="s">
        <v>5</v>
      </c>
      <c r="AU177" s="1">
        <f t="shared" si="21"/>
        <v>0.26347401297349238</v>
      </c>
      <c r="AV177" s="1">
        <f t="shared" si="22"/>
        <v>0.18819572355249459</v>
      </c>
      <c r="AW177" s="1">
        <f t="shared" si="23"/>
        <v>0.11291743413149673</v>
      </c>
    </row>
    <row r="178" spans="1:49" x14ac:dyDescent="0.2">
      <c r="A178">
        <v>176</v>
      </c>
      <c r="B178" t="s">
        <v>323</v>
      </c>
      <c r="F178" t="s">
        <v>322</v>
      </c>
      <c r="G178" t="s">
        <v>4</v>
      </c>
      <c r="H178" t="s">
        <v>3</v>
      </c>
      <c r="I178" t="s">
        <v>321</v>
      </c>
      <c r="N178">
        <v>4</v>
      </c>
      <c r="O178" t="s">
        <v>320</v>
      </c>
      <c r="P178" t="s">
        <v>319</v>
      </c>
      <c r="Q178" t="s">
        <v>43</v>
      </c>
      <c r="R178" s="7">
        <v>32325</v>
      </c>
      <c r="S178" s="8">
        <f t="shared" si="16"/>
        <v>1988</v>
      </c>
      <c r="T178" s="8">
        <v>1988</v>
      </c>
      <c r="U178" s="8">
        <f t="shared" si="17"/>
        <v>34</v>
      </c>
      <c r="V178" s="7">
        <v>32325</v>
      </c>
      <c r="W178" t="s">
        <v>41</v>
      </c>
      <c r="X178" s="2" t="s">
        <v>5</v>
      </c>
      <c r="Y178" s="6" t="e">
        <f t="shared" si="18"/>
        <v>#VALUE!</v>
      </c>
      <c r="AA178">
        <v>87566648</v>
      </c>
      <c r="AB178">
        <v>74127</v>
      </c>
      <c r="AD178" t="s">
        <v>1</v>
      </c>
      <c r="AE178">
        <v>33</v>
      </c>
      <c r="AF178">
        <v>7</v>
      </c>
      <c r="AH178" t="s">
        <v>318</v>
      </c>
      <c r="AI178" t="s">
        <v>317</v>
      </c>
      <c r="AK178" t="s">
        <v>316</v>
      </c>
      <c r="AL178">
        <v>0</v>
      </c>
      <c r="AM178" s="5">
        <f t="shared" si="19"/>
        <v>0</v>
      </c>
      <c r="AN178" s="4">
        <f t="shared" si="20"/>
        <v>0</v>
      </c>
      <c r="AO178" s="3"/>
      <c r="AP178">
        <v>0</v>
      </c>
      <c r="AR178" t="s">
        <v>0</v>
      </c>
      <c r="AT178" s="2" t="s">
        <v>5</v>
      </c>
      <c r="AU178" s="1" t="e">
        <f t="shared" si="21"/>
        <v>#VALUE!</v>
      </c>
      <c r="AV178" s="1" t="e">
        <f t="shared" si="22"/>
        <v>#VALUE!</v>
      </c>
      <c r="AW178" s="1" t="e">
        <f t="shared" si="23"/>
        <v>#VALUE!</v>
      </c>
    </row>
    <row r="179" spans="1:49" x14ac:dyDescent="0.2">
      <c r="A179">
        <v>177</v>
      </c>
      <c r="B179" t="s">
        <v>315</v>
      </c>
      <c r="F179" t="s">
        <v>314</v>
      </c>
      <c r="G179" t="s">
        <v>4</v>
      </c>
      <c r="H179" t="s">
        <v>3</v>
      </c>
      <c r="I179" t="s">
        <v>313</v>
      </c>
      <c r="N179">
        <v>2</v>
      </c>
      <c r="O179" t="s">
        <v>312</v>
      </c>
      <c r="P179" t="s">
        <v>311</v>
      </c>
      <c r="Q179" t="s">
        <v>42</v>
      </c>
      <c r="R179" s="7">
        <v>32325</v>
      </c>
      <c r="S179" s="8">
        <f t="shared" si="16"/>
        <v>1988</v>
      </c>
      <c r="T179" s="8">
        <v>1988</v>
      </c>
      <c r="U179" s="8">
        <f t="shared" si="17"/>
        <v>34</v>
      </c>
      <c r="V179" s="7">
        <v>32325</v>
      </c>
      <c r="W179" t="s">
        <v>41</v>
      </c>
      <c r="X179" s="2" t="s">
        <v>5</v>
      </c>
      <c r="Y179" s="6" t="e">
        <f t="shared" si="18"/>
        <v>#VALUE!</v>
      </c>
      <c r="AA179">
        <v>87566648</v>
      </c>
      <c r="AB179">
        <v>74127</v>
      </c>
      <c r="AD179" t="s">
        <v>1</v>
      </c>
      <c r="AE179">
        <v>33</v>
      </c>
      <c r="AF179">
        <v>7</v>
      </c>
      <c r="AH179" t="s">
        <v>310</v>
      </c>
      <c r="AI179" t="s">
        <v>309</v>
      </c>
      <c r="AK179" t="s">
        <v>308</v>
      </c>
      <c r="AL179">
        <v>0</v>
      </c>
      <c r="AM179" s="5">
        <f t="shared" si="19"/>
        <v>0</v>
      </c>
      <c r="AN179" s="4">
        <f t="shared" si="20"/>
        <v>0</v>
      </c>
      <c r="AO179" s="3"/>
      <c r="AP179">
        <v>0</v>
      </c>
      <c r="AR179" t="s">
        <v>0</v>
      </c>
      <c r="AT179" s="2" t="s">
        <v>5</v>
      </c>
      <c r="AU179" s="1" t="e">
        <f t="shared" si="21"/>
        <v>#VALUE!</v>
      </c>
      <c r="AV179" s="1" t="e">
        <f t="shared" si="22"/>
        <v>#VALUE!</v>
      </c>
      <c r="AW179" s="1" t="e">
        <f t="shared" si="23"/>
        <v>#VALUE!</v>
      </c>
    </row>
    <row r="180" spans="1:49" x14ac:dyDescent="0.2">
      <c r="A180">
        <v>178</v>
      </c>
      <c r="B180" t="s">
        <v>307</v>
      </c>
      <c r="F180" t="s">
        <v>306</v>
      </c>
      <c r="G180" t="s">
        <v>4</v>
      </c>
      <c r="H180" t="s">
        <v>3</v>
      </c>
      <c r="I180" t="s">
        <v>305</v>
      </c>
      <c r="N180">
        <v>2</v>
      </c>
      <c r="O180" t="s">
        <v>304</v>
      </c>
      <c r="P180" t="s">
        <v>303</v>
      </c>
      <c r="Q180" t="s">
        <v>42</v>
      </c>
      <c r="R180" s="7">
        <v>32325</v>
      </c>
      <c r="S180" s="8">
        <f t="shared" si="16"/>
        <v>1988</v>
      </c>
      <c r="T180" s="8">
        <v>1988</v>
      </c>
      <c r="U180" s="8">
        <f t="shared" si="17"/>
        <v>34</v>
      </c>
      <c r="V180" s="7">
        <v>32325</v>
      </c>
      <c r="W180" t="s">
        <v>41</v>
      </c>
      <c r="X180" s="2" t="s">
        <v>5</v>
      </c>
      <c r="Y180" s="6" t="e">
        <f t="shared" si="18"/>
        <v>#VALUE!</v>
      </c>
      <c r="AA180">
        <v>87566648</v>
      </c>
      <c r="AB180">
        <v>74127</v>
      </c>
      <c r="AD180" t="s">
        <v>1</v>
      </c>
      <c r="AE180">
        <v>33</v>
      </c>
      <c r="AF180">
        <v>7</v>
      </c>
      <c r="AH180" s="10">
        <v>43101</v>
      </c>
      <c r="AI180" t="s">
        <v>302</v>
      </c>
      <c r="AK180" t="s">
        <v>301</v>
      </c>
      <c r="AL180">
        <v>0</v>
      </c>
      <c r="AM180" s="5">
        <f t="shared" si="19"/>
        <v>0</v>
      </c>
      <c r="AN180" s="4">
        <f t="shared" si="20"/>
        <v>0</v>
      </c>
      <c r="AO180" s="3"/>
      <c r="AP180">
        <v>0</v>
      </c>
      <c r="AR180" t="s">
        <v>0</v>
      </c>
      <c r="AT180" s="2" t="s">
        <v>5</v>
      </c>
      <c r="AU180" s="1" t="e">
        <f t="shared" si="21"/>
        <v>#VALUE!</v>
      </c>
      <c r="AV180" s="1" t="e">
        <f t="shared" si="22"/>
        <v>#VALUE!</v>
      </c>
      <c r="AW180" s="1" t="e">
        <f t="shared" si="23"/>
        <v>#VALUE!</v>
      </c>
    </row>
    <row r="181" spans="1:49" x14ac:dyDescent="0.2">
      <c r="A181">
        <v>179</v>
      </c>
      <c r="B181" t="s">
        <v>300</v>
      </c>
      <c r="F181" t="s">
        <v>299</v>
      </c>
      <c r="G181" t="s">
        <v>4</v>
      </c>
      <c r="H181" t="s">
        <v>3</v>
      </c>
      <c r="I181" t="s">
        <v>298</v>
      </c>
      <c r="N181">
        <v>4</v>
      </c>
      <c r="O181" t="s">
        <v>297</v>
      </c>
      <c r="P181" t="s">
        <v>296</v>
      </c>
      <c r="Q181" t="s">
        <v>43</v>
      </c>
      <c r="R181" s="7">
        <v>32325</v>
      </c>
      <c r="S181" s="8">
        <f t="shared" si="16"/>
        <v>1988</v>
      </c>
      <c r="T181" s="8">
        <v>1988</v>
      </c>
      <c r="U181" s="8">
        <f t="shared" si="17"/>
        <v>34</v>
      </c>
      <c r="V181" s="7">
        <v>32325</v>
      </c>
      <c r="W181" t="s">
        <v>41</v>
      </c>
      <c r="X181" s="2" t="s">
        <v>5</v>
      </c>
      <c r="Y181" s="6" t="e">
        <f t="shared" si="18"/>
        <v>#VALUE!</v>
      </c>
      <c r="AA181">
        <v>87566648</v>
      </c>
      <c r="AB181">
        <v>74127</v>
      </c>
      <c r="AD181" t="s">
        <v>1</v>
      </c>
      <c r="AE181">
        <v>33</v>
      </c>
      <c r="AF181">
        <v>7</v>
      </c>
      <c r="AH181" t="s">
        <v>295</v>
      </c>
      <c r="AI181" t="s">
        <v>294</v>
      </c>
      <c r="AK181" t="s">
        <v>293</v>
      </c>
      <c r="AL181">
        <v>0</v>
      </c>
      <c r="AM181" s="5">
        <f t="shared" si="19"/>
        <v>0</v>
      </c>
      <c r="AN181" s="4">
        <f t="shared" si="20"/>
        <v>0</v>
      </c>
      <c r="AO181" s="3"/>
      <c r="AP181">
        <v>0</v>
      </c>
      <c r="AR181" t="s">
        <v>0</v>
      </c>
      <c r="AT181" s="2" t="s">
        <v>5</v>
      </c>
      <c r="AU181" s="1" t="e">
        <f t="shared" si="21"/>
        <v>#VALUE!</v>
      </c>
      <c r="AV181" s="1" t="e">
        <f t="shared" si="22"/>
        <v>#VALUE!</v>
      </c>
      <c r="AW181" s="1" t="e">
        <f t="shared" si="23"/>
        <v>#VALUE!</v>
      </c>
    </row>
    <row r="182" spans="1:49" x14ac:dyDescent="0.2">
      <c r="A182">
        <v>180</v>
      </c>
      <c r="B182" t="s">
        <v>292</v>
      </c>
      <c r="F182" t="s">
        <v>291</v>
      </c>
      <c r="G182" t="s">
        <v>4</v>
      </c>
      <c r="H182" t="s">
        <v>3</v>
      </c>
      <c r="I182" t="s">
        <v>186</v>
      </c>
      <c r="N182">
        <v>2</v>
      </c>
      <c r="O182" t="s">
        <v>290</v>
      </c>
      <c r="P182" t="s">
        <v>289</v>
      </c>
      <c r="Q182" t="s">
        <v>42</v>
      </c>
      <c r="R182" s="7">
        <v>32325</v>
      </c>
      <c r="S182" s="8">
        <f t="shared" si="16"/>
        <v>1988</v>
      </c>
      <c r="T182" s="8">
        <v>1988</v>
      </c>
      <c r="U182" s="8">
        <f t="shared" si="17"/>
        <v>34</v>
      </c>
      <c r="V182" s="7">
        <v>32325</v>
      </c>
      <c r="W182" t="s">
        <v>41</v>
      </c>
      <c r="X182" s="2" t="s">
        <v>5</v>
      </c>
      <c r="Y182" s="6" t="e">
        <f t="shared" si="18"/>
        <v>#VALUE!</v>
      </c>
      <c r="AA182">
        <v>87566648</v>
      </c>
      <c r="AB182">
        <v>74127</v>
      </c>
      <c r="AD182" t="s">
        <v>1</v>
      </c>
      <c r="AE182">
        <v>33</v>
      </c>
      <c r="AF182">
        <v>7</v>
      </c>
      <c r="AH182" t="s">
        <v>288</v>
      </c>
      <c r="AI182" t="s">
        <v>287</v>
      </c>
      <c r="AK182" t="s">
        <v>286</v>
      </c>
      <c r="AL182">
        <v>0</v>
      </c>
      <c r="AM182" s="5">
        <f t="shared" si="19"/>
        <v>0</v>
      </c>
      <c r="AN182" s="4">
        <f t="shared" si="20"/>
        <v>0</v>
      </c>
      <c r="AO182" s="3"/>
      <c r="AP182">
        <v>0</v>
      </c>
      <c r="AR182" t="s">
        <v>0</v>
      </c>
      <c r="AT182" s="2" t="s">
        <v>5</v>
      </c>
      <c r="AU182" s="1" t="e">
        <f t="shared" si="21"/>
        <v>#VALUE!</v>
      </c>
      <c r="AV182" s="1" t="e">
        <f t="shared" si="22"/>
        <v>#VALUE!</v>
      </c>
      <c r="AW182" s="1" t="e">
        <f t="shared" si="23"/>
        <v>#VALUE!</v>
      </c>
    </row>
    <row r="183" spans="1:49" x14ac:dyDescent="0.2">
      <c r="A183">
        <v>181</v>
      </c>
      <c r="B183" t="s">
        <v>285</v>
      </c>
      <c r="F183" t="s">
        <v>284</v>
      </c>
      <c r="G183" t="s">
        <v>4</v>
      </c>
      <c r="H183" t="s">
        <v>3</v>
      </c>
      <c r="I183" t="s">
        <v>283</v>
      </c>
      <c r="J183">
        <v>60021902</v>
      </c>
      <c r="K183" t="s">
        <v>117</v>
      </c>
      <c r="L183" t="s">
        <v>116</v>
      </c>
      <c r="M183" t="s">
        <v>115</v>
      </c>
      <c r="N183">
        <v>1</v>
      </c>
      <c r="O183" t="s">
        <v>282</v>
      </c>
      <c r="P183">
        <v>35565202000</v>
      </c>
      <c r="Q183">
        <v>60021902</v>
      </c>
      <c r="R183" s="7">
        <v>32325</v>
      </c>
      <c r="S183" s="8">
        <f t="shared" si="16"/>
        <v>1988</v>
      </c>
      <c r="T183" s="8">
        <v>1988</v>
      </c>
      <c r="U183" s="8">
        <f t="shared" si="17"/>
        <v>34</v>
      </c>
      <c r="V183" s="7">
        <v>32325</v>
      </c>
      <c r="W183" t="s">
        <v>262</v>
      </c>
      <c r="X183" s="2">
        <v>0.14399999999999999</v>
      </c>
      <c r="Y183" s="6">
        <f t="shared" si="18"/>
        <v>3.8439977576679744E-3</v>
      </c>
      <c r="AA183">
        <v>382221</v>
      </c>
      <c r="AB183">
        <v>19255</v>
      </c>
      <c r="AD183" t="s">
        <v>1</v>
      </c>
      <c r="AE183">
        <v>79</v>
      </c>
      <c r="AF183">
        <v>1</v>
      </c>
      <c r="AH183" t="s">
        <v>281</v>
      </c>
      <c r="AI183" t="s">
        <v>280</v>
      </c>
      <c r="AK183" t="s">
        <v>279</v>
      </c>
      <c r="AL183">
        <v>0</v>
      </c>
      <c r="AM183" s="5">
        <f t="shared" si="19"/>
        <v>0</v>
      </c>
      <c r="AN183" s="4">
        <f t="shared" si="20"/>
        <v>0</v>
      </c>
      <c r="AO183" s="3"/>
      <c r="AP183">
        <v>0</v>
      </c>
      <c r="AR183" t="s">
        <v>0</v>
      </c>
      <c r="AT183" s="2" t="s">
        <v>5</v>
      </c>
      <c r="AU183" s="1">
        <f t="shared" si="21"/>
        <v>0.26907984303675819</v>
      </c>
      <c r="AV183" s="1">
        <f t="shared" si="22"/>
        <v>0.19219988788339873</v>
      </c>
      <c r="AW183" s="1">
        <f t="shared" si="23"/>
        <v>0.11531993273003922</v>
      </c>
    </row>
    <row r="184" spans="1:49" x14ac:dyDescent="0.2">
      <c r="A184">
        <v>182</v>
      </c>
      <c r="B184" t="s">
        <v>278</v>
      </c>
      <c r="F184" t="s">
        <v>277</v>
      </c>
      <c r="G184" t="s">
        <v>4</v>
      </c>
      <c r="H184" t="s">
        <v>3</v>
      </c>
      <c r="I184" t="s">
        <v>88</v>
      </c>
      <c r="J184">
        <v>60008107</v>
      </c>
      <c r="K184" t="s">
        <v>87</v>
      </c>
      <c r="L184" t="s">
        <v>86</v>
      </c>
      <c r="M184" t="s">
        <v>24</v>
      </c>
      <c r="N184">
        <v>3</v>
      </c>
      <c r="O184" t="s">
        <v>276</v>
      </c>
      <c r="P184" t="s">
        <v>275</v>
      </c>
      <c r="Q184" t="s">
        <v>274</v>
      </c>
      <c r="R184" s="7">
        <v>32325</v>
      </c>
      <c r="S184" s="8">
        <f t="shared" si="16"/>
        <v>1988</v>
      </c>
      <c r="T184" s="8">
        <v>1988</v>
      </c>
      <c r="U184" s="8">
        <f t="shared" si="17"/>
        <v>34</v>
      </c>
      <c r="V184" s="7">
        <v>32325</v>
      </c>
      <c r="W184" t="s">
        <v>252</v>
      </c>
      <c r="X184" s="2">
        <v>0.111</v>
      </c>
      <c r="Y184" s="6">
        <f t="shared" si="18"/>
        <v>2.9630816048690639E-3</v>
      </c>
      <c r="AA184">
        <v>87566621</v>
      </c>
      <c r="AB184">
        <v>24890</v>
      </c>
      <c r="AD184" t="s">
        <v>1</v>
      </c>
      <c r="AE184">
        <v>71</v>
      </c>
      <c r="AF184">
        <v>7</v>
      </c>
      <c r="AH184" t="s">
        <v>273</v>
      </c>
      <c r="AI184" t="s">
        <v>272</v>
      </c>
      <c r="AK184" t="s">
        <v>271</v>
      </c>
      <c r="AL184">
        <v>0</v>
      </c>
      <c r="AM184" s="5">
        <f t="shared" si="19"/>
        <v>0</v>
      </c>
      <c r="AN184" s="4">
        <f t="shared" si="20"/>
        <v>0</v>
      </c>
      <c r="AO184" s="3"/>
      <c r="AP184">
        <v>0</v>
      </c>
      <c r="AR184" t="s">
        <v>0</v>
      </c>
      <c r="AT184" s="2" t="s">
        <v>5</v>
      </c>
      <c r="AU184" s="1">
        <f t="shared" si="21"/>
        <v>0.20741571234083445</v>
      </c>
      <c r="AV184" s="1">
        <f t="shared" si="22"/>
        <v>0.1481540802434532</v>
      </c>
      <c r="AW184" s="1">
        <f t="shared" si="23"/>
        <v>8.8892448146071903E-2</v>
      </c>
    </row>
    <row r="185" spans="1:49" x14ac:dyDescent="0.2">
      <c r="A185">
        <v>183</v>
      </c>
      <c r="B185" t="s">
        <v>270</v>
      </c>
      <c r="F185" t="s">
        <v>269</v>
      </c>
      <c r="G185" t="s">
        <v>4</v>
      </c>
      <c r="H185" t="s">
        <v>3</v>
      </c>
      <c r="I185" t="s">
        <v>268</v>
      </c>
      <c r="J185">
        <v>60000717</v>
      </c>
      <c r="K185" t="s">
        <v>267</v>
      </c>
      <c r="L185" t="s">
        <v>266</v>
      </c>
      <c r="M185" t="s">
        <v>115</v>
      </c>
      <c r="N185">
        <v>3</v>
      </c>
      <c r="O185" t="s">
        <v>265</v>
      </c>
      <c r="P185" t="s">
        <v>264</v>
      </c>
      <c r="Q185" t="s">
        <v>263</v>
      </c>
      <c r="R185" s="7">
        <v>32325</v>
      </c>
      <c r="S185" s="8">
        <f t="shared" si="16"/>
        <v>1988</v>
      </c>
      <c r="T185" s="8">
        <v>1988</v>
      </c>
      <c r="U185" s="8">
        <f t="shared" si="17"/>
        <v>34</v>
      </c>
      <c r="V185" s="7">
        <v>32325</v>
      </c>
      <c r="W185" t="s">
        <v>262</v>
      </c>
      <c r="X185" s="2">
        <v>0.14399999999999999</v>
      </c>
      <c r="Y185" s="6">
        <f t="shared" si="18"/>
        <v>3.8439977576679744E-3</v>
      </c>
      <c r="AA185">
        <v>382221</v>
      </c>
      <c r="AB185">
        <v>19255</v>
      </c>
      <c r="AD185" t="s">
        <v>1</v>
      </c>
      <c r="AE185">
        <v>79</v>
      </c>
      <c r="AF185">
        <v>1</v>
      </c>
      <c r="AH185" t="s">
        <v>261</v>
      </c>
      <c r="AI185" t="s">
        <v>260</v>
      </c>
      <c r="AK185" t="s">
        <v>259</v>
      </c>
      <c r="AL185">
        <v>0</v>
      </c>
      <c r="AM185" s="5">
        <f t="shared" si="19"/>
        <v>0</v>
      </c>
      <c r="AN185" s="4">
        <f t="shared" si="20"/>
        <v>0</v>
      </c>
      <c r="AO185" s="3"/>
      <c r="AP185">
        <v>0</v>
      </c>
      <c r="AR185" t="s">
        <v>0</v>
      </c>
      <c r="AT185" s="2" t="s">
        <v>5</v>
      </c>
      <c r="AU185" s="1">
        <f t="shared" si="21"/>
        <v>0.26907984303675819</v>
      </c>
      <c r="AV185" s="1">
        <f t="shared" si="22"/>
        <v>0.19219988788339873</v>
      </c>
      <c r="AW185" s="1">
        <f t="shared" si="23"/>
        <v>0.11531993273003922</v>
      </c>
    </row>
    <row r="186" spans="1:49" x14ac:dyDescent="0.2">
      <c r="A186">
        <v>184</v>
      </c>
      <c r="B186" t="s">
        <v>258</v>
      </c>
      <c r="F186" t="s">
        <v>257</v>
      </c>
      <c r="G186" t="s">
        <v>4</v>
      </c>
      <c r="H186" t="s">
        <v>3</v>
      </c>
      <c r="I186" t="s">
        <v>256</v>
      </c>
      <c r="J186">
        <v>60101699</v>
      </c>
      <c r="K186" t="s">
        <v>112</v>
      </c>
      <c r="L186" t="s">
        <v>25</v>
      </c>
      <c r="M186" t="s">
        <v>24</v>
      </c>
      <c r="N186">
        <v>5</v>
      </c>
      <c r="O186" t="s">
        <v>255</v>
      </c>
      <c r="P186" t="s">
        <v>254</v>
      </c>
      <c r="Q186" t="s">
        <v>253</v>
      </c>
      <c r="R186" s="7">
        <v>32325</v>
      </c>
      <c r="S186" s="8">
        <f t="shared" si="16"/>
        <v>1988</v>
      </c>
      <c r="T186" s="8">
        <v>1988</v>
      </c>
      <c r="U186" s="8">
        <f t="shared" si="17"/>
        <v>34</v>
      </c>
      <c r="V186" s="7">
        <v>32325</v>
      </c>
      <c r="W186" t="s">
        <v>252</v>
      </c>
      <c r="X186" s="2">
        <v>0.111</v>
      </c>
      <c r="Y186" s="6">
        <f t="shared" si="18"/>
        <v>2.9630816048690639E-3</v>
      </c>
      <c r="AA186">
        <v>87566621</v>
      </c>
      <c r="AB186">
        <v>24890</v>
      </c>
      <c r="AD186" t="s">
        <v>1</v>
      </c>
      <c r="AE186">
        <v>71</v>
      </c>
      <c r="AF186">
        <v>7</v>
      </c>
      <c r="AH186" t="s">
        <v>251</v>
      </c>
      <c r="AI186" t="s">
        <v>250</v>
      </c>
      <c r="AK186" t="s">
        <v>249</v>
      </c>
      <c r="AL186">
        <v>0</v>
      </c>
      <c r="AM186" s="5">
        <f t="shared" si="19"/>
        <v>0</v>
      </c>
      <c r="AN186" s="4">
        <f t="shared" si="20"/>
        <v>0</v>
      </c>
      <c r="AO186" s="3"/>
      <c r="AP186">
        <v>0</v>
      </c>
      <c r="AR186" t="s">
        <v>0</v>
      </c>
      <c r="AT186" s="2" t="s">
        <v>5</v>
      </c>
      <c r="AU186" s="1">
        <f t="shared" si="21"/>
        <v>0.20741571234083445</v>
      </c>
      <c r="AV186" s="1">
        <f t="shared" si="22"/>
        <v>0.1481540802434532</v>
      </c>
      <c r="AW186" s="1">
        <f t="shared" si="23"/>
        <v>8.8892448146071903E-2</v>
      </c>
    </row>
    <row r="187" spans="1:49" x14ac:dyDescent="0.2">
      <c r="A187">
        <v>185</v>
      </c>
      <c r="B187" t="s">
        <v>248</v>
      </c>
      <c r="F187" t="s">
        <v>247</v>
      </c>
      <c r="G187" t="s">
        <v>4</v>
      </c>
      <c r="H187" t="s">
        <v>3</v>
      </c>
      <c r="I187" t="s">
        <v>246</v>
      </c>
      <c r="J187">
        <v>60025038</v>
      </c>
      <c r="K187" t="s">
        <v>19</v>
      </c>
      <c r="L187" t="s">
        <v>18</v>
      </c>
      <c r="M187" t="s">
        <v>10</v>
      </c>
      <c r="N187">
        <v>2</v>
      </c>
      <c r="O187" t="s">
        <v>245</v>
      </c>
      <c r="P187" t="s">
        <v>244</v>
      </c>
      <c r="Q187" t="s">
        <v>17</v>
      </c>
      <c r="R187" s="7">
        <v>32325</v>
      </c>
      <c r="S187" s="8">
        <f t="shared" si="16"/>
        <v>1988</v>
      </c>
      <c r="T187" s="8">
        <v>1988</v>
      </c>
      <c r="U187" s="8">
        <f t="shared" si="17"/>
        <v>34</v>
      </c>
      <c r="V187" s="7">
        <v>32325</v>
      </c>
      <c r="W187" t="s">
        <v>243</v>
      </c>
      <c r="X187" s="2">
        <v>1.9750000000000001</v>
      </c>
      <c r="Y187" s="6">
        <f t="shared" si="18"/>
        <v>5.2721497023571186E-2</v>
      </c>
      <c r="AA187">
        <v>320781</v>
      </c>
      <c r="AB187">
        <v>19019</v>
      </c>
      <c r="AD187" t="s">
        <v>1</v>
      </c>
      <c r="AE187">
        <v>29</v>
      </c>
      <c r="AF187">
        <v>5</v>
      </c>
      <c r="AH187" t="s">
        <v>242</v>
      </c>
      <c r="AI187" t="s">
        <v>241</v>
      </c>
      <c r="AJ187" t="s">
        <v>240</v>
      </c>
      <c r="AK187" t="s">
        <v>239</v>
      </c>
      <c r="AL187">
        <v>15</v>
      </c>
      <c r="AM187" s="5">
        <f t="shared" si="19"/>
        <v>0.44117647058823528</v>
      </c>
      <c r="AN187" s="4">
        <f t="shared" si="20"/>
        <v>6.6819609328017462E-4</v>
      </c>
      <c r="AO187" s="3"/>
      <c r="AP187">
        <v>0</v>
      </c>
      <c r="AQ187" t="s">
        <v>49</v>
      </c>
      <c r="AR187" t="s">
        <v>238</v>
      </c>
      <c r="AS187" t="s">
        <v>48</v>
      </c>
      <c r="AT187" s="2">
        <v>4.9269999999999996</v>
      </c>
      <c r="AU187" s="1">
        <f t="shared" si="21"/>
        <v>3.7105506744483883</v>
      </c>
      <c r="AV187" s="1">
        <f t="shared" si="22"/>
        <v>2.669484655842568</v>
      </c>
      <c r="AW187" s="1">
        <f t="shared" si="23"/>
        <v>1.6284186372367477</v>
      </c>
    </row>
    <row r="188" spans="1:49" x14ac:dyDescent="0.2">
      <c r="A188">
        <v>186</v>
      </c>
      <c r="B188" t="s">
        <v>237</v>
      </c>
      <c r="C188" t="s">
        <v>236</v>
      </c>
      <c r="F188" t="s">
        <v>235</v>
      </c>
      <c r="G188" t="s">
        <v>4</v>
      </c>
      <c r="H188" t="s">
        <v>3</v>
      </c>
      <c r="I188" t="s">
        <v>234</v>
      </c>
      <c r="J188">
        <v>60030807</v>
      </c>
      <c r="K188" t="s">
        <v>233</v>
      </c>
      <c r="L188" t="s">
        <v>232</v>
      </c>
      <c r="M188" t="s">
        <v>11</v>
      </c>
      <c r="N188">
        <v>2</v>
      </c>
      <c r="O188" t="s">
        <v>231</v>
      </c>
      <c r="P188" t="s">
        <v>230</v>
      </c>
      <c r="Q188" t="s">
        <v>229</v>
      </c>
      <c r="R188" s="7">
        <v>32325</v>
      </c>
      <c r="S188" s="8">
        <f t="shared" si="16"/>
        <v>1988</v>
      </c>
      <c r="T188" s="8">
        <v>1988</v>
      </c>
      <c r="U188" s="8">
        <f t="shared" si="17"/>
        <v>34</v>
      </c>
      <c r="V188" s="7">
        <v>32325</v>
      </c>
      <c r="W188" t="s">
        <v>228</v>
      </c>
      <c r="X188" s="2">
        <v>0.8</v>
      </c>
      <c r="Y188" s="6">
        <f t="shared" si="18"/>
        <v>2.1355543098155415E-2</v>
      </c>
      <c r="AA188">
        <v>3407594</v>
      </c>
      <c r="AB188">
        <v>23456</v>
      </c>
      <c r="AC188">
        <v>14321351</v>
      </c>
      <c r="AD188" t="s">
        <v>1</v>
      </c>
      <c r="AE188">
        <v>163</v>
      </c>
      <c r="AF188">
        <v>4</v>
      </c>
      <c r="AH188" t="s">
        <v>227</v>
      </c>
      <c r="AI188" t="s">
        <v>226</v>
      </c>
      <c r="AK188" t="s">
        <v>225</v>
      </c>
      <c r="AL188">
        <v>30</v>
      </c>
      <c r="AM188" s="5">
        <f t="shared" si="19"/>
        <v>0.88235294117647056</v>
      </c>
      <c r="AN188" s="4">
        <f t="shared" si="20"/>
        <v>1.3363921865603492E-3</v>
      </c>
      <c r="AO188" s="3"/>
      <c r="AP188">
        <v>0</v>
      </c>
      <c r="AR188" t="s">
        <v>0</v>
      </c>
      <c r="AT188" s="2" t="s">
        <v>5</v>
      </c>
      <c r="AU188" s="1">
        <f t="shared" si="21"/>
        <v>1.5349797824676894</v>
      </c>
      <c r="AV188" s="1">
        <f t="shared" si="22"/>
        <v>1.1345967642357881</v>
      </c>
      <c r="AW188" s="1">
        <f t="shared" si="23"/>
        <v>0.73421374600388689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1988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Young-Ok Cha</cp:lastModifiedBy>
  <dcterms:created xsi:type="dcterms:W3CDTF">2021-11-11T11:38:50Z</dcterms:created>
  <dcterms:modified xsi:type="dcterms:W3CDTF">2022-01-19T19:35:31Z</dcterms:modified>
</cp:coreProperties>
</file>