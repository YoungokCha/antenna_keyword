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3401C1F7-2877-9A41-9A06-AC0AC2066CE9}" xr6:coauthVersionLast="47" xr6:coauthVersionMax="47" xr10:uidLastSave="{61A32CAA-8FD0-0D45-B7AA-9FF3A55D5A1E}"/>
  <bookViews>
    <workbookView xWindow="19480" yWindow="7580" windowWidth="27640" windowHeight="16940" xr2:uid="{272F6D65-50AC-E440-8EAE-D375422B3892}"/>
  </bookViews>
  <sheets>
    <sheet name="199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Y3" i="1"/>
  <c r="AM3" i="1"/>
  <c r="AN3" i="1" s="1"/>
  <c r="S4" i="1"/>
  <c r="U4" i="1"/>
  <c r="Y4" i="1"/>
  <c r="AM4" i="1"/>
  <c r="AN4" i="1" s="1"/>
  <c r="S5" i="1"/>
  <c r="U5" i="1"/>
  <c r="Y5" i="1"/>
  <c r="AW5" i="1" s="1"/>
  <c r="AM5" i="1"/>
  <c r="AN5" i="1"/>
  <c r="AV5" i="1" s="1"/>
  <c r="AU5" i="1"/>
  <c r="S6" i="1"/>
  <c r="U6" i="1"/>
  <c r="Y6" i="1"/>
  <c r="AM6" i="1"/>
  <c r="AN6" i="1" s="1"/>
  <c r="AV6" i="1" s="1"/>
  <c r="S7" i="1"/>
  <c r="U7" i="1"/>
  <c r="Y7" i="1"/>
  <c r="AM7" i="1"/>
  <c r="AN7" i="1" s="1"/>
  <c r="S8" i="1"/>
  <c r="U8" i="1"/>
  <c r="Y8" i="1"/>
  <c r="AM8" i="1"/>
  <c r="AN8" i="1"/>
  <c r="AU8" i="1"/>
  <c r="AV8" i="1"/>
  <c r="AW8" i="1"/>
  <c r="S9" i="1"/>
  <c r="U9" i="1"/>
  <c r="Y9" i="1"/>
  <c r="AM9" i="1"/>
  <c r="AN9" i="1" s="1"/>
  <c r="S10" i="1"/>
  <c r="U10" i="1"/>
  <c r="Y10" i="1"/>
  <c r="AM10" i="1"/>
  <c r="AN10" i="1"/>
  <c r="AU10" i="1" s="1"/>
  <c r="AW10" i="1"/>
  <c r="S11" i="1"/>
  <c r="U11" i="1"/>
  <c r="Y11" i="1"/>
  <c r="AM11" i="1"/>
  <c r="AN11" i="1" s="1"/>
  <c r="AV11" i="1" s="1"/>
  <c r="S12" i="1"/>
  <c r="U12" i="1"/>
  <c r="Y12" i="1"/>
  <c r="AM12" i="1"/>
  <c r="AN12" i="1"/>
  <c r="AV12" i="1"/>
  <c r="S13" i="1"/>
  <c r="U13" i="1"/>
  <c r="Y13" i="1"/>
  <c r="AM13" i="1"/>
  <c r="AN13" i="1" s="1"/>
  <c r="S14" i="1"/>
  <c r="U14" i="1"/>
  <c r="Y14" i="1"/>
  <c r="AM14" i="1"/>
  <c r="AN14" i="1" s="1"/>
  <c r="S15" i="1"/>
  <c r="U15" i="1"/>
  <c r="Y15" i="1"/>
  <c r="AM15" i="1"/>
  <c r="AN15" i="1"/>
  <c r="AV15" i="1"/>
  <c r="AW15" i="1"/>
  <c r="S16" i="1"/>
  <c r="U16" i="1"/>
  <c r="Y16" i="1"/>
  <c r="AM16" i="1"/>
  <c r="AN16" i="1"/>
  <c r="S17" i="1"/>
  <c r="U17" i="1"/>
  <c r="AM17" i="1" s="1"/>
  <c r="AN17" i="1" s="1"/>
  <c r="Y17" i="1"/>
  <c r="AU17" i="1" s="1"/>
  <c r="S18" i="1"/>
  <c r="U18" i="1"/>
  <c r="AM18" i="1" s="1"/>
  <c r="AN18" i="1" s="1"/>
  <c r="Y18" i="1"/>
  <c r="S19" i="1"/>
  <c r="U19" i="1"/>
  <c r="Y19" i="1"/>
  <c r="AM19" i="1"/>
  <c r="AN19" i="1" s="1"/>
  <c r="S20" i="1"/>
  <c r="U20" i="1"/>
  <c r="AM20" i="1" s="1"/>
  <c r="AN20" i="1" s="1"/>
  <c r="Y20" i="1"/>
  <c r="S21" i="1"/>
  <c r="U21" i="1"/>
  <c r="AM21" i="1" s="1"/>
  <c r="AN21" i="1" s="1"/>
  <c r="Y21" i="1"/>
  <c r="S22" i="1"/>
  <c r="U22" i="1"/>
  <c r="AM22" i="1" s="1"/>
  <c r="AN22" i="1" s="1"/>
  <c r="Y22" i="1"/>
  <c r="S23" i="1"/>
  <c r="U23" i="1"/>
  <c r="Y23" i="1"/>
  <c r="AM23" i="1"/>
  <c r="AN23" i="1" s="1"/>
  <c r="S24" i="1"/>
  <c r="U24" i="1"/>
  <c r="Y24" i="1"/>
  <c r="AM24" i="1"/>
  <c r="AN24" i="1" s="1"/>
  <c r="S25" i="1"/>
  <c r="U25" i="1"/>
  <c r="Y25" i="1"/>
  <c r="AM25" i="1"/>
  <c r="AN25" i="1" s="1"/>
  <c r="AV25" i="1" s="1"/>
  <c r="S26" i="1"/>
  <c r="U26" i="1"/>
  <c r="AM26" i="1" s="1"/>
  <c r="AN26" i="1" s="1"/>
  <c r="Y26" i="1"/>
  <c r="S27" i="1"/>
  <c r="U27" i="1"/>
  <c r="AM27" i="1" s="1"/>
  <c r="AN27" i="1" s="1"/>
  <c r="Y27" i="1"/>
  <c r="S28" i="1"/>
  <c r="U28" i="1"/>
  <c r="AM28" i="1" s="1"/>
  <c r="AN28" i="1" s="1"/>
  <c r="Y28" i="1"/>
  <c r="AU28" i="1" s="1"/>
  <c r="S29" i="1"/>
  <c r="U29" i="1"/>
  <c r="AM29" i="1" s="1"/>
  <c r="AN29" i="1" s="1"/>
  <c r="Y29" i="1"/>
  <c r="S30" i="1"/>
  <c r="U30" i="1"/>
  <c r="AM30" i="1" s="1"/>
  <c r="AN30" i="1" s="1"/>
  <c r="AV30" i="1" s="1"/>
  <c r="Y30" i="1"/>
  <c r="S31" i="1"/>
  <c r="U31" i="1"/>
  <c r="Y31" i="1"/>
  <c r="AM31" i="1"/>
  <c r="AN31" i="1" s="1"/>
  <c r="S32" i="1"/>
  <c r="U32" i="1"/>
  <c r="Y32" i="1"/>
  <c r="AU32" i="1" s="1"/>
  <c r="AM32" i="1"/>
  <c r="AN32" i="1"/>
  <c r="S33" i="1"/>
  <c r="U33" i="1"/>
  <c r="Y33" i="1"/>
  <c r="AM33" i="1"/>
  <c r="AN33" i="1" s="1"/>
  <c r="S34" i="1"/>
  <c r="U34" i="1"/>
  <c r="AM34" i="1" s="1"/>
  <c r="AN34" i="1" s="1"/>
  <c r="Y34" i="1"/>
  <c r="S35" i="1"/>
  <c r="U35" i="1"/>
  <c r="Y35" i="1"/>
  <c r="AM35" i="1"/>
  <c r="AN35" i="1"/>
  <c r="AV35" i="1"/>
  <c r="S36" i="1"/>
  <c r="U36" i="1"/>
  <c r="AM36" i="1" s="1"/>
  <c r="AN36" i="1" s="1"/>
  <c r="Y36" i="1"/>
  <c r="S37" i="1"/>
  <c r="U37" i="1"/>
  <c r="AM37" i="1" s="1"/>
  <c r="AN37" i="1" s="1"/>
  <c r="Y37" i="1"/>
  <c r="S38" i="1"/>
  <c r="U38" i="1"/>
  <c r="Y38" i="1"/>
  <c r="AM38" i="1"/>
  <c r="AN38" i="1" s="1"/>
  <c r="AU38" i="1" s="1"/>
  <c r="S39" i="1"/>
  <c r="U39" i="1"/>
  <c r="Y39" i="1"/>
  <c r="AM39" i="1"/>
  <c r="AN39" i="1" s="1"/>
  <c r="S40" i="1"/>
  <c r="U40" i="1"/>
  <c r="Y40" i="1"/>
  <c r="AM40" i="1"/>
  <c r="AN40" i="1"/>
  <c r="AV40" i="1"/>
  <c r="S41" i="1"/>
  <c r="U41" i="1"/>
  <c r="Y41" i="1"/>
  <c r="AU41" i="1" s="1"/>
  <c r="AM41" i="1"/>
  <c r="AN41" i="1"/>
  <c r="S42" i="1"/>
  <c r="U42" i="1"/>
  <c r="AM42" i="1" s="1"/>
  <c r="AN42" i="1" s="1"/>
  <c r="Y42" i="1"/>
  <c r="S43" i="1"/>
  <c r="U43" i="1"/>
  <c r="Y43" i="1"/>
  <c r="AM43" i="1"/>
  <c r="AN43" i="1"/>
  <c r="AU43" i="1"/>
  <c r="AV43" i="1"/>
  <c r="AW43" i="1"/>
  <c r="S44" i="1"/>
  <c r="U44" i="1"/>
  <c r="Y44" i="1"/>
  <c r="AM44" i="1"/>
  <c r="AN44" i="1" s="1"/>
  <c r="S45" i="1"/>
  <c r="U45" i="1"/>
  <c r="Y45" i="1"/>
  <c r="AU45" i="1" s="1"/>
  <c r="AM45" i="1"/>
  <c r="AN45" i="1" s="1"/>
  <c r="S46" i="1"/>
  <c r="U46" i="1"/>
  <c r="Y46" i="1"/>
  <c r="AM46" i="1"/>
  <c r="AN46" i="1" s="1"/>
  <c r="S47" i="1"/>
  <c r="U47" i="1"/>
  <c r="AM47" i="1" s="1"/>
  <c r="AN47" i="1" s="1"/>
  <c r="Y47" i="1"/>
  <c r="S48" i="1"/>
  <c r="U48" i="1"/>
  <c r="AM48" i="1" s="1"/>
  <c r="AN48" i="1" s="1"/>
  <c r="Y48" i="1"/>
  <c r="AU48" i="1" s="1"/>
  <c r="S49" i="1"/>
  <c r="U49" i="1"/>
  <c r="Y49" i="1"/>
  <c r="AM49" i="1"/>
  <c r="AN49" i="1" s="1"/>
  <c r="S50" i="1"/>
  <c r="U50" i="1"/>
  <c r="AM50" i="1" s="1"/>
  <c r="AN50" i="1" s="1"/>
  <c r="Y50" i="1"/>
  <c r="S51" i="1"/>
  <c r="U51" i="1"/>
  <c r="Y51" i="1"/>
  <c r="AM51" i="1"/>
  <c r="AN51" i="1"/>
  <c r="S52" i="1"/>
  <c r="U52" i="1"/>
  <c r="AM52" i="1" s="1"/>
  <c r="AN52" i="1" s="1"/>
  <c r="AV52" i="1" s="1"/>
  <c r="Y52" i="1"/>
  <c r="S53" i="1"/>
  <c r="U53" i="1"/>
  <c r="AM53" i="1" s="1"/>
  <c r="AN53" i="1" s="1"/>
  <c r="Y53" i="1"/>
  <c r="AW53" i="1" s="1"/>
  <c r="S54" i="1"/>
  <c r="U54" i="1"/>
  <c r="AM54" i="1" s="1"/>
  <c r="AN54" i="1" s="1"/>
  <c r="Y54" i="1"/>
  <c r="S55" i="1"/>
  <c r="U55" i="1"/>
  <c r="AM55" i="1" s="1"/>
  <c r="AN55" i="1" s="1"/>
  <c r="Y55" i="1"/>
  <c r="S56" i="1"/>
  <c r="U56" i="1"/>
  <c r="AM56" i="1" s="1"/>
  <c r="AN56" i="1" s="1"/>
  <c r="Y56" i="1"/>
  <c r="S57" i="1"/>
  <c r="U57" i="1"/>
  <c r="AM57" i="1" s="1"/>
  <c r="AN57" i="1" s="1"/>
  <c r="Y57" i="1"/>
  <c r="AU57" i="1" s="1"/>
  <c r="S58" i="1"/>
  <c r="U58" i="1"/>
  <c r="AM58" i="1" s="1"/>
  <c r="AN58" i="1" s="1"/>
  <c r="Y58" i="1"/>
  <c r="S59" i="1"/>
  <c r="U59" i="1"/>
  <c r="AM59" i="1" s="1"/>
  <c r="AN59" i="1" s="1"/>
  <c r="Y59" i="1"/>
  <c r="S60" i="1"/>
  <c r="U60" i="1"/>
  <c r="AM60" i="1" s="1"/>
  <c r="AN60" i="1" s="1"/>
  <c r="Y60" i="1"/>
  <c r="S61" i="1"/>
  <c r="U61" i="1"/>
  <c r="Y61" i="1"/>
  <c r="AM61" i="1"/>
  <c r="AN61" i="1"/>
  <c r="AV61" i="1" s="1"/>
  <c r="S62" i="1"/>
  <c r="U62" i="1"/>
  <c r="AM62" i="1" s="1"/>
  <c r="AN62" i="1" s="1"/>
  <c r="Y62" i="1"/>
  <c r="AU62" i="1" s="1"/>
  <c r="S63" i="1"/>
  <c r="U63" i="1"/>
  <c r="Y63" i="1"/>
  <c r="AM63" i="1"/>
  <c r="AN63" i="1"/>
  <c r="AW63" i="1" s="1"/>
  <c r="S64" i="1"/>
  <c r="U64" i="1"/>
  <c r="Y64" i="1"/>
  <c r="AM64" i="1"/>
  <c r="AN64" i="1" s="1"/>
  <c r="S65" i="1"/>
  <c r="U65" i="1"/>
  <c r="Y65" i="1"/>
  <c r="AM65" i="1"/>
  <c r="AN65" i="1" s="1"/>
  <c r="S66" i="1"/>
  <c r="U66" i="1"/>
  <c r="Y66" i="1"/>
  <c r="AM66" i="1"/>
  <c r="AN66" i="1" s="1"/>
  <c r="AV66" i="1" s="1"/>
  <c r="S67" i="1"/>
  <c r="U67" i="1"/>
  <c r="AM67" i="1" s="1"/>
  <c r="AN67" i="1" s="1"/>
  <c r="Y67" i="1"/>
  <c r="AU67" i="1" s="1"/>
  <c r="S68" i="1"/>
  <c r="U68" i="1"/>
  <c r="Y68" i="1"/>
  <c r="AU68" i="1" s="1"/>
  <c r="AM68" i="1"/>
  <c r="AN68" i="1" s="1"/>
  <c r="S69" i="1"/>
  <c r="U69" i="1"/>
  <c r="Y69" i="1"/>
  <c r="AM69" i="1"/>
  <c r="AN69" i="1" s="1"/>
  <c r="S70" i="1"/>
  <c r="U70" i="1"/>
  <c r="Y70" i="1"/>
  <c r="AM70" i="1"/>
  <c r="AN70" i="1" s="1"/>
  <c r="S71" i="1"/>
  <c r="U71" i="1"/>
  <c r="Y71" i="1"/>
  <c r="AM71" i="1"/>
  <c r="AN71" i="1" s="1"/>
  <c r="S72" i="1"/>
  <c r="U72" i="1"/>
  <c r="AM72" i="1" s="1"/>
  <c r="AN72" i="1" s="1"/>
  <c r="Y72" i="1"/>
  <c r="S73" i="1"/>
  <c r="U73" i="1"/>
  <c r="AM73" i="1" s="1"/>
  <c r="AN73" i="1" s="1"/>
  <c r="Y73" i="1"/>
  <c r="S74" i="1"/>
  <c r="U74" i="1"/>
  <c r="AM74" i="1" s="1"/>
  <c r="AN74" i="1" s="1"/>
  <c r="Y74" i="1"/>
  <c r="S75" i="1"/>
  <c r="U75" i="1"/>
  <c r="AM75" i="1" s="1"/>
  <c r="AN75" i="1" s="1"/>
  <c r="Y75" i="1"/>
  <c r="S76" i="1"/>
  <c r="U76" i="1"/>
  <c r="Y76" i="1"/>
  <c r="AM76" i="1"/>
  <c r="AN76" i="1"/>
  <c r="AV76" i="1"/>
  <c r="S77" i="1"/>
  <c r="U77" i="1"/>
  <c r="AM77" i="1" s="1"/>
  <c r="AN77" i="1" s="1"/>
  <c r="Y77" i="1"/>
  <c r="AU77" i="1" s="1"/>
  <c r="S78" i="1"/>
  <c r="U78" i="1"/>
  <c r="Y78" i="1"/>
  <c r="AM78" i="1"/>
  <c r="AN78" i="1" s="1"/>
  <c r="S79" i="1"/>
  <c r="U79" i="1"/>
  <c r="AM79" i="1" s="1"/>
  <c r="AN79" i="1" s="1"/>
  <c r="Y79" i="1"/>
  <c r="S80" i="1"/>
  <c r="U80" i="1"/>
  <c r="Y80" i="1"/>
  <c r="AM80" i="1"/>
  <c r="AN80" i="1" s="1"/>
  <c r="S81" i="1"/>
  <c r="U81" i="1"/>
  <c r="AM81" i="1" s="1"/>
  <c r="AN81" i="1" s="1"/>
  <c r="Y81" i="1"/>
  <c r="S82" i="1"/>
  <c r="U82" i="1"/>
  <c r="AM82" i="1" s="1"/>
  <c r="AN82" i="1" s="1"/>
  <c r="Y82" i="1"/>
  <c r="AU82" i="1" s="1"/>
  <c r="S83" i="1"/>
  <c r="U83" i="1"/>
  <c r="AM83" i="1" s="1"/>
  <c r="AN83" i="1" s="1"/>
  <c r="Y83" i="1"/>
  <c r="S84" i="1"/>
  <c r="U84" i="1"/>
  <c r="Y84" i="1"/>
  <c r="AM84" i="1"/>
  <c r="AN84" i="1" s="1"/>
  <c r="S85" i="1"/>
  <c r="U85" i="1"/>
  <c r="Y85" i="1"/>
  <c r="AM85" i="1"/>
  <c r="AN85" i="1" s="1"/>
  <c r="S86" i="1"/>
  <c r="U86" i="1"/>
  <c r="Y86" i="1"/>
  <c r="AM86" i="1"/>
  <c r="AN86" i="1"/>
  <c r="S87" i="1"/>
  <c r="U87" i="1"/>
  <c r="AM87" i="1" s="1"/>
  <c r="AN87" i="1" s="1"/>
  <c r="Y87" i="1"/>
  <c r="S88" i="1"/>
  <c r="U88" i="1"/>
  <c r="AM88" i="1" s="1"/>
  <c r="AN88" i="1" s="1"/>
  <c r="Y88" i="1"/>
  <c r="S89" i="1"/>
  <c r="U89" i="1"/>
  <c r="Y89" i="1"/>
  <c r="AM89" i="1"/>
  <c r="AN89" i="1" s="1"/>
  <c r="S90" i="1"/>
  <c r="U90" i="1"/>
  <c r="Y90" i="1"/>
  <c r="AM90" i="1"/>
  <c r="AN90" i="1" s="1"/>
  <c r="S91" i="1"/>
  <c r="U91" i="1"/>
  <c r="Y91" i="1"/>
  <c r="AM91" i="1"/>
  <c r="AN91" i="1"/>
  <c r="AV91" i="1"/>
  <c r="S92" i="1"/>
  <c r="U92" i="1"/>
  <c r="AM92" i="1" s="1"/>
  <c r="AN92" i="1" s="1"/>
  <c r="Y92" i="1"/>
  <c r="S93" i="1"/>
  <c r="U93" i="1"/>
  <c r="AM93" i="1" s="1"/>
  <c r="AN93" i="1" s="1"/>
  <c r="Y93" i="1"/>
  <c r="AU93" i="1" s="1"/>
  <c r="S94" i="1"/>
  <c r="U94" i="1"/>
  <c r="Y94" i="1"/>
  <c r="AM94" i="1"/>
  <c r="AN94" i="1" s="1"/>
  <c r="S95" i="1"/>
  <c r="U95" i="1"/>
  <c r="AM95" i="1" s="1"/>
  <c r="AN95" i="1" s="1"/>
  <c r="Y95" i="1"/>
  <c r="S96" i="1"/>
  <c r="U96" i="1"/>
  <c r="AM96" i="1" s="1"/>
  <c r="AN96" i="1" s="1"/>
  <c r="Y96" i="1"/>
  <c r="S97" i="1"/>
  <c r="U97" i="1"/>
  <c r="Y97" i="1"/>
  <c r="AM97" i="1"/>
  <c r="AN97" i="1" s="1"/>
  <c r="S98" i="1"/>
  <c r="U98" i="1"/>
  <c r="Y98" i="1"/>
  <c r="AM98" i="1"/>
  <c r="AN98" i="1" s="1"/>
  <c r="AU98" i="1" s="1"/>
  <c r="S99" i="1"/>
  <c r="U99" i="1"/>
  <c r="Y99" i="1"/>
  <c r="AM99" i="1"/>
  <c r="AN99" i="1" s="1"/>
  <c r="S100" i="1"/>
  <c r="U100" i="1"/>
  <c r="AM100" i="1" s="1"/>
  <c r="AN100" i="1" s="1"/>
  <c r="Y100" i="1"/>
  <c r="S101" i="1"/>
  <c r="U101" i="1"/>
  <c r="AM101" i="1" s="1"/>
  <c r="AN101" i="1" s="1"/>
  <c r="Y101" i="1"/>
  <c r="S102" i="1"/>
  <c r="U102" i="1"/>
  <c r="Y102" i="1"/>
  <c r="AM102" i="1"/>
  <c r="AN102" i="1" s="1"/>
  <c r="S103" i="1"/>
  <c r="U103" i="1"/>
  <c r="Y103" i="1"/>
  <c r="AM103" i="1"/>
  <c r="AN103" i="1"/>
  <c r="AW103" i="1" s="1"/>
  <c r="S104" i="1"/>
  <c r="U104" i="1"/>
  <c r="Y104" i="1"/>
  <c r="AM104" i="1"/>
  <c r="AN104" i="1" s="1"/>
  <c r="S105" i="1"/>
  <c r="U105" i="1"/>
  <c r="Y105" i="1"/>
  <c r="AM105" i="1"/>
  <c r="AN105" i="1" s="1"/>
  <c r="S106" i="1"/>
  <c r="U106" i="1"/>
  <c r="Y106" i="1"/>
  <c r="AM106" i="1"/>
  <c r="AN106" i="1" s="1"/>
  <c r="AV106" i="1" s="1"/>
  <c r="S107" i="1"/>
  <c r="U107" i="1"/>
  <c r="AM107" i="1" s="1"/>
  <c r="AN107" i="1" s="1"/>
  <c r="Y107" i="1"/>
  <c r="S108" i="1"/>
  <c r="U108" i="1"/>
  <c r="Y108" i="1"/>
  <c r="AU108" i="1" s="1"/>
  <c r="AM108" i="1"/>
  <c r="AN108" i="1"/>
  <c r="S109" i="1"/>
  <c r="U109" i="1"/>
  <c r="Y109" i="1"/>
  <c r="AM109" i="1"/>
  <c r="AN109" i="1" s="1"/>
  <c r="S110" i="1"/>
  <c r="U110" i="1"/>
  <c r="Y110" i="1"/>
  <c r="AM110" i="1"/>
  <c r="AN110" i="1" s="1"/>
  <c r="S111" i="1"/>
  <c r="U111" i="1"/>
  <c r="Y111" i="1"/>
  <c r="AM111" i="1"/>
  <c r="AN111" i="1" s="1"/>
  <c r="S112" i="1"/>
  <c r="U112" i="1"/>
  <c r="Y112" i="1"/>
  <c r="AM112" i="1"/>
  <c r="AN112" i="1"/>
  <c r="AV112" i="1" s="1"/>
  <c r="S113" i="1"/>
  <c r="U113" i="1"/>
  <c r="AM113" i="1" s="1"/>
  <c r="AN113" i="1" s="1"/>
  <c r="Y113" i="1"/>
  <c r="S114" i="1"/>
  <c r="U114" i="1"/>
  <c r="AM114" i="1" s="1"/>
  <c r="AN114" i="1" s="1"/>
  <c r="Y114" i="1"/>
  <c r="S115" i="1"/>
  <c r="U115" i="1"/>
  <c r="Y115" i="1"/>
  <c r="AM115" i="1"/>
  <c r="AN115" i="1" s="1"/>
  <c r="S116" i="1"/>
  <c r="U116" i="1"/>
  <c r="AM116" i="1" s="1"/>
  <c r="AN116" i="1" s="1"/>
  <c r="Y116" i="1"/>
  <c r="S117" i="1"/>
  <c r="U117" i="1"/>
  <c r="Y117" i="1"/>
  <c r="AM117" i="1"/>
  <c r="AN117" i="1"/>
  <c r="S118" i="1"/>
  <c r="U118" i="1"/>
  <c r="AM118" i="1" s="1"/>
  <c r="AN118" i="1" s="1"/>
  <c r="Y118" i="1"/>
  <c r="S119" i="1"/>
  <c r="U119" i="1"/>
  <c r="AM119" i="1" s="1"/>
  <c r="AN119" i="1" s="1"/>
  <c r="Y119" i="1"/>
  <c r="S120" i="1"/>
  <c r="U120" i="1"/>
  <c r="AM120" i="1" s="1"/>
  <c r="AN120" i="1" s="1"/>
  <c r="Y120" i="1"/>
  <c r="S121" i="1"/>
  <c r="U121" i="1"/>
  <c r="AM121" i="1" s="1"/>
  <c r="AN121" i="1" s="1"/>
  <c r="Y121" i="1"/>
  <c r="S122" i="1"/>
  <c r="U122" i="1"/>
  <c r="AM122" i="1" s="1"/>
  <c r="AN122" i="1" s="1"/>
  <c r="Y122" i="1"/>
  <c r="S123" i="1"/>
  <c r="U123" i="1"/>
  <c r="AM123" i="1" s="1"/>
  <c r="AN123" i="1" s="1"/>
  <c r="Y123" i="1"/>
  <c r="AU123" i="1" s="1"/>
  <c r="S124" i="1"/>
  <c r="U124" i="1"/>
  <c r="AM124" i="1" s="1"/>
  <c r="AN124" i="1" s="1"/>
  <c r="Y124" i="1"/>
  <c r="S125" i="1"/>
  <c r="U125" i="1"/>
  <c r="AM125" i="1" s="1"/>
  <c r="AN125" i="1" s="1"/>
  <c r="Y125" i="1"/>
  <c r="S126" i="1"/>
  <c r="U126" i="1"/>
  <c r="AM126" i="1" s="1"/>
  <c r="AN126" i="1" s="1"/>
  <c r="AV126" i="1" s="1"/>
  <c r="Y126" i="1"/>
  <c r="S127" i="1"/>
  <c r="U127" i="1"/>
  <c r="Y127" i="1"/>
  <c r="AM127" i="1"/>
  <c r="AN127" i="1" s="1"/>
  <c r="S128" i="1"/>
  <c r="U128" i="1"/>
  <c r="AM128" i="1" s="1"/>
  <c r="AN128" i="1" s="1"/>
  <c r="Y128" i="1"/>
  <c r="S129" i="1"/>
  <c r="U129" i="1"/>
  <c r="Y129" i="1"/>
  <c r="AM129" i="1"/>
  <c r="AN129" i="1" s="1"/>
  <c r="S130" i="1"/>
  <c r="U130" i="1"/>
  <c r="AM130" i="1" s="1"/>
  <c r="AN130" i="1" s="1"/>
  <c r="Y130" i="1"/>
  <c r="S131" i="1"/>
  <c r="U131" i="1"/>
  <c r="AM131" i="1" s="1"/>
  <c r="AN131" i="1" s="1"/>
  <c r="AV131" i="1" s="1"/>
  <c r="Y131" i="1"/>
  <c r="S132" i="1"/>
  <c r="U132" i="1"/>
  <c r="Y132" i="1"/>
  <c r="AM132" i="1"/>
  <c r="AN132" i="1" s="1"/>
  <c r="S133" i="1"/>
  <c r="U133" i="1"/>
  <c r="Y133" i="1"/>
  <c r="AM133" i="1"/>
  <c r="AN133" i="1"/>
  <c r="AU133" i="1" s="1"/>
  <c r="S134" i="1"/>
  <c r="U134" i="1"/>
  <c r="Y134" i="1"/>
  <c r="AM134" i="1"/>
  <c r="AN134" i="1" s="1"/>
  <c r="S135" i="1"/>
  <c r="U135" i="1"/>
  <c r="AM135" i="1" s="1"/>
  <c r="AN135" i="1" s="1"/>
  <c r="Y135" i="1"/>
  <c r="S136" i="1"/>
  <c r="U136" i="1"/>
  <c r="AM136" i="1" s="1"/>
  <c r="AN136" i="1" s="1"/>
  <c r="AV136" i="1" s="1"/>
  <c r="Y136" i="1"/>
  <c r="S137" i="1"/>
  <c r="U137" i="1"/>
  <c r="Y137" i="1"/>
  <c r="AM137" i="1"/>
  <c r="AN137" i="1" s="1"/>
  <c r="S138" i="1"/>
  <c r="U138" i="1"/>
  <c r="Y138" i="1"/>
  <c r="AM138" i="1"/>
  <c r="AN138" i="1"/>
  <c r="AW138" i="1" s="1"/>
  <c r="S139" i="1"/>
  <c r="U139" i="1"/>
  <c r="Y139" i="1"/>
  <c r="AM139" i="1"/>
  <c r="AN139" i="1" s="1"/>
  <c r="S140" i="1"/>
  <c r="U140" i="1"/>
  <c r="Y140" i="1"/>
  <c r="AM140" i="1"/>
  <c r="AN140" i="1" s="1"/>
  <c r="S141" i="1"/>
  <c r="U141" i="1"/>
  <c r="Y141" i="1"/>
  <c r="AM141" i="1"/>
  <c r="AN141" i="1" s="1"/>
  <c r="S142" i="1"/>
  <c r="U142" i="1"/>
  <c r="AM142" i="1" s="1"/>
  <c r="AN142" i="1" s="1"/>
  <c r="Y142" i="1"/>
  <c r="S143" i="1"/>
  <c r="U143" i="1"/>
  <c r="Y143" i="1"/>
  <c r="AM143" i="1"/>
  <c r="AN143" i="1" s="1"/>
  <c r="S144" i="1"/>
  <c r="U144" i="1"/>
  <c r="Y144" i="1"/>
  <c r="AM144" i="1"/>
  <c r="AN144" i="1" s="1"/>
  <c r="S145" i="1"/>
  <c r="U145" i="1"/>
  <c r="AM145" i="1" s="1"/>
  <c r="AN145" i="1" s="1"/>
  <c r="Y145" i="1"/>
  <c r="S146" i="1"/>
  <c r="U146" i="1"/>
  <c r="Y146" i="1"/>
  <c r="AM146" i="1"/>
  <c r="AN146" i="1" s="1"/>
  <c r="S147" i="1"/>
  <c r="U147" i="1"/>
  <c r="AM147" i="1" s="1"/>
  <c r="AN147" i="1" s="1"/>
  <c r="Y147" i="1"/>
  <c r="S148" i="1"/>
  <c r="U148" i="1"/>
  <c r="Y148" i="1"/>
  <c r="AM148" i="1"/>
  <c r="AN148" i="1"/>
  <c r="AU148" i="1" s="1"/>
  <c r="AV148" i="1"/>
  <c r="AW148" i="1"/>
  <c r="S149" i="1"/>
  <c r="U149" i="1"/>
  <c r="AM149" i="1" s="1"/>
  <c r="AN149" i="1" s="1"/>
  <c r="Y149" i="1"/>
  <c r="S150" i="1"/>
  <c r="U150" i="1"/>
  <c r="AM150" i="1" s="1"/>
  <c r="AN150" i="1" s="1"/>
  <c r="Y150" i="1"/>
  <c r="S151" i="1"/>
  <c r="U151" i="1"/>
  <c r="Y151" i="1"/>
  <c r="AM151" i="1"/>
  <c r="AN151" i="1" s="1"/>
  <c r="S152" i="1"/>
  <c r="U152" i="1"/>
  <c r="AM152" i="1" s="1"/>
  <c r="AN152" i="1" s="1"/>
  <c r="Y152" i="1"/>
  <c r="S153" i="1"/>
  <c r="U153" i="1"/>
  <c r="Y153" i="1"/>
  <c r="AM153" i="1"/>
  <c r="AN153" i="1" s="1"/>
  <c r="AU153" i="1" s="1"/>
  <c r="S154" i="1"/>
  <c r="U154" i="1"/>
  <c r="Y154" i="1"/>
  <c r="AM154" i="1"/>
  <c r="AN154" i="1" s="1"/>
  <c r="S155" i="1"/>
  <c r="U155" i="1"/>
  <c r="AM155" i="1" s="1"/>
  <c r="AN155" i="1" s="1"/>
  <c r="Y155" i="1"/>
  <c r="S156" i="1"/>
  <c r="U156" i="1"/>
  <c r="Y156" i="1"/>
  <c r="AM156" i="1"/>
  <c r="AN156" i="1" s="1"/>
  <c r="AV156" i="1" s="1"/>
  <c r="S157" i="1"/>
  <c r="U157" i="1"/>
  <c r="AM157" i="1" s="1"/>
  <c r="AN157" i="1" s="1"/>
  <c r="Y157" i="1"/>
  <c r="S158" i="1"/>
  <c r="U158" i="1"/>
  <c r="Y158" i="1"/>
  <c r="AM158" i="1"/>
  <c r="AN158" i="1" s="1"/>
  <c r="S159" i="1"/>
  <c r="U159" i="1"/>
  <c r="AM159" i="1" s="1"/>
  <c r="AN159" i="1" s="1"/>
  <c r="Y159" i="1"/>
  <c r="S160" i="1"/>
  <c r="U160" i="1"/>
  <c r="AM160" i="1" s="1"/>
  <c r="AN160" i="1" s="1"/>
  <c r="Y160" i="1"/>
  <c r="S161" i="1"/>
  <c r="U161" i="1"/>
  <c r="AM161" i="1" s="1"/>
  <c r="AN161" i="1" s="1"/>
  <c r="Y161" i="1"/>
  <c r="S162" i="1"/>
  <c r="U162" i="1"/>
  <c r="AM162" i="1" s="1"/>
  <c r="AN162" i="1" s="1"/>
  <c r="Y162" i="1"/>
  <c r="S163" i="1"/>
  <c r="U163" i="1"/>
  <c r="Y163" i="1"/>
  <c r="AM163" i="1"/>
  <c r="AN163" i="1" s="1"/>
  <c r="S164" i="1"/>
  <c r="U164" i="1"/>
  <c r="Y164" i="1"/>
  <c r="AM164" i="1"/>
  <c r="AN164" i="1" s="1"/>
  <c r="S165" i="1"/>
  <c r="U165" i="1"/>
  <c r="Y165" i="1"/>
  <c r="AM165" i="1"/>
  <c r="AN165" i="1" s="1"/>
  <c r="S166" i="1"/>
  <c r="U166" i="1"/>
  <c r="AM166" i="1" s="1"/>
  <c r="AN166" i="1" s="1"/>
  <c r="Y166" i="1"/>
  <c r="S167" i="1"/>
  <c r="U167" i="1"/>
  <c r="AM167" i="1" s="1"/>
  <c r="AN167" i="1" s="1"/>
  <c r="Y167" i="1"/>
  <c r="AU167" i="1" s="1"/>
  <c r="S168" i="1"/>
  <c r="U168" i="1"/>
  <c r="Y168" i="1"/>
  <c r="AM168" i="1"/>
  <c r="AN168" i="1"/>
  <c r="AV168" i="1" s="1"/>
  <c r="AU168" i="1"/>
  <c r="S169" i="1"/>
  <c r="U169" i="1"/>
  <c r="AM169" i="1" s="1"/>
  <c r="AN169" i="1" s="1"/>
  <c r="Y169" i="1"/>
  <c r="S170" i="1"/>
  <c r="U170" i="1"/>
  <c r="Y170" i="1"/>
  <c r="AM170" i="1"/>
  <c r="AN170" i="1" s="1"/>
  <c r="S171" i="1"/>
  <c r="U171" i="1"/>
  <c r="AM171" i="1" s="1"/>
  <c r="AN171" i="1" s="1"/>
  <c r="Y171" i="1"/>
  <c r="S172" i="1"/>
  <c r="U172" i="1"/>
  <c r="AM172" i="1" s="1"/>
  <c r="AN172" i="1" s="1"/>
  <c r="Y172" i="1"/>
  <c r="S173" i="1"/>
  <c r="U173" i="1"/>
  <c r="AM173" i="1" s="1"/>
  <c r="AN173" i="1" s="1"/>
  <c r="Y173" i="1"/>
  <c r="S174" i="1"/>
  <c r="U174" i="1"/>
  <c r="Y174" i="1"/>
  <c r="AM174" i="1"/>
  <c r="AN174" i="1" s="1"/>
  <c r="S175" i="1"/>
  <c r="U175" i="1"/>
  <c r="AM175" i="1" s="1"/>
  <c r="AN175" i="1" s="1"/>
  <c r="Y175" i="1"/>
  <c r="S176" i="1"/>
  <c r="U176" i="1"/>
  <c r="AM176" i="1" s="1"/>
  <c r="AN176" i="1" s="1"/>
  <c r="Y176" i="1"/>
  <c r="S177" i="1"/>
  <c r="U177" i="1"/>
  <c r="AM177" i="1" s="1"/>
  <c r="AN177" i="1" s="1"/>
  <c r="Y177" i="1"/>
  <c r="AU177" i="1" s="1"/>
  <c r="S178" i="1"/>
  <c r="U178" i="1"/>
  <c r="AM178" i="1" s="1"/>
  <c r="AN178" i="1" s="1"/>
  <c r="Y178" i="1"/>
  <c r="S179" i="1"/>
  <c r="U179" i="1"/>
  <c r="Y179" i="1"/>
  <c r="AM179" i="1"/>
  <c r="AN179" i="1" s="1"/>
  <c r="S180" i="1"/>
  <c r="U180" i="1"/>
  <c r="Y180" i="1"/>
  <c r="AM180" i="1"/>
  <c r="AN180" i="1" s="1"/>
  <c r="S181" i="1"/>
  <c r="U181" i="1"/>
  <c r="Y181" i="1"/>
  <c r="AM181" i="1"/>
  <c r="AN181" i="1" s="1"/>
  <c r="AV181" i="1" s="1"/>
  <c r="S182" i="1"/>
  <c r="U182" i="1"/>
  <c r="AM182" i="1" s="1"/>
  <c r="AN182" i="1" s="1"/>
  <c r="Y182" i="1"/>
  <c r="AU182" i="1" s="1"/>
  <c r="S183" i="1"/>
  <c r="U183" i="1"/>
  <c r="Y183" i="1"/>
  <c r="AU183" i="1" s="1"/>
  <c r="AM183" i="1"/>
  <c r="AN183" i="1"/>
  <c r="AW183" i="1" s="1"/>
  <c r="S184" i="1"/>
  <c r="U184" i="1"/>
  <c r="Y184" i="1"/>
  <c r="AM184" i="1"/>
  <c r="AN184" i="1" s="1"/>
  <c r="S185" i="1"/>
  <c r="U185" i="1"/>
  <c r="Y185" i="1"/>
  <c r="AM185" i="1"/>
  <c r="AN185" i="1" s="1"/>
  <c r="S186" i="1"/>
  <c r="U186" i="1"/>
  <c r="Y186" i="1"/>
  <c r="AM186" i="1"/>
  <c r="AN186" i="1" s="1"/>
  <c r="AV186" i="1" s="1"/>
  <c r="S187" i="1"/>
  <c r="U187" i="1"/>
  <c r="AM187" i="1" s="1"/>
  <c r="AN187" i="1" s="1"/>
  <c r="Y187" i="1"/>
  <c r="S188" i="1"/>
  <c r="U188" i="1"/>
  <c r="AM188" i="1" s="1"/>
  <c r="AN188" i="1" s="1"/>
  <c r="AU188" i="1" s="1"/>
  <c r="Y188" i="1"/>
  <c r="S189" i="1"/>
  <c r="U189" i="1"/>
  <c r="Y189" i="1"/>
  <c r="AM189" i="1"/>
  <c r="AN189" i="1" s="1"/>
  <c r="S190" i="1"/>
  <c r="U190" i="1"/>
  <c r="Y190" i="1"/>
  <c r="AM190" i="1"/>
  <c r="AN190" i="1" s="1"/>
  <c r="AV190" i="1" s="1"/>
  <c r="S191" i="1"/>
  <c r="U191" i="1"/>
  <c r="Y191" i="1"/>
  <c r="AM191" i="1"/>
  <c r="AN191" i="1" s="1"/>
  <c r="S192" i="1"/>
  <c r="U192" i="1"/>
  <c r="Y192" i="1"/>
  <c r="AW192" i="1" s="1"/>
  <c r="AM192" i="1"/>
  <c r="AN192" i="1"/>
  <c r="AV192" i="1" s="1"/>
  <c r="S193" i="1"/>
  <c r="U193" i="1"/>
  <c r="Y193" i="1"/>
  <c r="AM193" i="1"/>
  <c r="AN193" i="1" s="1"/>
  <c r="S194" i="1"/>
  <c r="U194" i="1"/>
  <c r="Y194" i="1"/>
  <c r="AM194" i="1"/>
  <c r="AN194" i="1" s="1"/>
  <c r="S195" i="1"/>
  <c r="U195" i="1"/>
  <c r="Y195" i="1"/>
  <c r="AM195" i="1"/>
  <c r="AN195" i="1" s="1"/>
  <c r="AV195" i="1" s="1"/>
  <c r="S196" i="1"/>
  <c r="U196" i="1"/>
  <c r="AM196" i="1" s="1"/>
  <c r="AN196" i="1" s="1"/>
  <c r="Y196" i="1"/>
  <c r="S197" i="1"/>
  <c r="U197" i="1"/>
  <c r="AM197" i="1" s="1"/>
  <c r="AN197" i="1" s="1"/>
  <c r="Y197" i="1"/>
  <c r="AU197" i="1" s="1"/>
  <c r="S198" i="1"/>
  <c r="U198" i="1"/>
  <c r="Y198" i="1"/>
  <c r="AM198" i="1"/>
  <c r="AN198" i="1" s="1"/>
  <c r="AU198" i="1" s="1"/>
  <c r="S199" i="1"/>
  <c r="U199" i="1"/>
  <c r="Y199" i="1"/>
  <c r="AM199" i="1"/>
  <c r="AN199" i="1" s="1"/>
  <c r="S200" i="1"/>
  <c r="U200" i="1"/>
  <c r="Y200" i="1"/>
  <c r="AM200" i="1"/>
  <c r="AN200" i="1" s="1"/>
  <c r="S201" i="1"/>
  <c r="U201" i="1"/>
  <c r="Y201" i="1"/>
  <c r="AM201" i="1"/>
  <c r="AN201" i="1" s="1"/>
  <c r="S202" i="1"/>
  <c r="U202" i="1"/>
  <c r="AM202" i="1" s="1"/>
  <c r="AN202" i="1" s="1"/>
  <c r="Y202" i="1"/>
  <c r="S203" i="1"/>
  <c r="U203" i="1"/>
  <c r="Y203" i="1"/>
  <c r="AM203" i="1"/>
  <c r="AN203" i="1" s="1"/>
  <c r="S204" i="1"/>
  <c r="U204" i="1"/>
  <c r="Y204" i="1"/>
  <c r="AM204" i="1"/>
  <c r="AN204" i="1" s="1"/>
  <c r="S205" i="1"/>
  <c r="U205" i="1"/>
  <c r="Y205" i="1"/>
  <c r="AM205" i="1"/>
  <c r="AN205" i="1" s="1"/>
  <c r="S206" i="1"/>
  <c r="U206" i="1"/>
  <c r="AM206" i="1" s="1"/>
  <c r="AN206" i="1" s="1"/>
  <c r="Y206" i="1"/>
  <c r="S207" i="1"/>
  <c r="U207" i="1"/>
  <c r="Y207" i="1"/>
  <c r="AM207" i="1"/>
  <c r="AN207" i="1" s="1"/>
  <c r="S208" i="1"/>
  <c r="U208" i="1"/>
  <c r="Y208" i="1"/>
  <c r="AM208" i="1"/>
  <c r="AN208" i="1" s="1"/>
  <c r="S209" i="1"/>
  <c r="U209" i="1"/>
  <c r="AM209" i="1" s="1"/>
  <c r="AN209" i="1" s="1"/>
  <c r="Y209" i="1"/>
  <c r="S210" i="1"/>
  <c r="U210" i="1"/>
  <c r="AM210" i="1" s="1"/>
  <c r="AN210" i="1" s="1"/>
  <c r="Y210" i="1"/>
  <c r="S211" i="1"/>
  <c r="U211" i="1"/>
  <c r="AM211" i="1" s="1"/>
  <c r="AN211" i="1" s="1"/>
  <c r="Y211" i="1"/>
  <c r="S212" i="1"/>
  <c r="U212" i="1"/>
  <c r="AM212" i="1" s="1"/>
  <c r="AN212" i="1" s="1"/>
  <c r="Y212" i="1"/>
  <c r="S213" i="1"/>
  <c r="U213" i="1"/>
  <c r="AM213" i="1" s="1"/>
  <c r="AN213" i="1" s="1"/>
  <c r="Y213" i="1"/>
  <c r="S214" i="1"/>
  <c r="U214" i="1"/>
  <c r="AM214" i="1" s="1"/>
  <c r="AN214" i="1" s="1"/>
  <c r="Y214" i="1"/>
  <c r="S215" i="1"/>
  <c r="U215" i="1"/>
  <c r="AM215" i="1" s="1"/>
  <c r="AN215" i="1" s="1"/>
  <c r="Y215" i="1"/>
  <c r="S216" i="1"/>
  <c r="U216" i="1"/>
  <c r="AM216" i="1" s="1"/>
  <c r="AN216" i="1" s="1"/>
  <c r="Y216" i="1"/>
  <c r="S217" i="1"/>
  <c r="U217" i="1"/>
  <c r="AM217" i="1" s="1"/>
  <c r="AN217" i="1" s="1"/>
  <c r="Y217" i="1"/>
  <c r="S218" i="1"/>
  <c r="U218" i="1"/>
  <c r="Y218" i="1"/>
  <c r="AM218" i="1"/>
  <c r="AN218" i="1" s="1"/>
  <c r="S219" i="1"/>
  <c r="U219" i="1"/>
  <c r="AM219" i="1" s="1"/>
  <c r="AN219" i="1" s="1"/>
  <c r="Y219" i="1"/>
  <c r="S220" i="1"/>
  <c r="U220" i="1"/>
  <c r="AM220" i="1" s="1"/>
  <c r="AN220" i="1" s="1"/>
  <c r="AV220" i="1" s="1"/>
  <c r="Y220" i="1"/>
  <c r="S221" i="1"/>
  <c r="U221" i="1"/>
  <c r="AM221" i="1" s="1"/>
  <c r="AN221" i="1" s="1"/>
  <c r="Y221" i="1"/>
  <c r="S222" i="1"/>
  <c r="U222" i="1"/>
  <c r="AM222" i="1" s="1"/>
  <c r="AN222" i="1" s="1"/>
  <c r="Y222" i="1"/>
  <c r="S223" i="1"/>
  <c r="U223" i="1"/>
  <c r="Y223" i="1"/>
  <c r="AU223" i="1" s="1"/>
  <c r="AM223" i="1"/>
  <c r="AN223" i="1" s="1"/>
  <c r="S224" i="1"/>
  <c r="U224" i="1"/>
  <c r="AM224" i="1" s="1"/>
  <c r="AN224" i="1" s="1"/>
  <c r="Y224" i="1"/>
  <c r="S225" i="1"/>
  <c r="U225" i="1"/>
  <c r="Y225" i="1"/>
  <c r="AM225" i="1"/>
  <c r="AN225" i="1" s="1"/>
  <c r="S226" i="1"/>
  <c r="U226" i="1"/>
  <c r="AM226" i="1" s="1"/>
  <c r="AN226" i="1" s="1"/>
  <c r="Y226" i="1"/>
  <c r="S227" i="1"/>
  <c r="U227" i="1"/>
  <c r="AM227" i="1" s="1"/>
  <c r="AN227" i="1" s="1"/>
  <c r="Y227" i="1"/>
  <c r="S228" i="1"/>
  <c r="U228" i="1"/>
  <c r="Y228" i="1"/>
  <c r="AM228" i="1"/>
  <c r="AN228" i="1" s="1"/>
  <c r="S229" i="1"/>
  <c r="U229" i="1"/>
  <c r="Y229" i="1"/>
  <c r="AM229" i="1"/>
  <c r="AN229" i="1" s="1"/>
  <c r="S230" i="1"/>
  <c r="U230" i="1"/>
  <c r="AM230" i="1" s="1"/>
  <c r="AN230" i="1" s="1"/>
  <c r="Y230" i="1"/>
  <c r="S231" i="1"/>
  <c r="U231" i="1"/>
  <c r="AM231" i="1" s="1"/>
  <c r="AN231" i="1" s="1"/>
  <c r="Y231" i="1"/>
  <c r="S232" i="1"/>
  <c r="U232" i="1"/>
  <c r="AM232" i="1" s="1"/>
  <c r="AN232" i="1" s="1"/>
  <c r="Y232" i="1"/>
  <c r="S233" i="1"/>
  <c r="U233" i="1"/>
  <c r="AM233" i="1" s="1"/>
  <c r="AN233" i="1" s="1"/>
  <c r="Y233" i="1"/>
  <c r="S234" i="1"/>
  <c r="U234" i="1"/>
  <c r="Y234" i="1"/>
  <c r="AM234" i="1"/>
  <c r="AN234" i="1" s="1"/>
  <c r="S235" i="1"/>
  <c r="U235" i="1"/>
  <c r="Y235" i="1"/>
  <c r="AM235" i="1"/>
  <c r="AN235" i="1" s="1"/>
  <c r="S236" i="1"/>
  <c r="U236" i="1"/>
  <c r="AM236" i="1" s="1"/>
  <c r="AN236" i="1" s="1"/>
  <c r="Y236" i="1"/>
  <c r="S237" i="1"/>
  <c r="U237" i="1"/>
  <c r="AM237" i="1" s="1"/>
  <c r="AN237" i="1" s="1"/>
  <c r="Y237" i="1"/>
  <c r="S238" i="1"/>
  <c r="U238" i="1"/>
  <c r="AM238" i="1" s="1"/>
  <c r="AN238" i="1" s="1"/>
  <c r="Y238" i="1"/>
  <c r="S239" i="1"/>
  <c r="U239" i="1"/>
  <c r="AM239" i="1" s="1"/>
  <c r="AN239" i="1" s="1"/>
  <c r="Y239" i="1"/>
  <c r="S240" i="1"/>
  <c r="U240" i="1"/>
  <c r="AM240" i="1" s="1"/>
  <c r="AN240" i="1" s="1"/>
  <c r="Y240" i="1"/>
  <c r="AV240" i="1" s="1"/>
  <c r="S241" i="1"/>
  <c r="U241" i="1"/>
  <c r="AM241" i="1" s="1"/>
  <c r="AN241" i="1" s="1"/>
  <c r="Y241" i="1"/>
  <c r="S242" i="1"/>
  <c r="U242" i="1"/>
  <c r="AM242" i="1" s="1"/>
  <c r="AN242" i="1" s="1"/>
  <c r="Y242" i="1"/>
  <c r="AW242" i="1" s="1"/>
  <c r="S243" i="1"/>
  <c r="U243" i="1"/>
  <c r="AM243" i="1" s="1"/>
  <c r="AN243" i="1" s="1"/>
  <c r="Y243" i="1"/>
  <c r="S244" i="1"/>
  <c r="U244" i="1"/>
  <c r="AM244" i="1" s="1"/>
  <c r="AN244" i="1" s="1"/>
  <c r="Y244" i="1"/>
  <c r="S245" i="1"/>
  <c r="U245" i="1"/>
  <c r="AM245" i="1" s="1"/>
  <c r="AN245" i="1" s="1"/>
  <c r="Y245" i="1"/>
  <c r="S246" i="1"/>
  <c r="U246" i="1"/>
  <c r="AM246" i="1" s="1"/>
  <c r="AN246" i="1" s="1"/>
  <c r="AU246" i="1" s="1"/>
  <c r="Y246" i="1"/>
  <c r="S247" i="1"/>
  <c r="U247" i="1"/>
  <c r="AM247" i="1" s="1"/>
  <c r="AN247" i="1" s="1"/>
  <c r="Y247" i="1"/>
  <c r="S248" i="1"/>
  <c r="U248" i="1"/>
  <c r="AM248" i="1" s="1"/>
  <c r="Y248" i="1"/>
  <c r="AN248" i="1"/>
  <c r="S249" i="1"/>
  <c r="U249" i="1"/>
  <c r="Y249" i="1"/>
  <c r="AM249" i="1"/>
  <c r="AN249" i="1" s="1"/>
  <c r="S250" i="1"/>
  <c r="U250" i="1"/>
  <c r="AM250" i="1" s="1"/>
  <c r="AN250" i="1" s="1"/>
  <c r="Y250" i="1"/>
  <c r="S251" i="1"/>
  <c r="U251" i="1"/>
  <c r="AM251" i="1" s="1"/>
  <c r="AN251" i="1" s="1"/>
  <c r="Y251" i="1"/>
  <c r="S252" i="1"/>
  <c r="U252" i="1"/>
  <c r="AM252" i="1" s="1"/>
  <c r="AN252" i="1" s="1"/>
  <c r="Y252" i="1"/>
  <c r="S253" i="1"/>
  <c r="U253" i="1"/>
  <c r="AM253" i="1" s="1"/>
  <c r="Y253" i="1"/>
  <c r="AN253" i="1"/>
  <c r="S254" i="1"/>
  <c r="U254" i="1"/>
  <c r="AM254" i="1" s="1"/>
  <c r="AN254" i="1" s="1"/>
  <c r="Y254" i="1"/>
  <c r="S255" i="1"/>
  <c r="U255" i="1"/>
  <c r="Y255" i="1"/>
  <c r="AM255" i="1"/>
  <c r="AN255" i="1" s="1"/>
  <c r="S256" i="1"/>
  <c r="U256" i="1"/>
  <c r="AM256" i="1" s="1"/>
  <c r="AN256" i="1" s="1"/>
  <c r="Y256" i="1"/>
  <c r="S257" i="1"/>
  <c r="U257" i="1"/>
  <c r="Y257" i="1"/>
  <c r="AM257" i="1"/>
  <c r="AN257" i="1" s="1"/>
  <c r="S258" i="1"/>
  <c r="U258" i="1"/>
  <c r="AM258" i="1" s="1"/>
  <c r="AN258" i="1" s="1"/>
  <c r="Y258" i="1"/>
  <c r="S259" i="1"/>
  <c r="U259" i="1"/>
  <c r="AM259" i="1" s="1"/>
  <c r="AN259" i="1" s="1"/>
  <c r="Y259" i="1"/>
  <c r="S260" i="1"/>
  <c r="U260" i="1"/>
  <c r="Y260" i="1"/>
  <c r="AM260" i="1"/>
  <c r="AN260" i="1"/>
  <c r="S261" i="1"/>
  <c r="U261" i="1"/>
  <c r="AM261" i="1" s="1"/>
  <c r="AN261" i="1" s="1"/>
  <c r="Y261" i="1"/>
  <c r="S262" i="1"/>
  <c r="U262" i="1"/>
  <c r="Y262" i="1"/>
  <c r="AV262" i="1" s="1"/>
  <c r="AM262" i="1"/>
  <c r="AN262" i="1" s="1"/>
  <c r="S263" i="1"/>
  <c r="U263" i="1"/>
  <c r="AM263" i="1" s="1"/>
  <c r="AN263" i="1" s="1"/>
  <c r="Y263" i="1"/>
  <c r="S264" i="1"/>
  <c r="U264" i="1"/>
  <c r="AM264" i="1" s="1"/>
  <c r="AN264" i="1" s="1"/>
  <c r="Y264" i="1"/>
  <c r="S265" i="1"/>
  <c r="U265" i="1"/>
  <c r="AM265" i="1" s="1"/>
  <c r="AN265" i="1" s="1"/>
  <c r="Y265" i="1"/>
  <c r="S266" i="1"/>
  <c r="U266" i="1"/>
  <c r="AM266" i="1" s="1"/>
  <c r="AN266" i="1" s="1"/>
  <c r="Y266" i="1"/>
  <c r="S267" i="1"/>
  <c r="U267" i="1"/>
  <c r="AM267" i="1" s="1"/>
  <c r="AN267" i="1" s="1"/>
  <c r="AV267" i="1" s="1"/>
  <c r="Y267" i="1"/>
  <c r="S268" i="1"/>
  <c r="U268" i="1"/>
  <c r="AM268" i="1" s="1"/>
  <c r="AN268" i="1" s="1"/>
  <c r="Y268" i="1"/>
  <c r="S269" i="1"/>
  <c r="U269" i="1"/>
  <c r="AM269" i="1" s="1"/>
  <c r="AN269" i="1" s="1"/>
  <c r="Y269" i="1"/>
  <c r="S270" i="1"/>
  <c r="U270" i="1"/>
  <c r="AM270" i="1" s="1"/>
  <c r="AN270" i="1" s="1"/>
  <c r="Y270" i="1"/>
  <c r="S271" i="1"/>
  <c r="U271" i="1"/>
  <c r="AM271" i="1" s="1"/>
  <c r="AN271" i="1" s="1"/>
  <c r="Y271" i="1"/>
  <c r="S272" i="1"/>
  <c r="U272" i="1"/>
  <c r="AM272" i="1" s="1"/>
  <c r="AN272" i="1" s="1"/>
  <c r="Y272" i="1"/>
  <c r="AW272" i="1" s="1"/>
  <c r="S273" i="1"/>
  <c r="U273" i="1"/>
  <c r="Y273" i="1"/>
  <c r="AM273" i="1"/>
  <c r="AN273" i="1" s="1"/>
  <c r="AU273" i="1" s="1"/>
  <c r="S274" i="1"/>
  <c r="U274" i="1"/>
  <c r="AM274" i="1" s="1"/>
  <c r="AN274" i="1" s="1"/>
  <c r="Y274" i="1"/>
  <c r="S275" i="1"/>
  <c r="U275" i="1"/>
  <c r="AM275" i="1" s="1"/>
  <c r="AN275" i="1" s="1"/>
  <c r="Y275" i="1"/>
  <c r="S276" i="1"/>
  <c r="U276" i="1"/>
  <c r="Y276" i="1"/>
  <c r="AM276" i="1"/>
  <c r="AN276" i="1"/>
  <c r="S277" i="1"/>
  <c r="U277" i="1"/>
  <c r="Y277" i="1"/>
  <c r="AM277" i="1"/>
  <c r="AN277" i="1"/>
  <c r="S278" i="1"/>
  <c r="U278" i="1"/>
  <c r="AM278" i="1" s="1"/>
  <c r="AN278" i="1" s="1"/>
  <c r="Y278" i="1"/>
  <c r="S279" i="1"/>
  <c r="U279" i="1"/>
  <c r="AM279" i="1" s="1"/>
  <c r="AN279" i="1" s="1"/>
  <c r="Y279" i="1"/>
  <c r="S280" i="1"/>
  <c r="U280" i="1"/>
  <c r="AM280" i="1" s="1"/>
  <c r="AN280" i="1" s="1"/>
  <c r="Y280" i="1"/>
  <c r="AU280" i="1" s="1"/>
  <c r="S281" i="1"/>
  <c r="U281" i="1"/>
  <c r="AM281" i="1" s="1"/>
  <c r="AN281" i="1" s="1"/>
  <c r="Y281" i="1"/>
  <c r="S282" i="1"/>
  <c r="U282" i="1"/>
  <c r="Y282" i="1"/>
  <c r="AM282" i="1"/>
  <c r="AN282" i="1"/>
  <c r="S283" i="1"/>
  <c r="U283" i="1"/>
  <c r="AM283" i="1" s="1"/>
  <c r="AN283" i="1" s="1"/>
  <c r="Y283" i="1"/>
  <c r="S284" i="1"/>
  <c r="U284" i="1"/>
  <c r="AM284" i="1" s="1"/>
  <c r="AN284" i="1" s="1"/>
  <c r="Y284" i="1"/>
  <c r="S285" i="1"/>
  <c r="U285" i="1"/>
  <c r="AM285" i="1" s="1"/>
  <c r="AN285" i="1" s="1"/>
  <c r="Y285" i="1"/>
  <c r="S286" i="1"/>
  <c r="U286" i="1"/>
  <c r="AM286" i="1" s="1"/>
  <c r="AN286" i="1" s="1"/>
  <c r="Y286" i="1"/>
  <c r="S287" i="1"/>
  <c r="U287" i="1"/>
  <c r="Y287" i="1"/>
  <c r="AM287" i="1"/>
  <c r="AN287" i="1" s="1"/>
  <c r="S288" i="1"/>
  <c r="U288" i="1"/>
  <c r="AM288" i="1" s="1"/>
  <c r="AN288" i="1" s="1"/>
  <c r="Y288" i="1"/>
  <c r="S289" i="1"/>
  <c r="U289" i="1"/>
  <c r="AM289" i="1" s="1"/>
  <c r="AN289" i="1" s="1"/>
  <c r="Y289" i="1"/>
  <c r="S290" i="1"/>
  <c r="U290" i="1"/>
  <c r="AM290" i="1" s="1"/>
  <c r="AN290" i="1" s="1"/>
  <c r="Y290" i="1"/>
  <c r="S291" i="1"/>
  <c r="U291" i="1"/>
  <c r="AM291" i="1" s="1"/>
  <c r="AN291" i="1" s="1"/>
  <c r="Y291" i="1"/>
  <c r="S292" i="1"/>
  <c r="U292" i="1"/>
  <c r="AM292" i="1" s="1"/>
  <c r="AN292" i="1" s="1"/>
  <c r="Y292" i="1"/>
  <c r="S293" i="1"/>
  <c r="U293" i="1"/>
  <c r="AM293" i="1" s="1"/>
  <c r="AN293" i="1" s="1"/>
  <c r="Y293" i="1"/>
  <c r="S294" i="1"/>
  <c r="U294" i="1"/>
  <c r="Y294" i="1"/>
  <c r="AM294" i="1"/>
  <c r="AN294" i="1" s="1"/>
  <c r="S295" i="1"/>
  <c r="U295" i="1"/>
  <c r="Y295" i="1"/>
  <c r="AM295" i="1"/>
  <c r="AN295" i="1" s="1"/>
  <c r="AW295" i="1" s="1"/>
  <c r="S296" i="1"/>
  <c r="U296" i="1"/>
  <c r="AM296" i="1" s="1"/>
  <c r="AN296" i="1" s="1"/>
  <c r="Y296" i="1"/>
  <c r="S297" i="1"/>
  <c r="U297" i="1"/>
  <c r="AM297" i="1" s="1"/>
  <c r="AN297" i="1" s="1"/>
  <c r="Y297" i="1"/>
  <c r="S298" i="1"/>
  <c r="U298" i="1"/>
  <c r="AM298" i="1" s="1"/>
  <c r="Y298" i="1"/>
  <c r="AN298" i="1"/>
  <c r="AU2" i="1" l="1"/>
  <c r="AV2" i="1"/>
  <c r="AW2" i="1"/>
  <c r="AU7" i="1"/>
  <c r="AV7" i="1"/>
  <c r="AW7" i="1"/>
  <c r="AU13" i="1"/>
  <c r="AV13" i="1"/>
  <c r="AW13" i="1"/>
  <c r="AW257" i="1"/>
  <c r="AV257" i="1"/>
  <c r="AV78" i="1"/>
  <c r="AU78" i="1"/>
  <c r="AV98" i="1"/>
  <c r="AW278" i="1"/>
  <c r="AW283" i="1"/>
  <c r="AV86" i="1"/>
  <c r="AV200" i="1"/>
  <c r="AV235" i="1"/>
  <c r="AV96" i="1"/>
  <c r="AV176" i="1"/>
  <c r="AU248" i="1"/>
  <c r="AV101" i="1"/>
  <c r="AU52" i="1"/>
  <c r="AU49" i="1"/>
  <c r="AV133" i="1"/>
  <c r="AV272" i="1"/>
  <c r="AU253" i="1"/>
  <c r="AV38" i="1"/>
  <c r="AV230" i="1"/>
  <c r="AU138" i="1"/>
  <c r="AU70" i="1"/>
  <c r="AV284" i="1"/>
  <c r="AU12" i="1"/>
  <c r="AW48" i="1"/>
  <c r="AU103" i="1"/>
  <c r="AW187" i="1"/>
  <c r="AV282" i="1"/>
  <c r="AU63" i="1"/>
  <c r="AU51" i="1"/>
  <c r="AV71" i="1"/>
  <c r="AU236" i="1"/>
  <c r="AU35" i="1"/>
  <c r="AU73" i="1"/>
  <c r="AV250" i="1"/>
  <c r="AV81" i="1"/>
  <c r="AW258" i="1"/>
  <c r="AW108" i="1"/>
  <c r="AW32" i="1"/>
  <c r="AV171" i="1"/>
  <c r="AU15" i="1"/>
  <c r="AV277" i="1"/>
  <c r="AV298" i="1"/>
  <c r="AV280" i="1"/>
  <c r="AV183" i="1"/>
  <c r="AV108" i="1"/>
  <c r="AV32" i="1"/>
  <c r="AV117" i="1"/>
  <c r="AV205" i="1"/>
  <c r="AU285" i="1"/>
  <c r="AV279" i="1"/>
  <c r="AW267" i="1"/>
  <c r="AV56" i="1"/>
  <c r="AW12" i="1"/>
  <c r="AV92" i="1"/>
  <c r="AW92" i="1"/>
  <c r="AV237" i="1"/>
  <c r="AW237" i="1"/>
  <c r="AV87" i="1"/>
  <c r="AW87" i="1"/>
  <c r="AV97" i="1"/>
  <c r="AW97" i="1"/>
  <c r="AV212" i="1"/>
  <c r="AW212" i="1"/>
  <c r="AV107" i="1"/>
  <c r="AV143" i="1"/>
  <c r="AW143" i="1"/>
  <c r="AU128" i="1"/>
  <c r="AV128" i="1"/>
  <c r="AW128" i="1"/>
  <c r="AV111" i="1"/>
  <c r="AU143" i="1"/>
  <c r="AU158" i="1"/>
  <c r="AV158" i="1"/>
  <c r="AV153" i="1"/>
  <c r="AV127" i="1"/>
  <c r="AW127" i="1"/>
  <c r="AV122" i="1"/>
  <c r="AW122" i="1"/>
  <c r="AU53" i="1"/>
  <c r="AV53" i="1"/>
  <c r="AV132" i="1"/>
  <c r="AW132" i="1"/>
  <c r="AV217" i="1"/>
  <c r="AW217" i="1"/>
  <c r="AV3" i="1"/>
  <c r="AW3" i="1"/>
  <c r="AU18" i="1"/>
  <c r="AV18" i="1"/>
  <c r="AW18" i="1"/>
  <c r="AU3" i="1"/>
  <c r="AV247" i="1"/>
  <c r="AW247" i="1"/>
  <c r="AU163" i="1"/>
  <c r="AV163" i="1"/>
  <c r="AW163" i="1"/>
  <c r="AU23" i="1"/>
  <c r="AV23" i="1"/>
  <c r="AW23" i="1"/>
  <c r="AW228" i="1"/>
  <c r="AU58" i="1"/>
  <c r="AV58" i="1"/>
  <c r="AW58" i="1"/>
  <c r="AV33" i="1"/>
  <c r="AW33" i="1"/>
  <c r="AV141" i="1"/>
  <c r="AV68" i="1"/>
  <c r="AW68" i="1"/>
  <c r="AU33" i="1"/>
  <c r="AU275" i="1"/>
  <c r="AV275" i="1"/>
  <c r="AU193" i="1"/>
  <c r="AV193" i="1"/>
  <c r="AW193" i="1"/>
  <c r="AU208" i="1"/>
  <c r="AV208" i="1"/>
  <c r="AW208" i="1"/>
  <c r="AV146" i="1"/>
  <c r="AV227" i="1"/>
  <c r="AW227" i="1"/>
  <c r="AU173" i="1"/>
  <c r="AV173" i="1"/>
  <c r="AW173" i="1"/>
  <c r="AU113" i="1"/>
  <c r="AV113" i="1"/>
  <c r="AW113" i="1"/>
  <c r="AU83" i="1"/>
  <c r="AV83" i="1"/>
  <c r="AW83" i="1"/>
  <c r="AV202" i="1"/>
  <c r="AW202" i="1"/>
  <c r="AU88" i="1"/>
  <c r="AV232" i="1"/>
  <c r="AW232" i="1"/>
  <c r="AU118" i="1"/>
  <c r="AV118" i="1"/>
  <c r="AW118" i="1"/>
  <c r="AV72" i="1"/>
  <c r="AW72" i="1"/>
  <c r="AV207" i="1"/>
  <c r="AV178" i="1"/>
  <c r="AU178" i="1"/>
  <c r="AW178" i="1"/>
  <c r="AV274" i="1"/>
  <c r="AU270" i="1"/>
  <c r="AU265" i="1"/>
  <c r="AU252" i="1"/>
  <c r="AU222" i="1"/>
  <c r="AU213" i="1"/>
  <c r="AU162" i="1"/>
  <c r="AU157" i="1"/>
  <c r="AU116" i="1"/>
  <c r="AU95" i="1"/>
  <c r="AU20" i="1"/>
  <c r="AV238" i="1"/>
  <c r="AU137" i="1"/>
  <c r="AU102" i="1"/>
  <c r="AU46" i="1"/>
  <c r="AU297" i="1"/>
  <c r="AV260" i="1"/>
  <c r="AV166" i="1"/>
  <c r="AU140" i="1"/>
  <c r="AU31" i="1"/>
  <c r="AV10" i="1"/>
  <c r="AW277" i="1"/>
  <c r="AV255" i="1"/>
  <c r="AV225" i="1"/>
  <c r="AU112" i="1"/>
  <c r="AU61" i="1"/>
  <c r="AU247" i="1"/>
  <c r="AV242" i="1"/>
  <c r="AU217" i="1"/>
  <c r="AV161" i="1"/>
  <c r="AU152" i="1"/>
  <c r="AU115" i="1"/>
  <c r="AU94" i="1"/>
  <c r="AU76" i="1"/>
  <c r="AU19" i="1"/>
  <c r="AU192" i="1"/>
  <c r="AU91" i="1"/>
  <c r="AU16" i="1"/>
  <c r="AV296" i="1"/>
  <c r="AV273" i="1"/>
  <c r="AU212" i="1"/>
  <c r="AU147" i="1"/>
  <c r="AU122" i="1"/>
  <c r="AU101" i="1"/>
  <c r="AW93" i="1"/>
  <c r="AU79" i="1"/>
  <c r="AU72" i="1"/>
  <c r="AU60" i="1"/>
  <c r="AW52" i="1"/>
  <c r="AW280" i="1"/>
  <c r="AU258" i="1"/>
  <c r="AV246" i="1"/>
  <c r="AU237" i="1"/>
  <c r="AV182" i="1"/>
  <c r="AU125" i="1"/>
  <c r="AW107" i="1"/>
  <c r="AV93" i="1"/>
  <c r="AU87" i="1"/>
  <c r="AU56" i="1"/>
  <c r="AU30" i="1"/>
  <c r="AU26" i="1"/>
  <c r="AU295" i="1"/>
  <c r="AW262" i="1"/>
  <c r="AW253" i="1"/>
  <c r="AU228" i="1"/>
  <c r="AW207" i="1"/>
  <c r="AV151" i="1"/>
  <c r="AU111" i="1"/>
  <c r="AV48" i="1"/>
  <c r="AV253" i="1"/>
  <c r="AU203" i="1"/>
  <c r="AW182" i="1"/>
  <c r="AW168" i="1"/>
  <c r="AU155" i="1"/>
  <c r="AV138" i="1"/>
  <c r="AU132" i="1"/>
  <c r="AW117" i="1"/>
  <c r="AV103" i="1"/>
  <c r="AU97" i="1"/>
  <c r="AW78" i="1"/>
  <c r="AV63" i="1"/>
  <c r="AU6" i="1"/>
  <c r="AV289" i="1"/>
  <c r="AU232" i="1"/>
  <c r="AV215" i="1"/>
  <c r="AV177" i="1"/>
  <c r="AU100" i="1"/>
  <c r="AU59" i="1"/>
  <c r="AU40" i="1"/>
  <c r="AU36" i="1"/>
  <c r="AU267" i="1"/>
  <c r="AV245" i="1"/>
  <c r="AU211" i="1"/>
  <c r="AV121" i="1"/>
  <c r="AU107" i="1"/>
  <c r="AV294" i="1"/>
  <c r="AU262" i="1"/>
  <c r="AV223" i="1"/>
  <c r="AU207" i="1"/>
  <c r="AW177" i="1"/>
  <c r="AU150" i="1"/>
  <c r="AU71" i="1"/>
  <c r="AU117" i="1"/>
  <c r="AU86" i="1"/>
  <c r="AU25" i="1"/>
  <c r="AU21" i="1"/>
  <c r="AU283" i="1"/>
  <c r="AU257" i="1"/>
  <c r="AV198" i="1"/>
  <c r="AW123" i="1"/>
  <c r="AW73" i="1"/>
  <c r="AW28" i="1"/>
  <c r="AW17" i="1"/>
  <c r="AU298" i="1"/>
  <c r="AW293" i="1"/>
  <c r="AW252" i="1"/>
  <c r="AU227" i="1"/>
  <c r="AW222" i="1"/>
  <c r="AV210" i="1"/>
  <c r="AV123" i="1"/>
  <c r="AU96" i="1"/>
  <c r="AW88" i="1"/>
  <c r="AV73" i="1"/>
  <c r="AV28" i="1"/>
  <c r="AV17" i="1"/>
  <c r="AV252" i="1"/>
  <c r="AV222" i="1"/>
  <c r="AU218" i="1"/>
  <c r="AW213" i="1"/>
  <c r="AU202" i="1"/>
  <c r="AW153" i="1"/>
  <c r="AU145" i="1"/>
  <c r="AW137" i="1"/>
  <c r="AV116" i="1"/>
  <c r="AW102" i="1"/>
  <c r="AV88" i="1"/>
  <c r="AV20" i="1"/>
  <c r="AW282" i="1"/>
  <c r="AV137" i="1"/>
  <c r="AW133" i="1"/>
  <c r="AU127" i="1"/>
  <c r="AU106" i="1"/>
  <c r="AV102" i="1"/>
  <c r="AW98" i="1"/>
  <c r="AU66" i="1"/>
  <c r="AW38" i="1"/>
  <c r="AU11" i="1"/>
  <c r="AU238" i="1"/>
  <c r="AW197" i="1"/>
  <c r="AW112" i="1"/>
  <c r="AU92" i="1"/>
  <c r="AU81" i="1"/>
  <c r="AU243" i="1"/>
  <c r="AV243" i="1"/>
  <c r="AW243" i="1"/>
  <c r="AV226" i="1"/>
  <c r="AW226" i="1"/>
  <c r="AV201" i="1"/>
  <c r="AW201" i="1"/>
  <c r="AU201" i="1"/>
  <c r="AU291" i="1"/>
  <c r="AV291" i="1"/>
  <c r="AW291" i="1"/>
  <c r="AV196" i="1"/>
  <c r="AW196" i="1"/>
  <c r="AU296" i="1"/>
  <c r="AW296" i="1"/>
  <c r="AV269" i="1"/>
  <c r="AU251" i="1"/>
  <c r="AV251" i="1"/>
  <c r="AW251" i="1"/>
  <c r="AU221" i="1"/>
  <c r="AV221" i="1"/>
  <c r="AW221" i="1"/>
  <c r="AU286" i="1"/>
  <c r="AV286" i="1"/>
  <c r="AW286" i="1"/>
  <c r="AU281" i="1"/>
  <c r="AU233" i="1"/>
  <c r="AV233" i="1"/>
  <c r="AW233" i="1"/>
  <c r="AU290" i="1"/>
  <c r="AU241" i="1"/>
  <c r="AV241" i="1"/>
  <c r="AW241" i="1"/>
  <c r="AV285" i="1"/>
  <c r="AW285" i="1"/>
  <c r="AU268" i="1"/>
  <c r="AV268" i="1"/>
  <c r="AW268" i="1"/>
  <c r="AU263" i="1"/>
  <c r="AV263" i="1"/>
  <c r="AW263" i="1"/>
  <c r="AU216" i="1"/>
  <c r="AV216" i="1"/>
  <c r="AW216" i="1"/>
  <c r="AV191" i="1"/>
  <c r="AW191" i="1"/>
  <c r="AU276" i="1"/>
  <c r="AV236" i="1"/>
  <c r="AW298" i="1"/>
  <c r="AU293" i="1"/>
  <c r="AV293" i="1"/>
  <c r="AU288" i="1"/>
  <c r="AV288" i="1"/>
  <c r="AW288" i="1"/>
  <c r="AU271" i="1"/>
  <c r="AV271" i="1"/>
  <c r="AW271" i="1"/>
  <c r="AU231" i="1"/>
  <c r="AV231" i="1"/>
  <c r="AW231" i="1"/>
  <c r="AU266" i="1"/>
  <c r="AV266" i="1"/>
  <c r="AW266" i="1"/>
  <c r="AU261" i="1"/>
  <c r="AV261" i="1"/>
  <c r="AW261" i="1"/>
  <c r="AU206" i="1"/>
  <c r="AV206" i="1"/>
  <c r="AW206" i="1"/>
  <c r="AU292" i="1"/>
  <c r="AV292" i="1"/>
  <c r="AW292" i="1"/>
  <c r="AU278" i="1"/>
  <c r="AU256" i="1"/>
  <c r="AU226" i="1"/>
  <c r="AU184" i="1"/>
  <c r="AV184" i="1"/>
  <c r="AW184" i="1"/>
  <c r="AU119" i="1"/>
  <c r="AV119" i="1"/>
  <c r="AW119" i="1"/>
  <c r="AW281" i="1"/>
  <c r="AW270" i="1"/>
  <c r="AU249" i="1"/>
  <c r="AV249" i="1"/>
  <c r="AW249" i="1"/>
  <c r="AU239" i="1"/>
  <c r="AV239" i="1"/>
  <c r="AW239" i="1"/>
  <c r="AU69" i="1"/>
  <c r="AU50" i="1"/>
  <c r="AU42" i="1"/>
  <c r="AV42" i="1"/>
  <c r="AW42" i="1"/>
  <c r="AU34" i="1"/>
  <c r="AU4" i="1"/>
  <c r="AU287" i="1"/>
  <c r="AV281" i="1"/>
  <c r="AV270" i="1"/>
  <c r="AU180" i="1"/>
  <c r="AV180" i="1"/>
  <c r="AW180" i="1"/>
  <c r="AU164" i="1"/>
  <c r="AV164" i="1"/>
  <c r="AW164" i="1"/>
  <c r="AV152" i="1"/>
  <c r="AW152" i="1"/>
  <c r="AU129" i="1"/>
  <c r="AV129" i="1"/>
  <c r="AW129" i="1"/>
  <c r="AU105" i="1"/>
  <c r="AU84" i="1"/>
  <c r="AU65" i="1"/>
  <c r="AV295" i="1"/>
  <c r="AU284" i="1"/>
  <c r="AW284" i="1"/>
  <c r="AV278" i="1"/>
  <c r="AV258" i="1"/>
  <c r="AU229" i="1"/>
  <c r="AV229" i="1"/>
  <c r="AW229" i="1"/>
  <c r="AU220" i="1"/>
  <c r="AW220" i="1"/>
  <c r="AV213" i="1"/>
  <c r="AU204" i="1"/>
  <c r="AV204" i="1"/>
  <c r="AW204" i="1"/>
  <c r="AU194" i="1"/>
  <c r="AV194" i="1"/>
  <c r="AW194" i="1"/>
  <c r="AU172" i="1"/>
  <c r="AU160" i="1"/>
  <c r="AU156" i="1"/>
  <c r="AW156" i="1"/>
  <c r="AU126" i="1"/>
  <c r="AW126" i="1"/>
  <c r="AU80" i="1"/>
  <c r="AV57" i="1"/>
  <c r="AW57" i="1"/>
  <c r="AW248" i="1"/>
  <c r="AU242" i="1"/>
  <c r="AW238" i="1"/>
  <c r="AU176" i="1"/>
  <c r="AW176" i="1"/>
  <c r="AV172" i="1"/>
  <c r="AW172" i="1"/>
  <c r="AU139" i="1"/>
  <c r="AV139" i="1"/>
  <c r="AW139" i="1"/>
  <c r="AU27" i="1"/>
  <c r="AV27" i="1"/>
  <c r="AW27" i="1"/>
  <c r="AW275" i="1"/>
  <c r="AV248" i="1"/>
  <c r="AU191" i="1"/>
  <c r="AV187" i="1"/>
  <c r="AU136" i="1"/>
  <c r="AW136" i="1"/>
  <c r="AU264" i="1"/>
  <c r="AV264" i="1"/>
  <c r="AW264" i="1"/>
  <c r="AU255" i="1"/>
  <c r="AW255" i="1"/>
  <c r="AW203" i="1"/>
  <c r="AV197" i="1"/>
  <c r="AU187" i="1"/>
  <c r="AU179" i="1"/>
  <c r="AV179" i="1"/>
  <c r="AW179" i="1"/>
  <c r="AV147" i="1"/>
  <c r="AW147" i="1"/>
  <c r="AU104" i="1"/>
  <c r="AV104" i="1"/>
  <c r="AW104" i="1"/>
  <c r="AU64" i="1"/>
  <c r="AW297" i="1"/>
  <c r="AU289" i="1"/>
  <c r="AW289" i="1"/>
  <c r="AV283" i="1"/>
  <c r="AV228" i="1"/>
  <c r="AU219" i="1"/>
  <c r="AV219" i="1"/>
  <c r="AW219" i="1"/>
  <c r="AU210" i="1"/>
  <c r="AW210" i="1"/>
  <c r="AV203" i="1"/>
  <c r="AU159" i="1"/>
  <c r="AV159" i="1"/>
  <c r="AW159" i="1"/>
  <c r="AU151" i="1"/>
  <c r="AW151" i="1"/>
  <c r="AU37" i="1"/>
  <c r="AV37" i="1"/>
  <c r="AW37" i="1"/>
  <c r="AV297" i="1"/>
  <c r="AU245" i="1"/>
  <c r="AW245" i="1"/>
  <c r="AU235" i="1"/>
  <c r="AW235" i="1"/>
  <c r="AU175" i="1"/>
  <c r="AV175" i="1"/>
  <c r="AW175" i="1"/>
  <c r="AU114" i="1"/>
  <c r="AV114" i="1"/>
  <c r="AW114" i="1"/>
  <c r="AU75" i="1"/>
  <c r="AU171" i="1"/>
  <c r="AW171" i="1"/>
  <c r="AV167" i="1"/>
  <c r="AW167" i="1"/>
  <c r="AU135" i="1"/>
  <c r="AU90" i="1"/>
  <c r="AU44" i="1"/>
  <c r="AU9" i="1"/>
  <c r="AU272" i="1"/>
  <c r="AU254" i="1"/>
  <c r="AV254" i="1"/>
  <c r="AW254" i="1"/>
  <c r="AW218" i="1"/>
  <c r="AU190" i="1"/>
  <c r="AW190" i="1"/>
  <c r="AW158" i="1"/>
  <c r="AU142" i="1"/>
  <c r="AU22" i="1"/>
  <c r="AV22" i="1"/>
  <c r="AW22" i="1"/>
  <c r="AU269" i="1"/>
  <c r="AW269" i="1"/>
  <c r="AU225" i="1"/>
  <c r="AW225" i="1"/>
  <c r="AV218" i="1"/>
  <c r="AU209" i="1"/>
  <c r="AV209" i="1"/>
  <c r="AW209" i="1"/>
  <c r="AU200" i="1"/>
  <c r="AW200" i="1"/>
  <c r="AU154" i="1"/>
  <c r="AV154" i="1"/>
  <c r="AW154" i="1"/>
  <c r="AU146" i="1"/>
  <c r="AW146" i="1"/>
  <c r="AV142" i="1"/>
  <c r="AW142" i="1"/>
  <c r="AU124" i="1"/>
  <c r="AV124" i="1"/>
  <c r="AW124" i="1"/>
  <c r="AU294" i="1"/>
  <c r="AW294" i="1"/>
  <c r="AU244" i="1"/>
  <c r="AV244" i="1"/>
  <c r="AW244" i="1"/>
  <c r="AU234" i="1"/>
  <c r="AV234" i="1"/>
  <c r="AW234" i="1"/>
  <c r="AU186" i="1"/>
  <c r="AW186" i="1"/>
  <c r="AU174" i="1"/>
  <c r="AV174" i="1"/>
  <c r="AW174" i="1"/>
  <c r="AU121" i="1"/>
  <c r="AW121" i="1"/>
  <c r="AU74" i="1"/>
  <c r="AU55" i="1"/>
  <c r="AU29" i="1"/>
  <c r="AU170" i="1"/>
  <c r="AU134" i="1"/>
  <c r="AV134" i="1"/>
  <c r="AW134" i="1"/>
  <c r="AU110" i="1"/>
  <c r="AU89" i="1"/>
  <c r="AV67" i="1"/>
  <c r="AW67" i="1"/>
  <c r="AU277" i="1"/>
  <c r="AU196" i="1"/>
  <c r="AU189" i="1"/>
  <c r="AV189" i="1"/>
  <c r="AW189" i="1"/>
  <c r="AU166" i="1"/>
  <c r="AW166" i="1"/>
  <c r="AV162" i="1"/>
  <c r="AW162" i="1"/>
  <c r="AU131" i="1"/>
  <c r="AW131" i="1"/>
  <c r="AV82" i="1"/>
  <c r="AW82" i="1"/>
  <c r="AU274" i="1"/>
  <c r="AW274" i="1"/>
  <c r="AU260" i="1"/>
  <c r="AW260" i="1"/>
  <c r="AU224" i="1"/>
  <c r="AV224" i="1"/>
  <c r="AW224" i="1"/>
  <c r="AU215" i="1"/>
  <c r="AW215" i="1"/>
  <c r="AU199" i="1"/>
  <c r="AV199" i="1"/>
  <c r="AW199" i="1"/>
  <c r="AU149" i="1"/>
  <c r="AV149" i="1"/>
  <c r="AW149" i="1"/>
  <c r="AU99" i="1"/>
  <c r="AU39" i="1"/>
  <c r="AW256" i="1"/>
  <c r="AU185" i="1"/>
  <c r="AV185" i="1"/>
  <c r="AW185" i="1"/>
  <c r="AU141" i="1"/>
  <c r="AW141" i="1"/>
  <c r="AU120" i="1"/>
  <c r="AU54" i="1"/>
  <c r="AW290" i="1"/>
  <c r="AW276" i="1"/>
  <c r="AW265" i="1"/>
  <c r="AV256" i="1"/>
  <c r="AU250" i="1"/>
  <c r="AW250" i="1"/>
  <c r="AU240" i="1"/>
  <c r="AW240" i="1"/>
  <c r="AW211" i="1"/>
  <c r="AW188" i="1"/>
  <c r="AU169" i="1"/>
  <c r="AV169" i="1"/>
  <c r="AW169" i="1"/>
  <c r="AU109" i="1"/>
  <c r="AV109" i="1"/>
  <c r="AW109" i="1"/>
  <c r="AU47" i="1"/>
  <c r="AV47" i="1"/>
  <c r="AW47" i="1"/>
  <c r="AU14" i="1"/>
  <c r="AV290" i="1"/>
  <c r="AW287" i="1"/>
  <c r="AU282" i="1"/>
  <c r="AV276" i="1"/>
  <c r="AW273" i="1"/>
  <c r="AV265" i="1"/>
  <c r="AW246" i="1"/>
  <c r="AW236" i="1"/>
  <c r="AW223" i="1"/>
  <c r="AV211" i="1"/>
  <c r="AW198" i="1"/>
  <c r="AV188" i="1"/>
  <c r="AU181" i="1"/>
  <c r="AW181" i="1"/>
  <c r="AU165" i="1"/>
  <c r="AV157" i="1"/>
  <c r="AW157" i="1"/>
  <c r="AU130" i="1"/>
  <c r="AU85" i="1"/>
  <c r="AV62" i="1"/>
  <c r="AW62" i="1"/>
  <c r="AU24" i="1"/>
  <c r="AV287" i="1"/>
  <c r="AU279" i="1"/>
  <c r="AW279" i="1"/>
  <c r="AU259" i="1"/>
  <c r="AV259" i="1"/>
  <c r="AW259" i="1"/>
  <c r="AU230" i="1"/>
  <c r="AW230" i="1"/>
  <c r="AU214" i="1"/>
  <c r="AV214" i="1"/>
  <c r="AW214" i="1"/>
  <c r="AU205" i="1"/>
  <c r="AW205" i="1"/>
  <c r="AU195" i="1"/>
  <c r="AW195" i="1"/>
  <c r="AU161" i="1"/>
  <c r="AW161" i="1"/>
  <c r="AU144" i="1"/>
  <c r="AV144" i="1"/>
  <c r="AW144" i="1"/>
  <c r="AV77" i="1"/>
  <c r="AW77" i="1"/>
  <c r="AW116" i="1"/>
  <c r="AW111" i="1"/>
  <c r="AW106" i="1"/>
  <c r="AW101" i="1"/>
  <c r="AW96" i="1"/>
  <c r="AW91" i="1"/>
  <c r="AW86" i="1"/>
  <c r="AW81" i="1"/>
  <c r="AW76" i="1"/>
  <c r="AW71" i="1"/>
  <c r="AW66" i="1"/>
  <c r="AW61" i="1"/>
  <c r="AW56" i="1"/>
  <c r="AW51" i="1"/>
  <c r="AW46" i="1"/>
  <c r="AW41" i="1"/>
  <c r="AW36" i="1"/>
  <c r="AW31" i="1"/>
  <c r="AW26" i="1"/>
  <c r="AW21" i="1"/>
  <c r="AW16" i="1"/>
  <c r="AW11" i="1"/>
  <c r="AW6" i="1"/>
  <c r="AV51" i="1"/>
  <c r="AV46" i="1"/>
  <c r="AV41" i="1"/>
  <c r="AV36" i="1"/>
  <c r="AV31" i="1"/>
  <c r="AV26" i="1"/>
  <c r="AV21" i="1"/>
  <c r="AV16"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V170" i="1"/>
  <c r="AV165" i="1"/>
  <c r="AV160" i="1"/>
  <c r="AV155" i="1"/>
  <c r="AV150" i="1"/>
  <c r="AV145" i="1"/>
  <c r="AV140" i="1"/>
  <c r="AV135" i="1"/>
  <c r="AV130" i="1"/>
  <c r="AV125" i="1"/>
  <c r="AV120" i="1"/>
  <c r="AV115" i="1"/>
  <c r="AV110" i="1"/>
  <c r="AV105" i="1"/>
  <c r="AV100" i="1"/>
  <c r="AV95" i="1"/>
  <c r="AV90" i="1"/>
  <c r="AV85" i="1"/>
  <c r="AV80" i="1"/>
  <c r="AV75" i="1"/>
  <c r="AV70" i="1"/>
  <c r="AV65" i="1"/>
  <c r="AV60" i="1"/>
  <c r="AV55" i="1"/>
  <c r="AV50" i="1"/>
  <c r="AV45" i="1"/>
  <c r="AW99" i="1"/>
  <c r="AW94" i="1"/>
  <c r="AW89" i="1"/>
  <c r="AW84" i="1"/>
  <c r="AW79" i="1"/>
  <c r="AW74" i="1"/>
  <c r="AW69" i="1"/>
  <c r="AW64" i="1"/>
  <c r="AW59" i="1"/>
  <c r="AW54" i="1"/>
  <c r="AW49" i="1"/>
  <c r="AW44" i="1"/>
  <c r="AW39" i="1"/>
  <c r="AW34" i="1"/>
  <c r="AW29" i="1"/>
  <c r="AW24" i="1"/>
  <c r="AW19" i="1"/>
  <c r="AW14" i="1"/>
  <c r="AW9" i="1"/>
  <c r="AW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<sst xmlns="http://schemas.openxmlformats.org/spreadsheetml/2006/main" count="5523" uniqueCount="3578">
  <si>
    <t>n</t>
  </si>
  <si>
    <t>undefined</t>
  </si>
  <si>
    <t>Journal</t>
  </si>
  <si>
    <t>60019702;60019702</t>
  </si>
  <si>
    <t>United Kingdom</t>
  </si>
  <si>
    <t>Birmingham</t>
  </si>
  <si>
    <t>University of Birmingham</t>
  </si>
  <si>
    <t>Article</t>
  </si>
  <si>
    <t>ar</t>
  </si>
  <si>
    <t>Italy;Italy</t>
  </si>
  <si>
    <t>France</t>
  </si>
  <si>
    <t>Paris</t>
  </si>
  <si>
    <t>United States;United States</t>
  </si>
  <si>
    <t>Edinburgh</t>
  </si>
  <si>
    <t>France;France</t>
  </si>
  <si>
    <t>Savikhin S.</t>
  </si>
  <si>
    <t>Didcot</t>
  </si>
  <si>
    <t>Russian Federation</t>
  </si>
  <si>
    <t>89-96</t>
  </si>
  <si>
    <t>United States</t>
  </si>
  <si>
    <t>New Zealand</t>
  </si>
  <si>
    <t>China;China</t>
  </si>
  <si>
    <t>Rome;Rome</t>
  </si>
  <si>
    <t>Japan;Japan</t>
  </si>
  <si>
    <t>175-184</t>
  </si>
  <si>
    <t>Germany;Germany</t>
  </si>
  <si>
    <t>Wolfe G.</t>
  </si>
  <si>
    <t>National Science Foundation</t>
  </si>
  <si>
    <t>NSF</t>
  </si>
  <si>
    <t>60003892;60003892;60003892;60003892</t>
  </si>
  <si>
    <t>Tempe</t>
  </si>
  <si>
    <t>Arizona State University</t>
  </si>
  <si>
    <t>International Journal of Infrared and Millimeter Waves</t>
  </si>
  <si>
    <t>China</t>
  </si>
  <si>
    <t>Xi'an</t>
  </si>
  <si>
    <t>87-91</t>
  </si>
  <si>
    <t>FEMS Microbiology Letters</t>
  </si>
  <si>
    <t>60025641;60001563;60001563;60001563;60025641-60001563</t>
  </si>
  <si>
    <t>7404608866;57196435468;24293252900;7005687711;7102742634</t>
  </si>
  <si>
    <t>Garcia, Augusto F.;Meryandini, Anja;Brand, Matthias;Tadros, Monier H.;Drews, Gerhart</t>
  </si>
  <si>
    <t>Germany;Argentina</t>
  </si>
  <si>
    <t>Freiburg im Breisgau;Buenos Aires</t>
  </si>
  <si>
    <t>Universit√§t Freiburg im Breisgau;Universidad de Buenos Aires</t>
  </si>
  <si>
    <t>60025641;60001563</t>
  </si>
  <si>
    <t>Garcia A.F.</t>
  </si>
  <si>
    <t>10.1111/j.1574-6968.1994.tb07266.x</t>
  </si>
  <si>
    <t>75-85</t>
  </si>
  <si>
    <t>Canada</t>
  </si>
  <si>
    <t>Journal of Comparative Physiology A</t>
  </si>
  <si>
    <t>Germany</t>
  </si>
  <si>
    <t>Journal of Chemical Ecology</t>
  </si>
  <si>
    <t>Cleveland</t>
  </si>
  <si>
    <t>Italy</t>
  </si>
  <si>
    <t>Japan</t>
  </si>
  <si>
    <t>London</t>
  </si>
  <si>
    <t>Falk S.</t>
  </si>
  <si>
    <t>Washington, D.C.</t>
  </si>
  <si>
    <t>Deutsche Forschungsgemeinschaft</t>
  </si>
  <si>
    <t>DFG</t>
  </si>
  <si>
    <t>Plant and Cell Physiology</t>
  </si>
  <si>
    <t>National Institute of General Medical Sciences</t>
  </si>
  <si>
    <t>NIGMS</t>
  </si>
  <si>
    <t>International Journal of Wireless Information Networks</t>
  </si>
  <si>
    <t>60021378;60021378</t>
  </si>
  <si>
    <t>Murray</t>
  </si>
  <si>
    <t>Nokia Bell Labs</t>
  </si>
  <si>
    <t>Koganei</t>
  </si>
  <si>
    <t>Ministry of Posts and Telecommunications, Japan</t>
  </si>
  <si>
    <t>Saint Paul lez Durance</t>
  </si>
  <si>
    <t>CEA Cadarache</t>
  </si>
  <si>
    <t>Los Angeles</t>
  </si>
  <si>
    <t>Saskatoon</t>
  </si>
  <si>
    <t>Tokyo;Chiba</t>
  </si>
  <si>
    <t>Tokyo Institute of Technology;Chiba University</t>
  </si>
  <si>
    <t>60031126;60002787</t>
  </si>
  <si>
    <t>Takada J.</t>
  </si>
  <si>
    <t>United States;Netherlands</t>
  </si>
  <si>
    <t>359-364</t>
  </si>
  <si>
    <t>VCI</t>
  </si>
  <si>
    <t>Zeitschrift fur Naturforschung - Section C Journal of Biosciences</t>
  </si>
  <si>
    <t>Chicago</t>
  </si>
  <si>
    <t>Photosynthesis Research</t>
  </si>
  <si>
    <t>60027550;60027550</t>
  </si>
  <si>
    <t>University of California, Los Angeles</t>
  </si>
  <si>
    <t>Sagamihara</t>
  </si>
  <si>
    <t>JAXA Institute of Space and Astronautical Science</t>
  </si>
  <si>
    <t>Sweden</t>
  </si>
  <si>
    <t>United States;United States;United States</t>
  </si>
  <si>
    <t>Consiglio Nazionale delle Ricerche</t>
  </si>
  <si>
    <t>National Institutes of Health</t>
  </si>
  <si>
    <t>NIH</t>
  </si>
  <si>
    <t>60072285;60072285</t>
  </si>
  <si>
    <t>Mulheim an der Ruhr</t>
  </si>
  <si>
    <t>Max Planck Institute for Chemical Energy Conversion</t>
  </si>
  <si>
    <t>Olaizola M.</t>
  </si>
  <si>
    <t>Journal of Biological Chemistry</t>
  </si>
  <si>
    <t>U.S. Department of Energy</t>
  </si>
  <si>
    <t>USDOE</t>
  </si>
  <si>
    <t>Ames</t>
  </si>
  <si>
    <t>Ames Laboratory</t>
  </si>
  <si>
    <t>Austria</t>
  </si>
  <si>
    <t>Vienna</t>
  </si>
  <si>
    <t>245-250</t>
  </si>
  <si>
    <t>University Park</t>
  </si>
  <si>
    <t>Pennsylvania State University</t>
  </si>
  <si>
    <t>Australia</t>
  </si>
  <si>
    <t>Adelaide</t>
  </si>
  <si>
    <t>Rennes</t>
  </si>
  <si>
    <t>60003878;60003878;60003878</t>
  </si>
  <si>
    <t>Netherlands</t>
  </si>
  <si>
    <t>Leiden</t>
  </si>
  <si>
    <t>Sterrewacht Leiden</t>
  </si>
  <si>
    <t>Microwaves &amp; RF</t>
  </si>
  <si>
    <t>E77-A</t>
  </si>
  <si>
    <t>IEICE Transactions on Fundamentals of Electronics, Communications and Computer Sciences</t>
  </si>
  <si>
    <t>60103907;60103907;60103907;60103907;60103907;60103907;60103907</t>
  </si>
  <si>
    <t>Tokyo</t>
  </si>
  <si>
    <t>Nippon Hoso Kyokai</t>
  </si>
  <si>
    <t>E77-B</t>
  </si>
  <si>
    <t>IEICE Transactions on Communications</t>
  </si>
  <si>
    <t>United Kingdom;United Kingdom</t>
  </si>
  <si>
    <t>;;</t>
  </si>
  <si>
    <t>Varadan V.</t>
  </si>
  <si>
    <t>Wang H.</t>
  </si>
  <si>
    <t>Jet Propulsion Laboratory</t>
  </si>
  <si>
    <t>Santa Barbara</t>
  </si>
  <si>
    <t>University of California, Santa Barbara</t>
  </si>
  <si>
    <t>;;;;;;;</t>
  </si>
  <si>
    <t>University</t>
  </si>
  <si>
    <t>University of Mississippi</t>
  </si>
  <si>
    <t>Chiba</t>
  </si>
  <si>
    <t>Chiba University</t>
  </si>
  <si>
    <t>Naito M.</t>
  </si>
  <si>
    <t>;</t>
  </si>
  <si>
    <t>;;;;</t>
  </si>
  <si>
    <t>;;;;;</t>
  </si>
  <si>
    <t>Lille</t>
  </si>
  <si>
    <t>Universit√© de Lille</t>
  </si>
  <si>
    <t>60012771;60012771</t>
  </si>
  <si>
    <t>Howard University</t>
  </si>
  <si>
    <t>Spain</t>
  </si>
  <si>
    <t>Moscow</t>
  </si>
  <si>
    <t>Lomonosov Moscow State University</t>
  </si>
  <si>
    <t>Development</t>
  </si>
  <si>
    <t>Philadelphia</t>
  </si>
  <si>
    <t>60004354;60004354</t>
  </si>
  <si>
    <t>Iowa State University</t>
  </si>
  <si>
    <t>60021032;60021032</t>
  </si>
  <si>
    <t>Atlanta</t>
  </si>
  <si>
    <t>Georgia Institute of Technology</t>
  </si>
  <si>
    <t>Antenna phased arrays | Microstrip antennas</t>
  </si>
  <si>
    <t>Electronics Letters</t>
  </si>
  <si>
    <t>Ukraine</t>
  </si>
  <si>
    <t>Kharkiv</t>
  </si>
  <si>
    <t>Swindon</t>
  </si>
  <si>
    <t>Defence College of Management and Technology</t>
  </si>
  <si>
    <t>Belfast</t>
  </si>
  <si>
    <t>Queen's University Belfast</t>
  </si>
  <si>
    <t>New York</t>
  </si>
  <si>
    <t>Taiwan</t>
  </si>
  <si>
    <t>265-270</t>
  </si>
  <si>
    <t>College Station</t>
  </si>
  <si>
    <t>Texas A&amp;M University</t>
  </si>
  <si>
    <t>France;United Kingdom</t>
  </si>
  <si>
    <t>Neotropical Ornithological Society</t>
  </si>
  <si>
    <t>NOS</t>
  </si>
  <si>
    <t>Dielectric resonators | Dielectric-loaded antennas</t>
  </si>
  <si>
    <t>Queen Mary University of London</t>
  </si>
  <si>
    <t>Journal of the Optical Society of America A: Optics and Image Science, and Vision</t>
  </si>
  <si>
    <t>Ottawa</t>
  </si>
  <si>
    <t>Chen W.</t>
  </si>
  <si>
    <t>Gaithersburg</t>
  </si>
  <si>
    <t>National Institute of Standards and Technology</t>
  </si>
  <si>
    <t>An H.</t>
  </si>
  <si>
    <t>Motorola</t>
  </si>
  <si>
    <t>Bristol</t>
  </si>
  <si>
    <t>University of Bristol</t>
  </si>
  <si>
    <t>San Diego</t>
  </si>
  <si>
    <t>Sendai</t>
  </si>
  <si>
    <t>Tohoku University</t>
  </si>
  <si>
    <t>Pasadena;Urbana</t>
  </si>
  <si>
    <t>60092258;60092258</t>
  </si>
  <si>
    <t>Montreal</t>
  </si>
  <si>
    <t>Netherlands;Germany</t>
  </si>
  <si>
    <t>Saigusa M.</t>
  </si>
  <si>
    <t>Naples</t>
  </si>
  <si>
    <t>Universit√† degli Studi di Napoli Federico II</t>
  </si>
  <si>
    <t>Barone F.</t>
  </si>
  <si>
    <t>Garching bei Munchen</t>
  </si>
  <si>
    <t>Max Planck Institute for Plasma Physics</t>
  </si>
  <si>
    <t>Oak Ridge</t>
  </si>
  <si>
    <t>Oak Ridge National Laboratory</t>
  </si>
  <si>
    <t>Sydney</t>
  </si>
  <si>
    <t>60013983;60013983</t>
  </si>
  <si>
    <t>Hong Kong</t>
  </si>
  <si>
    <t>Kowloon</t>
  </si>
  <si>
    <t>City University of Hong Kong</t>
  </si>
  <si>
    <t>60010818;60010818;60010818</t>
  </si>
  <si>
    <t>Canterbury</t>
  </si>
  <si>
    <t>University of Kent</t>
  </si>
  <si>
    <t>60024266;60024266;60024266;60024266;60024266;60024266;60024266;60024266;60024266;60024266</t>
  </si>
  <si>
    <t>EFDA-JET</t>
  </si>
  <si>
    <t>Canada;United States</t>
  </si>
  <si>
    <t>60002787;60002787;60002787</t>
  </si>
  <si>
    <t>IEEE Aerospace and Electronic Systems Magazine</t>
  </si>
  <si>
    <t>IEEE Transactions on Plasma Science</t>
  </si>
  <si>
    <t>European Commission</t>
  </si>
  <si>
    <t>EC</t>
  </si>
  <si>
    <t>United States;Italy</t>
  </si>
  <si>
    <t>7201599663;7006209371</t>
  </si>
  <si>
    <t>Tan, Zhaozhi;Bainum, Peter M.</t>
  </si>
  <si>
    <t>Tan Z.</t>
  </si>
  <si>
    <t>60018714;60018714;60018714</t>
  </si>
  <si>
    <t>Communications Research Centre</t>
  </si>
  <si>
    <t>Mongia R.</t>
  </si>
  <si>
    <t>Murata T.</t>
  </si>
  <si>
    <t>389-395</t>
  </si>
  <si>
    <t>Cambridge</t>
  </si>
  <si>
    <t>Mitsubishi Electric Corporation</t>
  </si>
  <si>
    <t>Holzwarth A.</t>
  </si>
  <si>
    <t>Issy-les-Moulineaux</t>
  </si>
  <si>
    <t>Orange Labs</t>
  </si>
  <si>
    <t>McLean</t>
  </si>
  <si>
    <t>MITRE Corporation</t>
  </si>
  <si>
    <t>60020547;60020547;60020547</t>
  </si>
  <si>
    <t>523-526</t>
  </si>
  <si>
    <t>7006192058;7005771768;23062556900</t>
  </si>
  <si>
    <t>Clarricoats, P. J.B.;Monk, A. D.;Zhou, H.</t>
  </si>
  <si>
    <t>60019983;60019983;60019983</t>
  </si>
  <si>
    <t>Saga</t>
  </si>
  <si>
    <t>Saga University</t>
  </si>
  <si>
    <t>60010491;60010491;60010491</t>
  </si>
  <si>
    <t>60009697;60009697</t>
  </si>
  <si>
    <t>Winnipeg</t>
  </si>
  <si>
    <t>University of Manitoba</t>
  </si>
  <si>
    <t>Massachusetts Institute of Technology</t>
  </si>
  <si>
    <t>Pasadena</t>
  </si>
  <si>
    <t>Gothenburg</t>
  </si>
  <si>
    <t>Chalmers University of Technology</t>
  </si>
  <si>
    <t>Wu X.</t>
  </si>
  <si>
    <t>Institute of Radio Astronomy National Academy of Sciences of Ukraine</t>
  </si>
  <si>
    <t>Xidian University</t>
  </si>
  <si>
    <t>270-278</t>
  </si>
  <si>
    <t>Hsinchu</t>
  </si>
  <si>
    <t>National Chiao Tung University</t>
  </si>
  <si>
    <t>60023053;60023053</t>
  </si>
  <si>
    <t>Japan;Japan;Japan</t>
  </si>
  <si>
    <t>Plasma Physics and Controlled Fusion</t>
  </si>
  <si>
    <t>Heriot-Watt University</t>
  </si>
  <si>
    <t>Sangster A.</t>
  </si>
  <si>
    <t>60008524;60008524;60008524</t>
  </si>
  <si>
    <t>55911871600;6603805615;7201743596</t>
  </si>
  <si>
    <t>Guo, Y. J.;Sassi, I. H.;Barton, S. K.</t>
  </si>
  <si>
    <t>Bradford</t>
  </si>
  <si>
    <t>University of Bradford</t>
  </si>
  <si>
    <t>Guo Y.</t>
  </si>
  <si>
    <t>Finland</t>
  </si>
  <si>
    <t>Universite de Rennes 1</t>
  </si>
  <si>
    <t>60025038;60025038;60025038;60025038</t>
  </si>
  <si>
    <t>Berkeley</t>
  </si>
  <si>
    <t>University of California, Berkeley</t>
  </si>
  <si>
    <t>Canada;Canada</t>
  </si>
  <si>
    <t>60000221;60000221</t>
  </si>
  <si>
    <t>Boulder</t>
  </si>
  <si>
    <t>University of Colorado Boulder</t>
  </si>
  <si>
    <t>Stockholm</t>
  </si>
  <si>
    <t>Sheffield</t>
  </si>
  <si>
    <t>The University of Sheffield</t>
  </si>
  <si>
    <t>Cook G.</t>
  </si>
  <si>
    <t>Gawronski W.</t>
  </si>
  <si>
    <t>60015186;60015186;60015186</t>
  </si>
  <si>
    <t>University of Saskatchewan</t>
  </si>
  <si>
    <t>Urbana</t>
  </si>
  <si>
    <t>University of Illinois Urbana-Champaign</t>
  </si>
  <si>
    <t>Rome</t>
  </si>
  <si>
    <t>60008524;60008524</t>
  </si>
  <si>
    <t>Ottawa;Ottawa</t>
  </si>
  <si>
    <t>Quebec</t>
  </si>
  <si>
    <t>Shlager K.</t>
  </si>
  <si>
    <t>52-55</t>
  </si>
  <si>
    <t>Leatherhead</t>
  </si>
  <si>
    <t>ERA Technology Ltd</t>
  </si>
  <si>
    <t>60024590;60024590</t>
  </si>
  <si>
    <t>Schaumburg</t>
  </si>
  <si>
    <t>21-25</t>
  </si>
  <si>
    <t>Amherst MA</t>
  </si>
  <si>
    <t>University of Massachusetts Amherst</t>
  </si>
  <si>
    <t>595-597</t>
  </si>
  <si>
    <t>Espoo</t>
  </si>
  <si>
    <t>Hanscom AFB</t>
  </si>
  <si>
    <t>60020650;60020650;60020650</t>
  </si>
  <si>
    <t>60001359;60001359</t>
  </si>
  <si>
    <t>Colchester</t>
  </si>
  <si>
    <t>University of Essex</t>
  </si>
  <si>
    <t>Chengdu</t>
  </si>
  <si>
    <t>Hagen</t>
  </si>
  <si>
    <t>FernUniversit√§t in Hagen</t>
  </si>
  <si>
    <t>Lee C.</t>
  </si>
  <si>
    <t>Boston</t>
  </si>
  <si>
    <t>Northeastern University</t>
  </si>
  <si>
    <t>United Kingdom;United States</t>
  </si>
  <si>
    <t>60000221;60000221;60000221</t>
  </si>
  <si>
    <t>60031004;60031004</t>
  </si>
  <si>
    <t>Brisbane</t>
  </si>
  <si>
    <t>The University of Queensland</t>
  </si>
  <si>
    <t>Victoria</t>
  </si>
  <si>
    <t>303-313</t>
  </si>
  <si>
    <t>60030553;60030553;60030553</t>
  </si>
  <si>
    <t>60013983;60013983;60013983</t>
  </si>
  <si>
    <t>60014652;60014652;60014652</t>
  </si>
  <si>
    <t>Sapporo</t>
  </si>
  <si>
    <t>Hokkaido University</t>
  </si>
  <si>
    <t>60029738;60029738</t>
  </si>
  <si>
    <t>6603321336;7102894931</t>
  </si>
  <si>
    <t>Sancheti, S.;Fusco, V. F.</t>
  </si>
  <si>
    <t>Sancheti S.</t>
  </si>
  <si>
    <t xml:space="preserve">Anon, </t>
  </si>
  <si>
    <t>Schweizerischer Nationalfonds zur F√∂rderung der Wissenschaftlichen Forschung</t>
  </si>
  <si>
    <t>SNF</t>
  </si>
  <si>
    <t>60103653;60103653;60103653</t>
  </si>
  <si>
    <t>Aalto University</t>
  </si>
  <si>
    <t>60014313;60014313</t>
  </si>
  <si>
    <t>7102888744;7006061921</t>
  </si>
  <si>
    <t>Haddad, P. R.;Pozar, D. M.</t>
  </si>
  <si>
    <t>Haddad P.</t>
  </si>
  <si>
    <t>1368-1370</t>
  </si>
  <si>
    <t>60024322;60024322</t>
  </si>
  <si>
    <t>Suita</t>
  </si>
  <si>
    <t>Osaka University</t>
  </si>
  <si>
    <t>Columbia</t>
  </si>
  <si>
    <t>Limoges</t>
  </si>
  <si>
    <t>Universite de Limoges</t>
  </si>
  <si>
    <t>NASA Glenn Research Center</t>
  </si>
  <si>
    <t>56415172000;55510527400</t>
  </si>
  <si>
    <t>Leung, K. W.;Luk, K. M.</t>
  </si>
  <si>
    <t>Leung K.</t>
  </si>
  <si>
    <t>60000745;60000745</t>
  </si>
  <si>
    <t>Philips B.</t>
  </si>
  <si>
    <t>Review of Scientific Instruments</t>
  </si>
  <si>
    <t>France;Germany</t>
  </si>
  <si>
    <t>Measurement Techniques</t>
  </si>
  <si>
    <t>Brazil</t>
  </si>
  <si>
    <t>Sao Paulo</t>
  </si>
  <si>
    <t>Universidade de S√£o Paulo</t>
  </si>
  <si>
    <t>Denmark</t>
  </si>
  <si>
    <t>Hamburg</t>
  </si>
  <si>
    <t>Universit√§t Hamburg</t>
  </si>
  <si>
    <t>Journal of Electronics (China)</t>
  </si>
  <si>
    <t>Nanjing</t>
  </si>
  <si>
    <t>Baton Rouge</t>
  </si>
  <si>
    <t>Louisiana State University</t>
  </si>
  <si>
    <t>['rf fields', 'power absorption', 'plasma production', 'plasma density', 'helicon wave', 'applied rf', '1013 cm', '1012 cm']</t>
  </si>
  <si>
    <t>60011001;60011001</t>
  </si>
  <si>
    <t>56102798000;35414990800</t>
  </si>
  <si>
    <t>Yasaka, Yasuyoshi;Hara, Yoshiaki</t>
  </si>
  <si>
    <t>Kyoto</t>
  </si>
  <si>
    <t>Kyoto University</t>
  </si>
  <si>
    <t>Yasaka Y.</t>
  </si>
  <si>
    <t>Role of helicon waves on high-density plasma production</t>
  </si>
  <si>
    <t>['test wafer', 'strong dependence', 'shading depends', 'results prove', 'photoresist patterns', 'occurred even', 'oblique incidence', 'mechanism increased', 'improved model', 'gate oxide', 'damaging current', 'damage increased', 'conventional charging', 'aspect ratio', 'antenna covered', '8 nm', '6 nm']</t>
  </si>
  <si>
    <t>Hashimoto, Koichi</t>
  </si>
  <si>
    <t>Minato</t>
  </si>
  <si>
    <t>Fujitsu Ltd.</t>
  </si>
  <si>
    <t>Hashimoto K.</t>
  </si>
  <si>
    <t>Charge damage caused by electron shading effect</t>
  </si>
  <si>
    <t>6506681062;57190612401;7403216618</t>
  </si>
  <si>
    <t>57204343660;7004083431;7407180099;7004110606;6603026304;7101981855</t>
  </si>
  <si>
    <t>6506530318;55714833100;7404879378</t>
  </si>
  <si>
    <t>Javor R.</t>
  </si>
  <si>
    <t>CNRS Centre National de la Recherche Scientifique</t>
  </si>
  <si>
    <t>Physics Letters A</t>
  </si>
  <si>
    <t>BBA - Bioenergetics</t>
  </si>
  <si>
    <t>Biochemistry</t>
  </si>
  <si>
    <t>National Cancer Institute</t>
  </si>
  <si>
    <t>R01CA023594</t>
  </si>
  <si>
    <t>NCI</t>
  </si>
  <si>
    <t>International Journal of Radiation Oncology, Biology, Physics</t>
  </si>
  <si>
    <t>IEE Proceedings: Microwaves, Antennas and Propagation</t>
  </si>
  <si>
    <t>60008134;60008134</t>
  </si>
  <si>
    <t>IEE Proceedings: Radar, Sonar and Navigation</t>
  </si>
  <si>
    <t>60031293;60031293;60031293;60031293</t>
  </si>
  <si>
    <t>NEC Corporation</t>
  </si>
  <si>
    <t>Kuwahara Y.</t>
  </si>
  <si>
    <t>60033387;60033387;60033387</t>
  </si>
  <si>
    <t>University of London</t>
  </si>
  <si>
    <t>Munich</t>
  </si>
  <si>
    <t>Rohde &amp; Schwarz</t>
  </si>
  <si>
    <t>1572946X</t>
  </si>
  <si>
    <t>0004640X</t>
  </si>
  <si>
    <t>Astrophysics and Space Science</t>
  </si>
  <si>
    <t>Radiophysics and Quantum Electronics</t>
  </si>
  <si>
    <t>7007152447;6505918048;7003528806;7101817622;7201484168;6603747657</t>
  </si>
  <si>
    <t>Berkeley;Sunnyvale</t>
  </si>
  <si>
    <t>University of California, Berkeley;Conductus Inc.</t>
  </si>
  <si>
    <t>60025038;60006364</t>
  </si>
  <si>
    <t>Verghese S.</t>
  </si>
  <si>
    <t>FEBS Letters</t>
  </si>
  <si>
    <t>Italy;Italy;Italy;Italy</t>
  </si>
  <si>
    <t>Applied Computational Electromagnetics Society Journal</t>
  </si>
  <si>
    <t>E77-C</t>
  </si>
  <si>
    <t>IEICE Transactions on Electronics</t>
  </si>
  <si>
    <t>67-77</t>
  </si>
  <si>
    <t>AEU. Archiv fur Elektronik und Ubertragungstechnik</t>
  </si>
  <si>
    <t>Annales Des T√©l√©communications</t>
  </si>
  <si>
    <t>Reineix A.</t>
  </si>
  <si>
    <t>1573093X</t>
  </si>
  <si>
    <t>Solar Physics</t>
  </si>
  <si>
    <t>Sawant H.</t>
  </si>
  <si>
    <t>Il Nuovo Cimento C</t>
  </si>
  <si>
    <t>60010421;60010421</t>
  </si>
  <si>
    <t>Southwest Jiaotong University</t>
  </si>
  <si>
    <t>60007457;60007457;60007457</t>
  </si>
  <si>
    <t>151-154</t>
  </si>
  <si>
    <t>60024724;60024724</t>
  </si>
  <si>
    <t>13805330900;56897622400</t>
  </si>
  <si>
    <t>Leyman, A. R.;Durrani, T. S.</t>
  </si>
  <si>
    <t>Glasgow</t>
  </si>
  <si>
    <t>University of Strathclyde</t>
  </si>
  <si>
    <t>Leyman A.</t>
  </si>
  <si>
    <t>55477052700;16452871500;35417089300;7103203999;7004991680;57206875518</t>
  </si>
  <si>
    <t>Santa Barbara;Malibu</t>
  </si>
  <si>
    <t>University of California, Santa Barbara;HRL Laboratories</t>
  </si>
  <si>
    <t>60029241;60021939</t>
  </si>
  <si>
    <t>Scott J.</t>
  </si>
  <si>
    <t>Journal of Photochemistry and Photobiology, A: Chemistry</t>
  </si>
  <si>
    <t>60001881;60001881;60001881</t>
  </si>
  <si>
    <t>Japanese Journal of Applied Physics, Part 1: Regular Papers and Short Notes and Review Papers</t>
  </si>
  <si>
    <t>60009658;60009658</t>
  </si>
  <si>
    <t>Journal de physique. III</t>
  </si>
  <si>
    <t>60101699;60101699;60101699</t>
  </si>
  <si>
    <t>0004637X</t>
  </si>
  <si>
    <t>Astrophysical Journal</t>
  </si>
  <si>
    <t>Nuclear Inst. and Methods in Physics Research, A</t>
  </si>
  <si>
    <t>Sweden;United Kingdom</t>
  </si>
  <si>
    <t>369-376</t>
  </si>
  <si>
    <t>Annales Geophysicae</t>
  </si>
  <si>
    <t>Applied microwave magazine</t>
  </si>
  <si>
    <t>25-26</t>
  </si>
  <si>
    <t>60010818;60010818</t>
  </si>
  <si>
    <t>Bath</t>
  </si>
  <si>
    <t>6701637532;8092251400</t>
  </si>
  <si>
    <t>Legay, H.;Shafai, L.</t>
  </si>
  <si>
    <t>Legay H.</t>
  </si>
  <si>
    <t>Conrad A.</t>
  </si>
  <si>
    <t>Conrad, Alan</t>
  </si>
  <si>
    <t>Defense electronics</t>
  </si>
  <si>
    <t>IEEE Personal Communications</t>
  </si>
  <si>
    <t>Proceedings of the National Academy of Sciences of the United States of America</t>
  </si>
  <si>
    <t>1559128X</t>
  </si>
  <si>
    <t>Applied Optics</t>
  </si>
  <si>
    <t>Technische Universit√§t Wien</t>
  </si>
  <si>
    <t>Communications Research Centre;Carleton University</t>
  </si>
  <si>
    <t>60018714;60017592</t>
  </si>
  <si>
    <t>Petosa A.</t>
  </si>
  <si>
    <t>Antenna arrays | Microstrip antennas | Reflector antennas</t>
  </si>
  <si>
    <t>Javor, R. D.;Wu, X. D.;Chang, K.</t>
  </si>
  <si>
    <t>['times less', 'three species', 'spectral position', 'monomeric bchl', 'maximum amplitude', 'intact cells', 'inhomogeneous broadening', 'hole spectra', 'first time', 'directly detected', 'comparative analysis', 'bchl e', 'bchl c', 'band coincides', 'absorption system', '750 cm', '100 cm', '0 band']</t>
  </si>
  <si>
    <t>Chlorobium phaeovibrioides cells | delocalized excitons | energy transfer | light-harvesting antenna</t>
  </si>
  <si>
    <t>Spectral hole burning studies of intact cells of the green bacterium Chlorobium phaeovibrioides have proven that the Qy-absorption system of antenna bacteriochlorophyll e (BChl e) should be interpreted in terms of the delocalized exciton level structure of an aggregate. For the first time the 0-0 band of the lowest exciton state of BChl e aggregates has been directly detected as the lowest energy inhomogeneously broadened band (FWHM ‚àº 100 cm-1; position of maximum, at ‚àº 739 nm) of the near-infrared BChl e band in the 1.8 K excitation spectrum (FWHM=750 cm-1; position of maximum, at 715 nm). The comparative analysis of the hole spectra, measured for the three species of BChl c- and e-containing green bacteria, has shown that the 0-0 transition bands of the lowest exciton state of BChl c and e aggregates display fundamentally similar spectral features: (1) the magnitude of inhomogeneous broadening of these bands is about 100 cm-1; (2) at the wavelength of the maximum of each band, the amplitude of the preburnt excitation spectrum makes up 20% of the maximum amplitude of the spectrum; (3) the spectral position of each band coincides with the spectral position of the longest wavelength band of the circular dichroism spectrum; (4) the width of these bands is ‚àº 2.3-times less than that of monomeric BChl in vitro. ¬© 1994 Kluwer Academic Publishers.</t>
  </si>
  <si>
    <t>205-210</t>
  </si>
  <si>
    <t>60007457;60068852;60007457</t>
  </si>
  <si>
    <t>7003830809;56624809700;7004150114</t>
  </si>
  <si>
    <t>Fetisova, Zoya G.;Mauring, Koit;Taisova, Alexandra S.</t>
  </si>
  <si>
    <t>Estonia;Russian Federation</t>
  </si>
  <si>
    <t>Tallinn;Moscow</t>
  </si>
  <si>
    <t>Academia Scientiarum Estoniae;Lomonosov Moscow State University</t>
  </si>
  <si>
    <t>60068852;60007457</t>
  </si>
  <si>
    <t>Fetisova Z.</t>
  </si>
  <si>
    <t>Strongly exciton-coupled BChl e chromophore system in the chlorosomal antenna of intact cells of the green bacterium Chlorobium phaeovibrioides: A spectral hole burning study</t>
  </si>
  <si>
    <t>10.1007/BF02184161</t>
  </si>
  <si>
    <t>2-s2.0-0000151717</t>
  </si>
  <si>
    <t>['two transcripts', 'translationally removed', 'surprisingly similar', 'start codon', 'sequence deduced', 'protein indicates', 'polypeptides analyzed', 'named csmc', 'genomic organization', 'deduced sequence', 'csma precursor', 'csma loci', 'csma gene', 'chloroflexus aurantiacus', 'chlorobium vibrioforme', 'chlorobium tepidum', 'approximately 6', 'approximately 350', '940 nucleotides', '27 kda', '2 kda']</t>
  </si>
  <si>
    <t>bacteriochloro phyll c | chlorosome | green sulfur bacteria | light-harvesting antenna | nucleotide sequence</t>
  </si>
  <si>
    <t>Chlorosomes of the thermophilic green sulfur bacterium Chlorobium tepidum have been isolated and their polypeptides analyzed by polyacrylamide gel electrophoresis and amino acid sequencing. These chlorosomes were shown to contain nine different polypeptides ranging in mass from approximately 6 to 27 kDa. The csmA gene, encoding a highly abundant chlorosome protein with a mass of 6.2 kDa, were cloned and sequenced from both Chlorobium vibrioforme strain 8327D and Chlorobium tepidum. The gene from both species predicts identical proteins of 79 amino acid residues, and a comparison of the deduced sequence with that determined for the protein indicates that 20 amino acid residues are post-translationally removed from the carboxyl-terminus of the CsmA precursor. Transcript analyses showed that in Chlorobium tepidum the csmA gene is encoded on two transcripts of approximately 350 and 940 nucleotides; the smaller transcript probably results from processing of the larger RNA molecule. Transcription of the longer mRNA initiates 68 basepairs upstream from the start codon of a second open reading frame that is located 154 nucleotides 5‚Ä≤ to csmA and that predicts a protein of 139 amino acid residues. The amino-terminal sequence determined for a 14.5 kDa polypeptide in the chlorosomes of Chlorobium tepidum matched the sequence deduced from this open reading frame except for the absence of the initiator methionine residue; accordingly, this gene has been named csmC. A comparison of the genomic organization of the csmA loci in Chlorobium vibrioforme, Chlorobium tepidum, and Chloroflexus aurantiacus were found to be surprisingly similar. ¬© 1994 Kluwer Academic Publishers.</t>
  </si>
  <si>
    <t>261-275</t>
  </si>
  <si>
    <t>60001439;60025858;60025858;60001439</t>
  </si>
  <si>
    <t>55209325500;7401890961;7006345218;7202225529</t>
  </si>
  <si>
    <t>Chung, Soohee;Frank, Gerhard;Zuber, Herbert;Bryant, Donald A.</t>
  </si>
  <si>
    <t>Switzerland;United States</t>
  </si>
  <si>
    <t>Zurich ZH,;University Park</t>
  </si>
  <si>
    <t>ETH Zurich;Pennsylvania State University</t>
  </si>
  <si>
    <t>60025858;60001439</t>
  </si>
  <si>
    <t>Chung S.</t>
  </si>
  <si>
    <t>Genes encoding two chlorosome components from the green sulfur bacteria Chlorobium vibrioforme strain 8327D and Chlorobium tepidum</t>
  </si>
  <si>
    <t>10.1007/BF02184167</t>
  </si>
  <si>
    <t>2-s2.0-0000360108</t>
  </si>
  <si>
    <t>['unusual structure', 'tubular structure', 'supramolecular structure', 'structural features', 'strong interactions', 'stepwise combined', 'stack distance', 'rotation angle', 'rod elements', 'predicted diameter', 'oh ¬∑¬∑¬∑¬∑', 'molecular modelling', 'mm +).', 'larger structures', 'hydroxyl oxygen', 'green bacteria', 'full accord', 'form trimeric', 'force field', 'extended stacking', 'chlorosomal antennae', 'c bonds', 'bchlide monomer', 'bchl rods', 'angle 139', '5c coordination', '4 nm', '16 ¬∞', '153 ¬∞)']</t>
  </si>
  <si>
    <t>aggregate | bacteriochlorophyll c | bacteriochlorophyll d | chlorosome | force field calculation | green bacterium | molecular modelling | semiempirical calculation</t>
  </si>
  <si>
    <t>The supramolecular structure of methyl (31R)-BChlide d aggregation has been explored by molecular modelling in order to elucidate the unusual structure of the BChl rods in the chlorosomal antennae of green bacteria. The aggregate construction progressed from a BChlide monomer in 5c coordination which was stepwise combined to form trimeric, pentameric and decameric chlorin stacks, all incorporating Mg¬∑¬∑¬∑¬∑O-H as a basic interaction element which links two chlorins between the 31-hydroxyl oxygen and the Mg. Up to the level of the trimer, the structures were optimized by both a semiempirical quantum chemical method (PM3) and a force field method, while larger structures were only modelled by the force field (MM+). Strong interactions were found by extended stacking of chlorins which are in van der Waals contact. Extended hydrogen bonding networks upon stack pairing brought about by OH¬∑¬∑¬∑¬∑O=C bonds (bond length ca. 2.2√Ö, angle 139-153¬∞) between appropriately situated chlorin pairs and by electrostatic interactions lead to very large energy stabilizations. The structural features of a modelled 40mer BChl aggregate are in full accord with all spectroscopic and low-resolution structural information on the in-vitro and chlorosomal BChl aggregates. Most important, from the rotation angle between stacks of ca. 16¬∞ and the stack-to-stack distance of 7.6 √Ö a tubular structure can be extrapolated to form on further extension of the aggregate. It has a predicted diameter of about 5.4 nm (Mg-Mg distance), i.e. very similar to that found for the rod elements in the chlorosomes of Chloroflexus. ¬© 1994 Kluwer Academic Publishers.</t>
  </si>
  <si>
    <t>225-233</t>
  </si>
  <si>
    <t>35501122300;7006711511</t>
  </si>
  <si>
    <t>Holzwarth, Alfred R.;Schaffner, Kurt</t>
  </si>
  <si>
    <t>On the structure of bacteriochlorophyll molecular aggregates in the chlorosomes of green bacteria. A molecular modelling study</t>
  </si>
  <si>
    <t>10.1007/BF02184163</t>
  </si>
  <si>
    <t>2-s2.0-0000760116</t>
  </si>
  <si>
    <t>['structural nature', 'signals assignable', 'nmr spectra', 'cross polarization', 'chemical shifts', 'c131 carbonyl', 'bchl c']</t>
  </si>
  <si>
    <t>antenna structure | cross polarization | green photosynthetic bacteria | magic angle spinning | ring current shift</t>
  </si>
  <si>
    <t>Cross polarization/magic angle spinning (CP/MAS)13C (solid state high resolution) NMR spectra were observed for chlorosomes and BChl c aggregates. Similarity of both kinds of spectra (except for some signals assignable to proteins and lipids in chlorosomes) indicates that BChl c's in chlorosomes are present just as in synthetic BChl c aggregates. Chemical shifts for C131 carbonyl and C31 hydroxylethyl carbons indicate hydrogen bonding between them. Comparison of solution and solid state13C NMR chemical shifts shows the five coordinated nature of BChl c aggregates. Some chemical shift differences were attributable to ring currents shifts. Their comparisons with calculated ring current shift values predicted structures for the aggregates. Cross polarization dynamics of the CP/MAS13C NMR signals explored dynamic and structural nature of the BChl c aggregates. ¬© 1994 Kluwer Academic Publishers.</t>
  </si>
  <si>
    <t>211-223</t>
  </si>
  <si>
    <t>60008435;60008435;60008435;60008435;60008435;60008435;60008435</t>
  </si>
  <si>
    <t>7103347251;36121157200;55709943800;36120867300;36121454600;6603454150;16164731000</t>
  </si>
  <si>
    <t>Nozawa, Tsunenori;Ohtomo, Katsunori;Suzuki, Manabu;Nakagawa, Hiroshi;Shikama, Yuko;Konami, Hideo;Wang, Zheng Yu</t>
  </si>
  <si>
    <t>Nozawa T.</t>
  </si>
  <si>
    <t>Structures of chlorosomes and aggregated BChl c in Chlorobium tepidum from solid state high resolution CP/MAS&lt;sup&gt;13&lt;/sup&gt;C NMR</t>
  </si>
  <si>
    <t>10.1007/BF02184162</t>
  </si>
  <si>
    <t>2-s2.0-0000991866</t>
  </si>
  <si>
    <t>['visible spectra', 'shifted oligomers', 'parallel dimers', 'one molecule', 'mutual coordination', 'model compounds', 'hydroxy group', 'form far', 'dichloromethane solution', 'central zinc', 'central magnesium', 'amino nitrogen', '500 cm', '1 ).']</t>
  </si>
  <si>
    <t>aggregation | bacteriochlorophyll | chlorin complexes | dimerization | photosynthetic antenna | zinc aminochlorin</t>
  </si>
  <si>
    <t>UV-visible spectra of synthetic zinc aminochlorins were measured in 99:1 (v/v) cyclohexane-dichloromethane solution. The compounds formed anti-parallel dimers with mutual coordination of the central zinc in one molecule to the amino nitrogen in the other (Qy band red-shift of about 500 cm-1). Such a dimer arrangement appears to be too stable to form far-red (&gt; 1500 cm-1) shifted oligomers which have been observed with bacteriochlorophylls-c (possessing a hydroxy group and a central magnesium) and with their model compounds (with a hydroxy group and a central zinc) in non-polar organic solvents. ¬© 1994 Kluwer Academic Publishers.</t>
  </si>
  <si>
    <t>245-251</t>
  </si>
  <si>
    <t>60031848;60072285;60072285</t>
  </si>
  <si>
    <t>7006346090;35501122300;7006711511</t>
  </si>
  <si>
    <t>Tamiaki, Hitoshi;Holzwarth, Alfred R.;Schaffner, Kurt</t>
  </si>
  <si>
    <t>Germany;Japan</t>
  </si>
  <si>
    <t>Mulheim an der Ruhr;Kyoto</t>
  </si>
  <si>
    <t>Max Planck Institute for Chemical Energy Conversion;Ritsumeikan University</t>
  </si>
  <si>
    <t>60072285;60031848</t>
  </si>
  <si>
    <t>Tamiaki H.</t>
  </si>
  <si>
    <t>Dimerization of synthetic zinc aminochlorins in non-polar organic solvents</t>
  </si>
  <si>
    <t>10.1007/BF02184165</t>
  </si>
  <si>
    <t>2-s2.0-0001225122</t>
  </si>
  <si>
    <t>['two cases', 'time resolution', 'temperature plateau', 'sun region', 'spectral index', 'radio signatures', 'one hour', 'observing period', 'new instrument', 'frequency resolution', 'fine structures', 'diameter antenna', 'describe briefly', 'crest type', 'bremsstrahlung emission', 'active regions', 'active region', '90 min', '2 ghz', '18 ghz', '1 ghz']</t>
  </si>
  <si>
    <t>A millimeter-wavelength (23-18 GHz) variable frequency radiometer with frequency resolution of 1 GHz and time resolution of 0.1-16 s has been developed in conjunction with a 13.7 m-diameter antenna. In this paper we describe briefly this new instrument, and its use to observe active regions. Spectra of four active regions show that: (i) spectra of the quiet-Sun region and those of the active region were of the same nature and the spectral index of both varied between -0.4 and +0.3; (ii) for two cases the spectra of the active region remained almost flat during the observing period of about one hour; (iii) spectra of the two other active regions exhibited frequency fine structures similar to the trough and crest type with a width of the order of 2 GHz in frequency and lasting about 40 to 90 min. The spectra of the quiet-Sun region and those of the active regions are attributed to bremsstrahlung emission. Fine structures in frequency type crest and trough are attributed to the radio signatures of the temperature plateau in the chromosphere. ¬© 1994 Kluwer Academic Publishers.</t>
  </si>
  <si>
    <t>381-391</t>
  </si>
  <si>
    <t>60012729;60012729;60017604;60017604</t>
  </si>
  <si>
    <t>7003555403;6602604931;16414339500;6603743130</t>
  </si>
  <si>
    <t>Sawant, H. S.;Cecatto, J. R.;Nefedyev, V. P.;Uralov, A. M.</t>
  </si>
  <si>
    <t>Russian Federation;Brazil</t>
  </si>
  <si>
    <t>Novosibirsk;Sao Jose dos Campos</t>
  </si>
  <si>
    <t>Siberian Branch, Russian Academy of Sciences;Instituto Nacional de Pesquisas Espaciais</t>
  </si>
  <si>
    <t>60017604;60012729</t>
  </si>
  <si>
    <t>Fine structure superimposed on millimeter-wavelength (23-18 GHz) spectra of solar active regions</t>
  </si>
  <si>
    <t>10.1007/BF00680445</t>
  </si>
  <si>
    <t>2-s2.0-0009050933</t>
  </si>
  <si>
    <t>['‚ üí', '¬© 1994', 'type b800', 'trend predicted', 'transfer rate', 'spectral overlap', 'spectral blue', 'somewhat wider', 'rights reserved', 'rhodopseudomonas acidophila', 'qualitative agreement', 'positions 44', 'energy transfer', 'constant band', 'absorption peaks', '826 nm', '800 nm', '45 near', '1 ps']</t>
  </si>
  <si>
    <t>Energy transfer within various LH2 antenna complexes of the photosynthetic purple bacteria Rhodobacter sphaeroides and Rhodopseudomonas acidophila has been studied at 77 K using tunable femtosecond and subpicosecond infrared pulses. The complexes examined include the wild-type B800-850 as well as three different specifically mutated complexes. The site-directed mutant strains were altered at positions 44 and 45 near the C-terminus of the Œ±-subunit, which introduces a spectral blue-shift of the 850-nm absorption band. In addition to a constant band at 800 nm, the mutations Œ±Tyr44, Tyr45‚ÜíPhe, Tyr; ‚Üí-Tyr,Phe; and ‚Üí-Phe,Leu have absorption peaks at 838, 838, and 826 nm, respectively. As the spectral overlap between the B800 and the variable bands increases, the rate of energy transfer as measured by the lifetime of the B800 excited state also increases from 2.4 ¬± 0.2 to 1.8 ¬± 0.2, 1.6 ¬± 0.2, and 0.8 ¬±0.1 ps. This correlation between energy-transfer rate and spectral blue-shift of the B850 absorption band is in qualitative agreement with the trend predicted from Forster spectral overlap calculations, although the variation of the experimentally determined rate through the series of mutants is somewhat wider than what is predicted by simulations. In addition to the decay time constants related to the B800‚ÜíB850 energy transfer, the B800 excited state is seen to decay with a faster 150‚Äì500-fs component due to energy transfer between spectrally inhomogeneous B800 molecules and possibly also vibrational relaxation and cooling in the bacteriochlorophyll excited state. ¬© 1994, American Chemical Society. All rights reserved.</t>
  </si>
  <si>
    <t>8300-8305</t>
  </si>
  <si>
    <t>60031040;60031040;60031040;60031040;60001881;60001881</t>
  </si>
  <si>
    <t>7102293476;7004704010;7004251319;7006706612;7103071035;13105070700</t>
  </si>
  <si>
    <t>Hess, S.;Visscher, K. J.;Pullerits, T.;Sundstr√∂m, V.;Fowler, G. J.S.;Hunter, C. N.</t>
  </si>
  <si>
    <t>Umea;Sheffield</t>
  </si>
  <si>
    <t>Ume√• Universitet;The University of Sheffield</t>
  </si>
  <si>
    <t>60031040;60001881</t>
  </si>
  <si>
    <t>Hess S.</t>
  </si>
  <si>
    <t>Enhanced Rates of Subpicosecond Energy Transfer in Blue-Shifted Light Harvesting LH2 Mutants of Rhodobacter sphaeroides</t>
  </si>
  <si>
    <t>10.1021/bi00193a017</t>
  </si>
  <si>
    <t>2-s2.0-0027978513</t>
  </si>
  <si>
    <t>['¬© 1994', 'vibrational relaxation', 'selectively excite', 'rights reserved', 'reaction centers', 'reaction center', 'photosynthetic membranes', 'overall rate', 'nm excitation', 'lhi antenna', 'kinetic similarities', 'investigate energy', 'femtosecond pump', 'energy transfer', 'electron transfer', 'direct comparison', 'detrapping efficiency', 'charge separation', 'absorption changes', '880 nm', '800 nm', '295 k', '1 ps']</t>
  </si>
  <si>
    <t>Low-intensity, 295 K, femtosecond pump-probe transient absorption measurements are described that have been performed to investigate energy and electron transfer in photosynthetic membranes from a Rhodobacter capsulatus strain lacking functional light harvesting antenna complex II. Spectral and kinetic similarities between the absorption changes of isolated reaction centers and those of reaction centers in membranes upon 800-nm excitation suggest that the charge separation process in both cases is very similar. An ultrafast energy relaxation process observed near 872 nm when 800-nm excitation is used is interpreted as interexcitonic relaxation within the antenna, though other interpretations, such as vibrational relaxation, are possible. On the basis of global exponential fitting analysis of the time-dependent spectral changes using 800- and 880-nm excitation wavelengths to selectively excite the reaction center and the LHI antenna, respectively, it is found that excitation energy transfer and trapping in Rb. capsulatus is limited by the overall rate of energy transfer between the antenna and the reaction center. This conclusion is supported by the observation that excitation at 800 nm, but not 880 nm, results in absorbance changes indicative of charge separation with a lifetime (3.1 ps) very close to that reported for charge separation in isolated reaction centers (3.5 ps). Thus, most reaction centers that are directly excited undergo charge separation and not backward energy transfer to the LHI antenna complexes. Both a kinetic model analysis and a direct comparison between time-resolved spectra obtained using different excitation wavelengths resulted in an energy-detrapping efficiency of about 15 ¬± 10%. ¬© 1994, American Chemical Society. All rights reserved.</t>
  </si>
  <si>
    <t>8313-8322</t>
  </si>
  <si>
    <t>16164485600;7407162691;57216998774;7006774990</t>
  </si>
  <si>
    <t>Xiao, Weizhong;Lin, Su;Taguchi, Aileen K.W.;Woodbury, Neal W.</t>
  </si>
  <si>
    <t>Xiao W.</t>
  </si>
  <si>
    <t>Femtosecond Pump-Probe Analysis of Energy and Electron Transfer in Photosynthetic Membranes of Rhodobacter capsulatus</t>
  </si>
  <si>
    <t>10.1021/bi00193a019</t>
  </si>
  <si>
    <t>2-s2.0-0028022540</t>
  </si>
  <si>
    <t>['two isomers', 'traps loaded', 'traps baited', 'small amount', 'significantly different', 'retention time', 'pheromone device', 'oriental beetle', 'natural product', 'material prevented', 'male antennae', 'ead screening', 'ead revealed', 'best performance', 'behavioral bioassay', '30 cm', '10 mg', '1 mg']</t>
  </si>
  <si>
    <t>2-(E)-nonenol | 5-tetradecen-2-one | 6-tetradecen-2-one | 7-tetradecen-2-one | Blitopertha orientalis | Coleoptera | Exomala orientalis | GC-BB | GC-EAD | japonilure | Oriental beetle | Phyllopertha orientalis | Scarabaeidae</t>
  </si>
  <si>
    <t>A gas chromatograph coupled with a behavioral bioassay was used to identify two sex pheromone components, 7-(Z)- and 7-(E)-tetradecen-2-one of the Oriental beetle (OB), Exomala orientalis. Field experiments showed that the blend of the two isomers (Z:E, 7:1) was not significantly more attractive than the Z component alone. The best performance of traps baited with the synthetic sex pheromone was achieved when they were set with the pheromone device at 30 cm above the ground. Catches in traps baited with 1 and 10 mg were not significantly different, but they were higher (2.9-fold) than captures in traps loaded with 0.1 mg of the pheromone. Further investigations by GC-EAD revealed the presence of a possible minor component, but the small amount of material prevented its identification. 2-(E)-Nonenol, with the same retention time as the natural product, did not affect the attractancy of the synthetic sex pheromone. GC-EAD screening of previously identified sex pheromones of scarab beetles showed that male antennae of the Oriental beetle responded to japonilure, but it showed neither synergism nor inhibition to the OB sex pheromone. ¬© 1994 Plenum Publishing Corporation.</t>
  </si>
  <si>
    <t>1705-1718</t>
  </si>
  <si>
    <t>60010674;100374228;100374228;100435238</t>
  </si>
  <si>
    <t>35569644800;34872121700;16415060500;7403148138</t>
  </si>
  <si>
    <t>Leal, Walter Soares;Hasegawa, Makoto;Sawada, Masaaki;Ono, Mikio</t>
  </si>
  <si>
    <t>Tsukuba;Hamura;Chiba</t>
  </si>
  <si>
    <t>National Institute Sericultural Entomological Sciences Tsukuba;Fuji Flavor Co. Ltd.;Chiba Prefectural Agricultural Experiment Station</t>
  </si>
  <si>
    <t>60010674;100435238;100374228</t>
  </si>
  <si>
    <t>Leal W.</t>
  </si>
  <si>
    <t>Sex pheromone of oriental beetle, Exomala orientalis: Identification and field evaluation</t>
  </si>
  <si>
    <t>10.1007/BF02059892</t>
  </si>
  <si>
    <t>2-s2.0-0028119107</t>
  </si>
  <si>
    <t>['¬± 0', 'useful calibration', 'surrounding objects', 'support structures', 'site effects', 'second category', 'received signal', 'phase centre', 'major source', 'input cables', 'include reflections', 'ground plane', 'field site', 'emission testing', 'edge diffraction', 'coupling effects', 'calibrated typically', 'broadband antennas', 'antenna factor', 'antenna affects', '5 db', '1 ghz']</t>
  </si>
  <si>
    <t>A major source of uncertainty in electromagnetic-compatibility conformance testing is the antenna factor. Until recently, broadband antennas in the frequency range 30 MHz-1 GHz were calibrated typically to an uncertainty of ¬±2 dB. Antennas can now be calibrated to an uncertainty of less than ¬±0.5 dB. This has made it possible to quantify a second category of uncertainties which arise when the antenna is used for emission testing on an open-field site. Ideally, the most useful calibration is of free-space antenna factors, but when antennas are used above a ground plane mutual-coupling effects can alter the antenna factor. The directivity of the antenna affects the magnitude of the received signal; balun imbalance affects the received signal; and the phase centre of log-periodic antennas changes with frequency. On top of this there are site effects which include reflections from surrounding objects, reflections from antenna-support structures and input cables and edge diffraction from the ground plane. These effects can be quantified to uncertainties as low as ¬±0.1 dB using antennas with calculable antennas factors.</t>
  </si>
  <si>
    <t>283-286</t>
  </si>
  <si>
    <t>IEE Proceedings: Science, Measurement and Technology</t>
  </si>
  <si>
    <t>60010785;60010785;60010785;60010785</t>
  </si>
  <si>
    <t>7402333759;7103121400;6603862536;57196599231</t>
  </si>
  <si>
    <t>Alexander, M. J.;Salter, M. J.;Gentle, D. G.;Holland, K. P.</t>
  </si>
  <si>
    <t>Middlesex</t>
  </si>
  <si>
    <t>National Physical Laboratory</t>
  </si>
  <si>
    <t>Alexander M.</t>
  </si>
  <si>
    <t>Advances in measurement methods and reduction of measurement uncertainties associated with antenna calibration</t>
  </si>
  <si>
    <t>10.1049/ip-smt:19941284</t>
  </si>
  <si>
    <t>2-s2.0-0028460406</t>
  </si>
  <si>
    <t>['screened rooms', 'recent years', 'recent techniques', 'paper reviews', 'measurement techniques', 'many years', 'frequency range', 'difficulties encountered', 'ascending order']</t>
  </si>
  <si>
    <t>Screened rooms have been used for many years to perform electromagnetic compatibility measurements in an electromagnetically isolated environment. It is only in recent years that measurement techniques have been developed that to some extent overcome many of the difficulties encountered when a measurement is performed in a totally or partially reflecting environment. The paper reviews these recent techniques and describes their application. The techniques are reviewed in ascending order of frequency range of applicability.</t>
  </si>
  <si>
    <t>273-277</t>
  </si>
  <si>
    <t>Marvin, A. C.</t>
  </si>
  <si>
    <t>York</t>
  </si>
  <si>
    <t>University of York</t>
  </si>
  <si>
    <t>Marvin A.</t>
  </si>
  <si>
    <t>Recent developments in measurement techniques for use in screened rooms</t>
  </si>
  <si>
    <t>10.1049/ip-smt:19941204</t>
  </si>
  <si>
    <t>2-s2.0-0028461126</t>
  </si>
  <si>
    <t>['transmission lines', 'space around', 'software tool', 'small cell', 'named micro', 'modeling antennas', 'matrix method', 'impedance junctions', 'ideally suited', 'complex circuits']</t>
  </si>
  <si>
    <t>Electromagnetic field simulation is a more time-consuming (but more comprehensive) means of evaluating a high frequency design since it derives analysis directly from Maxwell's equations. A software tool is presented that is ideally suited for modeling antennas and impedance junctions, such as found in couplers and filters. Named Micro-Stripes, it incorporates the transmission-line-matrix method to model a small cell of space around a 3-D junction of transmission lines, called a node. Complex circuits are modeled by connecting many nodes together.</t>
  </si>
  <si>
    <t>Anon</t>
  </si>
  <si>
    <t>Electromagnetic simulator solves 3-D field problems</t>
  </si>
  <si>
    <t>2-s2.0-0028461737</t>
  </si>
  <si>
    <t>['thick substrates', 'series capacitance', 'probe inductance', 'often used', 'input impedance', 'antenna geometry']</t>
  </si>
  <si>
    <t>Electrically-thick substrates are often used to increase the bandwidth of microstrip patch antennas. The feed probe used with these antennas, however, contributes significant inductance to the antenna's input impedance. This probe inductance can be compensated for by introducing a series capacitance in the antenna geometry.</t>
  </si>
  <si>
    <t>7103125122;7003385210</t>
  </si>
  <si>
    <t>Robert, Bernard;Papiernik, Albert</t>
  </si>
  <si>
    <t>Robert B.</t>
  </si>
  <si>
    <t>Capacitors provide input matching of microstrip antennas</t>
  </si>
  <si>
    <t>2-s2.0-0028461738</t>
  </si>
  <si>
    <t>['wave propagation', 'signal strengths', 'scale building', 'rician parameters', 'rician parameter', 'reentered wave', 'radio propagation', 'propagation loss', 'mentioned modes', 'measured results', 'macroscopic parameters', 'los propagation', 'fading characteristics', 'correlation coefficient', 'attenuation characteristics', '50 cm', '5 db']</t>
  </si>
  <si>
    <t>In this paper, radio propagation in the medium-scale building is investigated at 2.5 GHz band. In order to predict the propagation loss in any place, four major modes of propagation are considered: low-loss in line-of-sight (LOS) wave, corridor guided wave, direct transmission wave through obstructions, and the reentered wave. Based on the measured results of attenuation characteristics, the macroscopic parameters for the above mentioned modes of wave propagation are determined. Using these parameters, signal strengths are predicted with average standard deviation of 4.5 dB. The fading characteristics are studied by measuring the Rician parameter and the correlation coefficient for 2-branch diversity antennas separated by 50 cm. The Rician parameters are 2 in case of the LOS propagation, and 1 in case of the LOS propagation. The two branch correlation coefficients are less than 0.5 within coverage of 80-95% in almost all the locations.</t>
  </si>
  <si>
    <t>962-970</t>
  </si>
  <si>
    <t>60031838;60031838;60031838;60031838</t>
  </si>
  <si>
    <t>35483688900;6603149567;7005940532;55230248200</t>
  </si>
  <si>
    <t>Furukawa, Hiroshi;Oosaki, Kuninori;Akaiwa, Yoshihiko;Shimizu, Hiroyuki</t>
  </si>
  <si>
    <t>Kitakyushu</t>
  </si>
  <si>
    <t>Kyushu Institute of Technology</t>
  </si>
  <si>
    <t>Furukawa H.</t>
  </si>
  <si>
    <t>Signal strength prediction and distribution characteristics in indoor radio propagation at 2.5 GHz band</t>
  </si>
  <si>
    <t>2-s2.0-0028461917</t>
  </si>
  <si>
    <t>['resonator oscillator', 'power divider', 'mtft ).', 'frequencies ranging', 'film technology', 'electrical performance', 'design began', 'antenna array', '18 ghz']</t>
  </si>
  <si>
    <t>A 10-GHz Doppler radar sensor was developed for low-cost, high-volume applications using multilayer thick-film technology (MTFT). The design began by characterizing the electrical performance of MTFT at frequencies ranging from 8 to 18 GHz. The technology was used to build a power divider, an antenna array, and a dielectric-resonator oscillator. Finally, these components were characterized and combined to form a low-cost radar transceiver.</t>
  </si>
  <si>
    <t>101321021;101321021;101321021</t>
  </si>
  <si>
    <t>7004142829;7003753877;56981236600</t>
  </si>
  <si>
    <t>Floch, J. M.;Desclos, L.;Morillon, P.</t>
  </si>
  <si>
    <t>Groupe Microelectronique Hybride</t>
  </si>
  <si>
    <t>Floch J.</t>
  </si>
  <si>
    <t>Multilayer design yields low-cost X-band radar</t>
  </si>
  <si>
    <t>2-s2.0-0028462414</t>
  </si>
  <si>
    <t>['temperature operation', 'temperature films', 'superconducting electrodes', 'steerable phased', 'slot radiators', 'materials useful', 'dielectric substrate', 'array antennas']</t>
  </si>
  <si>
    <t>The voltage-controlled dielectric properties of ferroelectric films render these materials useful for electronically-steerable phased-array antennas. Prior performance limitations caused by losses in room-temperature films and normal conductors may be eliminated if low-temperature operation is combined with superconducting electrodes. A 40-GHz scanning antenna array was developed using electrically controlled phase shifters and slot radiators. The antenna was formed with BSTO ferroelectric films on a dielectric substrate.</t>
  </si>
  <si>
    <t>60000990;60000990;60000990</t>
  </si>
  <si>
    <t>7005950428;7003289846;6507816409</t>
  </si>
  <si>
    <t>Vendik, Orest;Mironenko, Igor;Martirosyan, Leon Ter</t>
  </si>
  <si>
    <t>Vendik O.</t>
  </si>
  <si>
    <t>Superconductors spur application of ferroelectric films</t>
  </si>
  <si>
    <t>2-s2.0-0028462749</t>
  </si>
  <si>
    <t>['way pagers', 'volume designs', 'tmm materials', 'tight spaces', 'pcmcia cards', 'must fit', 'dielectric constant', 'closely matched', 'cellular phones', 'board materials']</t>
  </si>
  <si>
    <t>With a dielectric constant of 9.2 that is closely matched to that of alumina, the TMM materials are ideal for high-volume designs that must fit in tight spaces, such as antennas for cellular phones, two-way pagers, and wireless transceivers built into PCMCIA cards. The material is based on a ceramic/thermoset polymer composite that combinesmany of the benefits of traditional hard ceramic and soft PTFE circuit-board materials.</t>
  </si>
  <si>
    <t>Low-cost material makes temperature-stable circuits</t>
  </si>
  <si>
    <t>2-s2.0-0028462912</t>
  </si>
  <si>
    <t>['provide estimates', 'measurements performed', 'magnetic fields', 'experimental study', '30 mhz']</t>
  </si>
  <si>
    <t>An experimental study of the calibration of antenna-screened enclosure combinations is described in the frequency range 1-30 MHz. It is shown that such a combination can be used, in conjunction with a spherical dipole transfer standard, to provide estimates of the electric and magnetic fields that would be radiated by equipment on an open area test site from measurements performed on the equipment in a nonanechoic screened enclosure.</t>
  </si>
  <si>
    <t>278-282</t>
  </si>
  <si>
    <t>60016418;60016418</t>
  </si>
  <si>
    <t>7005566736;57213022899</t>
  </si>
  <si>
    <t>Marvin, A. C.;Mann, S. M.</t>
  </si>
  <si>
    <t>Experimental study of the calibration of antenna-screened enclosure combinations for radiated emission measurements in the frequency range from 1 to 30 MHz</t>
  </si>
  <si>
    <t>10.1049/ip-smt:19941075</t>
  </si>
  <si>
    <t>2-s2.0-0028463198</t>
  </si>
  <si>
    <t>['wideband application', 'wide configuration', 'various parameters', 'resonating modes', 'radiation patterns', 'parametric analysis', 'input impedance', 'helpful hints', 'em coupling', 'design process', 'compact configuration']</t>
  </si>
  <si>
    <t>A parametric analysis is carried out to show the behavior of the antenna about its multiple resonance frequencies introduced by the EM coupling between the patches. Based on this analysis, a simple physical interpretation of these resonating modes is proposed, and for various parameters their effects on the input impedance and radiation patterns are determined. Helpful hints for the design process are provided and examples are presented that include a compact configuration for wideband application, and a wide configuration for high gain application.</t>
  </si>
  <si>
    <t>184-190</t>
  </si>
  <si>
    <t>Legay, Herve;Shafai, Lotfollah</t>
  </si>
  <si>
    <t>Parametric analysis of an EMC patch surrounded by parasitic elements</t>
  </si>
  <si>
    <t>2-s2.0-0028463430</t>
  </si>
  <si>
    <t>['various kinds', 'proposed structure', 'passive load', 'optimum load', 'new structure', 'made smaller', 'horizontal plane', 'desirable shapes', 'calculations using', 'average gain', 'antenna system', 'antenna size', 'antenna pattern', '5 db']</t>
  </si>
  <si>
    <t>We propose a new structure of antenna system to enhance the horizontal plane gain and control the antenna pattern, using passive loading. Our proposed structure can be applied to various kinds of antennas on a handset. We discuss the case of a Œª/4 monopole antenna on a handset in this paper. In a new structure of Œª/4 monopole antenna system, we show that, 1) the increase of the average gain about 5 dB in the horizontal plane can be realized by an optimum load, 2) the antenna pattern can be controlled by changing the value of the passive load so as to have some desirable shapes, and 3) the antenna size can be made smaller by about 6% than the one with no loading because the optimum loading makes the resonant frequency lower. These results were confirmed by the calculations using the method of moments for the EFIE and the measurements.</t>
  </si>
  <si>
    <t>956-961</t>
  </si>
  <si>
    <t>60084148;60084148</t>
  </si>
  <si>
    <t>55867343600;7201843188</t>
  </si>
  <si>
    <t>Hirose, Masanobu;Miyake, Masayasu</t>
  </si>
  <si>
    <t>Hachioji</t>
  </si>
  <si>
    <t>CASIO</t>
  </si>
  <si>
    <t>Hirose M.</t>
  </si>
  <si>
    <t>New structure of antenna system in a handset enhancing antenna gain by passive loading - the case for Œª/4 monopole antenna</t>
  </si>
  <si>
    <t>2-s2.0-0028463484</t>
  </si>
  <si>
    <t>['source models', 'radiation pattern', 'published data', 'numerical solution', 'numerical data', 'input impedance', 'gap voltage', 'experimental results', 'dielectric material', 'conical antenna', 'arbitrarily shaped']</t>
  </si>
  <si>
    <t>A numerical solution for the input impedance and radiation pattern of an arbitrarily shaped, rotationally symmetric monopole antenna loaded with dielectric material is presented. The antenna is mounted over either an infinite or a finite ground plane. The excitation is assumed to be due to a coaxial transmission line. Both the magnetic frill current-source and the delta-gap voltage-source models are employed in the formulations. Numerical data have been obtained and compared with experimental results and some published data. A conical antenna and a wire antenna loaded with dielectric material are considered, and the effect of the dielectric material and the ground plane size on the antenna input impedance and radiation pattern is studied.</t>
  </si>
  <si>
    <t>177-183</t>
  </si>
  <si>
    <t>7407906303;7004922524;7006839683</t>
  </si>
  <si>
    <t>Huang, Weiwen;Kishk, Ahmed A.;Glisson, Allen W.</t>
  </si>
  <si>
    <t>Huang W.</t>
  </si>
  <si>
    <t>Analysis of a thick monopole antenna loaded with dielectric material</t>
  </si>
  <si>
    <t>2-s2.0-0028463496</t>
  </si>
  <si>
    <t>['voluminous devices', 'values lower', 'usual metallizations', 'used either', 'two order', 'theoretical value', 'surface resistance', 'straightforward calculation', 'spectral analysis', 'ohms obtained', 'mhz range', 'laser ablation', 'filter banks', 'circuit matching', 'bulk ybco', 'better quality', 'bcs theory', '77 k', '200 micro', '20 milliohms', '100 micro', '10 ghs']</t>
  </si>
  <si>
    <t>During the last five years, the surface resistance Rs (10 GHs, 77 K) of YBCO thin films has decreased from a value of about 10 to 20 milliohms - i.e. the same as cooled pure copper or as bulk YBCO - down to values lower than 200 micro-ohms, close to the theoretical value of 100 micro-ohms obtained by a straightforward calculation from BCS theory. This improvement of Rs is due to a better quality of the material from random grain ceramics to quasi epitaxial films. These highly textured films can be obtained by many deposition methods: sputtering, laser ablation, co-evaporation, molecular beam epitaxy, MOCVD, using heating sample holders in order to obtain in situ crystal oriented layers. The value of the surface resistance is about one hundred times lower than that of usual metallizations, which can be used either to improve the specifications of some components by two order of magnitude such as high Q 3D resonators (Q &gt; 106 for low phase noise oscillators) and high Q inductances (Q &gt; 104 for circuit matching of antennae in the MHz range) or to reduce the size of voluminous devices such as filter banks for multiplexing or spectral analysis.</t>
  </si>
  <si>
    <t>1285-1294</t>
  </si>
  <si>
    <t>60019269;60019269;60019269;60019269;60019269;60019269;60019269;60019269;60019269</t>
  </si>
  <si>
    <t>6701646584;6603588387;6506300072;55880562000;55112662000;6603036718;6507279033;6701663956;7103360656</t>
  </si>
  <si>
    <t>Mage, J. C.;Marcilhac, B.;Mercandalli, M.;Lemaitre, Y.;Barrau, S.;Dessertenne, B.;Mansart, D.;Castera, J. P.;Hartemann, P.</t>
  </si>
  <si>
    <t>Puteaux</t>
  </si>
  <si>
    <t>Thales Group</t>
  </si>
  <si>
    <t>Mage J.</t>
  </si>
  <si>
    <t>Advances in the application of high T&lt;inf&gt;c&lt;/inf&gt; superconductors to microwave devices for analog signal processing</t>
  </si>
  <si>
    <t>10.1051/jp3:1994190</t>
  </si>
  <si>
    <t>2-s2.0-0028463971</t>
  </si>
  <si>
    <t>['rotationing dual', 'quasioptical 2', 'local oscillators', 'lo ),', 'heterodyn diplexer', 'frequency doubler', 'beam interferometers', 'also discussed']</t>
  </si>
  <si>
    <t>Mixer receiver | noise temperature | quasioptical interferometer | Schottky diode mixer</t>
  </si>
  <si>
    <t>Quasioptical 2-mm and 1,5 mixer receivers for room temperature operation are described. Receivers incorporates polarization-rotationing dual-beam interferometers, used as antenna-heterodyn diplexer, waveguide Schottky diode mixers, carcinotron (BWO) and carcinitron with the frequency doubler, used as local oscillators (LO), and GaAs IF amplifiers. The best receiver noise temperatures are 600K (DSB) at 2,0-mm and 800K (DSB) at 1,5-mm wavelengths bands. The performance of these receivers is also discussed. ¬© 1994 Plenum Publishing Corporation.</t>
  </si>
  <si>
    <t>1315-1323</t>
  </si>
  <si>
    <t>Eru, I. I.</t>
  </si>
  <si>
    <t>Eru I.</t>
  </si>
  <si>
    <t>Low-noise Quasioptical 2,0-mm and 1,5-mm Schottky mixer receivers</t>
  </si>
  <si>
    <t>10.1007/BF02096084</t>
  </si>
  <si>
    <t>2-s2.0-0028464104</t>
  </si>
  <si>
    <t>['w follows', 'useful expressions', 'key part', 'expressions containing', 'deterministic matrix', '1 },']</t>
  </si>
  <si>
    <t>adaptive beamforming | array processing | complex multivariate statistics | Complex Wishart distributions | complex Wishart forms</t>
  </si>
  <si>
    <t>Complex Wishart matrices are a key part of many multidimensional signal processing algorithms, and expectations of expressions containing them are needed to quantify their performance. In this paper we derive concise formulas for E{WAW}, E{W-1AW-1}, and other useful expressions, where W follows the complex Wishart distribution and A is a deterministic matrix. A need not be symmetric. We show how the results can be used to quantify the performance of adaptive array processing algorithms. ¬© 1994 Kluwer Academic Publishers.</t>
  </si>
  <si>
    <t>263-279</t>
  </si>
  <si>
    <t>Multidimensional Systems and Signal Processing</t>
  </si>
  <si>
    <t>60011132;60001439</t>
  </si>
  <si>
    <t>7003523852;7102274551</t>
  </si>
  <si>
    <t>Tague, John A.;Caldwell, Curtis I.</t>
  </si>
  <si>
    <t>Athens;University Park</t>
  </si>
  <si>
    <t>Ohio University;Pennsylvania State University</t>
  </si>
  <si>
    <t>Tague J.</t>
  </si>
  <si>
    <t>Expectations of useful complex Wishart forms</t>
  </si>
  <si>
    <t>10.1007/BF00980709</t>
  </si>
  <si>
    <t>2-s2.0-0028464609</t>
  </si>
  <si>
    <t>['sufficient accuracy', 'still difficult', 'results show', 'protective concrete', 'pavement thickness', 'map areas', 'manual interpretation', 'locate cracks', 'information obtained', 'gpr data', 'examining areas', 'drill cores', 'develop software', 'damaged concrete', 'damage mapping', 'coupled dipole', 'bridge decks', 'automatic interpretation', 'assessing whether', 'asphalt pavement', 'also tested', 'also performed', 'also detectable', '900 mhz', '5 ghz', '40 mm', '0 ghz']</t>
  </si>
  <si>
    <t>The usefulness of Ground Penetrating Radar (GPR) for examining areas of deterioration in bridge decks was tested in Finland, with the aim of assessing whether the method can be used to estimate pavement thickness, deterioration of the protective concrete and slab and damage to the water-proofing. Some tests were also performed to locate cracks in the slab. The surveys were performed using ground-coupled dipole 'bow-tie' antennae with frequencies of 900 MHz, 1.0 GHz and 1.5 GHz, and 2.5 GHz TEM horn antennae were also tested. The measured GPR data were compared with information obtained from drill cores and damage mapping during repair of the bridges. The results show that GPR can be used to map areas of deterioration in bridge decks. The radar data image of the weathered areas varies depending on whether the damaged concrete is dry or saturated with water, but the level of deterioration is still difficult to determine from radar data alone in all bridges and some reference drill cores have to be taken. A pavement thickness of more than 40 mm can be determined with sufficient accuracy and failures between the concrete and asphalt pavement and in water-proofing are also detectable. The problems with the method as used in Finland have concerned the manual interpretation of the GPR data, which is slow and time-consuming, but efforts are under way to develop software for automatic interpretation.</t>
  </si>
  <si>
    <t>496-501</t>
  </si>
  <si>
    <t>Insight: Non-Destructive Testing and Condition Monitoring</t>
  </si>
  <si>
    <t>56458620900;6507538608</t>
  </si>
  <si>
    <t>Saarenketo, T.;Soderqvist, M. K.</t>
  </si>
  <si>
    <t>Saarenketo T.</t>
  </si>
  <si>
    <t>Ground penetrating radar applications for bridge deck evaluations in Finland</t>
  </si>
  <si>
    <t>2-s2.0-0028465351</t>
  </si>
  <si>
    <t>['whole cells', 'structural changes', 'similar change', 'room temperature', 'results indicate', 'oxidizing conditions', 'g factor', 'energy transfer', 'dithionite addition', 'containing fenna']</t>
  </si>
  <si>
    <t>antenna | bacteriochlorophyll a protein | Chlorobium tepidum | chlorosome | energy transfer | green bacteria | photosynthesis</t>
  </si>
  <si>
    <t>The BChl a-containing Fenna-Matthews-Olson (FMO) protein from the green sulfur bacterium Chlorobium tepidum was purified and characterized. Fluorescence spectra indicate that efficient excited state quenching occurs at neutral or oxidizing redox potentials. The major fluorescence lifetime at room temperature is approximately 60 ps in samples that are in neutral or oxidizing conditions, and approximately 2 ns in samples where the strong reductant sodium dithionite has been added. A similar change is observed in pump-probe picosecond absorbance difference experiments, where the long life time component increases after dithionite addition. A 16 Gauss wide EPR signal with g factor =2.005 is observed in samples without dithionite. This signal largely disappears upon addition of dithionite. Dithionite induces large reversibile changes in the 77 K absorbance spectra of the purified FMO protein and in whole cells. These results indicate that the FMO protein contains redox active groups, which may be involved in the regulation of energy transfer. Room temperature circular dichroism and low temperature absorption spectra show that dithionite also induces conformational or structural changes of the FMO protein complex. ¬© 1994 Kluwer Academic Publishers.</t>
  </si>
  <si>
    <t>55475934600;7004045363;7407162691;57203046340</t>
  </si>
  <si>
    <t>Zhou, Wenli;LoBrutto, Russell;Lin, Su;Blankenship, Robert E.</t>
  </si>
  <si>
    <t>Zhou W.</t>
  </si>
  <si>
    <t>Redox effects on the bacteriochlorophyll Œ±-containing Fenna-Matthews-Olson protein from Chlorobium tepidum</t>
  </si>
  <si>
    <t>10.1007/BF02184148</t>
  </si>
  <si>
    <t>2-s2.0-0028474545</t>
  </si>
  <si>
    <t>['wire expansion', 'return loss', 'reflection coefficient', 'radiation patterns', 'linear array', 'great degree', 'antenna simulations', '3d mmp']</t>
  </si>
  <si>
    <t>To evaluate the advantages and limitations of 3D MMP, several basic types of wire antenna configurations were simulated. These were linear and linear array, helical, and physically constrained low profile antennas. To validate the method's performance, the radiation patterns, impedance, return loss, reflection coefficient, and VSWR were computed and compared to available results using different techniques. The investigation showed several conceptual advantages of the technique for antenna simulations. Thin-wire expansion in combination with multipoles and roof top functions provides a great degree of flexibility in modeling.</t>
  </si>
  <si>
    <t>79-89</t>
  </si>
  <si>
    <t>7004482590;7003283774</t>
  </si>
  <si>
    <t>Tay, Roger Yew Siow;Kuster, Niels</t>
  </si>
  <si>
    <t>Tay R.</t>
  </si>
  <si>
    <t>Performance of the generalized multipole technique (GMT/MMP) in antenna design and optimization</t>
  </si>
  <si>
    <t>2-s2.0-0028476243</t>
  </si>
  <si>
    <t>['tethered antenna', 'tether tension', 'system without', 'shape control', 'reflector system', 'quite high', 'possible use', 'plane subsystem', 'passive damper', 'neutrally stable', 'lqr technique', 'longitudinal vibration', 'longitudinal modes', 'gravitational field', 'ensure stability', 'effectively damped', 'easily implemented', 'direct measurement', 'control laws', 'axisymmetric modes', 'asymptotically stable', 'active actuators']</t>
  </si>
  <si>
    <t>In order to improve the performance and ensure stability for a tethered antenna/reflector system, the longitudinal vibration of the tether should be considered. The frequencies of the longitudinal modes are quite high; direct measurement of the vibration is not easily implemented. Therefore, a passive damper is designed for possible use. The damper is mounted in the subsatellite at the end of the tether. The system without the damper is neutrally stable in the gravitational field. But the in-plane subsystem will be asymptotically stable with the proper damper design parameters. It is found that only the tether longitudinal vibration and the axisymmetric modes of the shell are effectively damped by the passive damper. Therefore, attitude and shape control is assumed to result from the combination of active actuators, the tether tension and passive damper. The LQR technique is employed to synthesize the control laws.</t>
  </si>
  <si>
    <t>343-359</t>
  </si>
  <si>
    <t>Journal of the Astronautical Sciences</t>
  </si>
  <si>
    <t>Hybrid control of an orbiting flexible tethered antenna/reflector system</t>
  </si>
  <si>
    <t>2-s2.0-0028478705</t>
  </si>
  <si>
    <t>['transmitting hundreds', 'sustained competition', 'signal comprising', 'quality television', 'much less', 'low power', 'individual carriers', 'frequency bandwidth', 'existing satellites', 'even overlapping', 'efficient use', 'digital signals', 'broadband cables', 'available radio']</t>
  </si>
  <si>
    <t>Digital compression offers the key to transmitting hundreds of channels of high-quality television on existing satellites. Ensuring a sustained competition with broadband cables, the increase in the efficiency of frequency spectrum lies in the possibility of tightly packing huge amount of data into the signal comprising a number of digital signals. The spectra of each of the individual carriers are interleaved and even overlapping, making very efficient use of the available radio-frequency bandwidth. Moreover, high-quality digital TV pictures can be obtained over a wide coverage area even with digital signals at very low power, because the carrier-to-noise ratios needed to receive digital signals satisfactorily are very much less than those for current analogue signals.</t>
  </si>
  <si>
    <t>175-179</t>
  </si>
  <si>
    <t>IEE Review</t>
  </si>
  <si>
    <t>Slater, Jim</t>
  </si>
  <si>
    <t>Slater J.</t>
  </si>
  <si>
    <t>Coded channels</t>
  </si>
  <si>
    <t>2-s2.0-0028479027</t>
  </si>
  <si>
    <t>['terminal half', 'spanning region', 'sixth membrane', 'region including', 'possibly resembling', 'positive bacteria', 'photosystem ii', 'photosynthetic apparatus', 'heliobacteria appear', 'give rise', 'evolutionary relationship', 'evolutionary position', 'evolutionary model', 'evolutionary link', 'cp47 protein', 'core polypeptides', 'closely related', '232 residues', '11 membrane']</t>
  </si>
  <si>
    <t>16S rRNA sequence | cyanobacteria | Gram-positive bacteria | heliobacteria | photosynthesis | reaction center</t>
  </si>
  <si>
    <t>The evolutionary position of the heliobacteria, a group of green photosynthetic bacteria with a photosynthetic apparatus functionally resembling Photosystem I of plants and cyanobacteria, has been investigated with respect to the evolutionary relationship to Gram-positive bacteria and cyanobacteria. On the basis of 16S rRNA sequence analysis, the heliobacteria appear to be most closely related to Gram-positive bacteria, but also an evolutionary link to cyanobacteria is evident. Interestingly, a 46-residue domain including the putative sixth membrane-spanning region of the heliobacterial reaction center protein shows rather strong similarity (33% identity and 72% similarity) to a region including the sixth membrane-spanning region of the CP47 protein, a chlorophyll-binding core antenna polypeptide of Photosystem II. The N-terminal half of the heliobacterial reaction center polypeptide shows a moderate sequence similarity (22% identity over 232 residues) with the CP47 protein, which is significantly more than the similarity with the Photosystem I core polypeptides in this region. An evolutionary model for photosynthetic reaction center complexes is discussed, in which an ancestral homodimeric reaction center protein (possibly resembling the heliobacterial reaction center protein) with 11 membrane-spanning regions per polypeptide has diverged to give rise to core of Photosystem I, Photosystem II, and of the photosynthetic apparatus in green, purple, and heliobacteria. ¬© 1994 Kluwer Academic Publishers.</t>
  </si>
  <si>
    <t>285-294</t>
  </si>
  <si>
    <t>Vermaas, Wim F.J.</t>
  </si>
  <si>
    <t>Vermaas W.</t>
  </si>
  <si>
    <t>Evolution of heliobacteria: Implications for photosynthetic reaction center complexes</t>
  </si>
  <si>
    <t>10.1007/BF02184169</t>
  </si>
  <si>
    <t>2-s2.0-0028677629</t>
  </si>
  <si>
    <t>['velocity range', 'netherlands foundation', 'limiting brightness', 'galactic 21', 'far sidelobes', 'engaged full', 'cm emission', '30 ¬∞', '1000 km', '1 resolution', '1 km', '07 k']</t>
  </si>
  <si>
    <t>The 25-meter radio telescope of the Netherlands Foundation for Research in Astronomy in Dwingeloo has been engaged full-time during the past 5 years in a survey of galactic 21-cm emission from the entire sky accessible from the Netherlands. The new material provides coverage of the sky at Œ¥ ‚â• -30¬∞ on a 0¬∞.5 grid sampled with a 35‚Ä≤ main beam, over a velocity range of 1000 km s-1 at 1 km s-1 resolution, to a limiting brightness-temperature sensitivity typically better than 0.07 K. The data have been corrected for stray radiation entering both the near and far sidelobes of the antenna. ¬© 1994 Kluwer Academic Publishers.</t>
  </si>
  <si>
    <t>189-193</t>
  </si>
  <si>
    <t>60003878;60003878</t>
  </si>
  <si>
    <t>7102839589;8868699400</t>
  </si>
  <si>
    <t>Burton, W. B.;Hartmann, Dap</t>
  </si>
  <si>
    <t>Burton W.</t>
  </si>
  <si>
    <t>The leiden/dwingeloo survey of emission from galactic HI</t>
  </si>
  <si>
    <t>10.1007/BF00990053</t>
  </si>
  <si>
    <t>2-s2.0-33746089588</t>
  </si>
  <si>
    <t>['system integrability', 'several examples', 'results obtained', 'provide low', 'plastic casing', 'multipath fading', 'loop antennas', 'fdtd approach', 'experimental measurements', 'electromagnetic behavior', 'effective approaches', 'different geometries', 'difference time', 'conducting chassis', 'complicated topologies', 'biological tissue', 'antenna technology', 'antenna performance', 'antenna diversity', 'also generate']</t>
  </si>
  <si>
    <t>diversity | FDTD | loop antenna | monopole | PIFA | Wireless</t>
  </si>
  <si>
    <t>The advancement of antenna technology in personal wireless communication systems has been encouraged by the increasingly stringent demands placed upon these systems to provide low-power and highly reliable information transfer. The antenna designer must not only consider the cost, manufacturability, compactness, and system integrability of the radiator but also generate a product which satisfies rigid specifications concerning return loss, bandwidth, and gain while operating in a complex radiating environment. Successful, cost-effective approaches to the design of antennas for communication devices rely upon the implementation of sophisticated analysis tools, such as the finite-difference time-domain (FDTD) method, capable of predicting the electromagnetic behavior of complicated topologies. In this work, the behavior of planar inverted F, monopole, and loop antennas is investigated using tools based upon the FDTD approach. Such factors as the effects of the conducting chassis, plastic casing, and biological tissue on the antenna performance are investigated. Experimental measurements are used to validate the results obtained from computations and to provide further insight into the behavior of the different geometries. The use of antenna diversity to reduce the effects of multipath fading is discussed, and several examples of antenna diversity configurations are provided. ¬© 1994 Plenum Publishing Corporation.</t>
  </si>
  <si>
    <t>165-176</t>
  </si>
  <si>
    <t>7102110120;35597296700</t>
  </si>
  <si>
    <t>Rahmat-Samii, Yahya;Jensen, Michael A.</t>
  </si>
  <si>
    <t>Rahmat-Samii Y.</t>
  </si>
  <si>
    <t>Characterization of antennas for personal wireless communications applications</t>
  </si>
  <si>
    <t>10.1007/BF02107416</t>
  </si>
  <si>
    <t>2-s2.0-33749689174</t>
  </si>
  <si>
    <t>['special case', 'proposed estimate', 'presented graphically', 'mathematical expression', 'directional characteristics']</t>
  </si>
  <si>
    <t>We propose an estimate of the noise reducing capability of a radar system taking into account the side lobe structure of the directional characteristics of the antenna and the sensitivity of the receiver. We obtain a mathematical expression for which a special case is a previously known expression. The results of the calculations, presented graphically, support the validity of the proposed estimate. ¬© 1995 Plenum Publishing Corporation.</t>
  </si>
  <si>
    <t>831-834</t>
  </si>
  <si>
    <t>Yakimov, A. N.</t>
  </si>
  <si>
    <t>Yakimov A.</t>
  </si>
  <si>
    <t>Estimate of the noise reducing capability of a radar system from the directional characteristics of the antenna</t>
  </si>
  <si>
    <t>10.1007/BF00975810</t>
  </si>
  <si>
    <t>2-s2.0-34249759636</t>
  </si>
  <si>
    <t>195-202</t>
  </si>
  <si>
    <t>1573837X</t>
  </si>
  <si>
    <t>1046283X</t>
  </si>
  <si>
    <t>Computational Mathematics and Modeling</t>
  </si>
  <si>
    <t>57096791300;22999644500;16411605700</t>
  </si>
  <si>
    <t>Il'inskii, A. S.;Trubnikov, S. V.;Fedoseeva, N. A.</t>
  </si>
  <si>
    <t>Il'inskii A.</t>
  </si>
  <si>
    <t>Resonance effects in a phased antenna array constructed from rectangular waveguides</t>
  </si>
  <si>
    <t>10.1007/BF01130293</t>
  </si>
  <si>
    <t>2-s2.0-34249766813</t>
  </si>
  <si>
    <t>['uprising region', 'transient excitation', 'time domain', 'rectangular pulse', 'harmonic excitation', 'energy uprising', 'electromagnetic missiles', 'dependent upon', 'decaying region', 'conclusion drawn', 'circular disk', 'also uprising', 'also expounded', '1949 ).']</t>
  </si>
  <si>
    <t>Circular disk | Electromagnetic energy | Electromagnetic missiles | Fresnel region | Near field</t>
  </si>
  <si>
    <t>The exact energy flow pattern on the axis of a circular disk by transient excitation is presented in this paper. It has been shown that non-decaying region does not appear when the source is chosen to be a rectangular pulse, on the contrary, there exists a uprising region on the axis when the width of the pulse is less than a/c. After reaching its maximum value point, the energy decays slowly until the law of r -2 is met. The scale of the uprising region is dependent upon the size of the antenna and the width of the pulse. It has also been shown that there exists a oscillatory region near the source for a harmonic excitation, and the amplitude is also uprising, which is quite different compared with the conclusion drawn by S. Silver (1949). Finally, the phenomenon of energy uprising in time domain is explained and some problems about the electromagnetic missiles are also expounded. ¬© 1994 Science Press.</t>
  </si>
  <si>
    <t>253-261</t>
  </si>
  <si>
    <t>60018308;60018308;60010421</t>
  </si>
  <si>
    <t>57213412799;6508039283;24783180200</t>
  </si>
  <si>
    <t>Xianyang, Zhu;Wenbing, Wang;Lang, Ren</t>
  </si>
  <si>
    <t>Xi'an;Chengdu</t>
  </si>
  <si>
    <t>Xi'an Jiaotong University;Southwest Jiaotong University</t>
  </si>
  <si>
    <t>60018308;60010421</t>
  </si>
  <si>
    <t>Xianyang Z.</t>
  </si>
  <si>
    <t>Electromagnetic energy flow pattern on the axis of a circular disk by transient excitation</t>
  </si>
  <si>
    <t>10.1007/BF02684832</t>
  </si>
  <si>
    <t>2-s2.0-51649145265</t>
  </si>
  <si>
    <t>['¬© 1994', 'rights reserved', 'received cnrs', 'quantisation noise', 'new approach', 'conventional schemes', '43 db']</t>
  </si>
  <si>
    <t>Community antenna television | Optical communication | Subcarrier multiplexing</t>
  </si>
  <si>
    <t>A new approach to a lightwave multichannel CATV transmission system using PCM is proposed and its advantages over conventional schemes are outlined. The principal system noise, i.e. clipping and quantisation noise, both produced by A/D convertors, has been analysed. For a 40 channel 10 bit system and 8 bit system, the received CNRs are 54 and 43 dB, respectively. ¬© 1994, IEE. All rights reserved.</t>
  </si>
  <si>
    <t>1155-1156</t>
  </si>
  <si>
    <t>56265805300;55876690000</t>
  </si>
  <si>
    <t>Pan, Q.;Green, R. J.</t>
  </si>
  <si>
    <t>Pan Q.</t>
  </si>
  <si>
    <t>AM-SCM-PCM lightwave CATV transmission systems</t>
  </si>
  <si>
    <t>10.1049/el:19940755</t>
  </si>
  <si>
    <t>2-s2.0-0028767474</t>
  </si>
  <si>
    <t>['¬© 1994', 'thin substrates', 'spectral domain', 'rights reserved', 'reciprocity analyses', 'particularly advantageous', 'mechanical support', 'may serve', 'feed line']</t>
  </si>
  <si>
    <t>Microstrip antennas | Spectral-domain analysis</t>
  </si>
  <si>
    <t>The feasibility of using a thick ground plane with an aperture coupled microstrip patch antenna while maintaining reasonable antenna performance is demonstrated using moment method and reciprocity analyses in the spectral domain. The thick ground plane, which may serve as a heatsink for active MMIC circuitry, or as a mechanical support for thin substrates, is particularly advantageous in millimetre wave phased array applications. It is found that the effect of ground plane thickness is to reduce the level of coupling from the feed line to the patch. ¬© 1994, IEE. All rights reserved.</t>
  </si>
  <si>
    <t>1106-1107</t>
  </si>
  <si>
    <t>Characterisation of aperture coupled microstrip patch antenna with thick ground plane</t>
  </si>
  <si>
    <t>10.1049/el:19940779</t>
  </si>
  <si>
    <t>2-s2.0-0028767513</t>
  </si>
  <si>
    <t>['¬© 1994', 'side lobes', 'rights reserved', 'plane patterns', 'measured results', 'main lobe', 'good e', '20 db']</t>
  </si>
  <si>
    <t>Five- and eight-element patch antenna arrays linearly fed by dielectric image lines have been developed with good E-plane and H-plane patterns. The measured results and the calculated beam steering angles agree very well. Crosspolarisations are 20 dB and side lobes are 15dB below the main lobe. ¬© 1994, IEE. All rights reserved.</t>
  </si>
  <si>
    <t>1105-1106</t>
  </si>
  <si>
    <t>56771612600;6602745126;7404879378</t>
  </si>
  <si>
    <t>Li, M. Y.;Kanamaluru, S.;Chang, K.</t>
  </si>
  <si>
    <t>Li M.</t>
  </si>
  <si>
    <t>Aperture coupled beam steering microstrip antenna array fed by dielectric image line</t>
  </si>
  <si>
    <t>10.1049/el:19940776</t>
  </si>
  <si>
    <t>2-s2.0-0028767515</t>
  </si>
  <si>
    <t>['œ ≥', 'wide range', 'velocity dispersion', 'structure functions', 'statistical properties', 'somewhat larger', 'scales sampled', 'scales comparable', 'recent studies', 'range found', 'presented else', 'power spectra', 'point autocorrelation', 'pico veleta', 'phenomenological theories', 'orion b', 'original analysis', 'observed similarity', 'observations onto', 'mon r2', 'molecular clouds', 'law fits', 'isotropic turbulence', 'interstellar medium', 'heavily influenced', 'functional forms', 'folding length', 'e .,', 'correlation length', 'correlation function', 'characteristic scales', 'beam smoothing', 'also discuss', '13co j']</t>
  </si>
  <si>
    <t>ISM: clouds | ISM: molecules | Turbulence</t>
  </si>
  <si>
    <t>We present an investigation of the statistical properties of fluctuating gas motions in five nearby molecular clouds using the two-point autocorrelation and structure functions and the power spectra of their radial velocity structure as traced by emission-line centroid velocities. Our analysis includes observations made with the AT&amp;T Bell Laboratories 7 m Crawford Hill antenna (1‚Ä≤.7 beamwidth) of 13CO J = 1 ‚Üí 0 emission in Orion B, Mon R2, L1228, and L1551 and also 13CO J = 2 ‚Üí 1 observations of the molecular gas surrounding the Herbig-Haro object HH 83 lying just west of L1641 in the Orion A cloud that were obtained with a higher spatial resolution (0‚Ä≤.22) using the IRAM-30 m telescope on Pico Veleta, Spain. The effects of beam smoothing and the interpolation of a set of observations onto a regular spatial grid are studied using model spectral line data cubes, and we find that the behavior of the statistical functions presented here and those presented else-where by other authors are heavily influenced by these effects at scales comparable to and somewhat larger than the beamwidth. At larger lags real correlations are detected, and we use the e-folding length of the auto-correlation function (i.e., the correlation length) to investigate the characteristic scales of the underlying turbulent flow. We find that this measure is dependent on the range of scales sampled by the observations themselves both for our data and for previously existing observations presented by other authors, and we interpret this result and the observed similarity between the functional forms of the statistical functions derived for different data sets as evidence for a self-similar turbulent hierarchy of gas motions extending over a wide range of scales in the interstellar medium. Power-law fits to the observed structure functions yield a mean index describing the hierarchy of 0.86 + 0.3, which translates into a velocity dispersion-region size relationship of the type first introduced by Larson (1981), ŒîV ‚àù lŒ≥, with Œ≥ = 0.43 ¬± 0.15. This result is consistent with that found by Larson in his original analysis, Œ≥ ‚âà 0.38, and with the range found in more recent studies, 0.35 &lt; Œ≥ &lt; 0.7. We also discuss the observed scaling laws in relation to the predictions of phenomenological theories of forced, isotropic turbulence. The mean turbulent stress and maximum energy transport rate as a function of scale are obtained from the velocity power spectra following the procedure of Kleiner &amp; Dickman, and the results are discussed in the context of scale-dependent star formation and the generation of turbulence in molecular clouds.</t>
  </si>
  <si>
    <t>645-671</t>
  </si>
  <si>
    <t>23051280300;7005113064</t>
  </si>
  <si>
    <t>Miesch, Mark S.;Bally, John</t>
  </si>
  <si>
    <t>Miesch M.S.</t>
  </si>
  <si>
    <t>Statistical analysis of turbulence in molecular clouds</t>
  </si>
  <si>
    <t>10.1086/174352</t>
  </si>
  <si>
    <t>2-s2.0-12044253880</t>
  </si>
  <si>
    <t>['tyr mutant', 'tyr change', 'results indicate', 'previously assigned', 'presented incorporating', 'phe mutant', 'one component', 'main near', 'located near', 'h bonds', 'directed mutagenesis', 'close proximity', 'acta 807', '876 nm', '865 nm', '853 nm', '21 ].', '1660 cm', '1632 cm', '1 peak']</t>
  </si>
  <si>
    <t>bacteriochlorophyll | light-harvesting complex | membrane protein | photosynthesis | Raman spectroscopy</t>
  </si>
  <si>
    <t>Site-directed mutagenesis has been used to examine the function of a highly conserved aromatic residue, Œ±Trp43, in the light-harvesting 1 antenna of the photosynthetic bacterium Rhodobacter sphaeroides. In this antenna Œ±Trp43 is thought to be located near the putative binding site for bacteriochlorophyll; in this work it was changed to both Tyr and Phe, and in each case the main near-infrared absorbance peak was shifted to the blue, from 876 nm to 865 nm and then to 853 nm, respectively. Resonance Raman spectroscopy of the resulting complexes shows a shift of one component of the 1640-cm-1 peak to 1632 cm-1 for the Tyr mutant and to 1660 cm-1 for the Phe mutant. This demonstrates a strengthening of an existing H bond for the Tyr change and a breakage of this bond for the change to Phe. The 1640-cm-1 peak has been previously assigned to H-bonded C2 acetyl carbonyl groups of both bacteriochlorophylls in the light-harvesting 1 antenna dimer [Robert, B. and Lutz, M. (1985) Biochim. Biophys. Acta 807, 10-21]. These results indicate that one of these H bonds is to Œ±Trp43, placing this residue in close proximity to the bacteriochlorophyll a macrocycle with which it interacts. The existence of this bond places constraints on the conformation of the Œ± polypeptide, and a model of an Œ±Œ≤ heterodimer is presented incorporating these data.</t>
  </si>
  <si>
    <t>7124-7128</t>
  </si>
  <si>
    <t>60001881;60008134;60008134;60001881</t>
  </si>
  <si>
    <t>7403259482;6701790482;7103125115;13105070700</t>
  </si>
  <si>
    <t>Olsen, J. D.;Sockalingum, G. D.;Robert, B.;Hunter, C. N.</t>
  </si>
  <si>
    <t>Paris;Sheffield</t>
  </si>
  <si>
    <t>CNRS Centre National de la Recherche Scientifique;The University of Sheffield</t>
  </si>
  <si>
    <t>60008134;60001881</t>
  </si>
  <si>
    <t>Olsen J.</t>
  </si>
  <si>
    <t>Modification of a hydrogen bond to a bacteriochlorophyll a molecule in the light-harvesting 1 antenna of Rhodobacter sphaeroides</t>
  </si>
  <si>
    <t>10.1073/pnas.91.15.7124</t>
  </si>
  <si>
    <t>2-s2.0-0028338712</t>
  </si>
  <si>
    <t>['vlbi observations', 'vlba electronics', 'radio source', 'provide constraints', 'physical conditions', 'parsec scales', 'new component', 'much stronger', 'modest angle', 'material around', 'many properties', 'lower frequencies', 'infall region', 'image reported', 'high quality', 'galactic nucleus', 'future performance', 'full set', 'free absorption', 'eight antennas', 'dynamic range', 'detected independently', 'counterjet constitute', 'companion letter', 'compact core', 'bodes well', 'accretion disk', '7 ghz', '4 ghz', '22 ghz', '1991 ).', '1 pc']</t>
  </si>
  <si>
    <t>Galaxies: active | Galaxies: individual (NGC 1275) | Galaxies: jets | Galaxies: nuclei | Instrumentation: interferometers | Radio continuum: galaxies | Telescopes</t>
  </si>
  <si>
    <t>A high dynamic range Very Long Baseline Array (VLBA) image at 8.4 GHz of the radio source in NGC 1275 reveals a previously undetected radio component on parsec scales to the north of the compact core. As reported in a companion Letter by Vermeulen, Readhead, &amp; Backer, this component has also been detected independently at 22 GHz. The new component is much stronger and somewhat more extended at 22 GHz than at 8.4 GHz, and it was not detected at 1.7 GHz in a high dynamic range image by Biretta, Bartel, &amp; Deng (1991). Many properties of the source can be explained if it consists of two oppositely directed, symmetric, and mildly relativistic jets at a modest angle to the line of sight, with the counterjet radiation obscured at lower frequencies by free-free absorption in material around the galactic nucleus. If this model is valid, VLBI observations of the counterjet constitute a probe that can provide constraints on physical conditions in the accretion disk or infall region about 1 pc from this active galactic nucleus. The image reported here was the first continuum image made with data from the new VLBA correlator. A dynamic range of over 4000:1 (peak to noise) was obtained on a complex source using data from only eight antennas. The fact that the very first continuum image made with the full set of VLBA electronics is of such high quality, despite the fact that much fine tuning remains to be done, bodes well for the future performance of the VLBA.</t>
  </si>
  <si>
    <t>1 PART 2</t>
  </si>
  <si>
    <t>60021907;60021907;60021907</t>
  </si>
  <si>
    <t>55725469300;6603821690;57193694101</t>
  </si>
  <si>
    <t>Walker, R. C.;Romney, J. D.;Benson, J. M.</t>
  </si>
  <si>
    <t>Socorro</t>
  </si>
  <si>
    <t>National Radio Astronomy Observatory Socorro</t>
  </si>
  <si>
    <t>Walker R.C.</t>
  </si>
  <si>
    <t>Detection of a VLBI counterjet in NGC 1275: A possible probe of the parsec-scale accretion region</t>
  </si>
  <si>
    <t>10.1086/187434</t>
  </si>
  <si>
    <t>2-s2.0-12044249782</t>
  </si>
  <si>
    <t>['¬© 1994', 'rights reserved', 'experimental results', 'chebyshev distribution', '16 %)']</t>
  </si>
  <si>
    <t>Antenna arrays | Antennas | Microstrip antennas</t>
  </si>
  <si>
    <t>The design and experimental results of a wideband (16%) and directive (21 dB), dual polarised antenna array are presented in C-band around 6.9GHz. This compact 8 √ó 4 element array tapered by a Dolph-Chebyshev distribution (fabricated with Wilkinson power dividers) is composed of dual polarised aperture-coupled stacked patch antenna elements. Use of these elements in the antenna array leads to quite good performance over a relatively wide frequency range. ¬© 1994, IEE. All rights reserved.</t>
  </si>
  <si>
    <t>1196-1198</t>
  </si>
  <si>
    <t>6508155100;6506930166;7006272544</t>
  </si>
  <si>
    <t>Edimo, M.;Rigoland, P.;Terret, C.</t>
  </si>
  <si>
    <t>Edimo M.</t>
  </si>
  <si>
    <t>Wideband dual polarised aperture-coupled stacked patch antenna array operating in C-band</t>
  </si>
  <si>
    <t>10.1049/el:19940841</t>
  </si>
  <si>
    <t>2-s2.0-4544245907</t>
  </si>
  <si>
    <t>['¬© 1994', 'several gigahertz', 'rights reserved', 'resonance frequency', 'frequency characteristics', 'ferrite substrates']</t>
  </si>
  <si>
    <t>Antennas | Ferrite applications | Frequency-selective surfaces</t>
  </si>
  <si>
    <t>The frequency characteristics of frequency selective surfaces printed on ferrite substrates are discussed. The application of a DG magnetic bias field to the ferrite allows tuning of the resonance frequency by several gigahertz. ¬© 1994, IEE. All rights reserved.</t>
  </si>
  <si>
    <t>1193-1194</t>
  </si>
  <si>
    <t>7404724865;56020461500;7201840709</t>
  </si>
  <si>
    <t>Chang, T. K.;Langley, R. J.;Parker, E. A.</t>
  </si>
  <si>
    <t>Chang T.</t>
  </si>
  <si>
    <t>Frequency selective surfaces on biased ferrite substrates</t>
  </si>
  <si>
    <t>10.1049/el:19940823</t>
  </si>
  <si>
    <t>2-s2.0-5844342866</t>
  </si>
  <si>
    <t>['¬© 1994', 'single substrate', 'rights reserved', 'previous methods', 'new design', 'multilayer substrates', 'microstrip antennas', 'microstrip antenna', 'entire cpw', 'antenna circuit']</t>
  </si>
  <si>
    <t>Antenna feeders | Coplanar waveguide | Microstrip antennas</t>
  </si>
  <si>
    <t>A new design for coupling coplanar waveguide (CPW) to microstrip antennas has been developed. The coupling method consists of direct aperture coupling from the coplanar waveguide feed to the microstrip antenna. The advantage of this method is the use of a single substrate for the entire CPW and antenna circuit as opposed to previous methods of coupling in which multilayer substrates were used. ¬© 1994, IEE. All rights reserved.</t>
  </si>
  <si>
    <t>1195-1196</t>
  </si>
  <si>
    <t>60020547;60020547;60020547;60020547</t>
  </si>
  <si>
    <t>7402035122;7004107614;6602745126;7404879378</t>
  </si>
  <si>
    <t>Carroll, J. M.;Tilley, K. A.;Kanamaluru, S.;Chang, K.</t>
  </si>
  <si>
    <t>Carroll J.</t>
  </si>
  <si>
    <t>Slot coupling of coplanar waveguide to patch antennas suitable for MMIC applications</t>
  </si>
  <si>
    <t>10.1049/el:19940813</t>
  </si>
  <si>
    <t>2-s2.0-85013921968</t>
  </si>
  <si>
    <t>DE-AC03-76SF0009</t>
  </si>
  <si>
    <t>['¬© 1994', 'type organism', 'two mutants', 'synechococcus sp', 'subcore preparations', 'small changes', 'significant role', 'room temperature', 'resolved emission', 'phycobilisome core', 'pcc 7002', 'membrane linker', 'lcm chromophore', 'large core', 'intact phycobilisomes', 'excitation transfer', 'emission spectra', 'emission characteristics', 'chromophore absorption', 'chromopeptides within', 'best candidates', 'b subunit', 'antenna complexes', 'also measured', '77 k', '683 nm', '675 nm']</t>
  </si>
  <si>
    <t>Cyanobacterium | Energy transfer | Fluorescence relaxation | Phycobilisome | Subcore particle, 18 S</t>
  </si>
  <si>
    <t>Chromophore absorption and emission characteristics of the Œ±AP-B, Œ≤18 and Lcm (large core-membrane linker) chromopeptides within the phycobilisome core are investigated using genetically engineered strains of Synechococcus sp. PCC 7002. Steady-state and time-resolved emission were used to examine energy transfer in subcore preparations from the wild-type organism and two mutants. Low-temperature (77 K) emission spectra were also measured for intact phycobilisomes from the wild-type and five mutant strains. Mutants retaining either the Œ±AP-B subunit or the unaltered Lcm chromophore resulted in only small changes in the low-temperature emission spectra, while retention of only the Œ≤18 subunit resulted in blue-shifted emission spectra. The Lcm chromophore has a room-temperature absorption maximum at 675 nm. In phycobilisomes at 77 K the Œ±AP-B and Lcm chromophores emit at 682-683 nm, and they are the best candidates for long-wavelength emitters also at room temperature. Overlap of these emission spectra with the absorption of chlorophyll a in the associated thylakoid membrane plays a significant role in excitation transfer from the antenna complexes in cyanobacteria. ¬© 1994.</t>
  </si>
  <si>
    <t>153-162</t>
  </si>
  <si>
    <t>60007174;60001439;60001439;60007174</t>
  </si>
  <si>
    <t>6602586854;56164503300;7202225529;7102209179</t>
  </si>
  <si>
    <t>Gindt, Yvonne M.;Zhou, Jianhui;Bryant, Donald A.;Sauer, Kenneth</t>
  </si>
  <si>
    <t>Berkeley;University Park</t>
  </si>
  <si>
    <t>Lawrence Berkeley National Laboratory;Pennsylvania State University</t>
  </si>
  <si>
    <t>60007174;60001439</t>
  </si>
  <si>
    <t>Gindt Y.</t>
  </si>
  <si>
    <t>Spectroscopic studies of phycobilisome subcore preparations lacking key core chromophores: Assignment of excited state energies to the L&lt;inf&gt;cm&lt;/inf&gt;, Œ≤&lt;sup&gt;18&lt;/sup&gt; and Œ±&lt;sup&gt;AP-B&lt;/sup&gt; chromophores</t>
  </si>
  <si>
    <t>0005-2728(94)90174-0</t>
  </si>
  <si>
    <t>10.1016/0005-2728(94)90174-0</t>
  </si>
  <si>
    <t>2-s2.0-0028018301</t>
  </si>
  <si>
    <t>['¬© 1994', 'thylakoid membranes', 'stroma thylakoids', 'reaction centre', 'rate constant', 'pumpkin thylakoids', 'ps ii', 'preparations derived', 'photoinhibitory conditions', 'oxidizing side', 'much larger', 'low temperatures', 'functional condition', 'excitation energy', 'd1 protein', 'antenna size', 'activation energy', '15 kj']</t>
  </si>
  <si>
    <t>Activation energy | Energy transfer | Exciton trapping | Light-harvesting | Low temperature | Photosynthesis</t>
  </si>
  <si>
    <t>Photoinhibition of Photosystem (PS) II was studied in thylakoid membranes, inside-out and rightside-out thylakoid vesicles derived from appressed and non-appressed membrane regions, respectively, in detergent fractionated PS II membranes and in oxygen evolving PS II core complexes. The preparations were illuminated without added electron acceptors, and care was taken to keep the oxidizing side of PS II in a functional condition during the experiments. The first-order rate constant of photoinhibition, measured under given photon flux density, was similar in all preparations derived from appressed thylakoid regions and independent of the antenna size. This antenna size independence indicates that under photoinhibitory conditions in vitro, when most PS II traps are closed, the probability of finding an exciton in the reaction centre is not much larger than the probability of finding it in the antenna. Spillover of excitation energy from PS II to PS I may be an important factor protecting the PS IIŒ≤ of stroma thylakoids from photoinhibition. Photoinhibition in vitro is a first-order reaction even at low temperatures where the degradation of the D1 protein is slow, which demonstrates that the photoinhibited PS II centres do not protect the remaining active ones from photoinhibition, at least not in vitro. The activation energy of photoinhibition in pumpkin thylakoids, as measured between 6 and 25¬∞C, was 15 kJ/mol; the rate constant of photoinhibition in pumpkin thylakoids increased both below 6 and above 25¬∞C. ¬© 1994.</t>
  </si>
  <si>
    <t>177-185</t>
  </si>
  <si>
    <t>60006876;60006876;60006876</t>
  </si>
  <si>
    <t>7003513683;7007159668;7005316480</t>
  </si>
  <si>
    <t>Tyystj√§rvi, Esa;Kettunen, Reetta;Aro, Eva Mari</t>
  </si>
  <si>
    <t>Turku</t>
  </si>
  <si>
    <t>Turun yliopisto</t>
  </si>
  <si>
    <t>Tyystj√§rvi E.</t>
  </si>
  <si>
    <t>The rate constant of photoinhibition in vitro is independent of the antenna size of Photosystem II but depends on temperature</t>
  </si>
  <si>
    <t>0005-2728(94)90177-5</t>
  </si>
  <si>
    <t>10.1016/0005-2728(94)90177-5</t>
  </si>
  <si>
    <t>2-s2.0-0028018303</t>
  </si>
  <si>
    <t>['¬© 1994', 'x 2', 'various designs', 'treatment system', 'temperature distributions', 'target volume', 'steer power', 'phase shifting', 'modified dipole', 'microwave antennas', 'mean 49', 'mean 40', 'included dipole', 'equivalent phantom', 'choke dipole', 'choke antennas', 'brain tumors', '9 cm', '8 cm', '2450 mhz', '23 patients']</t>
  </si>
  <si>
    <t>Brain | Dipole antennas | Helical antennas | Hyperthermia | Microwave | SAR</t>
  </si>
  <si>
    <t>Purpose: Microwave antennas of various designs were inserted into arrays of nylon catheters implanted in brain tumors with the goal of raising temperatures throughout the target volume to 43.0¬∞C. Methods and Materials: All antennas were flexible, and included dipole, choke dipole, modified dipole, and helical designs driven at 915 or 2450 MHz. Antennas were tested in brain-equivalent phantom in arrays. Phase shifting and phase rotation techniques were incorporated into the treatment system to steer power in the tumor, assisted by a treatment planning computer that predicted power deposition patterns and temperature distributions. Choke antennas were designed and tested to reduce a dependence of the central power location on depth of insertion into tissue. Temperature data analysis used only central and orthogonal axes mapping data measured at 2.0 mm intervals. Results: A total of 23 patients were treated, using from one to six microwave antennas. Minimum tumor temperatures, averaged over the 60 min treatment, ranged from 37.2-44.3¬∞C (mean 40.0¬∞C) and maximum average tumor temperatures ranged from 46.5-60.1¬∞C (mean 49.1¬∞C). The percentage of all measured temperatures reaching therapeutic levels (‚â• 43.0¬∞C) was 70.9. T90, the temperature at which 90% of all measured temperatures equaled or exceeded, was 40.8¬∞C, and T50 was 44.2¬∞C. Conclusion: Patient data analysis showed that the array of four dipole antennas spaced 2.0 cm apart were capable of heating a volume of 5.9 cm (along the central array axis) X 2.8 cm X 2.8 cm. ¬© 1994.</t>
  </si>
  <si>
    <t>1065-1078</t>
  </si>
  <si>
    <t>60007267;60007267;60007267;60007267;60007267;60007267</t>
  </si>
  <si>
    <t>57197374123;7003830659;14023621200;7005534211;7007000893;7005967291</t>
  </si>
  <si>
    <t>Ryan, Thomas P.;Trembly, B. Stuart;Roberts, David W.;Strohbehn, John W.;Coughlin, Christopher T.;Hoopes, P. Jack</t>
  </si>
  <si>
    <t>Hanover</t>
  </si>
  <si>
    <t>Geisel School of Medicine at Dartmouth</t>
  </si>
  <si>
    <t>Ryan T.</t>
  </si>
  <si>
    <t>Brain hyperthermia: I. interstitial microwave antenna array techniques-the Dartmouth experience</t>
  </si>
  <si>
    <t>10.1016/0360-3016(94)90402-2</t>
  </si>
  <si>
    <t>2-s2.0-0028111780</t>
  </si>
  <si>
    <t>['significant hyperchromism', 'significant effects', 'sample incubation', 'oxide consisting', 'oxide bound', 'overall effect', 'native values', 'hydrophobic moiety', 'ectothiorhodospira sp', 'detergent concentration', 'detergent assuming', 'depending upon', 'blue shift', 'bchl850 molecules', 'bchl850 band', 'bchl800 band', 'also able', 'acting directly', '837 nm']</t>
  </si>
  <si>
    <t>membrane proteins | purple bacteria</t>
  </si>
  <si>
    <t>We have studied the effects of the detergent lauryl dimethylamine N-oxide and NaCl in the near infrared absorption spectra of the B800-850 antenna complex from Ectothiorhodospira sp. Strong spectral changes were induced on the BChl850 band by the lauryl dimethylamine N-oxide consisting of a blue shift, from 857 to 839-837 nm, and a hypochromism. No significant effects were detected on the BChl800 band in the same conditions. The changes were reversible after removing most of the detergent from the sample. Depending upon the detergent concentration in the solution, NaCl was also able to reverse the blueshift and increase the intensity of the 850 nm band close to the native values. Moreover, we have been able to separate both phenomena. Addition of 0.350 M NaCl after sample incubation with 0.15% (v/v) lauryl dimethylamine N-oxide for 30 min allowed a 9-10 nm redshift with no significant hyperchromism of the lowest energy band. We explained the overall effect of the detergent assuming that the lauryl dimethylamine N-oxide bound to the hydrophobic moiety of the complex and caused some protein conformational changes which affected the BChl850 domain without affecting that of the BChl800. The NaCl was able to circumvent these effects, most probably by acting directly on the BChl850 molecules or on the protein structure surrounding them. ¬© 1994 Kluwer Academic Publishers.</t>
  </si>
  <si>
    <t>339-347</t>
  </si>
  <si>
    <t>60010939;60010939</t>
  </si>
  <si>
    <t>6507882843;56259745200</t>
  </si>
  <si>
    <t>de Zarate, I√±aki Ortiz;Picorel, Rafael</t>
  </si>
  <si>
    <t>Zaragoza</t>
  </si>
  <si>
    <t>CSIC - Estacion Experimental de Aula Dei EEAD</t>
  </si>
  <si>
    <t>de Zarate I.</t>
  </si>
  <si>
    <t>Spectral changes of the B800-850 antenna complex from Ectothiorhodospira sp. induced by detergent and salt treatment</t>
  </si>
  <si>
    <t>10.1007/BF00019411</t>
  </si>
  <si>
    <t>2-s2.0-0027949489</t>
  </si>
  <si>
    <t>['¬© 1994', 'three subcomplexes', 'strong illumination', 'stained bands', 'singlet oxygen', 'rights reserved', 'reaction center', 'psii complexes', 'psii complex', 'protein damage', 'protein bands', 'photosystem ii', 'observations suggest', 'migration distances', 'major light', 'major fragments', 'kda proteins', 'increasing duration', 'hydrogen peroxide', 'harvesting proteins', 'greatly suppressed', 'formed even', 'd2 proteins', 'd1 protein', 'cytochrome b559', 'core complexes', 'core complex', 'core antenna', 'coomassie blue', 'completely solubilized', 'antibody specific', 'also suppressed', 'also found', 'alkoxyl radicals', 'active oxygen', '16 kda']</t>
  </si>
  <si>
    <t>The effects of strong illumination on the proteins in photosystem II (PSII) were investigated using three different isolated subcomplexes of PSII, namely, the PSII complex depleted of major light- harvesting proteins, the core complex, and the reaction center complex. Under illumination, not only the D1 protein of the reaction center but also other intrinsic proteins sustained some damage in all three subcomplexes: Coomassie blue-stained bands after polyacrylamide gel electrophoresis were smeared, and their migration distances on the gel were reduced with increasing duration of illumination. Such damage occurred first in the D1 and D2 proteins and subsequently in the 43- and 47-kDa proteins of the core antenna and the subunit of cytochrome b559. Immunoblot analysis using an antibody specific to the D1 protein showed that the D1 protein was degraded to major fragments of about 23 and 16 kDa during illumination. The smearing and changes in mobility of protein bands, as well as the fragmentation of the D1 protein, were greatly suppressed by scavengers of active oxygen species. From the effectiveness of scavengers, it appeared that superoxide anions participate in the protein damage in the PSII complex, hydrogen peroxide in the PSII and core complexes, and singlet oxygen, hydroxyl, and alkoxyl radicals in all three subcomplexes. We also found that fragments of the D1 protein of 23 and 16 kDa were formed even when PSII complexes that had been completely solubilized with sodium dodecyl sulfate were illuminated. This fragmentation was also suppressed by active oxygen scavengers. These observations suggest that in isolated PSII subcomplexes under strong illumination the D1 protein is cleaved at specific sites solely by the action of active oxygen, and that the D1 protein has amino acid sequences specifically susceptible to attack by active oxygen. ¬© 1994, American Chemical Society. All rights reserved.</t>
  </si>
  <si>
    <t>9722-9730</t>
  </si>
  <si>
    <t>Miyao, Mitsue</t>
  </si>
  <si>
    <t>Tsukuba</t>
  </si>
  <si>
    <t>Institute of Agrobiological Sciences, NARO</t>
  </si>
  <si>
    <t>Miyao M.</t>
  </si>
  <si>
    <t>Involvement of Active Oxygen Species in Degradation of the D1 Protein under Strong Illumination in Isolated Subcomplexes of Photosystem II</t>
  </si>
  <si>
    <t>10.1021/bi00198a043</t>
  </si>
  <si>
    <t>2-s2.0-0027963598</t>
  </si>
  <si>
    <t>['¬© 1994', 'vibrational bands', 'transition moments', 'room temperature', 'rights reserved', 'results demonstrate', 'relative distributions', 'protein complexes', 'particle plane', 'outer antenna', 'oriented closest', 'oriented close', 'nm bands', 'nm band', 'major red', 'magic angle', 'linear combination', 'gaussian bands', '10 k']</t>
  </si>
  <si>
    <t>Room temperature and 10 K absorption and linear dichroism spectra of the chlorophyll-protein complexes comprising the outer antenna of PSII (LHCII, CP29, CP26, CP24) have been analyzed in terms of a linear combination of asymmetric Gaussian bands. The results demonstrate the following: (a) The absorption and linear dichroism spectra of each sample can be described by nearly the same set of Gaussian bands at room temperature and 10 K. (b) The relative distributions of the transition moments of the major red-absorbing spectral forms seem to be similar in all four outer antenna chlorophyll-protein complexes at room temperature, with the 684-nm band being oriented closest to the particle plane at room temperature and the 677- and -nm bands being tilted at progressively greater angles out of the particle plane. The shorter wavelength transitions seem to be oriented close to the magic angle, but interpretation is complicated in this spectral region due to the low linear dichroism values and by overlap with vibrational bands, (c) The 684-nm band, detected in room temperature absorption and linear dichroism spectra of all complexes, vanishes at 10 K. ¬© 1994, American Chemical Society. All rights reserved.</t>
  </si>
  <si>
    <t>8982-8990</t>
  </si>
  <si>
    <t>60030318;60030318;60030318;60000481;60007816;60032256</t>
  </si>
  <si>
    <t>7006530694;7201971898;6701308180;6603780088;24310010600;35553979700</t>
  </si>
  <si>
    <t>Zucchelli, Giuseppe;Jennings, Robert C.;Garlaschi, Flavio M.;Dainese, Paola;Breton, Jacques;Bassi, Roberto</t>
  </si>
  <si>
    <t>Italy;Italy;France;Italy</t>
  </si>
  <si>
    <t>Verona;Milan;Gif-sur-Yvette;Padua</t>
  </si>
  <si>
    <t>Universit√† degli Studi di Verona;Universit√† degli Studi di Milano;Commissariat a L'Energie Atomique CEA;Universit√† degli Studi di Padova</t>
  </si>
  <si>
    <t>60032256;60030318;60007816;60000481</t>
  </si>
  <si>
    <t>Zucchelli G.</t>
  </si>
  <si>
    <t>Gaussian Decomposition of Absorption and Linear Dichroism Spectra of Outer Antenna Complexes of Photosystem II</t>
  </si>
  <si>
    <t>10.1021/bi00196a016</t>
  </si>
  <si>
    <t>2-s2.0-0027994396</t>
  </si>
  <si>
    <t>['two photosystems', 'synechococcus sp', 'sublethal concentration', 'spectral qualities', 'sandoz 9785', 'san 9785', 'results suggest', 'results indicate', 'redistribution appears', 'pyridazinone derivative', 'ps ii', 'primarily caused', 'per cell', 'partially inhibited', 'light energy', 'fluorescence induction', 'excitation energy', 'energetic coupling', 'electron transport', 'effective size', 'conditions used', 'changes affecting', 'basf 13', 'antenna based', 'also known', 'also enhanced', 'activity leading']</t>
  </si>
  <si>
    <t>cyanobacteria | excitation energy | herbicide | photochemical apparatus | photosynthesis | pyridazinone</t>
  </si>
  <si>
    <t>SANDOZ 9785, also known as BASF 13.338, is a pyridazinone derivative that inhibits Photosystem II (PS II) activity leading to an imbalance in the rate of electron transport through the photosystems. Synechococcus sp. strain PCC 7942 cells grown in the presence of sublethal concentration of SANDOZ 9785 (SAN 9785) for 48 hours exhibited a 20% decrease in Chl a per cell. However, no changes were observed in the content of phycocyanin per cell, the size of the phycobilisomes or in the PS II:PS I ratio. From an estimate of PS II electron transport rate under varying light intensities and spectral qualities and analysis of room temperature Chl a fluorescence induction, it was deduced that growth of Synechococcus PCC 7942 in the presence of SAN 9785 leads to a redistribution of excitation energy in favour of PS II. Though the redistribution appears to be primarily caused by changes affecting the Chl a antenna of PS II, the extent of energetic coupling between phycobilisomes and PS II is also enhanced in SAN 9785 grown Synechococcus PCC 7942 cells. There was a reduction in the effective size of PS I antenna based on measurement of P700 photooxidation kinetics. These results indicate that when PS II is partially inhibited, the structure of photosynthetic apparatus alters to redistribute the excitation energy in favour of PS II so that the efficiency of utilization of light energy by the two photosystems is optimized. Our results suggest that under the conditions used, drastic structural changes are not essential for redistribution of excitation energy between the photosystems. ¬© 1994 Kluwer Academic Publishers.</t>
  </si>
  <si>
    <t>60006577;60006577;60030622</t>
  </si>
  <si>
    <t>7202210602;6701835437;7401626797</t>
  </si>
  <si>
    <t>Srivastava, Madhulika;Bhaya, Devaki;Bose, Salil</t>
  </si>
  <si>
    <t>India;United States</t>
  </si>
  <si>
    <t>New Delhi;Bethesda</t>
  </si>
  <si>
    <t>Jawaharlal Nehru University;National Institutes of Health (NIH)</t>
  </si>
  <si>
    <t>60030622;60006577</t>
  </si>
  <si>
    <t>Srivastava M.</t>
  </si>
  <si>
    <t>Changes in the antenna size of Photosystem I and Photosystem II in Synechococcus sp. strain PCC 7942 grown in the presence of SANDOZ 9785 - a Photosystem II inhibitor</t>
  </si>
  <si>
    <t>10.1007/BF00019408</t>
  </si>
  <si>
    <t>2-s2.0-0028001863</t>
  </si>
  <si>
    <t>['two carotenoids', 'turnover time', 'thermal dissipation', 'sufficiently large', 'stoichiometric decrease', 'state photosynthesis', 'small decrease', 'slightly higher', 'saturate steady', 'samples poisoned', 'results suggest', 'reaction center', 'ps ii', 'photochemical quenching', 'light saturation', 'induced dd', 'energy dissipation', 'dtt ).', 'dt increased', 'dt accumulation', 'dt ).', 'diadinoxanthin cycle', 'cross section', 'control samples', 'concomitant decrease', 'completely blocked', 'chlorophyll fluorescence']</t>
  </si>
  <si>
    <t>diadinoxanthin | diatoxanthin | fluorescence-quenching | photoprotection | phytoplankton | protein turn-over | xanthophyll-cycle</t>
  </si>
  <si>
    <t>The diadinoxanthin cycle (DD-cycle) in chromophyte algae involves the interconversion of two carotenoids, diadinoxanthin (DD) and diatoxanthin (DT). We investigated the kinetics of light-induced DD-cycling in the marine diatom Phaeodactylum tricornutum and its role in dissipating excess excitation energy in PS II. Within 15 min following an increase in irradiance, DT increased and was accompanied by a stoichiometric decrease in DD. This reaction was completely blocked by dithiothreitol (DTT). A second, time-dependent, increase in DT was detected ‚àº 20 min after the light shift without a concomitant decrease in DD. DT accumulation from both processes was correlated with increases in non-photochemical quenching of chlorophyll fluorescence. Stern-Volmer analyses suggests that changes in non-photochemical quenching resulted from changes in thermal dissipation in the PS II antenna and in the reaction center. The increase in non-photochemical quenching was correlated with a small decrease in the effective absorption cross section of PS II. Model calculations suggest however that the changes in cross section are not sufficiently large to significantly reduce multiple excitation of the reaction center within the turnover time of steady-state photosynthetic electron transport at light saturation. In DTT poisoned cells, the change in non-photochemical quenching appears to result from energy dissipation in the reaction center and was associated with decreased photochemical efficiency. D1 protein degradation was slightly higher in samples poisoned with DTT than in control samples. These results suggest that while DD-cycling may dynamically alter the photosynthesis-irradiance response curve, it offers limited protection against photodamage of PS II reaction centers at irradiance levels sufficient to saturate steady-state photosynthesis. ¬© 1994 Kluwer Academic Publishers.</t>
  </si>
  <si>
    <t>357-370</t>
  </si>
  <si>
    <t>60026415;60006221;60006221;60006221</t>
  </si>
  <si>
    <t>6602146831;57203054937;7003648490;7005554445</t>
  </si>
  <si>
    <t>Olaizola, Miguel;La Roche, Julie;Kolber, Zbigniew;Falkowski, Paul G.</t>
  </si>
  <si>
    <t>Stony Brook;Upton</t>
  </si>
  <si>
    <t>Stony Brook University;Brookhaven National Laboratory</t>
  </si>
  <si>
    <t>60026415;60006221</t>
  </si>
  <si>
    <t>Non-photochemical fluorescence quenching and the diadinoxanthin cycle in a marine diatom</t>
  </si>
  <si>
    <t>10.1007/BF00019413</t>
  </si>
  <si>
    <t>2-s2.0-0028001875</t>
  </si>
  <si>
    <t>['¬© 1994', 'spectroscopic measurements', 'rights reserved', 'qy transition', 'purification procedure', 'protein quantitation', 'protein concentration', 'pigment content', 'photosystem ii', 'main bands', 'higher plants', 'high homology', 'excitonic interactions', 'exchange chromatography', 'energy transfer', 'emission bands', 'different transitions', 'cp47 indicated', 'cp43 showed', 'core complex', 'complex structure', '77 k', '695 nm', '670 nm', '661 nm', '5 nm', '48 k', '20 chlorophylls', '19 chlorophylls', '18 chlorophylls']</t>
  </si>
  <si>
    <t>The core antenna complexes of photosystem II, CP43 and CP47, were purified from two higher plants by anion-exchange chromatography, using a combination of the chaotropic agent LiClO4 and the nonionic detergent Œ≤-dodecyl maltoside. The Qy transition was resolved at 48 K into two main bands near 682.3 and 671.5 nm for CP43, while the CP47 spectrum showed a more complex structure with main bands at 688, 681.2, 676, 670, 667, and 661 nm. Emission bands (77 K) were detected at 683 and 695 nm for CP43 and CP47, respectively. Fluorescence excitation spectra showed high efficiency of energy transfer between the different transitions of the chlorophylls and a somewhat lower efficiency from Œ≤-carotene. The circular dichroism spectrum of CP47 indicated the presence of excitonic interactions between some chlorophylls. In contrast, CP43 showed a single negative circular dichroism band at 670 nm. The pigment content of the complexes was determined by both spectroscopic measurements and HPLC. Contents of 18 chlorophylls a and 5 Œ≤-carotenes per CP43 polypeptide and 19 chlorophylls a and 3 Œ≤-carotenes per CP47 polypeptide were found, using the methods of Lowry or Bradford for protein quantitation. When the protein concentration was determined from the amino acid analysis, 20 chlorophylls a and 5 Œ≤-carotenes per CP43 and 21‚Äì22 chlorophylls a and 4 Œ≤-carotenes per CP47 were obtained. Thus, a content of 46‚Äì48 chlorophylls a was obtained for the core complex, assuming 4‚Äì6 chlorophylls per reaction center, in agreement with the composition obtained experimentally using a highly purified oxygen-evolving core complex. This suggested that no pigments were lost during the purification procedure. Moreover, the amino acid analysis of the purified complexes revealed a high homology with the amino acid composition derived from the gene sequences reported for other higher plants. ¬© 1994, American Chemical Society. All rights reserved.</t>
  </si>
  <si>
    <t>10494-10500</t>
  </si>
  <si>
    <t>60010939;60010939;60010939;60016809;60027282</t>
  </si>
  <si>
    <t>57196790195;57217790924;57208683988;57208684877;57194804333</t>
  </si>
  <si>
    <t>Alfonso, Miguel;Montoya, Guillermo;Picorel, Rafael;Cases, Rafael;Rodr√≠guez, Rosal√≠a</t>
  </si>
  <si>
    <t>Spain;Spain;Spain</t>
  </si>
  <si>
    <t>Madrid;Zaragoza;Zaragoza</t>
  </si>
  <si>
    <t>Universidad Complutense de Madrid;Universidad de Zaragoza;CSIC - Estacion Experimental de Aula Dei EEAD</t>
  </si>
  <si>
    <t>60027282;60016809;60010939</t>
  </si>
  <si>
    <t>Alfonso M.</t>
  </si>
  <si>
    <t>Core Antenna Complexes, CP43 and CP47, of Higher Plant Photosystem II. Spectral Properties, Pigment Stoichiometry, and Amino Acid Composition</t>
  </si>
  <si>
    <t>10.1021/bi00200a034</t>
  </si>
  <si>
    <t>2-s2.0-0028141568</t>
  </si>
  <si>
    <t>['variational expressions', 'surface resistance', 'present method', 'numerical integration', 'method using', 'loss tangent', 'integral along', 'infinite interval', 'expression involves', 'dielectric properties', 'also presented']</t>
  </si>
  <si>
    <t>A method using the microstrip line resonator is applied to measurements of the dielectric properties of a substrate and the surface resistance of a conducting strip line versus the frequency as well as the temperature. The variational expressions for the capacitance per unit length of several microstrip lines such as an inverted microstrip line and multi-layer microstrip lines are derived. The expression involves an integral along a semi-infinite interval, but the numerical integration is very easy. Effects of a buffer layer deposited on the substrate are investigated by using a multi-layer microstrip line model. The permittivity and the loss tangent of several dielectric materials are measured by the MSL and the IMSL or the multi-layer microstrip resonator. The measured surface resistance of copper and iron is also presented to show the validity of the present method. The surface resistance of a BSCCO thick film is also presented.</t>
  </si>
  <si>
    <t>1234-1240</t>
  </si>
  <si>
    <t>100955946;100955946;100955946;100955946;100955946</t>
  </si>
  <si>
    <t>7004189404;35598806700;56779495700;7203068282;6503933888</t>
  </si>
  <si>
    <t>Taketomi, Akira;Sawaya, Kunio;Adachi, Saburo;Ohshima, Shigetoshi;Yaoi, Norihiko</t>
  </si>
  <si>
    <t>Toyota</t>
  </si>
  <si>
    <t>Toyota Moter Corp</t>
  </si>
  <si>
    <t>Taketomi A.</t>
  </si>
  <si>
    <t>Method for measuring surface impedance of superconductor and dielectric characteristics of substrate by using strip line resonator</t>
  </si>
  <si>
    <t>2-s2.0-0028479612</t>
  </si>
  <si>
    <t>['simplified analysis', 'paper examines', 'excitation errors', 'allows prediction']</t>
  </si>
  <si>
    <t>Sequentially rotated feeding of circularly polarised arrays gives improved main beam cross polarisation rejection, VSWR and bandwidth. However, when excitation errors are present, significant grating lobes are present which may limit system bandwidth. The paper examines the radiation pattern behaviour of such arrays. After discussing array excitation error sources, a simplified analysis is presented that allows prediction of the grating lobe position and height. Two practical cases are then described that illustrate the issues and application of the analysis.</t>
  </si>
  <si>
    <t>313-320</t>
  </si>
  <si>
    <t>100538589;100538589</t>
  </si>
  <si>
    <t>55495914500;57213425197</t>
  </si>
  <si>
    <t>Smith, M. S.;Hall, P. S.</t>
  </si>
  <si>
    <t>BNR Europe</t>
  </si>
  <si>
    <t>Smith M.</t>
  </si>
  <si>
    <t>Analysis of radiation pattern effects in sequentially rotated arrays</t>
  </si>
  <si>
    <t>10.1049/ip-map:19941194</t>
  </si>
  <si>
    <t>2-s2.0-0028480026</t>
  </si>
  <si>
    <t>['wide range', 'small space', 'small arrays', 'radiation characteristics', 'parallel feed', 'horizontal range']</t>
  </si>
  <si>
    <t>A phased array antenna, composed of microstrip patch antennas for scanning a vertical shaped beam over a horizontal range of ¬±40¬∞, has been developed. A problem in shaping the beam and scanning it over a wide range is how to mount the feed in a small space. In this paper, application of the parallel feed to the vertical feed system is presented. Further, the active element pattern of microstrip patch antenna is investigated, and the radiation characteristics of the phase array antenna are estimated in order to use microstrip patch antennas over a wide-range and as an accurate scanning antenna. The analysis is applied to the large scale antenna after it is confirmed by test results using some small arrays.</t>
  </si>
  <si>
    <t>295-298</t>
  </si>
  <si>
    <t>7103395868;7202722874;36730390700;6603687544</t>
  </si>
  <si>
    <t>Kuwahara, Y.;Matsuzawa, Y.;Kitahara, H.;Haneishi, M.</t>
  </si>
  <si>
    <t>Phased array antenna with a multilayer substrate</t>
  </si>
  <si>
    <t>10.1049/ip-map:19941180</t>
  </si>
  <si>
    <t>2-s2.0-0028480218</t>
  </si>
  <si>
    <t>['significant improvement', 'signal detection', 'results show', 'experimentally investigated', 'doppler detection', 'detection performance']</t>
  </si>
  <si>
    <t>The self detection capabilities of an active patch antenna for Doppler detection is experimentally investigated under injection locking conditions. The results show a significant improvement in detection performance under certain operating conditions. Further, the posibility of using an injection locked FET active patch antenna for PM(PSK) signal detection is investigated.</t>
  </si>
  <si>
    <t>253-256</t>
  </si>
  <si>
    <t>Self detection performance of an FET active patch antenna under injection locking and its application for PM signal detection</t>
  </si>
  <si>
    <t>10.1049/ip-map:19941114</t>
  </si>
  <si>
    <t>2-s2.0-0028480293</t>
  </si>
  <si>
    <t>['two techniques', 'sequential rotation', 'resonant elements', 'paper describes', 'obtained together', 'microstrip patches', 'limit bandwidth', 'companion paper', '10 dbs']</t>
  </si>
  <si>
    <t>A companion paper [1] has described the effect of sequential rotation on radiation pattern performance of circularly polarised arrays. Distribution errors result in significant grating lobes that limit bandwidth if resonant elements such as microstrip patches are used. This paper describes the performance of new sequential rotation configurations that reduce grating lobes. Two techniques, rotation of subarrays and large spiral subarrays are discussed. Grating lobe reduction of up to 10 dBs is obtained together with reduction of the pattern frequency dependence.</t>
  </si>
  <si>
    <t>333-336</t>
  </si>
  <si>
    <t>57213425197;55495914500</t>
  </si>
  <si>
    <t>Hall, P. S.;Smith, M. S.</t>
  </si>
  <si>
    <t>Hall P.</t>
  </si>
  <si>
    <t>Sequentially rotated arrays with reduced sidelobe levels</t>
  </si>
  <si>
    <t>10.1049/ip-map:19941192</t>
  </si>
  <si>
    <t>2-s2.0-0028480356</t>
  </si>
  <si>
    <t>['yagi optimizer', 'version 5', 'transmitter power', 'software package', 'relatively small', 'physically imposing', 'frequency designs', 'brian beezley']</t>
  </si>
  <si>
    <t>Long-range communications frequently require high-gain Yagi antennas, especially where transmitter power is limited. While higher-frequency Yagi antennas are relatively small and manageable, lower-frequency designs can be physically imposing. Fortunately, version 5.16 of the Yagi Optimizer (YO) software package from Brian Beezley (Vista, CA) can analyze, adjust, and optimize Yagi designs too large for the laboratory.</t>
  </si>
  <si>
    <t>PC software helps optimize Yagi antennas</t>
  </si>
  <si>
    <t>2-s2.0-0028481053</t>
  </si>
  <si>
    <t>['special requirements', 'small size', 'recent years', 'radio pagers', 'properly designing', 'pager receivers', 'pager antenna', 'matching network', 'economical means']</t>
  </si>
  <si>
    <t>Radio pagers have grown in popularity in recent years as they provide a convenient and economical means of achieving wireless personal communications. Among the special requirements of pager receivers is small size, which is limited by the antenna. However, by properly designing the pager antenna and matching network, optimal receiver performance can be achieved.</t>
  </si>
  <si>
    <t>Fu, T. L.</t>
  </si>
  <si>
    <t>Fu T.</t>
  </si>
  <si>
    <t>Optimize the performance of pager antennas</t>
  </si>
  <si>
    <t>2-s2.0-0028481535</t>
  </si>
  <si>
    <t>['wide range', 'tm planes', 'theoretical results', 'strength material', 'passband widths', 'narrow band', 'matching skins', 'matched triple', 'incidence angles', 'halfwave dielectric', 'general case', 'dielectric causes', 'consider placing', 'band centre', 'array spacings', 'array interactions']</t>
  </si>
  <si>
    <t>Experimental and theoretical results are presented which consider placing a number of slotted arrays inside a halfwave dielectric, to give a high-strength material which exhibits a narrow passband transmission response. Array spacings of Œª/4 were found to be optimum for narrow band-widths. Passband widths can also be reduced by choice of element; additionally reducing secondary responses produced by array interactions. The dielectric causes a shift of band centre between TE and TM planes for embedded biplanar arrays, while also causing passband ripple in the general case. This can be reduced by matching skins and results for a matched triple-array panel exhibit a highly selective passband response, stable over a wide range of incidence angles.</t>
  </si>
  <si>
    <t>290-294</t>
  </si>
  <si>
    <t>7103342300;7201840709</t>
  </si>
  <si>
    <t>Callaghan, P.;Parker, E. A.</t>
  </si>
  <si>
    <t>Callaghan P.</t>
  </si>
  <si>
    <t>Tuning interactions of cascaded-frequency selective-slot arrays</t>
  </si>
  <si>
    <t>10.1049/ip-map:19941169</t>
  </si>
  <si>
    <t>2-s2.0-0028482128</t>
  </si>
  <si>
    <t>['tc superconducting', 'surface impedance', 'resonant frequency', 'radiation efficiency', 'microstrip antenna', 'hts film', 'ground plane', 'experimental results', 'conduction loss', 'analyze high']</t>
  </si>
  <si>
    <t>In this paper, we analyze high-Tc superconducting (HTS) microstrip antenna (MSA) using modified spectral domain moment method. Although it is assumed that the patch and the ground plane of the MSA are perfect electric conductors (PECs) in the conventional spectral domain method, we modify this method to compute the conduction loss of the HTS-MSA. In our analysis, the effect of the HTS film is introduced by the surface impedance which we can estimate by using the three fluid model and experimental results. This paper presents numerical results about the HTS-MSA, for example, the relations between the thickness of the substrate and the radiation efficiency, the temperature and the resonant frequency, and so forth. And we discuss the effective power range where the performance of the HTS-MSA is superior to that of the Cu-MSA.</t>
  </si>
  <si>
    <t>1242-1248</t>
  </si>
  <si>
    <t>7402368349;7102652057;7404897527</t>
  </si>
  <si>
    <t>Ishii, Nozomu;Fukasawa, Toru;Itoh, Kiyohiko</t>
  </si>
  <si>
    <t>Ishii N.</t>
  </si>
  <si>
    <t>Analysis of high-T&lt;inf&gt;c&lt;/inf&gt; superconducting microstrip antenna using modified spectral domain moment method</t>
  </si>
  <si>
    <t>2-s2.0-0028482251</t>
  </si>
  <si>
    <t>['waveguide aperture', 'radiation pattern', 'probe antennas', 'phase patterns', 'mounting structure', 'measured values', 'frequency dependence', 'experimental data', 'correctly predicted', 'also calculated', 'accurately model']</t>
  </si>
  <si>
    <t>To increase the accuracy of a near field antenna measurement system, it is necessary to know radiation characteristics of a probe to detect near field data. Open ended waveguide used as a near field probe in our system was analyzed using Transmission Line Matrix (TLM) method which is a time domain electromagnetic solver. Validity of this analysis has been confirmed by comparison with experimental data and existing theoretical approximation. Frequency dependence of a complex reflection coefficient at the waveguide aperture has been derived and is shown to agree with measured values. The radiation pattern of the open ended waveguide with mounting structure is also calculated. Ripples on both the amplitude and phase patterns are correctly predicted by our simulation. This method can be applied to accurately model the effect of probe antennas to enhance the accuracy of near field antenna range.</t>
  </si>
  <si>
    <t>1048-1055</t>
  </si>
  <si>
    <t>60032325;60032325</t>
  </si>
  <si>
    <t>55443977100;7202716181</t>
  </si>
  <si>
    <t>Fujino, Yoshiyuki;Tong, Cheuk yu Edward</t>
  </si>
  <si>
    <t>Japan National Institute of Information and Communications Technology</t>
  </si>
  <si>
    <t>Fujino Y.</t>
  </si>
  <si>
    <t>Analysis of an open-ended waveguide as a probe for near field antenna measurements by using TLM method</t>
  </si>
  <si>
    <t>2-s2.0-0028482394</t>
  </si>
  <si>
    <t>['wide range', 'tv screen', 'teletext terminal', 'suitable software', 'single slot', 'save pages', 'paper describes', 'high performance', 'future reference', 'factory pre', 'baseband video', 'audio signals', 'audio demodulator', 'aligned video', 'accessed via']</t>
  </si>
  <si>
    <t>Broadband teletext services are useful, updated and an essentially free source of information on a wide range of topics. This can be accessed via a tv screen but cannot be printed or saved for future reference. The paper describes a complete teletext adaptor that plugs into a single slot in a PC. It accepts a standard antenna input and appears to the PC as a standard serial communication port. Together with a suitable software, a PC can become a teletext terminal with the ability to print or save pages to a disk or RAM. Built into the adaptor's tuner is an IF stage with high performance, factory pre-aligned video and audio demodulator. With this, baseband video and audio signals can be made available via sockets near the PC and these can feed multimedia cards in the future.</t>
  </si>
  <si>
    <t>630-634</t>
  </si>
  <si>
    <t>Electronics World</t>
  </si>
  <si>
    <t>Cook, Laurence</t>
  </si>
  <si>
    <t>Cook L.</t>
  </si>
  <si>
    <t>Teletext via your PC</t>
  </si>
  <si>
    <t>2-s2.0-0028484981</t>
  </si>
  <si>
    <t>['zone plates', 'zone numbers', 'zone number', 'work show', 'wave communications', 'transmitting antennas', 'simulated numerically', 'planar reflector', 'placed behind', 'optimized conditions', 'low cost', 'good balance', 'fzp antenna', 'fzp ),', 'folded fzp', 'focusing characteristics', 'focal length', 'design procedure', 'axis performance', 'antenna parameters', 'antenna gain', 'antenna diameter']</t>
  </si>
  <si>
    <t>Based on the Kirchhoff-Huygens diffraction theory, a simple analytical method of a planar folded Fresnel zone-plate (FZP), that is the case when a planar reflector is placed behind the zone plates, has been developed. According to the numerical calculation results, the design procedure of the FZP antenna has been presented, and its focusing characteristics and gain-optimized conditions have been discussed. The variations of the focal field distribution with the antenna parameters such as zone numbers, focal length and antenna diameter and the radiation power patterns of the FZP have been simulated numerically. To take a good balance of both receiving and transmitting antennas, at 60GHz operating frequency, the focal length should be designed as a half of the antenna diameter and the zone number should be from 10 to 15. The results in this work show that the folded FZP has good focal characteristics and off-axis performance, and its antenna gain can be optimized by the suitable antenna parameter design. The possibility of applying the folded FZP as a low cost and high gain antenna without strict manufacturing requirement for millimeter-wave communications has been shown. ¬© 1994 Plenum Publishing Corporation.</t>
  </si>
  <si>
    <t>1385-1406</t>
  </si>
  <si>
    <t>54681084200;7403990802</t>
  </si>
  <si>
    <t>Ji, Yu;Fujita, Masaharu</t>
  </si>
  <si>
    <t>Ji Y.</t>
  </si>
  <si>
    <t>Design and analysis of a folded Fresnel Zone Plate antenna</t>
  </si>
  <si>
    <t>10.1007/BF02096066</t>
  </si>
  <si>
    <t>2-s2.0-0028485320</t>
  </si>
  <si>
    <t>['technical characteristics', 'problem arises', 'phase nonuniformity', 'experimentally verified', 'experimental data', 'electromagnetic field', 'discussed using']</t>
  </si>
  <si>
    <t>The problem of estimating the phase nonuniformity of an electromagnetic field is considered. This problem arises when designing and testing new types of antennas, and also when determining the technical characteristics of special measuring systems. The difficulties that arise and ways of overcoming them are discussed using the example of the processing of experimental data. One of the possible processing algorithms is discussed and experimentally verified. ¬© 1995 Plenum Publishing Corporation.</t>
  </si>
  <si>
    <t>946-948</t>
  </si>
  <si>
    <t>Prospykin, S. E.</t>
  </si>
  <si>
    <t>Prospykin S.</t>
  </si>
  <si>
    <t>Algorithm for estimating the phase nonuniformity of an electromagnetic field</t>
  </si>
  <si>
    <t>10.1007/BF00977153</t>
  </si>
  <si>
    <t>2-s2.0-34249759332</t>
  </si>
  <si>
    <t>['wave antenna', 'thermal noise', 'mode system', 'final resonator', 'design characteristics', 'clean spectrum', 'briefly report']</t>
  </si>
  <si>
    <t>Experimental tests of general relativity and observations of gravitational radiation | Sensing and detecting devices</t>
  </si>
  <si>
    <t>We have instrumented a room temperature gravitational-wave antenna with a prototype bimodal capacitive transducer and a conventional FET amplifier. This transducer, realized with a steel intermediate resonator, provides mass ratios Œº‚âà10-3 both with respect to the antenna and to the light-mass (27 g), mushroom-shaped, final resonator. We briefly report some remarks on the analysis of a three-mode system and the design characteristics of the transducer. Finally, we show that the antenna has been operated for several days exhibiting a clean spectrum of thermal noise. ¬© 1994 Societ√† Italiana di Fisica.</t>
  </si>
  <si>
    <t>897-910</t>
  </si>
  <si>
    <t>II Nuovo Cimento B Series 11</t>
  </si>
  <si>
    <t>60027509-60021660;60027509-60021660;60027509-60021660</t>
  </si>
  <si>
    <t>7004985710;24781943300;7003738313</t>
  </si>
  <si>
    <t>Bassan, M.;Buratti, F.;Modena, I.</t>
  </si>
  <si>
    <t>Universit√† degli Studi di Roma "Tor Vergata";Istituto Nazionale di Fisica Nucleare - INFN</t>
  </si>
  <si>
    <t>60027509;60021660</t>
  </si>
  <si>
    <t>Bassan M.</t>
  </si>
  <si>
    <t>Observation of thermal noise in a three-mode resonant gravitational-wave antenna</t>
  </si>
  <si>
    <t>10.1007/BF02722467</t>
  </si>
  <si>
    <t>2-s2.0-51249170648</t>
  </si>
  <si>
    <t>['¬© 1994', 'store bilins', 'staining matter', 'rights reserved', 'pyrenomonas sp', 'proceed extra', 'probably enzymes', 'new example', 'external sources', 'digestive faculties', 'cryptophyceae ),', 'containing alga', 'certain algae', 'animal crimson', 'algal pigment']</t>
  </si>
  <si>
    <t>Bilin Storage | Cryptophvceae | Phycoerythrin | Trichoplax</t>
  </si>
  <si>
    <t>Animal, species that store bilins from external sources are very rare. A new example is described here. - Since the primitive marine metazoon Trichoplax adhaerens stains crimsonred when feeding on a phycoerythrin-containing alga, i.e. Pyrenomonas sp. (Cryptophyceae), the question arose whether an algal pigment can be identified as the staining matter. Thin layer chromatography and visible light absorption spectrography of aqueous Trichoplax extract disclosed several bilin components representing chromophores of phycoerythrin, a photosynthetic antenna protein that occurs only in certain algae and cyanobacteria. - Additional experiments showed that a cell-free Trichoplax extract kills and incompletely digests Pyrenomonas algae releasing phycoerythrin into the medium. These digestive faculties of Trichoplax tissue components, probably enzymes, contribute to the animal's natural feeding mechanisms that proceed extra- as well as intracorporally. While the large apoprotein component of phycoerythrin is metabolized as a nutrient, the remaining chromophore bilins, strikingly coloured tetrapyrroles, are stored within Trichoplax‚Äô distinct cellular inclusions, staining the animal crimson. ¬© 1994, Walter de Gruyter. All rights reserved.</t>
  </si>
  <si>
    <t>458-463</t>
  </si>
  <si>
    <t>Wenderoth, Heinz</t>
  </si>
  <si>
    <t>Bochum</t>
  </si>
  <si>
    <t>Ruhr-Universitat Bochum</t>
  </si>
  <si>
    <t>Wenderoth H.</t>
  </si>
  <si>
    <t>Phycoerythrin: Release from Cryptophycean Algae and Bilin Storage by the Primitive Metazoon Trichoplax adhaerens (Placozoa)</t>
  </si>
  <si>
    <t>10.1515/znc-1994-7-811</t>
  </si>
  <si>
    <t>2-s2.0-77952711391</t>
  </si>
  <si>
    <t>['¬© 1994', 'rights reserved', 'new strategy', 'narrowband sources', 'music algorithm', 'gaussian signals', 'coherent non', 'based techniques', 'based methods']</t>
  </si>
  <si>
    <t>Array signal processing | Radio direction-finding | Statistics for communications</t>
  </si>
  <si>
    <t>Eigendecomposition-based techniques such as MUSIC and its variants constitute effective methods for determining the direction of arrival (DOA) estimates of narrowband sources. A new strategy which extends the MUSIC algorithm to higher order statistics (HOS) is proposed for estimation of the DOA, and the number of multiple narrowband incoherent and coherent non-Gaussian signals. The performance of the technique is compared with other recently suggested HOS-based methods. ¬© 1994, IEE. All rights reserved.</t>
  </si>
  <si>
    <t>1282-1284</t>
  </si>
  <si>
    <t>Signal-subspace processing using higher order statistics</t>
  </si>
  <si>
    <t>10.1049/el:19940900</t>
  </si>
  <si>
    <t>2-s2.0-0028764336</t>
  </si>
  <si>
    <t>['¬© 1994', 'rights reserved', 'reflection resonances', 'normal incidence', 'frequency responses', 'experimental prototype', 'dipole elements']</t>
  </si>
  <si>
    <t>Antenna arrays | Dipole antennas | Frequency-selective surfaces</t>
  </si>
  <si>
    <t>A technique for reconfiguring in situ the plane wave transmission response of frequency selective surfaces is explained. An experimental prototype, consisting of arrays of dipole elements, has been assessed and frequency responses are presented at normal incidence. Reflection resonances are dynamically shifted achieving maximum frequency shift ratios of 2:1. ¬© 1994, IEE. All rights reserved.</t>
  </si>
  <si>
    <t>1258-1259</t>
  </si>
  <si>
    <t>60000891;60000891;60000891;60000891;60018829</t>
  </si>
  <si>
    <t>35562685800;57199297681;7003531756;57218160661;57226202936</t>
  </si>
  <si>
    <t>Lockyer, D.;Moore, C.;Seager, R.;Vardaxoglou, J. C.;Simpkin, R.</t>
  </si>
  <si>
    <t>Farnborough;Loughborough</t>
  </si>
  <si>
    <t>BAE Systems plc;Loughborough University</t>
  </si>
  <si>
    <t>60018829;60000891</t>
  </si>
  <si>
    <t>Lockyer D.</t>
  </si>
  <si>
    <t>Coupled dipole arrays as reconfigurable frequency selective surfaces</t>
  </si>
  <si>
    <t>10.1049/el:19940906</t>
  </si>
  <si>
    <t>2-s2.0-0028764350</t>
  </si>
  <si>
    <t>['¬© 1994', 'rights reserved', 'return loss', 'radiation patterns', 'phase shifts', 'phase control', 'experimental investigations', 'change significantly', 'canadian government', 'applied bias', '20 ghz']</t>
  </si>
  <si>
    <t>Ferrite devices | Microwave antennas</t>
  </si>
  <si>
    <t>Experimental investigations were performed on a tapered ferrite rod antenna at 20 GHz. By inserting a section of the rod into a solenoid, phase control was achieved by varying the applied DC solenoid current. Phase shifts of greater than 100¬∞/Œª0were attained. The gain and radiation patterns did not change significantly with the applied bias. The return loss was somewhat more sensitive, but a better than 10dB return loss was obtained over the complete bias range. ¬© 1994, Canadian Government. All rights reserved.</t>
  </si>
  <si>
    <t>1261-1262</t>
  </si>
  <si>
    <t>60017592;60017592;60018714</t>
  </si>
  <si>
    <t>7003819332;57191680887;57027512900</t>
  </si>
  <si>
    <t>Petosa, A.;Wight, J. S.;Ittipiboon, A.</t>
  </si>
  <si>
    <t>Experimental investigations on a tapered ferrite rod antenna with magnetic phase control</t>
  </si>
  <si>
    <t>10.1049/el:19940921</t>
  </si>
  <si>
    <t>2-s2.0-0028764351</t>
  </si>
  <si>
    <t>['√± ector', '¬© 1994', 'typical results', 'successfully formed', 'simulated scenarios', 'sidelobe region', 'rights reserved', 'reconfigurable mesh', 'priori knowledge', 'pattern peak', 'nulling algorithm', 'null may', 'first demonstration', 'authors report', 'angular location', 'additional hardware', 'adaptively form', '50 iterations']</t>
  </si>
  <si>
    <t>Antenna phased arrays | Antenna radiation patterns | Reflector antennas</t>
  </si>
  <si>
    <t>The authors report the first results experimentally demonstrating the ability of a reconfigurable mesh re√±ector to adaptively form a null in the sidelobe region of an arbitrarily shaped pattern, with no a priori knowledge of the angular location of the source of interference. Using a prototype mesh reflector antenna with additional hardware and software in a compact antenna test range (CATR), deep nulls have been successfully formed for a number of simulated scenarios and some typical results are presented. It is shown that a null may be formed to a depth of -60dB with respect to the pattern peak after less than 50 iterations of the nulling algorithm. It is believed that this represents the first demonstration of adaptive nulling using control of a reflector surface rather than the excitations of array or feed array elements. ¬© 1994, IEE. All rights reserved.</t>
  </si>
  <si>
    <t>1259-1261</t>
  </si>
  <si>
    <t>60022109;60022109</t>
  </si>
  <si>
    <t>7005771768;7006192058</t>
  </si>
  <si>
    <t>Monk, A. D.;Clarricoats, P. J.B.</t>
  </si>
  <si>
    <t>Monk A.D.</t>
  </si>
  <si>
    <t>Experimental demonstration of adaptive nulling using a mesh reflector antenna</t>
  </si>
  <si>
    <t>10.1049/el:19940874</t>
  </si>
  <si>
    <t>2-s2.0-0028764375</t>
  </si>
  <si>
    <t>['¬© 1994', 'rights reserved', 'resonance frequency', 'range using', 'order tm21mode', 'generated using', 'fundamental tm11mode', 'experimental results']</t>
  </si>
  <si>
    <t>Antennas | Ferrite applications | Microstrip antennas</t>
  </si>
  <si>
    <t>Properties, of annular ring microstrip antennas printed on magnetically biased ferrite substrates are reported. Experimental results for the fundamental TM11mode and a higher-order TM21mode are. described Circular polarisation is generated using a single electromagnetically coupled feed for both modes. The resonance frequency can be tuned over a 15% range using a magnetic bias normal to the patch and ferrite. ¬© 1994, IEE. All rights reserved.</t>
  </si>
  <si>
    <t>1257-1258</t>
  </si>
  <si>
    <t>7201554799;56020461500</t>
  </si>
  <si>
    <t>Tsang, K. K.;Langley, R. J.</t>
  </si>
  <si>
    <t>Tsang K.</t>
  </si>
  <si>
    <t>Annular ring microstrip antennas on biased ferrite substrates</t>
  </si>
  <si>
    <t>10.1049/el:19940869</t>
  </si>
  <si>
    <t>2-s2.0-0028764398</t>
  </si>
  <si>
    <t>['¬© 1994', 'tie antenna', 'rights reserved', 'metallic bow', 'field transformation', 'fdtd method']</t>
  </si>
  <si>
    <t>Antenna theory | Finite-differenee time domain method</t>
  </si>
  <si>
    <t>A time-domain, near-field to near-field transformation for use with the FDTD method is given and its accuracy is verified with experimental measurements made on a metallic bow-tie antenna. ¬© 1994, IEE. All rights reserved.</t>
  </si>
  <si>
    <t>1262-1264</t>
  </si>
  <si>
    <t>6701421310;7406739047</t>
  </si>
  <si>
    <t>Shlager, K. L.;Smith, G. S.</t>
  </si>
  <si>
    <t>Near-field to near-field transformation for use with FDTD method and its application to pulsed antenna problems</t>
  </si>
  <si>
    <t>10.1049/el:19940885</t>
  </si>
  <si>
    <t>2-s2.0-0028764399</t>
  </si>
  <si>
    <t>['¬© 1994', 'wire arrays', 'usual straight', 'uda arrays', 'study shows', 'shaped dipoles', 'rights reserved', 'higher directivity', 'element arrays', 'back ratio', 'antenna array']</t>
  </si>
  <si>
    <t>Antenna arrays | Antenna radiation patterns | Antennas</t>
  </si>
  <si>
    <t>Yagi-Uda arrays of shaped dipoles are optimised for low sidelobe patterns. Six-element arrays are considered. The study shows that this type of antenna array can be designed to achieve not only higher directivity but also lower sidelobes and much greater front-to-back ratio than the usual straight-wire arrays. ¬© 1994, IEE. All rights reserved.</t>
  </si>
  <si>
    <t>1264-1265</t>
  </si>
  <si>
    <t>60010421;60010421;60010421</t>
  </si>
  <si>
    <t>56092910000;7004364432;7409376286</t>
  </si>
  <si>
    <t>Chen, W.;Jen, L.;Zhang, S. M.</t>
  </si>
  <si>
    <t>Radiation pattern optimisation for Yagi-Uda arrays of shaped dipole antennas</t>
  </si>
  <si>
    <t>10.1049/el:19940877</t>
  </si>
  <si>
    <t>2-s2.0-0028764401</t>
  </si>
  <si>
    <t>Biotechnology and Biological Sciences Research Council</t>
  </si>
  <si>
    <t>BBSRC</t>
  </si>
  <si>
    <t>['¬© 1994', 'simplified photosystems', 'rhodobacter sphaeroides', 'reaction centre', 'reaction center', 'pufx protein', 'photosynthetic growth', 'gene encoding', 'carotenoid type']</t>
  </si>
  <si>
    <t>Core complex | Cyclic electron transfer | Photosynthetic unit | PufX | Rhodobacter sphaeroides</t>
  </si>
  <si>
    <t>The effects of deletion of the gene encoding the PufX protein from Rhodobacter sphaeroides have been examined using bacterial strains with simplified photosystems. We find that the PufX protein is required for photosynthetic growth in strains which have the LH1 antenna complex, but is not required in a reaction centre-only strain, suggesting that the PufX protein does not directly facilitate cyclic electron transfer between the reaction centre and the cytochrome bc1 complex. The influence of PufX and carotenoid type on the size of the reaction center/LH1 core complex has also been examined in these strains. ¬© 1994.</t>
  </si>
  <si>
    <t>349-353</t>
  </si>
  <si>
    <t>6701659421;13105070700;8247663200</t>
  </si>
  <si>
    <t>McGlynn, Peter;Hunter, C. Neil;Jones, Michael R.</t>
  </si>
  <si>
    <t>McGlynn P.</t>
  </si>
  <si>
    <t>The Rhodobacter sphaeroides PufX protein is not required for photosynthetic competence in the absence of a light harvesting system</t>
  </si>
  <si>
    <t>10.1016/0014-5793(94)00701-2</t>
  </si>
  <si>
    <t>2-s2.0-0028101094</t>
  </si>
  <si>
    <t>['¬© 1994', 'wave discharge', 'theoretical investigations', 'straight single', 'high efficiency']</t>
  </si>
  <si>
    <t>We present the results of experimental and theoretical investigations on a rf helicon plasma source excited by a straight single-loop inner antenna. The high efficiency of the source is shown to be attributed to a peculiar "resonance" wave discharge. ¬© 1994.</t>
  </si>
  <si>
    <t>167-170</t>
  </si>
  <si>
    <t>60005722;60005722;60005722;60005722</t>
  </si>
  <si>
    <t>7004549257;6701490821;6701557700;6506400819</t>
  </si>
  <si>
    <t>Kirichenko, G. S.;Taranov, V. B.;Shamrai, K. P.;Yagola, V. V.</t>
  </si>
  <si>
    <t>Kiev</t>
  </si>
  <si>
    <t>Institute of Nuclear Research, National Academy of Sciences in Ukraine</t>
  </si>
  <si>
    <t>Kirichenko G.</t>
  </si>
  <si>
    <t>rf discharge in the fields of plasma resonator eigenmodes</t>
  </si>
  <si>
    <t>10.1016/0375-9601(94)90578-9</t>
  </si>
  <si>
    <t>2-s2.0-5244248928</t>
  </si>
  <si>
    <t>['¬© 1994', 'rights reserved', 'phase considerations', 'offset angle', 'given angle', 'feed horn', '12element array']</t>
  </si>
  <si>
    <t>A microstrip reflectarray fed with a feed h√∂rn offset at a given angle is demonstrated for the first time.‚Äô The phase considerations for an offset feed horn are applied, to a 12element array of rectangular microstrip patch antennas, operating in X-band, allowing accurate predictions of the redirected radiation based on the offset angle of the feed horn. ¬© 1994, IEE. All rights reserved.</t>
  </si>
  <si>
    <t>1363-1365</t>
  </si>
  <si>
    <t>Offset-fed microstrip reflectarray antenna</t>
  </si>
  <si>
    <t>10.1049/el:19940937</t>
  </si>
  <si>
    <t>2-s2.0-0028497009</t>
  </si>
  <si>
    <t>['‚ àº0', '¬© 1994', 'rights reserved', '026 œª0and']</t>
  </si>
  <si>
    <t>Low profile rectangular dielectric resonator antennas, fabricated out of a very high permittivity material (Œµr= 100) are reported. An antenna having a height of ‚àº0.026 Œª0and a bandwidth of 3% is demonstrated. ¬© 1994, IEE. All rights reserved.</t>
  </si>
  <si>
    <t>1362-1363</t>
  </si>
  <si>
    <t>57208023373;6504672270;7004481899</t>
  </si>
  <si>
    <t>Mongia, R. K.;Ittibipoon, A.;Cuhaci, M.</t>
  </si>
  <si>
    <t>Low profile dielectric resonator antennas using a very high permittivity material</t>
  </si>
  <si>
    <t>10.1049/el:19940924</t>
  </si>
  <si>
    <t>2-s2.0-0028499027</t>
  </si>
  <si>
    <t>['¬© 1994', 'wider bandwidth', 'rights reserved', 'return loss', 'radiation characteristics', 'previous configuration', 'new configuration', 'antenna gain']</t>
  </si>
  <si>
    <t>The broadside fundamental mode of a spherical cap dielectric resonator antenna using aperture coupling is investigated. The new configuration offers a wider bandwidth than the previous configuration which used a hemispherical DR antenna. The return loss, radiation characteristics and antenna gain of the new configuration are studied. ¬© 1994, IEE. All rights reserved.</t>
  </si>
  <si>
    <t>1366-1367</t>
  </si>
  <si>
    <t>56415172000;55510527400;7101878862</t>
  </si>
  <si>
    <t>Leung, K. W.;Luk, K. M.;Yung, E. K.N.</t>
  </si>
  <si>
    <t>Spherical cap dielectric resonator antenna using aperture coupling</t>
  </si>
  <si>
    <t>10.1049/el:19940931</t>
  </si>
  <si>
    <t>2-s2.0-0028499028</t>
  </si>
  <si>
    <t>['¬© 1994', 'rights reserved', 'human head', 'dielectric sphere']</t>
  </si>
  <si>
    <t>Antenna theory | Electromagnetic wave scattering</t>
  </si>
  <si>
    <t>It is shown that, by approximating a human head as a dielectric sphere, the method of spherical wave expansions can be used to obtain useful predictions of the effect of the head on the impedance of an adjacent handset antenna working at ~2GHz. ¬© 1994, IEE. All rights reserved.</t>
  </si>
  <si>
    <t>1365-1366</t>
  </si>
  <si>
    <t>6603101867;55952532900</t>
  </si>
  <si>
    <t>Sadeghzadeh, R. A.;McEwan, N. J.</t>
  </si>
  <si>
    <t>Sadeghzadeh R.</t>
  </si>
  <si>
    <t>Prediction of head proximity effect on antenna impedance using spherical wave expansions</t>
  </si>
  <si>
    <t>10.1049/el:19940943</t>
  </si>
  <si>
    <t>2-s2.0-0028499316</t>
  </si>
  <si>
    <t>['‚ àº0', '¬© 1994', 'rights reserved', 'minimum value', 'circular polarisation', 'beam width', 'axial ratio', '100 ¬∞']</t>
  </si>
  <si>
    <t>Antennas | Dielectric resonators</t>
  </si>
  <si>
    <t>A circularly polarised dielectric resonator antenna is reported. The circular polarisation is obtained by exciting the two orthogonal HE11Œ¥modes of a cylindrical ring dielectric resonator in phase-quadrature. Measured results show that the antenna has an axial ratio of less than 3dB over a beam width of 100¬∞ with a minimum value of ‚àº0.5dB in this range. ¬© 1994, IEE. All rights reserved.</t>
  </si>
  <si>
    <t>1361-1362</t>
  </si>
  <si>
    <t>60018714;60018714;60018714;60018714</t>
  </si>
  <si>
    <t>57208023373;57027512900;7004481899;7005305020</t>
  </si>
  <si>
    <t>Mongia, R. K.;Ittipiboon, A.;Cuhaci, M.;Roscoe, D.</t>
  </si>
  <si>
    <t>Circularly polarised dielectric resonator antenna</t>
  </si>
  <si>
    <t>10.1049/el:19940968</t>
  </si>
  <si>
    <t>2-s2.0-0028499804</t>
  </si>
  <si>
    <t>['¬© 1994', 'various units', 'valuable information', 'spectral sensitization', 'series behave', 'rigid media', 'resonance raman', 'resolved ir', 'polypyridine units', 'polypyridine ligand', 'molecular components', 'mebpych2ch2meb py', 'many respects', 'iii )).', 'iii )),', 'ii );', 'ii )),', 'factors affecting', 'excited states', 'energy flow', 'emission measurements', 'designed using', 'cyanide bridges', 'controlled synthetically', 'containing units', 'charge recombination', 'bridging ligand', 'bridging cyanide', 'binuclear complex', 'binding mode', 'antenna effect', '[( co', '2cn ]+,', '2 cnru']</t>
  </si>
  <si>
    <t>Photoinduced electron transfer and charge recombination can be studied in metal-polypyridine polynuclear complexes based on the (MebpyCH2CH2Mebpy) (Me, methyl; bpy,2,2‚Ä≤-bipyridine) bridging ligand. An example is provided by the binuclear complex [Ru(Me2phen)2(MebpyCH2CH2Meb py)Rh(Me2bpy)2]5+ (phen, 1,10-phenanthroline) (abbreviated as Ru(II)Rh(III)). In this system, photoinduced electron transfer processes originating from both local excited states (*Ru(II)Rh(III)‚ÜíRu(III)Rh(II) and Ru(II)*Rh(III)‚ÜíRu(III)Rh(II)), as well as charge recombination (Ru(III)Rh(II)‚ÜíRu(II)Rh(III)), have been resolved in the nanosecond and picosecond time domains using transient absorption and emission measurements. An energy transfer process (Ru(II)*Rh(III)‚Üí*Ru(II)Rh(III) can also be observed in rigid media, where the competing electron transfer process is suppressed. The factors affecting the kinetics of the various electron transfer steps can be discussed in terms of current transfer theories. Polychromophoric complexes suited for the study of intercomponent energy transfer can be designed using Re(I) and Ru(II) polypyridine units as molecular components and cyanide bridges as connectors. The energy flow in such systems is determined by the relative energy ordering of the metal-to-ligand charge transfer (MLCT) excited states of the various units, which can be controlled synthetically through the type of metal, the type of polypyridine ligand and the binding mode of the bridging cyanide(s). For example, in [NCRu(bpy)2CNRu(bpy)2CN]+, the flow is from the C-bonded to the N-bonded (to bridging cyanide) unit; in [(CO)3Re(phen)NCRu(bpy)2CN]+, the flow is from Re(I) to Ru(II); in [NCRu(bpy)2 CNRu(bpy(COO)2)2NCRu(bpy)2CN]2- , the flow is from the bpy-containing units to the units containing dicarboxy-bpy. With regard to the identification of the lowest energy state in such systems, valuable information can be obtained using vibrational spectroscopies, such as time-resolved IR and resonance Raman. Compounds of this series behave in many respects as supramolecular antenna systems. Applications of the antenna effect to the spectral sensitization of semiconductors are discussed. ¬© 1994.</t>
  </si>
  <si>
    <t>191-202</t>
  </si>
  <si>
    <t>60021199;60021199;60021199;60021199</t>
  </si>
  <si>
    <t>7003684669;57202705693;7004810859;7003296573</t>
  </si>
  <si>
    <t>Scandola, Franco;Argazzi, Roberto;Bignozzi, Carlo Alberto;Indelli, Maria Teresa</t>
  </si>
  <si>
    <t>Scandola F.</t>
  </si>
  <si>
    <t>Photoinduced energy and electron transfer in inorganic covalently linked systems</t>
  </si>
  <si>
    <t>10.1016/1010-6030(94)02016-7</t>
  </si>
  <si>
    <t>2-s2.0-0000723610</t>
  </si>
  <si>
    <t>['¬© 1994', 'vibrational thermalization', 'value less', 'typically decays', 'several wavelengths', 'rights reserved', 'probe wavelengths', 'probe techniques', 'lifetime components', 'inequivalent pigments', 'fmo trimers', 'different subunits', 'appreciably larger', 'antenna contribute', 'anisotropy decays', '0 ps']</t>
  </si>
  <si>
    <t>Time-resolved absorption difference profiles were obtained for FMO trimers, isolated from the green thermophilic bacterium Chlorobium tepidum, using - and two-color femtosecond pump-probe techniques. Uphill and downhill energy transfers between inequivalent pigments in this antenna contribute to lifetime components that range from ‚àº 100 to ‚àº900 fs in the isotropic absorption difference signals, depending on the pump and probe wavelengths. Vibrational thermalization of BChl Œ± pigments may also influence the kinetics. The major lifetime components in the anisotropy decays at most wavelengths are 75‚Äì135 fs and 1.4‚Äì2.0 ps. The slower anisotropy decays probably stem from equilibration among equivalent, lowest-energy pigments belonging to different subunits in the trimer. The initial anisotropy r(0) is appreciably larger than 0.4 at several wavelengths, but r(t) typically decays to a value less than 0.4 within ‚àº100 fs. ¬© 1994, American Chemical Society. All rights reserved.</t>
  </si>
  <si>
    <t>11200-11208</t>
  </si>
  <si>
    <t>60008023;60008023</t>
  </si>
  <si>
    <t>6701607000;57193129444</t>
  </si>
  <si>
    <t>Savikhin, Sergei;Struve, Walter S.</t>
  </si>
  <si>
    <t>Ultrafast Energy Transfer in FMO Trimers from the Green Bacterium Chlorobium tepidum</t>
  </si>
  <si>
    <t>10.1021/bi00203a016</t>
  </si>
  <si>
    <t>2-s2.0-0027999069</t>
  </si>
  <si>
    <t>['vesicle termed', 'ventral view', 'typically six', 'sulcal area', 'small vesicles', 'new type', 'narrow spacing', 'located posterior', 'located near', 'layered walls', 'hemicylindrical wall', 'efv ),', 'cylindrical walls', 'cylindrical wall', 'crystalline bricks', 'constructed within', 'concentrically arranged', 'concentric multi', 'apical view']</t>
  </si>
  <si>
    <t>Dinoflagellate | Eyespot | Gymnodinium natalense | Ontogeny | Ultrastructure</t>
  </si>
  <si>
    <t>Ultrastructure and ontogeny of a new type of eyespot in dinoflagellates is described. A marine tidal pool Gymnodinium natalense is found to possess a highly organized eyespot whose structure is unique among dinoflagellates. The eyespot is rectangular in ventral view, C-shaped in apical view, and is located posterior to the sulcus. The eyespot is independent of the chloroplast and consists of several (typically six) layers of hemi-cylindrical walls which are concentrically arranged with narrow spacing between them. Each hemicylindrical wall is enclosed by a single unit membrane and is composed of many regularly arranged rectangular crystalline bricks. These crystalline bricks are produced in small vesicles which are formed in the invaginations of the chloroplast. The vesicles containing newly formed crystalline bricks are then transported to the sulcal area to assemble the eyespot. The crystalline bricks are arranged in a neat row within the vesicle termed "eyespot forming vesicle" (EFV), which is located near the sulcus. The hemi-cylindrical wall is constructed within the EFV. Based on the structure of the eyespot, viz. consisting of concentric multi-layered walls, the eyespot is thought to act as a quarter-wave stack antenna. ¬© 1994 Springer-Verlag.</t>
  </si>
  <si>
    <t>142-150</t>
  </si>
  <si>
    <t>0033183X</t>
  </si>
  <si>
    <t>Protoplasma</t>
  </si>
  <si>
    <t>60014652;60016218</t>
  </si>
  <si>
    <t>7202377525;6701755833</t>
  </si>
  <si>
    <t>Horiguchi, T.;Pienaar, R. N.</t>
  </si>
  <si>
    <t>South Africa;Japan</t>
  </si>
  <si>
    <t>Johannesburg;Sapporo</t>
  </si>
  <si>
    <t>University of the Witwatersrand, Johannesburg;Hokkaido University</t>
  </si>
  <si>
    <t>60016218;60014652</t>
  </si>
  <si>
    <t>Horiguchi T.</t>
  </si>
  <si>
    <t>Ultrastructure and ontogeny of a new type of eyespot in dinoflagellates</t>
  </si>
  <si>
    <t>10.1007/BF01403952</t>
  </si>
  <si>
    <t>2-s2.0-0028028690</t>
  </si>
  <si>
    <t>['xanthophyll cycle', 'within light', 'transferring energy', 'thus regulating', 'results presented', 'polyene lowers', 'pigments within', 'harvesting proteins', 'consequence zeaxanthin', 'biochemically transformed', 'antenna pigment']</t>
  </si>
  <si>
    <t>antheraxanthin | excited state | femtosecond | spectroscopy | violaxantin | zeaxanthin</t>
  </si>
  <si>
    <t>Green plants use the xanthophyll cycle to regulate the flow of energy to chlorophyll a within photosynthetic proteins. Under conditions of low light intensity violaxanthin, a carotenoid possessing nine conjugated double bonds, functions as an antenna pigment by transferring energy from its lowest excited singlet state to that of chlorophyll a within light-harvesting proteins. When the light intensity increases, violaxanthin is biochemically transformed into zeaxanthin, a carotenoid that possesses eleven conjugated double bonds. The results presented here show that extension of the {squared rising diagonal slash} conjugation of the polyene lowers the energy of the lowest excited singlet state of the carotenoid below that of chlorophyll a. As a consequence zeaxanthin can act as a trap for the excess excitation energy on chlorophyll a pigments within the protein, thus regulating the flow of energy within photosynthetic light-harvesting proteins. ¬© 1994 Kluwer Academic Publishers.</t>
  </si>
  <si>
    <t>60022659;60022659;60022659;60028355;60028609;60028609</t>
  </si>
  <si>
    <t>7201842354;6603056923;6603543639;56049095800;6701530168;7005602540</t>
  </si>
  <si>
    <t>Frank, Harry A.;Cua, Agnes;Chynwat, Veeradej;Young, Andrew;Gosztola, David;Wasielewski, Michael R.</t>
  </si>
  <si>
    <t>United States;United Kingdom;United States</t>
  </si>
  <si>
    <t>Lemont;Liverpool;Storrs</t>
  </si>
  <si>
    <t>Argonne National Laboratory;Liverpool John Moores University;University of Connecticut</t>
  </si>
  <si>
    <t>60028609;60028355;60022659</t>
  </si>
  <si>
    <t>Frank H.</t>
  </si>
  <si>
    <t>Photophysics of the carotenoids associated with the xanthophyll cycle in photosynthesis</t>
  </si>
  <si>
    <t>10.1007/BF02183041</t>
  </si>
  <si>
    <t>2-s2.0-0028156508</t>
  </si>
  <si>
    <t>['wider market', 'various importance', 'systems engineering', 'low savings', 'conventional approaches', 'auto industry']</t>
  </si>
  <si>
    <t>Discussed are the various importance of systems engineering and why it should be integrated to the auto industry. The systems approach aims to cut the cost of production and provide a wider market. The targets of this approach are the engineers for they are familiar with designs and what part should be and should not be altered. Systems engineering is able to eliminate design failures that results to a very low savings. Compared to conventional approaches, systems engineering is able to cut down restrictions that has been bothering the auto industry.</t>
  </si>
  <si>
    <t>82-87</t>
  </si>
  <si>
    <t>0273656X</t>
  </si>
  <si>
    <t>Chilton's automotive industries</t>
  </si>
  <si>
    <t>Sawyer, Christopher A.</t>
  </si>
  <si>
    <t>Sawyer C.</t>
  </si>
  <si>
    <t>Systems view</t>
  </si>
  <si>
    <t>2-s2.0-0028494611</t>
  </si>
  <si>
    <t>['sectoral type', 'new system', 'integral equations', 'inhomogeneous earth', 'grounding impedance', 'current distribution']</t>
  </si>
  <si>
    <t>The current distribution, line leakage current density and grounding impedance of a vertical ground rod in inhomogeneous earth of sectoral type are presented. This is achieved by using a new system of integral equations.</t>
  </si>
  <si>
    <t>1562-1564</t>
  </si>
  <si>
    <t>100706618;100706618;100706618</t>
  </si>
  <si>
    <t>6602463518;8418127200;6603422668</t>
  </si>
  <si>
    <t>Rancic, P. D.;Dzokic, S. Z.;Stajic, Z. P.</t>
  </si>
  <si>
    <t>Faculty of Electronic Eng</t>
  </si>
  <si>
    <t>Rancic P.D.</t>
  </si>
  <si>
    <t>Vertical ground rod (VGR) in inhomogeneous earth of sectoral type</t>
  </si>
  <si>
    <t>10.1049/el:19941080</t>
  </si>
  <si>
    <t>2-s2.0-0028496091</t>
  </si>
  <si>
    <t>['simplified set', 'measurement results', 'good agreement', 'earlier data', '110 ghz']</t>
  </si>
  <si>
    <t>antenna measurements | phase center | phase pattern</t>
  </si>
  <si>
    <t>The differential phase measurement method has been improved to need the use of only one power meter instead of three power meters. This enables accurate antenna phase pattern measurements with a simplified set-up, accompanied by the reduction in cost. All advantages of the differential phase measurement method are still also available, e.g. there is no need to phase lock oscillators or to use rotary joints. The measurement results for an antenna at 110 GHz are presented. A good agreement with earlier data was obtained. ¬© 1994 Plenum Publishing Corporation.</t>
  </si>
  <si>
    <t>1497-1506</t>
  </si>
  <si>
    <t>6701788874;7003817193;7006775375</t>
  </si>
  <si>
    <t>Mallat, Juha;Lehto, Arto;Tuovinen, Jussi</t>
  </si>
  <si>
    <t>Mallat J.</t>
  </si>
  <si>
    <t>Antenna phase pattern measurements at millimeter wave frequencies using the differential phase method with only one power meter</t>
  </si>
  <si>
    <t>10.1007/BF02096092</t>
  </si>
  <si>
    <t>2-s2.0-0028496304</t>
  </si>
  <si>
    <t>['œªœª 455', 'speedy tuning', 'sandwiched v', 'radio astronomy', 'puplett interferometer', 'optical breadboard', 'normal resistance', 'lo diplexer', 'large number', 'k ).', 'junction nb', 'junction array', 'first run', 'fabricated together', 'extragalactic sources', '800 k', '695 ghz', '4 transformer', '25 hv']</t>
  </si>
  <si>
    <t>radio astronomy | Submillimeter radiometers</t>
  </si>
  <si>
    <t>FANATIC is a compact radiometer optimized for radio astronomy from about 660 to 695 GHz (ŒªŒª 455 - 432 Œºm). We observed a large number of molecular and atomic spectral lines from galactic and extragalactic sources during FANATIC's first run on the James Clerk Maxwell Telescope in early March 1994. Double sideband receiver temperatures during observations were about 800 K (25 hv/k). The heart of the receiver is a two-junction Nb/AlOx/Nb SIS array fed by a sandwiched V-Antenna. The junction array and antenna are fabricated together at IRAM's Grenoble SIS laboratory. Each junction has a normal resistance of Rn ‚àº 10 Œ©, an area of ‚àº 2 Œºm2, an individual radial stub circuit to resonate the capacitance, and a Œª/4 transformer to match to the antenna. The solid-state local oscillator is a mm-wave Gunn oscillator followed by a doubler and tripler. The LO diplexer is a Martin-Puplett interferometer, which insures that there is always abundant LO power for operation and speedy tuning. The receiver and telescope coupling optics, LO, dewar, and calibration system fit on an 0.6 √ó 0.8 m optical breadboard. ¬© 1994 Plenum Publishing Corporation.</t>
  </si>
  <si>
    <t>1465-1480</t>
  </si>
  <si>
    <t>60021561;60021561-60104653;60021561;60104653;60104653</t>
  </si>
  <si>
    <t>7404039701;55952822800;35499152300;6602310068;7006944794</t>
  </si>
  <si>
    <t>Harris, A. I.;Schuster, K. F.;Genzel, R.;Plathner, B.;Gundlach, K. H.</t>
  </si>
  <si>
    <t>Saint Martin d'Heres;Garching bei Munchen</t>
  </si>
  <si>
    <t>Universite Grenoble Alpes;Max Planck Institute for Extraterrestrial Physics</t>
  </si>
  <si>
    <t>60104653;60021561</t>
  </si>
  <si>
    <t>Harris A.</t>
  </si>
  <si>
    <t>Fanatic: An SIS radiometer for radio astronomy from 660 to 695 GHz</t>
  </si>
  <si>
    <t>10.1007/BF02096090</t>
  </si>
  <si>
    <t>2-s2.0-0028498479</t>
  </si>
  <si>
    <t>['usually referred', 'unique advantages', 'timing sense', 'time transfer', 'time recovery', 'one satellite', 'gps satellites', 'gps may']</t>
  </si>
  <si>
    <t>Many navigational users of GPS may be unaware of its use in deriving precise time and frequency. GPS-based station clocks take advantage of the long-term frequency stability present in the GPS satellites. The use of GPS in a timing sense is usually referred to as time transfer. Knowing that precise navigation requires accurate time measurement, GPS unsurprisingly provides excellent time transfer capability. One of the unique advantages of a GPS receiver capable of time recovery is its ability to receive and decode timing information while tracking only one satellite.</t>
  </si>
  <si>
    <t>Edwards, Steve</t>
  </si>
  <si>
    <t>Odetics Precision Time Div</t>
  </si>
  <si>
    <t>Edwards S.</t>
  </si>
  <si>
    <t>GPS tells you where and when</t>
  </si>
  <si>
    <t>2-s2.0-0028500649</t>
  </si>
  <si>
    <t>['surface vessels', 'radar threats', 'present situation', 'possible sharing', 'led first', 'jamming functions', 'independent detectors', 'complete integration', 'article describes', 'active antennas']</t>
  </si>
  <si>
    <t>This article describes the evolution of the assets which are used, in Naval Electronic Warfare, mainly to detect and counter radar threats against surface vessels. It shows how the evolution of these radar threats has led first to the development of independent detectors and jammers, then to the coordination of their use before arriving at the present situation which is the complete integration of the detection and jamming functions. Forecasting the future is then attempted, especially through highlighting the advantages that wide band active antennas can now offer in naval electronic warfare and then, looking further ahead the possible sharing of these active antennas between radar and electronic warfare applications is referred to.</t>
  </si>
  <si>
    <t>571-596</t>
  </si>
  <si>
    <t>Revue technique - Thomson-CSF</t>
  </si>
  <si>
    <t>Baratault, P.</t>
  </si>
  <si>
    <t>Baratault P.</t>
  </si>
  <si>
    <t>Evolution of naval electronic warfare assets</t>
  </si>
  <si>
    <t>2-s2.0-0028507936</t>
  </si>
  <si>
    <t>['various navies', 'sea practice', 'sea experience', 'main suppliers', 'launched missiles', 'french navy', 'combat systems', 'beneficial advices']</t>
  </si>
  <si>
    <t>DCN and Thomson are the main suppliers of combat systems for the French Navy and have been selected by various Navies to equip their submarines. For more than a decade, both companies have been involved in developing and improving long range capability integrated combat systems that includes towed arrays sonars associated with long range weapons like submarine-launched missiles. During that time, experience has been gained, reinforced by at-sea practice and beneficial advices from the French Navy Officers. The resulting combat system offered on the market by both companies is unique by its integration around sound at-sea experience of long range capacity.</t>
  </si>
  <si>
    <t>639-648</t>
  </si>
  <si>
    <t>6603957291;6505456072</t>
  </si>
  <si>
    <t>Villemin, G.;Defranoux, P.</t>
  </si>
  <si>
    <t>Villemin G.</t>
  </si>
  <si>
    <t>Integrated combat systems for submarine designed for long range capability</t>
  </si>
  <si>
    <t>2-s2.0-0028508206</t>
  </si>
  <si>
    <t>['several periods', 'selective availability', 'orbit precision', 'low altitude', 'gps receivers', 'gps data', 'global network', 'frequency data', 'accuracy obtainable']</t>
  </si>
  <si>
    <t>A single-frequency GPS receiver was launched with the Extreme Ultraviolet Explorer (EUVE) mission in the summer of 1992. The low altitude of the EUVE and the placement of dual antennas directly on the spacecraft body provide an opportunity to investigate error sources and the level of accuracy obtainable for future satellite missions. GPS data from several periods have been processed with GIPSY-OASIS II software. Data from EUVE and from a global network of GPS receivers were combined to eliminate the effects of selective availability. Methods for removing ionosphere delay error from the single-frequency data and orbit solutions using the reduced dynamic technique were investigated. Solutions were assessed with internal consistency tests and through comparison with the GTDS orbit solutions produced at the Goddard Space Flight Center. Orbit precision and accuracy with GPS are at the 1 m level.</t>
  </si>
  <si>
    <t>337-351</t>
  </si>
  <si>
    <t>Navigation, Journal of the Institute of Navigation</t>
  </si>
  <si>
    <t>60009037;60009037;60009037;60009037;60009037;60009037</t>
  </si>
  <si>
    <t>Gold, Kenn;Bertiger, Willy;Wu, Sien;Yunck, Tom;Muellerschoen, Ron;Born, George</t>
  </si>
  <si>
    <t>Gold K.</t>
  </si>
  <si>
    <t>GPS orbit determination for the extreme ultraviolet explorer</t>
  </si>
  <si>
    <t>2-s2.0-0028508402</t>
  </si>
  <si>
    <t>['transmission chain', 'spectral band', 'reactive power', 'new modulations', 'mathematically linked', 'interesting class', 'fluctuation peaks', 'fib modulation', 'f1b modulation', 'continuous derivative']</t>
  </si>
  <si>
    <t>Two states frequency shift keying modulations (FIB) are used in several frequency transmission bands by Navies for years. New modulations are not described in this paper. Thought, as FIB modulation, they should be developed to take into account such constraints as fluctuations of reactive power in the transmission chain. The more the spectral band of the transmitter is important, the weaker are the fluctuation peaks of a F1B modulation. With the example of a F1B HF emission, this spectral band is mathematically linked to the amplitude of reactive power transient in the antenna tuning circuit. Thus, continuous derivative of amplitude modulations constitute an interesting class of modulations.</t>
  </si>
  <si>
    <t>597-610</t>
  </si>
  <si>
    <t>60019269;60019269;60019269</t>
  </si>
  <si>
    <t>36933410300;6603098335;6504737779</t>
  </si>
  <si>
    <t>Maurice, A.;Pignato, L.;Visbecq, O.</t>
  </si>
  <si>
    <t>Maurice A.</t>
  </si>
  <si>
    <t>F1B modulations and the spectral band of the transmission chain</t>
  </si>
  <si>
    <t>2-s2.0-0028508920</t>
  </si>
  <si>
    <t>['various sub', 'used alternatively', 'traffic rail', 'surface ship', 'quiet submarines', 'possible upgrades', 'littoral waters', 'lightweight system', 'joint development', 'increasing need', 'general presentation', 'conditions allow', 'combined mode', 'coastal corvette', 'asw frigate', 'article gives', 'active function', '3000 tons', '200 tons']</t>
  </si>
  <si>
    <t>THOMSON SINTRA Activites Sous-Marines (ASM) and BAeSEMA have signed an agreement in 1990 for the joint development of a new active sonar in the low frequency range, using towed arrays, the ATAS. This system is an answer to the increasing need for using active sonars for the detection of quiet submarines, specially in area where the ambient noise becomes very high (littoral waters, straits, proximity of a traffic rail, ...) and consequently drastically limits the use of towed line array very low frequency passive sonars. The ATAS is a lightweight system (less than 10 tons including the handling system), easy to install on platforms as different as an ASW frigate of 3000 tons or a coastal corvette of 200 tons. The system is designed to be modular, with possible upgrades by addition of other functions such as very low frequency passive capability which can be used alternatively with the active function. When conditions allow the use of this combined mode, it gives the surface ship a good tactical advantage when facing a submarine. The article gives a general presentation of the various sub-assemblies of the ATAS and their characteristics.</t>
  </si>
  <si>
    <t>611-622</t>
  </si>
  <si>
    <t>6505799676;6701731189</t>
  </si>
  <si>
    <t>Chalaron, F.;Denney, M. R.</t>
  </si>
  <si>
    <t>Chalaron F.</t>
  </si>
  <si>
    <t>ATAS, Active Towed Array Sonar</t>
  </si>
  <si>
    <t>2-s2.0-0028509633</t>
  </si>
  <si>
    <t>['often ignored', 'great effect', 'eight models', 'data collected']</t>
  </si>
  <si>
    <t>The performance of the GPS user antenna has a great effect on the accuracy and precision of the data that is obtained. This effect is often ignored or misunderstood. This paper presents anechoic chamber measurements of the most important performance characteristics of eight models and configurations of GPS user antennas, and explores the effect of these characteristics on the data collected.</t>
  </si>
  <si>
    <t>277-295</t>
  </si>
  <si>
    <t>100510990;100510990;100510990</t>
  </si>
  <si>
    <t>Schupler, Bruce R.;Allshouse, Roger L.;Clark, Thomas A.</t>
  </si>
  <si>
    <t>AlliedSignal</t>
  </si>
  <si>
    <t>Schupler B.</t>
  </si>
  <si>
    <t>Signal characteristics of GPS user antennas</t>
  </si>
  <si>
    <t>2-s2.0-0028510851</t>
  </si>
  <si>
    <t>['wave ratio', 'using information', 'swr ).', 'sweep across', 'return loss', 'reflected signal']</t>
  </si>
  <si>
    <t>Conducting a sweep across the antenna's frequency range enables the determination of its return loss, which is represented by the power of the reflected signal. By quantifying the return loss, the quality of narrow-band antenna tuning can be determined. Using information from return-loss measurements also allows calculation of an antenna's standing-wave ratio (SWR). A one to one SWR means that there is zero return loss. All power from the transmitter is radiated from the antenna and none reflects back to the source.</t>
  </si>
  <si>
    <t>Test &amp; measurement world</t>
  </si>
  <si>
    <t>Harris, Jerry</t>
  </si>
  <si>
    <t>Beaverton</t>
  </si>
  <si>
    <t>Tektronix Incorporated</t>
  </si>
  <si>
    <t>Harris J.</t>
  </si>
  <si>
    <t>Antenna sweeps reveal return loss</t>
  </si>
  <si>
    <t>2-s2.0-0028513566</t>
  </si>
  <si>
    <t>['slightly reduced', 'paper describes', 'measured currents', 'hf radar', '5 cm', '10 cm']</t>
  </si>
  <si>
    <t>HF radar is a remote sensing technique for measuring surface currents and ocean wave directional spectra. This paper describes the extension of a land based system to enable surface current measurements from a slowly sailing ship. To compensate the ship's motion, the Global Positioning System (GPS) has been used. Due to additional error sources compared to the land based system, the accuracy of measured currents is slightly reduced from 2 to 5 cm/s to 3 to 10 cm/s.</t>
  </si>
  <si>
    <t>54-59</t>
  </si>
  <si>
    <t>Onde electrique</t>
  </si>
  <si>
    <t>Gurgel, K. W.</t>
  </si>
  <si>
    <t>Gurgel K.</t>
  </si>
  <si>
    <t>Shipborne measurement of surface current fields by HF radar</t>
  </si>
  <si>
    <t>2-s2.0-0028513598</t>
  </si>
  <si>
    <t>['western world', 'way around', 'narrow beam', 'los angeles', 'language broadcast', 'ionospheric reflection', 'international broadcasters', 'great flexibility', 'em radiation', 'broadcasts half', 'antenna would']</t>
  </si>
  <si>
    <t>In 1985, Delano, roughly 160 km north of Los Angeles, at the foot of the Sierra Nevada mountains, was chosen as the site for the erection of massive shortwave curtain antenna- the biggest in the western world. Such an antenna would have great flexibility to direct its broadcasts half-way around the world. This antenna can project a very narrow beam of EM radiation, similar to a sharply focused search light. Using optimum frequencies for ionospheric reflection, international broadcasters can aim at any zone or region of the world with confidence that each language broadcast will be most audible in the precise target zone.</t>
  </si>
  <si>
    <t>226-227</t>
  </si>
  <si>
    <t>Wood, Jim</t>
  </si>
  <si>
    <t>Wood J.</t>
  </si>
  <si>
    <t>Ethereal curtain</t>
  </si>
  <si>
    <t>2-s2.0-0028513671</t>
  </si>
  <si>
    <t>['theoretical results', 'reasonable agreement', 'numerical values', 'leakage constants', 'grating structure', 'grating parameter', 'experimental data', 'different geometric', 'constitutive parameters', 'analysis employs']</t>
  </si>
  <si>
    <t>Dielectric antenna | Dielectric waveguide | Leaky wave | Microwave antenna | Mode coupling | Periodic structure | Radiating element</t>
  </si>
  <si>
    <t>Analysis and experiment of a new leaky nrd guide based on a grating structure is described. Analysis employs a mode coupling procedure which yields highly accurate results while presenting the advantage of simplicity and ease of manipulation. Numerical values for the phase and leakage constants are presented and the role of each grating parameter is assessed. Theoretical results are compared with experimental data for different geometric and constitutive parameters and reasonable agreement between them is obtained. ¬© 1994 Springer-Verlag.</t>
  </si>
  <si>
    <t>559-566</t>
  </si>
  <si>
    <t>60008435;60008435;60008435;60008435</t>
  </si>
  <si>
    <t>6602507778;57215330776;36889443400;7202091831</t>
  </si>
  <si>
    <t>Maamria, Kamel;Wagatsuma, Yoshihiko;Ono, Masayoshi;Yoneyama, Tsukasa</t>
  </si>
  <si>
    <t>Maamria K.</t>
  </si>
  <si>
    <t>A new leaky NRD guide based on a grating structure</t>
  </si>
  <si>
    <t>10.1007/BF02999447</t>
  </si>
  <si>
    <t>2-s2.0-0028513733</t>
  </si>
  <si>
    <t>['transmission coefficients', 'reflection coefficient', 'radiation problem', 'radiation pattern', 'numerical checks', 'experiment demonstrate', 'electromagnetic performances', 'direct solution', 'current densities', 'axisymmetric structures', 'applications include']</t>
  </si>
  <si>
    <t>Antenna | Horn antenna | Interactive mode | Numerical simulation | Operating characteristic | Optimization | Reflector antenna | Software | Solid of revolution</t>
  </si>
  <si>
    <t>The srsr software computes the electromagnetic performances of axisymmetric structures. The method for solving the radiation problem is based on the direct solution of one dimensional integral equations for the currents. Applications include the determination of the current densities, reflection coefficient, transmission coefficients (for multiaccess structures), directivity and radiation pattern (for open structures). Numerical checks and comparisons With experiment demonstrate the accuracy of the method. ¬© 1994 Springer-Verlag.</t>
  </si>
  <si>
    <t>575-588</t>
  </si>
  <si>
    <t>60104081;60104081;60104081;60104081;60104081</t>
  </si>
  <si>
    <t>6602955282;6701803463;6701775173;7801360078;26541051400</t>
  </si>
  <si>
    <t>B√âH√â, Roger;Bills, Raymond;Brachat, Patrice;Dedeban, Claude;Des Villes, Jean Louis</t>
  </si>
  <si>
    <t>B√âH√â R.</t>
  </si>
  <si>
    <t>Simulation and optimization software for axisymmetrical radiating structures</t>
  </si>
  <si>
    <t>10.1007/BF02999449</t>
  </si>
  <si>
    <t>2-s2.0-0028514408</t>
  </si>
  <si>
    <t>['two examples', 'tionarity condition', 'steady solutions', 'satisfy tradeoffs', 'numerical resolution', 'method leads', 'hundred feeds', 'elements exceeds', 'definition phase', 'cost ,...', 'convergence point', 'computed example', 'antagonistic requirements', 'also shown']</t>
  </si>
  <si>
    <t>Active antenna | Antenna array | Antenna synthesis | Numerical method | Optimization | Plane antenna | Radar</t>
  </si>
  <si>
    <t>Standard numerical optimization methods become very computational time consuming when dealing with synthesis of array antenna excitation laws, especially when number of elements exceeds a few tenths. Array antenna designer needs a fast and efficient synthesis tool, since the design phase implies several reoptimizations within the definition phase, in order to satisfy tradeoffs on antagonistic requirements : performances, size, cost,... We propose the use of an efficient, from the computational time point of view, and secured, from the convergence point of view, synthesis method illustrated by two examples. The optimized solution satisfies a sta-tionarity condition, which leads to steady solutions in frequency but also with regard to errors (manufacturing, ...). Based on analytical calculus performed before any numerical resolution and together with the use of fast Fourier transform algorithms, this method leads to reduced optimization times (in the order of a minute) for arrays of some tenths up to some hundred feeds, computations being performed on a pc. Two theoretical applications are presented and for each of them a computed example is also shown; moreover possible extensions are considered. ¬© 1994 Springer-Verlag.</t>
  </si>
  <si>
    <t>567-574</t>
  </si>
  <si>
    <t>100887692;100887692;60017694</t>
  </si>
  <si>
    <t>6508143743;7003867391;6602699369</t>
  </si>
  <si>
    <t>Pinsard, Bertrand;Renaud, Daniel;Diez, Hubert</t>
  </si>
  <si>
    <t>Paris;Toulouse</t>
  </si>
  <si>
    <t>CNES Centre National d'Etudes Spatiales;Antech</t>
  </si>
  <si>
    <t>60017694;100887692</t>
  </si>
  <si>
    <t>Pinsard B.</t>
  </si>
  <si>
    <t>Synthesis methods of array antenna excitation laws</t>
  </si>
  <si>
    <t>10.1007/BF02999448</t>
  </si>
  <si>
    <t>2-s2.0-0028515254</t>
  </si>
  <si>
    <t>['using ics', 'semiconductor technology', 'semiconductor device', 'proper selection', 'practical guidelines', 'power amplifier', 'packaging technologies', 'design goals', 'appropriate selection']</t>
  </si>
  <si>
    <t>The demand for consumer wireless products poses design challenges with respect to cost, performance, packaging and semiconductor technology. With the appropriate selection of semiconductor device and packaging technologies, it is now practical to meet these design goals by using ICs.A radio frequency integrated circuit described, which combines the power amplifier, LNA and T/R switch functions for a cordless telephone application, illustrates some practical guidelines in proper selection.</t>
  </si>
  <si>
    <t>Bachert, Peter S.</t>
  </si>
  <si>
    <t>Greensboro</t>
  </si>
  <si>
    <t>RF Micro Devices, Inc</t>
  </si>
  <si>
    <t>Bachert P.</t>
  </si>
  <si>
    <t>Wireless antenna interface</t>
  </si>
  <si>
    <t>2-s2.0-0028515353</t>
  </si>
  <si>
    <t>['sr functions', 'integral transforms', 'integral representations', 'fourier functions', 'antenna theory', 'acoustical vibrations']</t>
  </si>
  <si>
    <t>Integral representations for self-reciprocal (SR) Fourier functions are developed. It is shown how other integral transforms such as Mellin and Laplace transforms behave as companions in SR functions characterization. Application of SR functions in diffraction, antenna theory and acoustical vibrations is indicated.</t>
  </si>
  <si>
    <t>2453-2455</t>
  </si>
  <si>
    <t>Coffey, Mark W.</t>
  </si>
  <si>
    <t>Coffey M.</t>
  </si>
  <si>
    <t>Self-reciprocal Fourier functions</t>
  </si>
  <si>
    <t>2-s2.0-0028515648</t>
  </si>
  <si>
    <t>['sparked interest', 'reverse link', 'paper presents', 'ongoing research', 'interference suppression']</t>
  </si>
  <si>
    <t>IS-95 is a digital cellular standard endorsed by the U.S. Telecommunications Industry Association/Electronic Industries Association (TIA/EIA) based on the code division multiple access (CDMA) technology. The paper presents a review of the reverse link (subscriber to base station link) characteristics and its performance in terms of both coverage and capacity. Approval of IS-95 has sparked interest in the spread spectrum system and ongoing research and development in the areas of interference suppression, antenna beam forming, advanced signal processing will improve on the performance of mobile telecommunication links.</t>
  </si>
  <si>
    <t>28-34</t>
  </si>
  <si>
    <t>Padovani, Roberto</t>
  </si>
  <si>
    <t>Padovani R.</t>
  </si>
  <si>
    <t>Reverse link performance of IS-95 based cellular systems</t>
  </si>
  <si>
    <t>10.1109/MPC.1994.311829</t>
  </si>
  <si>
    <t>2-s2.0-0028763492</t>
  </si>
  <si>
    <t>['zenith distance', 'three dimensions', 'subjects since', 'radio astronomy', 'pointing accuracy', 'particularly difficult', 'experimental study', 'effective area', 'detailed treatment', 'array like', '45 mhz']</t>
  </si>
  <si>
    <t>Array | Instrumentation | Radioastronomy | Radiotelescope</t>
  </si>
  <si>
    <t>The University of Chile transit radiotelescope is a 528-dipole array operating at 45 MHz. We present a comparison of an experimental study of the antenna radiation pattern with the basic theoretical pattern in three dimensions. We concentrate in the meridian plane diagram since this is particularly difficult to measure for an array like ours. The comparison shows excellent agreement. We have measured several important antenna parameters like the effective area as a function of zenith distance, the orientation of the plane of the array and the pointing accuracy. We include a detailed treatment of these subjects since not much information related to low frequency arrays for radio astronomy can be found in the literature. We discuss the importance of knowing these parameters in the preparation of the 45-MHz Sky Survey under way at the University of Chile Radio Observatory. ¬© 1994 Kluwer Academic Publishers.</t>
  </si>
  <si>
    <t>315-328</t>
  </si>
  <si>
    <t>Experimental Astronomy</t>
  </si>
  <si>
    <t>60012464;60012464;60012464;60012464</t>
  </si>
  <si>
    <t>7005930886;6507288104;55841799100;16414208500</t>
  </si>
  <si>
    <t>Alvarez, H.;Aparici, J.;May, J.;Olmos, F.</t>
  </si>
  <si>
    <t>Chile</t>
  </si>
  <si>
    <t>Santiago</t>
  </si>
  <si>
    <t>Universidad de Chile</t>
  </si>
  <si>
    <t>Alvarez H.</t>
  </si>
  <si>
    <t>Experimental study of a 45-MHz array for radio astronomy</t>
  </si>
  <si>
    <t>10.1007/BF01583704</t>
  </si>
  <si>
    <t>2-s2.0-26444483318</t>
  </si>
  <si>
    <t>['wave transducers', 'theoretical investigation', 'significant advantages', 'propagating ti', 'power consumption', 'order modes', 'novel guided', 'linear array', 'detailed comparison', 'antenna elements', '85 œºm']</t>
  </si>
  <si>
    <t>Acousto-optics | Guided waves | Phased arrays</t>
  </si>
  <si>
    <t>We present the theoretical investigation, design, and simulation of a novel guided-wave optical processor for L-band-transmission beam forming in a linear array of phased active antennas. The proposed configuration includes two contradirectional surface acoustic-wave transducers, and it is based on a Y-cut, X-propagating Ti:LiNbO3 planar waveguide supporting the lowest-order modes of both polarizations (TE0 and TM0) at the free-space wavelength X = 0.85 Œºm. A detailed comparison between the processor we propose and other optical and electronic architectures reported in the literature is carried out, exhibiting a number of significant advantages in terms of weight, total chip size, and power consumption, when the number of antenna elements is greater than 50. ¬© 1994 Optical Society of America.</t>
  </si>
  <si>
    <t>6194-6209</t>
  </si>
  <si>
    <t>116881851;116881851;116881851</t>
  </si>
  <si>
    <t>7006655342;7004514939;55575346200</t>
  </si>
  <si>
    <t>Armenise, Mario N.;Passaro, Vittorio M.N.;Noviello, Giuseppe</t>
  </si>
  <si>
    <t>Bari</t>
  </si>
  <si>
    <t>Dipartimento di Ellettrotecnica ed Ellettronica</t>
  </si>
  <si>
    <t>Armenise M.</t>
  </si>
  <si>
    <t>Lithium niobate guided-wave beam former for steering phased-array antennas</t>
  </si>
  <si>
    <t>10.1364/AO.33.006194</t>
  </si>
  <si>
    <t>2-s2.0-0028509628</t>
  </si>
  <si>
    <t>['‚ àº5', '‚ àº10', 'thermal gyrosynchrotron', 'shift occurs', 'seventy percent', 'ray observations', 'ray emission', 'presumably due', 'point along', 'peak low', 'one bundle', 'obtain two', 'microwave power', 'microwave bursts', 'measured value', 'maps show', 'magnetic field', 'loops toward', 'loop top', 'hœ ±,', 'hard x', 'gradually shifts', 'frequency slope', 'frequency increases', 'footpoint due', 'flare emission', 'energy distribution', 'emission may', 'dominant electrons', 'dimensional maps', 'descend along', 'batse power', '5 ghz', '3 flare', '14 ghz', '10 ut']</t>
  </si>
  <si>
    <t>Sun: flares | Sun: radio radiation | Sun: X-rays, gamma rays</t>
  </si>
  <si>
    <t>We compare the microwave, HŒ±, and hard X-ray observations for a west limb C7.3 flare that occurred at 17:10 UT, 1992 June 26. HŒ± movies were obtained at Big Bear Solar Observatory. Before the onset of the flare, overexposed HŒ± images show the complicated flux loop structure above the limb. Material was observed to descend along the loops toward the site where the flare occurred hours later. Using the five-antenna solar array at Owens Valley Radio Observatory, we obtain two-dimensional maps of flare emission from 1.4 to 14 GHz. In all three temporal peaks of the microwave bursts, the maps show the same characteristics. The peak low-frequency emission comes from the top of one bundle of the HŒ± loops and gradually shifts to the footpoint of the loops (the location of HŒ± flare) as the frequency increases. The location of the emission peak shifts 88‚Ä≥ between 1 and 14 GHz. Seventy percent of the shift occurs between 1 and 5 GHz. The locus of the shift of the emission peak follows the shape of an HŒ± surge that occurred after the flare. For each point along the locus, we create the microwave brightness temperature spectrum and compare the radio-derived electron distribution with that derived from the high-resolution hard X-ray spectra measured with BATSE on board the Compton Gamma Ray Observatory. We find that the peak frequency changes from ‚àº3 GHz at the loop top to ‚àº7 GHz at the footpoint, presumably due to the increase of the magnetic field from ‚àº160 G at the loop top to ‚àº300 G at the footpoint. The high-frequency slope of the microwave power-law spectrum decreases from ‚àº10 at the loop top to ‚àº5 at the footpoint due to a change in the energy distribution of the dominant electrons. The microwave brightness temperature spectral index predicted by the BATSE power-law hard X-ray spectra agrees with the measured value only at the footpoint. At the loop top, the emission may be thermal gyrosynchrotron with a temperature of 3.5 √ó 107 K, which is likely to correspond to the superhot component seen in the hard X-ray emission.</t>
  </si>
  <si>
    <t>379-388</t>
  </si>
  <si>
    <t>60031581;60031581;60031581;60006337</t>
  </si>
  <si>
    <t>8856258300;7005231589;57202909531;7404170191</t>
  </si>
  <si>
    <t>Wang, H.;Gary, D. E.;Lim, J.;Schwartz, R. A.</t>
  </si>
  <si>
    <t>Pasadena;Greenbelt</t>
  </si>
  <si>
    <t>California Institute of Technology;NASA Goddard Space Flight Center</t>
  </si>
  <si>
    <t>60031581;60006337</t>
  </si>
  <si>
    <t>Microwave spectral imaging, HŒ±, and hard X-ray observations of a solar limb flare</t>
  </si>
  <si>
    <t>10.1086/174652</t>
  </si>
  <si>
    <t>2-s2.0-0001567729</t>
  </si>
  <si>
    <t>['¬© 1994', 'vivo using', 'upon exposure', 'two photosystems', 'state transitions', 'state 2', 'state 1', 'response spectrum', 'relative levels', 'ps ii', 'photosystem ii', 'phosphorylated lhcii', 'phosphatase inhibitor', 'lhcii phosphorylation', 'lhcii kinase', 'lhcii dephosphorylation', 'lhcii ).', 'key components', 'indirectly inactivates', 'fluorescence showed', 'dcmu ),', 'complementary decrease', 'antenna migration', 'absolute yield', '77 k', '4 min', '13 min', '10 min', '1 2']</t>
  </si>
  <si>
    <t>LHCII kinase | Photosystem I | Photosystem II | Protein transport | Response spectrum | State 1-state 2 transitions | Thylakoid membranes</t>
  </si>
  <si>
    <t>Plants can balance the relative levels of excitation energy reaching the two photosystems of photosynthesis via state transitions. This process was investigated in vivo using the aquatic higher plant Spirodela oligorrhiza. State transitions were followed by 77 K chlorophyll a (Chl a) fluorescence and phosphorylation of the Chl a b light harvesting complex (LHCII). A response spectrum for the state transition indicated that light absorbed predominantly by Chl b led to state 2 and light absorbed predominantly by Chl a resulted in state 1. The kinetics of LHCII phosphorylation (t 1 2 = 4 min) during a state 1 to state 2 transition were similar to the rise in fluorescence at 77 K from Photosystem I (PS I) relative to Photosystem II (PS II) (t 1 2 = 3 min). As well, for the transition from state 2 to state 1, the kinetics of LHCII dephosphorylation (t 1 2 = 13 min) and the rate of loss of fluorescence from PS I relative to PS II (t 1 2 = 10 min) were comparable. The phosphatase inhibitor, NaF, suppressed both LHCII dephosphorylation and the decrease in the PS I/PS II fluorescence emission ratio, thus showing prevention of a transition to state 1 under PS I illumination. 3-(3,4-Dichlorophenyl)-1,1-dimethylurea (DCMU), which indirectly inactivates the LHCII kinase, triggered a transition to state 1 in PS II light. Upon exposure to PS II light, phosphorylated LHCII was observed to appear in granal thylakoid fractions prior to its appearance in stromal thylakoid fractions, indicating vectoral movement between the two membrane compartments. Determinations of the absolute yield of PS II and PS I fluorescence showed a complementary decrease and increase in PS II and PS I emission, respectively, in state 2 compared to state 1. Our results strongly support the hypothesis that LHCII phosphorylation and antenna migration between the photosystems are key components of the state transition mechanism in vivo. ¬© 1994.</t>
  </si>
  <si>
    <t>301-312</t>
  </si>
  <si>
    <t>60014171;60001343;60014171</t>
  </si>
  <si>
    <t>6602355792;7202146710;7201629485</t>
  </si>
  <si>
    <t>McCormac, Dennis J.;Bruce, Doug;Greenberg, Bruce M.</t>
  </si>
  <si>
    <t>Waterloo;St. Catharines</t>
  </si>
  <si>
    <t>University of Waterloo;Brock University</t>
  </si>
  <si>
    <t>60014171;60001343</t>
  </si>
  <si>
    <t>McCormac D.J.</t>
  </si>
  <si>
    <t>State transitions, light-harvesting antenna phosphorylation and light-harvesting antenna migration in vivo in the higher plant Spirodela oligorrhiza</t>
  </si>
  <si>
    <t>0005-2728(94)90004-3</t>
  </si>
  <si>
    <t>10.1016/0005-2728(94)90004-3</t>
  </si>
  <si>
    <t>2-s2.0-0027933147</t>
  </si>
  <si>
    <t>Sonderforsehungs-bereich 189</t>
  </si>
  <si>
    <t>['¬© 1994', 'two parameters', 'triton x', 'time resolution', 'thus propose', 'steady state', 'size distribution', 'shorter time', 'room temperature', 'rise term', 'results indicate', 'resolved fluorescence', 'pronounced effects', 'probably corresponds', 'preparations studied', 'particle size', 'particle preparations', 'main pool', 'literature data', 'isolation procedure', 'isolated light', 'intact ps', 'harvesting complex', 'fluorescing pigments', 'fluorescence kinetics', 'f735 ).', 'excitation kinetics', 'energy transfer', 'data suggest', 'data sets', 'bimodal distribution', 'antenna system', 'antenna size', '710 nm', '5 ps', '49 ps', '200 chl', '14 ps', '130 ps', '100 used']</t>
  </si>
  <si>
    <t>Detergent effect | Energy transfer | Global analysis | Kinetic modeling | Photosystem I | Time-resolved fluorescence</t>
  </si>
  <si>
    <t>Two different Triton X-100 isolated photosystem (PS) I particle preparations as well as isolated light-harvesting complex (LHC) I from spinach have been studied by steady state and time-resolved fluorescence with a time resolution of about 5 ps. The dependence of the fluorescence kinetics and spectra on two parameters was investigated in detail: firstly, the solubilizing detergent used in the measurements was varied between Triton X-100, octylglucoside and SB12 (zwitterionic detergent). Secondly, the PS I particle size and type were varied, studying what is believed on the basis of literature data to be PS I-native and PS I core, respectively. All of these changes had pronounced effects on the kinetics. By global analysis procedures, we generally find four and in some cases five lifetime components in all data sets. Our results indicate that all PS I preparations studied, including the PS I-core complex lacking LHC I, are heterogeneous, displaying at least a bimodal distribution in antenna size. We attribute this size distribution to the action of Triton X-100 used in the isolation procedure. The fastest lifetime component in the range of 6-14 ps, depending on antenna size, appears as a rise term at wavelengths above 710 nm in all particles and is attributed to an energy transfer in the antenna system from the main pool of short wavelength absorbing pigments (F690) to pool(s) of long wavelength absorbing and fluorescing pigments (F720 and/or F735). The observation of such an antenna equilibration component at room temperature is crucial for the understanding of the excitation kinetics. Furthermore, for the sample that is believed to be "native" PS I, we found two lifetime components of 31-49 ps (depending on the detergent) and 130 ps. We attribute both of them to an overall charge separation, but originating from different particle types in the sample. We thus propose a fundamental antenna size heterogeneity. The shorter time most probably corresponds to intact PS I cores, whereas only the longer one originates from "native" PS I with antenna size of about 200 Chl. The data suggest that the excitation kinetics in all of these PS I particles is close to the trap-limit. ¬© 1994.</t>
  </si>
  <si>
    <t>324-334</t>
  </si>
  <si>
    <t>60072285;60025310;60072285;60025310;60072285</t>
  </si>
  <si>
    <t>6602266509;7102101702;7005182244;7003701038;35501122300</t>
  </si>
  <si>
    <t>Turconi, Sandra;Weber, Nicola;Schweitzer, Gerd;Strotmann, Heinrich;Holzwarth, Alfred R.</t>
  </si>
  <si>
    <t>Mulheim an der Ruhr;Dusseldorf</t>
  </si>
  <si>
    <t>Max Planck Institute for Chemical Energy Conversion;Heinrich-Heine-Universit√§t D√ºsseldorf</t>
  </si>
  <si>
    <t>60072285;60025310</t>
  </si>
  <si>
    <t>Turconi S.</t>
  </si>
  <si>
    <t>Energy transfer and charge separation kinetics in photosystem I. 2. Picosecond fluorescence study of various PS I particles and light-harvesting complex isolated from higher plants</t>
  </si>
  <si>
    <t>0005-2728(94)90006-X</t>
  </si>
  <si>
    <t>10.1016/0005-2728(94)90006-X</t>
  </si>
  <si>
    <t>2-s2.0-0028071223</t>
  </si>
  <si>
    <t>['wireless communication', 'various countries', 'united states', 'transmitted signal', 'telephone user', 'specific waveform', 'second century', 'recent revision', 'rapidly growing', 'protection standards', 'pcs ),', 'old ones', 'new technologies', 'new questions', 'new applications', 'microwave radiation', 'human exposure', 'health effects', 'considerable knowledge', 'close proximity', 'biological effects', 'antenna design', 'ansi standard']</t>
  </si>
  <si>
    <t>Cellular telephones | health effects | RF energy deposition</t>
  </si>
  <si>
    <t>As the second century of wireless communication is approaching, both the new applications and the old ones, particularly the personal communication service (PCS), are rapidly growing and spreading. Health effects of human exposure to radio and microwave radiation have been investigated for over half a century, and considerable knowledge has been accumulated on biological effects of this radiation. This has resulted in development of protection standards in various countries, including the most recent revision of the ANSI standard (1992) in the United States. But as new technologies, particularly cellular telephones proliferate, new questions are asked. These questions are related to the effect of close proximity of an antenna to the telephone user's head, and the specific waveform of the transmitted signal. Both of these questions are considered below. It is interesting to note that the antenna design that improves radiation performance also limits energy deposition in the user's head. ¬© 1994 Plenum Publishing Corporation.</t>
  </si>
  <si>
    <t>223-228</t>
  </si>
  <si>
    <t>Stuchly, Maria A.</t>
  </si>
  <si>
    <t>University of Victoria</t>
  </si>
  <si>
    <t>Stuchly M.A.</t>
  </si>
  <si>
    <t>Wireless communications and the safety of the user</t>
  </si>
  <si>
    <t>10.1007/BF02106589</t>
  </si>
  <si>
    <t>2-s2.0-0003846227</t>
  </si>
  <si>
    <t>R01HD022210</t>
  </si>
  <si>
    <t>['trimester cytotrophoblasts', 'total first', 'term cytotrophoblasts', 'sugar hapten', 'striking alterations', 'spiral arterioles', 'specific anti', 'second half', 'results suggested', 'resisted elution', 'receptor bound', 'maternal endo', 'isolated cytotrophoblasts', 'invasive pathway', 'invasive cytotrophoblasts', 'integrin receptors', 'high concentrations', 'first trimester', 'fibronectin receptor', 'enzyme digestion', 'electrophoretic mobility', 'differential invasiveness', 'determine whether', 'detergent extracts', 'control levels', 'bearing oligo']</t>
  </si>
  <si>
    <t>Cytotrophoblasts | Fibronectin receptor</t>
  </si>
  <si>
    <t>Cytotrophoblasts are the specialized epithelial cells of the placenta. During the first trimester, a subpopulation of chorionic villas cytotrophoblasts differentiates along an invasive pathway and penetrates the maternal endo-metrium, decidua and spiral arterioles. Cytotrophoblast invasiveness declines rapidly during the second half of gestation. Isolated cytotrophoblasts of different gestational ages retain this differential invasiveness in culture. To determine whether the properties of integrin receptors for extracellular matrix molecules differ between invasive and non-invasive cytotrophoblasts, detergent extracts of isolated cytotrophoblasts of different gestational ages, and of first-trimester villous fibroblasts, were immunoprecipitated with subunit-specific anti-Œ∑l integrin antibodies. Striking alterations in electrophoretic mobility were observed in Œ∑1 integrins from first-trimester cytotrophoblasts, as compared with those from term cytotrophoblasts or first-trimester villous fibroblasts, suggesting a cell-type-specific, temporally regulated alteration in glycosylation. Treatment of total first-trimester cytotrophoblast Œ∑1 integrins or the isolated Œ±5/Œ∑l fibronectin receptor with endo-Œ∑-galactosid-ase restored electrophoretic mobility to control levels, suggesting the presence of polylactosamine-bearing oligo-saccharides. Further analysis by enzyme digestion and lectin-affinity chromatography suggested that they consisted of at least three antennae and short, sialylated lactosamine units. These oligosaccharides did not affect the affinity of the first-trimester cytotrophoblast fibronectin receptor for fibronectin. However, this receptor bound more strongly to wheat germ agglutinin than control fibronectin receptor and resisted elution by high concentrations of sugar hapten, requiring ionic detergent for removal. These results suggested that the altered glycosylation affected the conformation of the fibronectin receptor. ¬© 1994 Oxford University Press.</t>
  </si>
  <si>
    <t>567-575</t>
  </si>
  <si>
    <t>Glycobiology</t>
  </si>
  <si>
    <t>60023691;60023691;60012708;60023691;60023691</t>
  </si>
  <si>
    <t>22835566600;36507650200;7005663178;7401755703;7005008734</t>
  </si>
  <si>
    <t>Moss, Lenny;Proakobphol, Akraporn;Wiedmann, Tien Wen;Fisher, Susan J.;Damsky, Caroline H.</t>
  </si>
  <si>
    <t>San Francisco;Palo Alto</t>
  </si>
  <si>
    <t>University of California, San Francisco;Stanford University</t>
  </si>
  <si>
    <t>60023691;60012708</t>
  </si>
  <si>
    <t>Moss L.</t>
  </si>
  <si>
    <t>Glycosylation of human trophoblast integrins is stage and cell-type specific</t>
  </si>
  <si>
    <t>10.1093/glycob/4.5.567</t>
  </si>
  <si>
    <t>2-s2.0-0028006993</t>
  </si>
  <si>
    <t>R01AI014490</t>
  </si>
  <si>
    <t>['vast majority', 'unusual glycans', 'trichinella spiralis', 'spiralis suggests', 'specific antibodies', 'saccharides released', 'recent studies', 'reactive giycoproteins', 'protective immunity', 'powerful effect', 'novel family', 'ms ),', 'major population', 'linkage analysis', 'larval stage', 'intestinal survival', 'intestinal nematode', 'important role', 'glycans present', 'glcnacpi -.', 'certain gram', 'capped structure', 'called tsl', 'biological functions', 'antigens contain', 'antigenically cross', 'antennary n', '1993 ).', '1 glycoproteins', '1 antigens', '1 antibodies', '., grieve']</t>
  </si>
  <si>
    <t>FAB-MS | Immunodominant antigens | N-glycans | Trichinella spiralis | Tyvelose</t>
  </si>
  <si>
    <t>The larval stage of the intestinal nematode, Trichinella spiralis, secretes and displays on its cuticle a number of antigenically cross-reactive giycoproteins. These so-called TSL-1 antigens induce a powerful antibody response hi parasitized animals. In rats, anti-TSL-1 antibodies mediate a protective immunity that expels invading larvae from the intestine. The vast majority of anti-TSL-1 antibodies are specific for glycans. Although the biological functions of TSL-1 antigens are not known, the powerful effect of glycan-specific antibodies on the intestinal survival of T.spiralis suggests that they play an important role in parasite establishment Little is known about the structures of the glycans present on the TSL-1 glycoproteins. Recent studies have suggested, however, that the antigens contain very unusual glycans (WisnewskiJS., McNeil,M., Grieve,R.B. and Wassom,D.L., MoL Biochem. Parasitol, 61, 25-36, 1993). Sugar and linkage analysis of the combined secreted products unexpectedly showed that a major terminal sugar is tyvelose (3,6-dideoxy-D-araMno-hexose; Tyv) which has previously been found only in certain gram-negative bacterial lipopolysaccharides. In this paper, we report the first rigorous structural study of oligo-saccharides released from TSL-1 antigens by peptide ;N-g]ycosidase F digestion. Using strategies based on fast atom bombardment mass spectrometry (FAB-MS), we have discovered a novel family of tri- and tetra-antennary N-glycans whose antennae are comprised of the tyvelose-capped structure: Tyvl,3GalNAcŒ∑1,4(Fucal,3)GlcNAcpi-. Thus a major population of TSL-1 glycans contains clusters of hydrophobic terminal structures which are likely to be highly immunogenic ¬© 1994 Oxford University Press.</t>
  </si>
  <si>
    <t>593-603</t>
  </si>
  <si>
    <t>;60015150;60015150;60007776;60007776;60009226;60009226;;</t>
  </si>
  <si>
    <t>6603872128;7202635667;7006399312;6602858614;7103289786;7103052540;7003327471;7401534652;7103412653</t>
  </si>
  <si>
    <t>Reason, Andrew J.;Ellis, Lauri A.;Appleton, Judith A.;Wisnewski, Nancy;Grieve, Robert B.;Mcneil, Michael;Wassom, Donald L.;Morris, Howard R.;Dell, Anne</t>
  </si>
  <si>
    <t>United Kingdom;United States;United States</t>
  </si>
  <si>
    <t>London;Fort Collins;Ithaca</t>
  </si>
  <si>
    <t>Imperial College London;Colorado State University;Cornell University</t>
  </si>
  <si>
    <t>60015150;60009226;60007776</t>
  </si>
  <si>
    <t>Reason A.J.</t>
  </si>
  <si>
    <t>Novel tyvelose-containing tri- and tetra-antennary N-glycans in the immunodominant antigens of the intracellular parasite Trichinella spiralis</t>
  </si>
  <si>
    <t>10.1093/glycob/4.5.593</t>
  </si>
  <si>
    <t>2-s2.0-0028036962</t>
  </si>
  <si>
    <t>R01GM031704</t>
  </si>
  <si>
    <t>['¬© 1994', 'various solvents', 'spectral comparison', 'rights reserved', 'results show', 'repair dna', 'radical forms', 'radical form', 'optimal orientation', 'nucleophilic attack', 'native structure', 'native enzyme', 'native activity', 'less hydrophobic', 'grossly interfere', 'fully reduced', 'flavinylated photolyase', 'flavinylated enzyme', 'flavin environment', 'flavin domain', 'fad reacts', 'fad indicate', 'fad enzyme', 'equimolar amount', 'easily oxidized', 'covalent attachment', 'antenna chromophore', 'although cys293', 'aerobic stability', 'adjustment needed', '8 ),']</t>
  </si>
  <si>
    <t>8-(Methylsulfonyl)FAD reacts with a single cysteine residue (Cys293) in the flavin domain of Escherichia coli DNA photolyase to form an 8-(cysteinyl)FAD derivative covalently bound to the protein. About 80% protection against covalent attachment with 8-(methylsulfonyl)FAD was observed in the presence of an equimolar amount of FAD. Flavinylated photolyase retains the ability to repair pyrimidine dimers (15% of native activity) and to bind its antenna chromophore, 5,10-methenyltetrahydrofolate. Comparison of the properties of flavinylated enzyme with photolyase containing noncovalently bound 8-(methylthio)FAD indicate that a perturbation is necessary to accommodate covalent bond formation. 8-(Methylthio)FAD-reconstituted enzyme exhibits 95% of native activity. The aerobic stability of fully reduced and radical forms of 8-(methylthio)FAD enzyme is similar to that of native enzyme, whereas a radical form is not detected with flavinylated enzyme and the fully reduced enzyme is more easily oxidized by oxygen. The flavin in 8-(methylthio)FAD enzyme or flavinylated photolyase is shielded from solvent. However, the flavin environment in flavinylated enzyme is less hydrophobic as judged by spectral comparison with model 8-(alkylthio)flavins in various solvents. Enzyme containing noncovalently bound 8-(methylsulfonyl)FAD was prepared by reconstitution with the fully reduced flavin which does not undergo covalent attachment. Covalent attachment was observed after reoxidation but probably involved dissociation and rebinding of oxidized 8-(methylsulfonyl)FAD. The results show that 8-(cysteinyl)FAD in flavinylated photolyase is at or near the normal flavin binding site. Although Cys293 in the native structure is probably not in the optimal orientation for nucleophilic attack at C(8), the adjustment needed for covalent bond formation is not sufficient to grossly interfere with the enzyme's ability to repair DNA or to interact with its antenna chromophore. ¬© 1994, American Chemical Society. All rights reserved.</t>
  </si>
  <si>
    <t>12656-12664</t>
  </si>
  <si>
    <t>60022890;60022890</t>
  </si>
  <si>
    <t>6602478264;7006159283</t>
  </si>
  <si>
    <t>Raibekas, Andrei A.;Jorns, Marilyn Schuman</t>
  </si>
  <si>
    <t>Drexel University College of Medicine</t>
  </si>
  <si>
    <t>Raibekas A.</t>
  </si>
  <si>
    <t>Affinity Probing of Flavin Binding Sites. 2. Identification of a Reactive Cysteine in the Flavin Domain of Escherichia coli DNA Photolyase</t>
  </si>
  <si>
    <t>10.1021/bi00208a017</t>
  </si>
  <si>
    <t>2-s2.0-0028113471</t>
  </si>
  <si>
    <t>['studied taking', 'room temperature', 'rc even', 'rate constants', 'purple bacteria', 'pigment inhomogeneity', 'photosynthetic apparatus', 'exciton states', 'exciton levels', 'dipole orientation', 'circular aggregate', 'antenna bchls']</t>
  </si>
  <si>
    <t>energy migration | exciton dynamics | light-harvesting antenna | primary processes | trapping</t>
  </si>
  <si>
    <t>Forward and back energy transfer between antenna and RC in the photosynthetic apparatus of purple bacteria was studied taking into account the exciton states of the antenna. The exciton states were calculated for core antenna configuration in the form of a circular aggregate of N identical BChl molecules with the CN-symmetry. The influence of pigment inhomogeneity on the proposed exciton description of the antenna and its interaction with RC was investigated. The ratio between the rate constants of forward and back energy transfer between the exciton levels of the antenna and RC was obtained as a function of the temperature, the number of antenna BChls and the antenna exciton level position with respect to BChl special pair level of RC. A versatile analytical expression for this ratio which is independent of the BChl special pair level position and its dipole orientation was derived. The proposed model results in an irreversible excitation trapping by RC even at room temperature. ¬© 1994 Kluwer Academic Publishers.</t>
  </si>
  <si>
    <t>60021331;60021331</t>
  </si>
  <si>
    <t>7004238663;6603794637</t>
  </si>
  <si>
    <t>Novoderezhkin, Vladimir I.;Razjivin, Andrei P.</t>
  </si>
  <si>
    <t>Russian Academy of Sciences</t>
  </si>
  <si>
    <t>Novoderezhkin V.</t>
  </si>
  <si>
    <t>Exciton states of the antenna and energy trapping by the reaction center</t>
  </si>
  <si>
    <t>10.1007/BF00019053</t>
  </si>
  <si>
    <t>2-s2.0-0028193494</t>
  </si>
  <si>
    <t>['wildtype parent', 'wildtype leaves', 'significant differences', 'quantum efficiencies', 'ps ii', 'photosystem ii', 'photosynthetic characteristics', 'mutant leaves', 'mutant compared', 'major changes', 'light harvesting', 'light absorption', 'lesser extent', 'different decreases', 'deficient mutant', 'co2 assimilation', '35 %)']</t>
  </si>
  <si>
    <t>chlorophyll deficient | CO  assimilation 2 | light-harvesting chlorophyll-protein complex | mutant | photochemistry | PS I | PS II | quantum yield</t>
  </si>
  <si>
    <t>The light harvesting and photosynthetic characteristics of a chlorophyll-deficient mutant of cowpea (Vigna unguilata), resulting from a single nuclear gene mutation, are examined. The 40% reduction in total chlorophyll content per leaf area in the mutant is associated with a 55% reduction in pigment-proteins of the light harvesting complex associated with Photosystem II (LHC II), and to a lesser extent (35%) in the light harvesting complex associated with Photosystem I (LHC I). No significant differences were found in the Photosystem I (PS I) and Photosystem II (PS II) contents per leaf area of the mutant compared to the wildtype parent. The decreases in the PS I and PS II antennae sizes in the mutant were not accompanied by any major changes in quantum efficiencies of PS I and PS II in leaves at non-saturating light levels for CO2 assimilation. Although the chlorophyll deficiency resulted in an 11% decrease in light absorption by mutant leaves, their maximum quantum yield and light saturated rate of CO2 assimilation were similar to those of wildtype leaves. Consequently, the large and different decreases in the antennae of PS II and PS I in the mutant are not associated with any loss of light use efficiency in photosynthesis. ¬© 1994 Kluwer Academic Publishers.</t>
  </si>
  <si>
    <t>17-25</t>
  </si>
  <si>
    <t>60001359;60001359;60001359</t>
  </si>
  <si>
    <t>6602806686;55745997400;26643542200</t>
  </si>
  <si>
    <t>Habash, Dimah Z.;Genty, Bernard;Baker, Neil R.</t>
  </si>
  <si>
    <t>Habash D.</t>
  </si>
  <si>
    <t>The consequences of chlorophyll deficiency for photosynthetic light use efficiency in a single nuclear gene mutation of cowpea</t>
  </si>
  <si>
    <t>10.1007/BF00019054</t>
  </si>
  <si>
    <t>2-s2.0-0028195310</t>
  </si>
  <si>
    <t>['water body', 'uv radiation', 'time course', 'supplementary uv', 'subtropical pacific', 'study indicate', 'statistically different', 'slightly reduced', 'significantly greater', 'significant light', 'samples treated', 'samples exposed', 'rhode island', 'ps ii', 'preillumination values', 'phytoplankton photosynthesis', 'photodamaged cells', 'photochemical quenching', 'par alone', 'natural levels', 'mixing rate', 'increased par', 'highly correlated', 'energy distribution', 'electron transfer', 'dependent changes', 'coastal waters', 'clear effect', 'biophysical targets', 'b radiation', 'b compared', 'acceptor side']</t>
  </si>
  <si>
    <t>absorption cross section of PS II | chlorophyll fluorescence | photoinhibition | phytoplankton | Q A | quantum efficiency of PS II | UV radiation</t>
  </si>
  <si>
    <t>The effects of PAR and UV radiation on PS II photochemistry were examined in natural phytoplankton communities from coastal waters off Rhode Island (USA) and the subtropical Pacific. The photochemical energy conversion efficiency, the functional absorption cross section and the kinetics of electron transfer on the acceptor side of PS II were derived from variable fluorescence parameters using both pump and probe and fast repetition rate techniques. In both environments, the natural phytoplankton communities displayed marked decreases in PS II photochemical energy conversion efficiency that were correlated with increased PAR. In the coastal waters, the changes in photochemical energy conversion efficiency were not statistically different for samples treated with supplementary UV-B radiation or screened to exclude ambient UV-B. Moreover, no significant light-dependent changes in the functional absorption cross section of PS II were observed. The rate of electron transfer between QA- and QB was, however, slightly reduced in photodamaged cells, indicative of damage on the acceptor side. In the subtropical Pacific, the decrease in photochemical energy conversion efficiency was significantly greater for samples exposed to natural levels of UV-A and/or UV-B compared with those exposed to PAR alone. The cells displayed large diurnal changes in the functional absorption cross section of PS II, indicative of non-photochemical quenching in the antenna. The changes in the functional absorption cross section were highly correlated with PAR but independent of UV radiation. The time course of changes in photochemical efficiency reveals that the photoinhibited reaction centers rapidly recover (within an hour or two) to their preillumination values. Thus, while we found definitive evidence for photoinhibition of PS II photochemistry in both coastal and open ocean phytoplankton communities, we did not find any effect of UV-B on the former, but a clear effect on the latter. The results of this study indicate that the effects of UV-B radiation on phytoplankton photosynthesis are as dependent on the radiative transfer properties of the water body and the mixing rate, as on the wavelength and energy distribution of the radiation and the absorption cross sections of the biophysical targets. ¬© 1994 Kluwer Academic Publishers.</t>
  </si>
  <si>
    <t>51-64</t>
  </si>
  <si>
    <t>60006221;60006221;60006221;60006221;60122755;60122755;60006221</t>
  </si>
  <si>
    <t>6701335536;55942800600;6603443431;7003648490;7201904591;16414753300;7005554445</t>
  </si>
  <si>
    <t>Vassiliev, Ilya R.;Prasil, Ondrej;Wyman, Kevin D.;Kolber, Zbigniew;Hanson, Alfred K.;Prentice, Jennifer E.;Falkowski, Paul G.</t>
  </si>
  <si>
    <t>Narragansett;Upton</t>
  </si>
  <si>
    <t>University of Rhode Island Narragansett Bay Campus;Brookhaven National Laboratory</t>
  </si>
  <si>
    <t>60122755;60006221</t>
  </si>
  <si>
    <t>Vassiliev I.R.</t>
  </si>
  <si>
    <t>Inhibition of PS II photochemistry by PAR and UV radiation in natural phytoplankton communities</t>
  </si>
  <si>
    <t>10.1007/BF00019058</t>
  </si>
  <si>
    <t>2-s2.0-0028313483</t>
  </si>
  <si>
    <t>['vector boundary', 'thus verified', 'solving difficulties', 'significantly improved', 'reflection coefficients', 'present method', 'good agreement', 'experimental data', 'element method', 'conical horn', 'circular symmetry', 'calculated results', 'analyzing efficiency']</t>
  </si>
  <si>
    <t>A vector boundary-element method is developed for analyzing a conical horn in this paper. A moving boundary technique (MBT) is proposed for solving difficulties of the integration at high-order singularity points in a vector integral equation, and its validity is verified by calculating the reflection coefficients of an empty circular waveguide with a short-end. The circular symmetry of the conical horn is utilized to simplify the 3-D problem to 2-D one and the analyzing efficiency is significantly improved. A comparison of the reflection coefficients of the conical horn is given between the experimental data and the calculated results. Very good agreement has been seen, and the reliability and efficiency of the present method are thus verified. ¬© 1994 Plenum Publishing Corporation.</t>
  </si>
  <si>
    <t>1689-1708</t>
  </si>
  <si>
    <t>60019118;60019118;101142153;101142153</t>
  </si>
  <si>
    <t>7102570463;13614168600;7202267299;36853450000</t>
  </si>
  <si>
    <t>Sheng, Xinqing;Xu, Shanjia;Yi, Xuenian;Zhong, Ying</t>
  </si>
  <si>
    <t>Hefei;Xi'an</t>
  </si>
  <si>
    <t>University of Science and Technology of China;Xi'an Institute of Space Radio Technology</t>
  </si>
  <si>
    <t>60019118;101142153</t>
  </si>
  <si>
    <t>Sheng X.</t>
  </si>
  <si>
    <t>Vector boundary-element analysis for conical horn</t>
  </si>
  <si>
    <t>10.1007/BF02096897</t>
  </si>
  <si>
    <t>2-s2.0-0028516793</t>
  </si>
  <si>
    <t>['predicting performance', 'performances attainable', 'jammer interference', 'geometrical theory', 'critical factors', 'complex clutter', 'authors describe', 'array radars', 'airborne environment', 'adaptive phased']</t>
  </si>
  <si>
    <t>Large ultralow sidelobe airborne array antennas are required for detection of low radar cross section targets against a background of complex clutter and jammer interference. One of the critical factors which limits the clutter and jammer suppression performance of adaptive phased-array radars is the impact of the aircraft in the near-field of a high gain antenna. The authors describe a simulation which provides a cost effective method of predicting performance. They describe the modelling of the aircraft and airborne radar simulation, and compare the performances attainable in the airborne environment for two possible antenna-aircraft platform configurations using the Ohio State University's geometrical theory of diffraction numerical code.</t>
  </si>
  <si>
    <t>279-284</t>
  </si>
  <si>
    <t>60012564;60012564</t>
  </si>
  <si>
    <t>6602512706;6507241543</t>
  </si>
  <si>
    <t>Suresh Babu, B. N.;Guella, T. P.</t>
  </si>
  <si>
    <t>Suresh Babu B.</t>
  </si>
  <si>
    <t>Effect of antenna aircraft interaction on phased-array radar performance</t>
  </si>
  <si>
    <t>10.1049/ip-rsn:19941236</t>
  </si>
  <si>
    <t>2-s2.0-0028526622</t>
  </si>
  <si>
    <t>['updated via', 'transformed data', 'processor weights', 'narrowband decomposition', 'input matrix', 'gsc output', 'first realisation', 'fast flms', 'eigenvalue spread', 'domain via', 'computer simulations', 'computational complexity', 'blocking network']</t>
  </si>
  <si>
    <t>The authors propose two new realisations of the broadband generalised sidelobe canceller (GSC) which are based on a two-dimensional (2D) extension of the transform-domain LMS algorithm. In the first realisation, the tap-input matrix of the GSC (following the blocking network) is mapped into the transform-domain via a 2D unitary image transform. Following this step, the transformed data are weighted and summed to produce the GSC output and the processor weights are updated via the self-orthogonalising LMS algorithm in the transform-domain. The second realisation uses a separable 2D transform and provides a narrowband decomposition of the GSC. The computational complexity of these new GSC realisations is analysed and shown to be comparable to that of the fast FLMS-GSC recently proposed by Chen and Fang. However, as demonstrated by computer simulations, the new GSC realisations have a much faster convergence rate than the FLMS-GSC when the eigenvalue spread of the tap-input correlation matrix is large.</t>
  </si>
  <si>
    <t>60002149;60002149</t>
  </si>
  <si>
    <t>7202509683;35232615200</t>
  </si>
  <si>
    <t>An, J.;Champagne, B.</t>
  </si>
  <si>
    <t>Le R√©seau de l'Universit√© du Qu√©bec</t>
  </si>
  <si>
    <t>An J.</t>
  </si>
  <si>
    <t>GSC realisations using the two-dimensional transform-domain LMS algorithm</t>
  </si>
  <si>
    <t>10.1049/ip-rsn:19941411</t>
  </si>
  <si>
    <t>2-s2.0-0028527093</t>
  </si>
  <si>
    <t>An antenna covered with photoresist patterns having high-aspect-ratio openings caused charge damage to the gate oxide in various processing plasmas. This damage increased with the pattern's aspect ratio, and occurred even when the test wafer was cut into chips about 5 mm square and mounted on a wafer with insulation. These results prove the electron shading model: the photoresist patterns shade the antenna from electrons of oblique incidence, resulting in local charging occurring without a wafer-scale voltage difference, which is essential for conventional charging. The damaging current from this mechanism increased by a factor of more than ten with a decrease in the gate oxide thickness only from 8 nm to 6 nm, implying that the degree of shading depends on the gate charging voltage. An improved model is proposed to accommodate this strong dependence.</t>
  </si>
  <si>
    <t>6013-6018</t>
  </si>
  <si>
    <t>2-s2.0-0028529702</t>
  </si>
  <si>
    <t>['simd machines', 'sidelobe canceler', 'radar systems', 'practical interest', 'operational situations', 'maspar mp', 'efficiently tackled']</t>
  </si>
  <si>
    <t>The sidelobe canceler in radar systems is a highly computational demanding problem. It can be efficiently tackled by resorting to the QR decomposition mapped onto a systolic array processor. The paper reports several mapping strategies by using massive parallel computers available on the market. MIMD as well as SIMD machines have been used, specifically MEIKO Computing Surface, nCUBE2, Connection Machine CM-200, and MasPar MP-1. The achieved data throughput values have been measured for a number of operational situations of practical interest.</t>
  </si>
  <si>
    <t>1264-1271</t>
  </si>
  <si>
    <t>100563118;100563118;100563118;100563118;100563118</t>
  </si>
  <si>
    <t>57200376791;7102783684;57202472103;56216845000;55952197400</t>
  </si>
  <si>
    <t>d'Acierno, Antonio;Ceccarelli, Michele;Farina, Alfonso;Petrosino, Alfredo;Timmoneri, Luca</t>
  </si>
  <si>
    <t>Istituto per la Ricerca sui Sistemi</t>
  </si>
  <si>
    <t>d'Acierno A.</t>
  </si>
  <si>
    <t>Mapping QR decomposition on parallel computers: a study case for radar applications</t>
  </si>
  <si>
    <t>2-s2.0-0028529901</t>
  </si>
  <si>
    <t>['upon entering', 'tm11 radiation', 'te11 pattern', 'te11 mode', 'period 3', 'period 2', 'paper showing', 'guiding field', 'field pattern', 'experimental studies', 'electron beam', 'directed electronically', 'cylindrical waveguide', 'concept using', 'amplifies radiation', '8t inside', '580 kv', '26 cm', '24 ghz', '1 mw']</t>
  </si>
  <si>
    <t>A paper by Jerby has discussed a number of mechanisms whereby FEL radiation may be directed electronically into different radiation patterns. We have devised an experiment to test this concept using the Columbia microwave FEL, which amplifies radiation at 24 GHZ to a level &lt;1 MW. A 4 mm dia. electron beam (580 kV) is propagated in a guiding field of 0.8T inside an overmoded 24 mm dia. cylindrical waveguide. A TE11 mode is grown in a 33 cm long first undulator section (period 3.36 cm), and upon entering the following undulator section (period 2.26 cm, length 40 cm), the electron bunches convert to TM11 radiation which is further amplified. The far-field pattern of the TM11 emitted power is distinct from the TE11 pattern. Numerical and experimental studies are described in this paper showing the resulting radiation pattern.</t>
  </si>
  <si>
    <t>656-658</t>
  </si>
  <si>
    <t>60030162;60030162</t>
  </si>
  <si>
    <t>7003616056;7201537493</t>
  </si>
  <si>
    <t>Cecere, M.;Marshall, T. C.</t>
  </si>
  <si>
    <t>Columbia University</t>
  </si>
  <si>
    <t>Cecere M.</t>
  </si>
  <si>
    <t>Free electron laser experiment on `angular steering'</t>
  </si>
  <si>
    <t>2-s2.0-0028529954</t>
  </si>
  <si>
    <t>Plasma production by rf fields in the helicon wave frequency range is investigated by using the rotating field antenna which can select the azimuthal mode number of the applied rf. The calculated dispersion relation shows that the m = -1 mode helicon wave propagates whereas the m = +1 mode helicon wave is cut off. The produced helium plasma density in the case of the m = -1 mode rf application is 1 √ó 1013 cm-3, which is more than 5 times greater than in the case of the m = +1 mode rf application. The two-dimensional numerical simulation of the rf plasma production also qualitatively gives the same result as in the experiment. The plasma for the m = +1 mode rf is sustained by the antenna near field, while for the m = -1 mode rf, it is sustained by the power absorption from the propagating helicon wave. From both the experiment and the simulation, the helicon wave is revealed to increase the plasma density from the order of 1012 cm-3 to 1013 cm-3 by efficient power deposition to electrons.</t>
  </si>
  <si>
    <t>5950-5958</t>
  </si>
  <si>
    <t>2-s2.0-0028530088</t>
  </si>
  <si>
    <t>['tx decided', 'texas instruments', 'systems integrator', 'solution based', 'reynolds co', 'monitoring time', 'integrate elements', 'forth worth', 'employees assigned', 'efficient mode', 'deemed necessary', 'consolidated facility', 'best service', 'automated control', 'access control']</t>
  </si>
  <si>
    <t>Upon the decision to construct a new communications dispatch facility, the city of Forth Worth, TX decided that a consolidated facility will furnish the best service. Automated control was deemed necessary if an efficient mode of regulating the flow of the employees assigned to the facility is to be achieved. The assistance of the Reynolds Co, a systems integrator, was enlisted and a solution based on radio frequency identification was selected. The system, which integrate elements from Texas Instruments and Linx Data Terminals, proved to be valid not only for access control, but also for monitoring time and attendance.</t>
  </si>
  <si>
    <t>10 pt 1</t>
  </si>
  <si>
    <t>0892676X</t>
  </si>
  <si>
    <t>ID Systems</t>
  </si>
  <si>
    <t>Quinn, Paul</t>
  </si>
  <si>
    <t>Quinn P.</t>
  </si>
  <si>
    <t>Security at a dispatch facility</t>
  </si>
  <si>
    <t>2-s2.0-0028530166</t>
  </si>
  <si>
    <t>['working areas', 'upper decks', 'topside equipment', 'specific frequencies', 'radio transmitters', 'pose hazards', 'personnel work', 'optic sensors', 'antenna must']</t>
  </si>
  <si>
    <t>Most modern frigate features high powered radar and radio transmitters and increasingly with electro-optic sensors. However, transmitter power levels at specific frequencies can pose hazards for personnel, fuel, and ordnance, and safety ranges must be considered when locating the transmitters in relation to working areas. In the same way, the location of each antenna must be justified in relation to other antennas, topside equipment and areas of the upper decks where personnel work, where weapons are fitted and where refuelling is done. Thus the designer must make sure that equipments are situated so that they will not cause mutual interference or interference with other equipments.</t>
  </si>
  <si>
    <t>Design engineering London</t>
  </si>
  <si>
    <t>Simpson, Mike</t>
  </si>
  <si>
    <t>BMT Defence Services Ltd</t>
  </si>
  <si>
    <t>Simpson M.</t>
  </si>
  <si>
    <t>Antennas need clear signals in their design</t>
  </si>
  <si>
    <t>2-s2.0-0028530293</t>
  </si>
  <si>
    <t>['subscriber antennas', 'slots perturb', 'slot pairs', 'slot pair', 'slot design', 'rotational symmetry', 'reasonable agreement', 'radial waveguide', 'perfectly symmetrical', 'paper presents', 'layered rlsa', 'inner field', 'fundamental analysis', 'direct broadcast', 'design policies', 'considered since', 'calculated results', 'based upon', 'antenna efficiency']</t>
  </si>
  <si>
    <t>A radial line slot antenna (RLSA) is a slotted waveguide planar array for the direct broadcast from satellite (DBS) subscriber antennas. A single-layered RLSA (SL-RLSA) is excited by a radially outward traveling wave. The antenna efficiency of more than 85% has already been realized. These antennas are designed on the assumption of perfectly rotationally symmetrical traveling wave excitation; the slot design is based upon the analysis of a slot pair on the rectangular waveguide model with periodic boundary walls. However, the slots perturb the inner field and the actual antenna operation is not perfectly symmetrical. This causes the efficiency reduction especially for very small size antenna. This paper presents a fundamental analysis of the inner field of the radial waveguide. It is impossible to analyze all the slot pairs in the aperture as it is and only the slots in the inner few turns are considered since these provide dominant perturbation. The calculated results are verified by the experiments and reasonable agreement is demonstrated. Some design policies are suggested for enhancing the rotational symmetry.</t>
  </si>
  <si>
    <t>1256-1263</t>
  </si>
  <si>
    <t>60009824;60009824;60009824</t>
  </si>
  <si>
    <t>7408117894;35495699200;7201747933</t>
  </si>
  <si>
    <t>Takahashi, Masaharu;Ando, Makoto;Goto, Naohisa</t>
  </si>
  <si>
    <t>Tokyo City University</t>
  </si>
  <si>
    <t>Takahashi M.</t>
  </si>
  <si>
    <t>Analysis of the rotational symmetry of the inner field of radial line slot antennas</t>
  </si>
  <si>
    <t>2-s2.0-0028530721</t>
  </si>
  <si>
    <t>['uniform coverage', 'severe disadvantages', 'null filling', 'merely maximizing', 'maximum power', 'equal amplitude', 'economical solution', 'antenna gain']</t>
  </si>
  <si>
    <t>The optimum antenna gain is attained by feeding all dipoles with equal amplitude and phase. This appears to be the most economical solution as the maximum power is radiated. However, to severe disadvantages has led to the conclusion that designing the base station antennas by merely maximizing their antenna gain does not provide the most possible coverage reliability. Based on testings, it has been found that a more uniform coverage can be obtained with null filling and tilting the vertical pattern base station antennas. In built-up areas and streets, proper vertical pattern shaping has been found to ensure a much more uniform coverage.</t>
  </si>
  <si>
    <t>0960667X</t>
  </si>
  <si>
    <t>Microwave Engineering Europe</t>
  </si>
  <si>
    <t>60088533;60088533</t>
  </si>
  <si>
    <t>7201745447;36920630700</t>
  </si>
  <si>
    <t>Stark, Axsel;Rohner, Christof</t>
  </si>
  <si>
    <t>Stark A.</t>
  </si>
  <si>
    <t>Optimizing the coverage of DCS1800 base stations by antenna pattern shaping</t>
  </si>
  <si>
    <t>2-s2.0-0028530777</t>
  </si>
  <si>
    <t>['results obtained', 'postmanufacture tune', 'active antenna']</t>
  </si>
  <si>
    <t>Active antenna load pulling effects are analyzed in the presence of a partially reflecting superstrate (dielectric cover). The analytical and experimental results obtained exhibit distortion in the frequency pulling pattern of the active antenna. The results obtained can be used to design optimum cover placement or to postmanufacture tune the frequency of the active antenna module.</t>
  </si>
  <si>
    <t>374-376</t>
  </si>
  <si>
    <t>Active antenna top-cover frequency pulling effects</t>
  </si>
  <si>
    <t>10.1049/ip-map:19941433</t>
  </si>
  <si>
    <t>2-s2.0-0028530892</t>
  </si>
  <si>
    <t>['nonlinear profiles', 'horn performance', 'dielectric material']</t>
  </si>
  <si>
    <t>Profiled dielectric loaded horns are investigated with the aim of obtaining low peak crosspolar level and high aperture efficiency. A number of nonlinear profiles are considered. The paper also looks into the influence of profiling on the bandwidth of the horn and the effect of non-uniformities in the dielectric material on horn performance.</t>
  </si>
  <si>
    <t>337-341</t>
  </si>
  <si>
    <t>7006753955;7006827241</t>
  </si>
  <si>
    <t>Philips, B.;Olver, A. D.</t>
  </si>
  <si>
    <t>Design and performance of profiled dielectric loaded horns</t>
  </si>
  <si>
    <t>10.1049/ip-map:19941266</t>
  </si>
  <si>
    <t>2-s2.0-0028531184</t>
  </si>
  <si>
    <t>['path loss', 'path length', 'compare favourably', 'based model', 'accurately predict']</t>
  </si>
  <si>
    <t>The performance of a UTD-based model for path loss prediction in cellular radio systems is investigated. The model's performance is shown to compare favourably with physical optics based techniques, and to accurately predict the dependency of path loss on both path length and base station antenna height within certain bounds. The bounds of applicability reported show that such a model could find application in planning cellular systems with small urban cells.</t>
  </si>
  <si>
    <t>407-414</t>
  </si>
  <si>
    <t>60005686;60005686</t>
  </si>
  <si>
    <t>6604016173;7103090339</t>
  </si>
  <si>
    <t>Neve, M. J.;Rowe, G. B.</t>
  </si>
  <si>
    <t>Auckland</t>
  </si>
  <si>
    <t>The University of Auckland</t>
  </si>
  <si>
    <t>Neve M.</t>
  </si>
  <si>
    <t>Contributions towards the development of a UTD-based model for cellular radio propagation prediction</t>
  </si>
  <si>
    <t>10.1049/ip-map:19941432</t>
  </si>
  <si>
    <t>2-s2.0-0028531240</t>
  </si>
  <si>
    <t>['slot position', 'return loss', 'present theory', 'moment method', 'mode theory', 'mode results', 'measurements available', 'magnetic current', 'frequency range', 'field green', 'exact magnetic', 'equivalent current', 'dr antenna', 'antenna excited', 'antenna configuration']</t>
  </si>
  <si>
    <t>An aperture-coupled hemispherical dielectric resonator (DR) antenna excited at the end-fire TE221 mode has been studied. The exact magnetic-field Green's function of the DR antenna is presented, and the moment method is used to solve the equivalent current in the slot. From the magnetic current, the return loss of the antenna configuration is evaluated. The results are compared with the singe-mode results and measurements available in the literature. Compared with the single-mode theory, the solution of the present theory is very general in terms of the slot position and the frequency range.</t>
  </si>
  <si>
    <t>377-381</t>
  </si>
  <si>
    <t>Moment method solution of aperture-coupled hemispherical dielectric resonator antenna using exact modal Green's function</t>
  </si>
  <si>
    <t>10.1049/ip-map:19941323</t>
  </si>
  <si>
    <t>2-s2.0-0028531793</t>
  </si>
  <si>
    <t>['varactor diode', 'thorough investigation', 'structure incorporates', 'radiation characteristics', 'polarization levels', 'increased cross', 'good agreement', 'attachment modes', 'accurately model']</t>
  </si>
  <si>
    <t>A thorough investigation of the radiation characteristics of a probe-fed microstrip patch loaded with a varactor diode is presented. The theoretical analysis used to model this structure incorporates the full-wave spectral domain integral technique in conjunction with an equivalent circuit model of the varactor diode. Attachment modes are used to accurately model the current through the feed and load. Very good agreement between theory and measurement was obtained. From this investigation, the advantages and drawbacks of using varactor diodes to improve the radiation characteristics of a micro-strip patch antenna were established. It was shown that large effective bandwidths can be achieved using varactor diodes, although at the expense of reduced antenna efficiency and increased cross-polarization levels.</t>
  </si>
  <si>
    <t>367-373</t>
  </si>
  <si>
    <t>35478779700;6603921864</t>
  </si>
  <si>
    <t>Waterhouse, R. B.;Shuley, N. V.</t>
  </si>
  <si>
    <t>Waterhouse R.</t>
  </si>
  <si>
    <t>Full characterization of varactor-loaded, probe-fed, rectangular, microstrip patch antennas</t>
  </si>
  <si>
    <t>10.1049/ip-map:19941305</t>
  </si>
  <si>
    <t>2-s2.0-0028532169</t>
  </si>
  <si>
    <t>['radiation characteristics', 'paper describes', 'integrated within', 'current interest', 'analysis indicates', 'active devices', 'active device']</t>
  </si>
  <si>
    <t>The current interest in active microstrip antennas has highlighted the need for analysis of the radiation characteristics of such antennas. The paper describes the extension of the small magnetic dipole source analysis of microstrip line discontinuities to active devices. The analysis is then combined with the patch cavity model to form a flexible, approximate analysis suitable for implementation in active antenna computer-aided design packages. Computed results agree well with measurements and show that radiation from the active device and associated matching circuits can be significant. The analysis indicates that reduced radiation pattern perturbation will result from the active device being integrated within the periphery of the patch.</t>
  </si>
  <si>
    <t>359-366</t>
  </si>
  <si>
    <t>57213425197;7003507268</t>
  </si>
  <si>
    <t>Hall, P. S.;Morrow, I. L.</t>
  </si>
  <si>
    <t>Analysis of radiation from active microstrip antennas</t>
  </si>
  <si>
    <t>10.1049/ip-map:19941265</t>
  </si>
  <si>
    <t>2-s2.0-0028532510</t>
  </si>
  <si>
    <t>['radiation fields', 'gtd ).', 'good agreement', 'experimental ones', 'computational formulae', 'calculated results']</t>
  </si>
  <si>
    <t>Airborne Archimedean spiral antenna | Geometrical theory of diffraction (GTD) | Radiation field</t>
  </si>
  <si>
    <t>The radiation fields of the Archimedean spiral antenna are derived by approximating the spiral with a series of semicircles. The computational formulae for calculating the radiation fields of the airborne spiral antennas are developed by using geometrical theory of diffraction (GTD). The calculated results are in good agreement with the experimental ones. ¬© 1994 Science Press.</t>
  </si>
  <si>
    <t>60025578;60025578;60025578</t>
  </si>
  <si>
    <t>24784751400;24785539200;57207134669</t>
  </si>
  <si>
    <t>Qizhong, Liu;Yongchang, Jiao;Li, Li</t>
  </si>
  <si>
    <t>Qizhong L.</t>
  </si>
  <si>
    <t>Radiation characteristics of airborne spiral antennas</t>
  </si>
  <si>
    <t>10.1007/BF02778392</t>
  </si>
  <si>
    <t>2-s2.0-51649143329</t>
  </si>
  <si>
    <t>['optimization method', 'moment method', 'maximum directivities', 'characteristic parameters']</t>
  </si>
  <si>
    <t>Antennas | Curved surface dipoles | Directivity | Moment method | Optimization</t>
  </si>
  <si>
    <t>Based on the calculation of the characteristic parameters by moment method, the curved surface dipoles are optimized by an optimization method, the maximum directivities of some V-curved and Gauss-curved surface dipoles are given. ¬© 1994 Science Press.</t>
  </si>
  <si>
    <t>322-331</t>
  </si>
  <si>
    <t>24473265900;24783180200</t>
  </si>
  <si>
    <t>Junhong, Wang;Lang, Ren</t>
  </si>
  <si>
    <t>Junhong W.</t>
  </si>
  <si>
    <t>Directivity optimization of curved surface dipole antennas</t>
  </si>
  <si>
    <t>10.1007/BF02778386</t>
  </si>
  <si>
    <t>2-s2.0-51649145954</t>
  </si>
  <si>
    <t>['¬© 1994', 'xanthophyll cycle', 'specific binding', 'reaction center', 'quenching reflects', 'quenching ),', 'preferential distribution', 'positions shown', 'neighboring pigment', 'model accounts', 'minor cps', 'mechanism associated', 'main elements', 'lumenal interface', 'excited singlet', 'efficient quencher', 'discuss energy', 'chlorophylls near']</t>
  </si>
  <si>
    <t>Chlorophylls | Light-harvesting complex | Molecular mechanism | Photosynthesis | q -Quenching E</t>
  </si>
  <si>
    <t>We discuss energy-dependent fluorescence lowering (qE-quenching), and suggest a model to explain the experimental data currently available. The main elements of the model are: (a) the qE-quenching reflects a mechanism associated with a component of the light-harvesting antenna rather than the reaction center of photosystem (PS) II - we suggest that it occurs through formation of an efficient quencher in one of the minor chlorophyll protein (CP) complexes; (b) the minor CPs have glutamate residues instead of glutamines at positions shown in light-harvesting complex II (LHCII) to be ligands to chlorophylls near the lumenal interface. We suggest that the quenching reflects a change in ligation of chlorophyll on protonation of these glutamate residues leading to formation of an exciton coupled dimer with a neighboring pigment, in which additional energy levels allow vibrational relaxation of the excited singlet. The model accounts for the dependence on low lumenal pH, the ligand residue changes between LHCII and the minor CPs, the preferential distribution of components of the xanthophyll cycle in the minor CPs, the inhibition of qE-quenching by DCCD, and the specific binding of DCCD to the minor CPs. ¬© 1994.</t>
  </si>
  <si>
    <t>7006322997;6602228551</t>
  </si>
  <si>
    <t>Crofts, Antony R.;Yerkes, Cristine T.</t>
  </si>
  <si>
    <t>Crofts A.</t>
  </si>
  <si>
    <t>A molecular mechanism for q&lt;inf&gt;E&lt;/inf&gt;-quenching</t>
  </si>
  <si>
    <t>0014-5793(94)00976-7</t>
  </si>
  <si>
    <t>10.1016/0014-5793(94)00976-7</t>
  </si>
  <si>
    <t>2-s2.0-0028168064</t>
  </si>
  <si>
    <t>R01GM022912</t>
  </si>
  <si>
    <t>['unstacked membranes', 'triton x', 'thylakoid membranes', 'stromal surface', 'stroma thylakoids', 'stacked membranes', 'several apoproteins', 'separate stacked', 'random distribution', 'ps ii', 'protein complexes', 'prochlorothrix leads', 'prochlorothrix exhibit', 'methods used', 'membrane fractions', 'kda protein', 'functional uncoupling', 'differential centrifugation', 'atp synthase', 'associated chlorophyll', 'activated kinase', '38 kda']</t>
  </si>
  <si>
    <t>We describe a procedure to separate stacked and unstacked membranes from the prochlorophyte Prochlorothrix hollandica that is based on methods used for the separation of grana and stroma thylakoids from chloroplasts. Stacked membranes were isolated from Triton X-100-treated whole thylakoid preparations, unstacked membranes from French press disrupted cells. Membrane fractions were isolated by differential centrifugation. The stacked membranes were enriched in photosystem (PS) II and a chlorophyll a/b-binding antenna complex, whereas the unstacked membranes contained PS I and the ATP synthase. No evidence for a PS I-associated chlorophyll a/b antenna system was obtained. The PS II-associated chlorophyll a/b antenna complex is composed of several apoproteins in the molecular mass range from 32 to 38 kDa. The 38- kDa protein of this complex becomes phosphorylated on its stromal surface by a light-activated kinase, but, unlike the light-harvesting II complex of chloroplasts, it does not migrate from grana to stroma membrane regions. Overall, the thylakoid membranes of Prochlorothrix exhibit a remarkably similar organization to those of chloroplasts, especially in terms of the non-random distribution of protein complexes between grana and stroma thylakoid membranes. However, in contrast to the rapidly reversible phosphorylation-dependent state 1-state 2 response of light-harvesting complex associated with PS II in chloroplasts, the slowly reversible phosphorylation in Prochlorothrix leads only to a functional uncoupling from PS II but not to its redistribution between stacked and unstacked membrane regions.</t>
  </si>
  <si>
    <t>24834-24844</t>
  </si>
  <si>
    <t>60000221-60010365;60000221</t>
  </si>
  <si>
    <t>6603448285;7006830237</t>
  </si>
  <si>
    <t>Van Der Staay, Georg W.M.;Staehelin, L. Andrew</t>
  </si>
  <si>
    <t>Vancouver;Boulder</t>
  </si>
  <si>
    <t>The University of British Columbia;University of Colorado Boulder</t>
  </si>
  <si>
    <t>60010365;60000221</t>
  </si>
  <si>
    <t>Van Der Staay G.W.M.</t>
  </si>
  <si>
    <t>Biochemical characterization of protein composition and protein phosphorylation patterns in stacked and unstacked thylakoid membranes of the prochlorophyte Prochlorothrix hollandica</t>
  </si>
  <si>
    <t>2-s2.0-0027938908</t>
  </si>
  <si>
    <t>['¬© 1994', 'simulation results', 'rights reserved', 'network performances', 'complex domain']</t>
  </si>
  <si>
    <t>Neural networks | Radio direction-finding</t>
  </si>
  <si>
    <t>A complex-valued neural network for the implementation of a direction of arrival (DoA) estimator is presented. The network is based on the linear prediction method, with data processed fully in the complex domain. Simulation results are given to demonstrate the effectiveness of the network performances. ¬© 1994, IEE. All rights reserved.</t>
  </si>
  <si>
    <t>574-575</t>
  </si>
  <si>
    <t>60012370;60012370;60012370</t>
  </si>
  <si>
    <t>55501098400;55477589100;7403573252</t>
  </si>
  <si>
    <t>Yang, W. H.;Chan, K. K.;Chang, P. R.</t>
  </si>
  <si>
    <t>Yang W.</t>
  </si>
  <si>
    <t>Complex-valued neural network for direction of arrival estimation</t>
  </si>
  <si>
    <t>10.1049/el:19940400</t>
  </si>
  <si>
    <t>2-s2.0-0028392417</t>
  </si>
  <si>
    <t>['¬© 1994', 'rights reserved', 'authors report', '13 ghz']</t>
  </si>
  <si>
    <t>Nonlinear optics | Optical waveguides</t>
  </si>
  <si>
    <t>The authors report the generation of tunable, CW, X-band microwave radiation using optical mixing in an AlxGa1-+xAs optical waveguide. Two optical frequencies from CW, Nd-YAG ring lasers are mixed to obtain microwave radiation between 7 and 13 GHz. ¬© 1994, IEE. All rights reserved.</t>
  </si>
  <si>
    <t>60017592;60017592;60009839;60009839;60009839;118847268</t>
  </si>
  <si>
    <t>57196018039;57191680888;7005967750;57196019240;7004148311;24484081100</t>
  </si>
  <si>
    <t>Frlan, E.;Wight, J. S.;Janz, S.;Chatenoud, F.;Normandin, R.;Stubbs, M. G.</t>
  </si>
  <si>
    <t>Canada;Canada;Canada</t>
  </si>
  <si>
    <t>Ottawa;Ottawa ON,;Ottawa</t>
  </si>
  <si>
    <t>Carleton University;National Research Council Canada;Comunications Research Centre</t>
  </si>
  <si>
    <t>60017592;60009839;118847268</t>
  </si>
  <si>
    <t>Frlan E.</t>
  </si>
  <si>
    <t>Generation of tunable, CW, microwave radiation in X-band by difference-frequency mixing</t>
  </si>
  <si>
    <t>10.1049/el:19940405</t>
  </si>
  <si>
    <t>2-s2.0-0028396608</t>
  </si>
  <si>
    <t>['¬© 1994', 'temperature retrieval', 'single frequency', 'rights reserved', 'radiometric data', 'new method', 'method consists', 'delay times', 'data measured', 'authors present']</t>
  </si>
  <si>
    <t>Microwave techniques | Radiometry</t>
  </si>
  <si>
    <t>The authors present a new method of temperature retrieval in a lossy material based on the processing of the data measured by a correlation microwave radiometer. This method consists in the resolution of a system of linear equations obtained from radiometric data. It uses both weighting functions defined from the short-range radiation pattern of the antennas and the delay times of the correlator. A feature of the method is that it can retrieve temperature profiles in depth by working at a single frequency. ¬© 1994, IEE. All rights reserved.</t>
  </si>
  <si>
    <t>658-660</t>
  </si>
  <si>
    <t>60011371;60011371;60026113;60026113</t>
  </si>
  <si>
    <t>6602922531;6602287098;24299153900;7003520733</t>
  </si>
  <si>
    <t>Bellarbi, L.;Elkadiri, M.;Leroy, Y.;Mamouni, A.</t>
  </si>
  <si>
    <t>France;Morocco</t>
  </si>
  <si>
    <t>Villeneuve-d'Ascq;Rabat</t>
  </si>
  <si>
    <t>Institut d'Electronique de Micro√©lectronique et de Nanotechnologie (IEMN);Ecole Mohammadia d'Ingenieurs, Mohammed V University in Rabat</t>
  </si>
  <si>
    <t>60026113;60011371</t>
  </si>
  <si>
    <t>Bellarbi L.</t>
  </si>
  <si>
    <t>Temperature retrieval in lossy material by microwave correlation radiometry</t>
  </si>
  <si>
    <t>10.1049/el:19940439</t>
  </si>
  <si>
    <t>2-s2.0-0028407126</t>
  </si>
  <si>
    <t>['¬© 1994', 'suitable optimisation', 'rights reserved', 'radiation occurs', 'medium gain', 'low loss', 'low crosspolarisation', 'far field', 'antenna aperture']</t>
  </si>
  <si>
    <t>Antenna radiation patterns | Microstrip antennas | Slot antennas</t>
  </si>
  <si>
    <t>A novel integrated antenna with low loss and medium gain is designed. It is composed of a driven oversize slotted patch, backed by a metallic ground plane. Its radiation occurs from the slots and some of its edges. By a suitable optimisation, an excellent field distribution over the antenna aperture is obtained, that provides high gain and low crosspolarisation at far field. ¬© 1994, IEE. All rights reserved.</t>
  </si>
  <si>
    <t>616-617</t>
  </si>
  <si>
    <t>Radiation characteristics of slotted oversize patch antennas</t>
  </si>
  <si>
    <t>10.1049/el:19940424</t>
  </si>
  <si>
    <t>2-s2.0-0028408535</t>
  </si>
  <si>
    <t>['¬© 1994', 'rights reserved', 'open structure', 'new approach', 'good agreement', 'cylindrical antennas', 'current distributions', 'conductor loss', 'abcs ).']</t>
  </si>
  <si>
    <t>Antenna theory | Method of lines</t>
  </si>
  <si>
    <t>A new approach for the analysis of cylindrical antennas with the method of lines (MoL) is described. The open structure is modelled with absorbing boundary conditions (ABCs). Current distributions and especially input impedances of a dipole are in good agreement with literature. Conductor loss is taken into account. ¬© 1994, IEE. All rights reserved.</t>
  </si>
  <si>
    <t>614-616</t>
  </si>
  <si>
    <t>Pregla, R.</t>
  </si>
  <si>
    <t>Pregla R.</t>
  </si>
  <si>
    <t>New approach for the analysis of cylindrical antennas by the method of lines</t>
  </si>
  <si>
    <t>10.1049/el:19940425</t>
  </si>
  <si>
    <t>2-s2.0-0028408642</t>
  </si>
  <si>
    <t>['¬© 1994', 'slotline transition', 'short circuit', 'rights reserved', 'right angles', 'opposite sides', 'coupled electromagnetically', 'bandwidth greater']</t>
  </si>
  <si>
    <t>Coplanar waveguide | Silicon | Slot antennas | Waveguide components</t>
  </si>
  <si>
    <t>A novel coplanar stripline (CPS) to slotline transition has been fabricated and characterised on a high resistivity silicon wafer. The CPS and the slotline are on opposite sides of the wafer and are coupled electromagnetically. The coupling takes place at the location were the CPS is terminated in a short circuit. The arc of the short circuit crosses the slotline at right angles. The measured average insertion loss and return loss per transition are better than 1.5 and 10dB, respectively, with a bandwidth greater than 30% at 9.5GHz. ¬© 1994, IEE. All rights reserved.</t>
  </si>
  <si>
    <t>654-655</t>
  </si>
  <si>
    <t>Simons, R. N.</t>
  </si>
  <si>
    <t>Simons R.</t>
  </si>
  <si>
    <t>Novel coplanar stripline to slotline transition on high resistivity silicon</t>
  </si>
  <si>
    <t>10.1049/el:19940431</t>
  </si>
  <si>
    <t>2-s2.0-0028408795</t>
  </si>
  <si>
    <t>['¬© 1994', 'terminal results', 'simulations show', 'similar pertbrmance', 'shielding structure', 'rights reserved', 'rcdla outperforms', 'rcdla ).', 'radiation pattern', 'radiation characteristics', 'points away', 'metallic housing', 'matching capabilities', 'making use', 'l antenna', 'housing instead', 'held terminal', 'f antenna', 'coupled dual', 'back side', 'antenna type']</t>
  </si>
  <si>
    <t>Antennas | Biological effects of microwaves | Cordless telephone systems | Safety</t>
  </si>
  <si>
    <t>An analysis is made of the performance of a radiation-coupled dual-L antenna (RCDLA). In the simulation the antenna is mounted on the back side of the hand-held terminal, making use of the metallic housing as a shielding structure. The simulations show that this structure has a similar pertbrmance to that of the recently proposed full short circuit planar inverted-F antenna (FS-PIFA) in terms of shielding and radiation characteristics. In terms of bandwidth, size, and matching capabilities the RCDLA outperforms the FS-PIFA, Placement of the antenna on the back side of the housing instead of the top of the terminal results in a radiation pattern that points away from the user‚Äôs head regardless of the antenna type. ¬© 1994, IEE. All rights reserved.</t>
  </si>
  <si>
    <t>1816-1818</t>
  </si>
  <si>
    <t>60018163;60018163;60018163</t>
  </si>
  <si>
    <t>6701392503;57198126604;7007067644</t>
  </si>
  <si>
    <t>Fuhl, J.;Nowak, P.;Bonek, E.</t>
  </si>
  <si>
    <t>Fuhl J.</t>
  </si>
  <si>
    <t>Improved internal antenna for hand-held terminals</t>
  </si>
  <si>
    <t>10.1049/el:19941258</t>
  </si>
  <si>
    <t>2-s2.0-0028523969</t>
  </si>
  <si>
    <t>['¬© 1994', 'rights reserved', 'results highlighting', 'range extension', 'fold increase', 'capacity enhancement', '30 ns', '100 ns']</t>
  </si>
  <si>
    <t>Adaptive arrays | Antenna phased arrays | Cordless telephone systems</t>
  </si>
  <si>
    <t>Results highlighting the capacity enhancement and service or range extension of a wireless communication network employing adaptive antenna technology are presented. The picocellular service area was modelled using ray tracing techniques, and it has been shown that the maximum RMS delay spread was reduced from &gt; 100 ns to &lt; 30 ns by employing a beamformer with an associated array capable of forming multiple 15¬∞ wide beams. In addition, a seven-fold increase in the overall spectrum efficiency was predicted. ¬© 1994, IEE. All rights reserved.</t>
  </si>
  <si>
    <t>1813-1814</t>
  </si>
  <si>
    <t>7102568206;7801588904;7007161122</t>
  </si>
  <si>
    <t>Beach, M. A.;Gu√©mas, P.;Nix, A. R.</t>
  </si>
  <si>
    <t>Beach M.</t>
  </si>
  <si>
    <t>Capacity and service extension for wireless networks using adaptive antennas</t>
  </si>
  <si>
    <t>10.1049/el:19941274</t>
  </si>
  <si>
    <t>2-s2.0-0028525060</t>
  </si>
  <si>
    <t>['¬© 1994', 'rights reserved', 'pulsed conditions', 'monolithic tapered', 'emit greater', '952nm wavelength']</t>
  </si>
  <si>
    <t>Laser cavity resonators | Semiconductor junction lasers</t>
  </si>
  <si>
    <t>A monolithic tapered-stripe unstable resonator laser diode operating at 952nm wavelength is demonstrated to emit greater than 5.0W in a diffraction-limited radiation pattern under pulsed conditions. ¬© 1994, IEE. All rights reserved.</t>
  </si>
  <si>
    <t>1855-1856</t>
  </si>
  <si>
    <t>60009289;60009289;60009289;60009289;60009289</t>
  </si>
  <si>
    <t>7006871460;57194911833;7402129079;7101878047;7202922233</t>
  </si>
  <si>
    <t>Mehuys, D.;O‚ÄôBrien, S.;Lang, R. J.;Hardy, A.;Welch, D. F.</t>
  </si>
  <si>
    <t>San Jose</t>
  </si>
  <si>
    <t>SDL Inc.</t>
  </si>
  <si>
    <t>Mehuys D.</t>
  </si>
  <si>
    <t>5W, diffraction-limited, tapered-stripe unstable resonator semiconductor laser</t>
  </si>
  <si>
    <t>10.1049/el:19941272</t>
  </si>
  <si>
    <t>2-s2.0-0028526499</t>
  </si>
  <si>
    <t>['¬© 1994', 'type companding', 'shown theoretically', 'rights reserved', 'improvement could', 'companding technique', '10bit system']</t>
  </si>
  <si>
    <t>Community antenna television | Optical communication | Suhcarrier multiplexing compandors</t>
  </si>
  <si>
    <t>The companding technique has been shown theoretically to be effective for improving the fundamental CNR limit of AM-SCM-PCM lightwave CATV systems. For an 8bit and 10bit system, the improvement could be 3 and 4dB, respectively, by use of erf-type companding, the corresponding CNR limits being raised to 44.8 and 56.8dB, respectively. ¬© 1994, IEE. All rights reserved.</t>
  </si>
  <si>
    <t>1874-1875</t>
  </si>
  <si>
    <t>Companding technique for AM-SCM-PCM lightwave CATV systems</t>
  </si>
  <si>
    <t>10.1049/el:19941249</t>
  </si>
  <si>
    <t>2-s2.0-0028527079</t>
  </si>
  <si>
    <t>['¬© 1994', 'simple elements', 'rights reserved', 'relative displacement', 'oblique agles', 'high coupling', 'dielectric layer', 'achieved using', '75 ¬∞)', '1 %.']</t>
  </si>
  <si>
    <t>A demonstration is presented of a way in which an affected FSS response can be achieved using a two sided structure of dipole arrays sharing the same dielectric layer. Even with these simple elements the results produced resonances well below the grating lobe region, and consequently the instability of these with oblique agles of incidence (up to 75¬∞) was less than 1%. The key to this work was the high coupling between the arrays that was achieved by a relative displacement. ¬© 1994, IEE. All rights reserved.</t>
  </si>
  <si>
    <t>1818-1819</t>
  </si>
  <si>
    <t>60000891;60000891</t>
  </si>
  <si>
    <t>35562114200;35562685800</t>
  </si>
  <si>
    <t>Vardaxoglou, J. C.;Lockyer, D.</t>
  </si>
  <si>
    <t>Loughborough</t>
  </si>
  <si>
    <t>Loughborough University</t>
  </si>
  <si>
    <t>Vardaxoglou J.</t>
  </si>
  <si>
    <t>Modified FSS response from two sided and closely coupled arrays</t>
  </si>
  <si>
    <t>10.1049/el:19941282</t>
  </si>
  <si>
    <t>2-s2.0-0028527990</t>
  </si>
  <si>
    <t>['¬© 1994', 'transistor amplifier', 'television receiver', 'rights reserved', 'feeding point', 'actual gains', '770 mhz']</t>
  </si>
  <si>
    <t>Active antennas | Coplanar waveguide | Dipoie antennas | Television receivers</t>
  </si>
  <si>
    <t>A coplanar waveguide fed active dipole antenna for a television receiver is fabricated on a thin dielectric film by using photoetching techniques. A transistor amplifier is integrated between the feeding point of the dipole and CPW. Actual gains of more than 8dBd are obtained at frequencies from 470 to 770 MHz. ¬© 1994, IEE. All rights reserved.</t>
  </si>
  <si>
    <t>1815-1816</t>
  </si>
  <si>
    <t>60011846;60011846;60011846</t>
  </si>
  <si>
    <t>57044187900;7401913773;55741538100</t>
  </si>
  <si>
    <t>Taguchi, M.;Fujimoto, T.;Tanaka, K.</t>
  </si>
  <si>
    <t>Nagasaki</t>
  </si>
  <si>
    <t>Nagasaki University</t>
  </si>
  <si>
    <t>Taguchi M.</t>
  </si>
  <si>
    <t>CPW fed active dipole antenna for television receivers</t>
  </si>
  <si>
    <t>10.1049/el:19941245</t>
  </si>
  <si>
    <t>2-s2.0-0028528998</t>
  </si>
  <si>
    <t>['¬© 1994', 'various examples', 'rights reserved', 'radio environment', 'experimental results', 'diversity techniques', 'different approach']</t>
  </si>
  <si>
    <t>Diversity reception | Mobile radio systems</t>
  </si>
  <si>
    <t>Knowledge of the speeds of mobiles in a radio environment is a valuable input parameter to an intelligent mobility management system for predicting handover occurrences, etc. A previously published paper reported an analysis and experimental results in the use of diversity techniques for the determination of the speed of a mobile in a nonstationary Rayleigh environment. In the Letter, the work is extended through a different approach and it is shown through various examples that the method has limitations. ¬© 1994, IEE. All rights reserved.</t>
  </si>
  <si>
    <t>1835-1836</t>
  </si>
  <si>
    <t>6603087751;7202268164</t>
  </si>
  <si>
    <t>Doumi, T. L.;Gardiner, J. G.</t>
  </si>
  <si>
    <t>Doumi T.</t>
  </si>
  <si>
    <t>Use of base station antenna diversity for mobile speed estimation</t>
  </si>
  <si>
    <t>10.1049/el:19941283</t>
  </si>
  <si>
    <t>2-s2.0-0028529258</t>
  </si>
  <si>
    <t>['¬© 1994', 'rights reserved', 'radiation patterns', 'new type', 'isolation characteristics', 'feeding technique', 'experimentally investigated']</t>
  </si>
  <si>
    <t>Microstrip antennas | Slot antennas</t>
  </si>
  <si>
    <t>A new type of feeding technique for a dual polarisation antenna is presented. The proposed feeding system was experimentally investigated for both a single element antenna and basic planar array antenna. This antenna system demonstrated high performance in both isolation characteristics and radiation patterns. ¬© 1994, IEE. All rights reserved.</t>
  </si>
  <si>
    <t>1814-1815</t>
  </si>
  <si>
    <t>60028263;60028263;60028263</t>
  </si>
  <si>
    <t>57212338330;6602656099;6603687544</t>
  </si>
  <si>
    <t>Yamazaki, M.;Rahardjo, E. T.;Haneishi, M.</t>
  </si>
  <si>
    <t>Saitama</t>
  </si>
  <si>
    <t>Saitama University</t>
  </si>
  <si>
    <t>Yamazaki M.</t>
  </si>
  <si>
    <t>Construction of a slot-coupled planar antenna for dual polarisation</t>
  </si>
  <si>
    <t>10.1049/el:19941261</t>
  </si>
  <si>
    <t>2-s2.0-0028529289</t>
  </si>
  <si>
    <t>['¬© 1994', 'slot arrangement', 'rights reserved', 'good agreement', 'experimental results', 'conventional antennas']</t>
  </si>
  <si>
    <t>Satellite antennas | Slot antennas</t>
  </si>
  <si>
    <t>A radial line slot antenna radiating a circularly polarised conical beam is proposed. It is advantageous in the construction of a feeding structure comparing with conventional antennas. Guidelines for the design of the slot arrangement are presented. The experimental results, which are in good agreement with the design, demonstrate the conical beam radiation. ¬© 1994, IEE. All rights reserved.</t>
  </si>
  <si>
    <t>1729-1730</t>
  </si>
  <si>
    <t>60031126;60002787;60002787;60031126</t>
  </si>
  <si>
    <t>35481283400;6505485255;57223664212;35495699200</t>
  </si>
  <si>
    <t>Takada, J.;Tanisho, A.;Ito, K.;Ando, M.</t>
  </si>
  <si>
    <t>Circularly polarised conical beam radial line slot antenna</t>
  </si>
  <si>
    <t>10.1049/el:19941223</t>
  </si>
  <si>
    <t>2-s2.0-0028530064</t>
  </si>
  <si>
    <t>['¬© 1994', 'rights reserved', 'obtained theoretically', 'input impedances', 'input impedance']</t>
  </si>
  <si>
    <t>Slot antennas | Strip lines</t>
  </si>
  <si>
    <t>An approximate model developed to obtain the input impedance of the microstrip fed slot antenna is presented. Using this model, the input impedances of several slot antennas are predicted. For these antennas, the validity of the modeling is supported by comparing the values of the return losses measured against those obtained theoretically. ¬© 1994, IEE. All rights reserved.</t>
  </si>
  <si>
    <t>1902-1903</t>
  </si>
  <si>
    <t>55822965369;7004582770</t>
  </si>
  <si>
    <t>Akhavan, H. G.;Mirshekar-Syahkal, D.</t>
  </si>
  <si>
    <t>Akhavan H.</t>
  </si>
  <si>
    <t>Approximate model for microstrip fed slot antennas</t>
  </si>
  <si>
    <t>10.1049/el:19941300</t>
  </si>
  <si>
    <t>2-s2.0-0028547579</t>
  </si>
  <si>
    <t>['¬© 1994', 'rights reserved', 'relative advantages', 'measured data', 'design predictions', 'described along']</t>
  </si>
  <si>
    <t>Antenna arrays | Microslrip antennas</t>
  </si>
  <si>
    <t>Microstrip antenna subarrays, consisting of a central aperture coupled microstrip antenna element feeding additional elements via coplanar microstrip lines, are described along with their relative advantages and a basic design procedure. A five-element microstrip subarray is used to demonstrate the concept, and measured data are compared with design predictions. This type of subarray geometry offers several advantages over the single aperture coupled patch case, including reduced feed network complexity and reduced backlobe radiation. ¬© 1994, IEE. All rights reserved.</t>
  </si>
  <si>
    <t>1901-1902</t>
  </si>
  <si>
    <t>7202065715;7006061921</t>
  </si>
  <si>
    <t>Duffy, S. M.;Pozar, D. M.</t>
  </si>
  <si>
    <t>Duffy S.</t>
  </si>
  <si>
    <t>Aperture coupled microstrip subarrays</t>
  </si>
  <si>
    <t>10.1049/el:19941298</t>
  </si>
  <si>
    <t>2-s2.0-0028548801</t>
  </si>
  <si>
    <t>Centre National de la Recherche Scientifique</t>
  </si>
  <si>
    <t>CNRS</t>
  </si>
  <si>
    <t>['¬© 1994', 'structural role', 'rubrivivax gelatinosus', 'reconstitution process', 'reconstituted b875', 'partial reconstitution', 'observations point', 'low levels', 'core light', 'chemically similar']</t>
  </si>
  <si>
    <t>Antenna | Carotenoid | Core light-harvesting complex | Photosynthesis | Purple bacteria | Rubrivivax gelatinosus</t>
  </si>
  <si>
    <t>The core light-harvesting complex B875 from Rubrivivax gelatinosus has been reconstituted from its subunit form B820 with hydroxyspheroidene, the carotenoid which is bound to native B875 antenna. Other carotenoids which are chemically similar to hydroxyspheroidene (spheroidene, spheroidenone, neurosporene and spirilloxanthin) gave only low levels of partial reconstitution. Absorption and circular dichroism spectra of the hydroxyspheroidene-containing, reconstituted B875 were identical with those of original B875 antenna isolated directly from chromatophores, indicating that the two hydroxyspheroidene molecules bind to their native sites within the (Œ±Œ≤)Bchl2, subunit during the reconstitution process. These observations point to a structural role for this carotenoid in determining the architecture of Rv. gelatinosus B875 antenna. ¬© 1994.</t>
  </si>
  <si>
    <t>6506700135;56616617400</t>
  </si>
  <si>
    <t>Jirsakova, Vladimira;Reiss-Husson, Fran√ßoise</t>
  </si>
  <si>
    <t>Jirsakova V.</t>
  </si>
  <si>
    <t>A specific carotenoid is required for reconstitution of the Rubrivivax gelatinosus B875 light harvesting complex from its subunit form B820</t>
  </si>
  <si>
    <t>0014-5793(94)01033-1</t>
  </si>
  <si>
    <t>10.1016/0014-5793(94)01033-1</t>
  </si>
  <si>
    <t>2-s2.0-0028076035</t>
  </si>
  <si>
    <t>Funda√ß√£o de Amparo √† Pesquisa do Estado de S√£o Paulo</t>
  </si>
  <si>
    <t>FAPESP</t>
  </si>
  <si>
    <t>['¬© 1994', 'zntpyp ).', 'solid state', 'room temperature', 'porphyrin moiety', 'photoelectrochemical properties', 'luminescence properties', 'low temperatures', 'fluorescence predominates', 'characterized spectroelectrochemically']</t>
  </si>
  <si>
    <t>We report the spectroelectrochemistry, luminescence and photoelectrochemical properties of a polymetallic complex containing four [Ru(bipy)2Cl]+ groups attached to zinc-tetra(pyridyl)porphyrin (ZnTPyP). Six successive redox states involving TPyP, ruthenium, zinc, bipyridine (bipy) species have been characterized spectroelectrochemically in the range -1.8 to 1.7 V vs. a standard hydrogen electrode (SHE). The luminescence properties of the complex in solution are centred on the porphyrin moiety. Fluorescence predominates at room temperature in solution, whereas phosphorescence becomes very effective in the solid state or at low temperatures. In films, the peripheral ruthenium groups exhibit antenna effects promoting efficient energy transfer to the porphyrin, and leading to an enhanced photoelectrochemical response. ¬© 1994.</t>
  </si>
  <si>
    <t>60008088;60008088</t>
  </si>
  <si>
    <t>7402551612;7103334107</t>
  </si>
  <si>
    <t>Araki, Koiti;Toma, Henrique E.</t>
  </si>
  <si>
    <t>Araki K.</t>
  </si>
  <si>
    <t>Luminescence, spectroelectrochemistry and photoelectrochemical properties of a tetraruthenated zinc porphyrin</t>
  </si>
  <si>
    <t>101060309403821X</t>
  </si>
  <si>
    <t>10.1016/1010-6030(94)03821-X</t>
  </si>
  <si>
    <t>2-s2.0-0000921949</t>
  </si>
  <si>
    <t>['two genes', 'two dimensions', 'terminal system', 'slp1 plays', 'slp support', 'slp acts', 'relatively little', 'regulatory interactions', 'proper development', 'predominant role', 'potentiate bcd', 'one acting', 'ocular ).', 'mechanism different', 'mandibular segment', 'low levels', 'largely dispensible', 'informational input', 'head formation', 'head development', 'gap gene', 'extensively studied', 'embryonic head', 'drosophila head', 'dorsoventral system', 'direct interaction', 'detailed analysis', 'complex interaction', 'closely linked', 'cephalic region', 'behaves like', 'bcd morphogen', 'analysis suggests', 'also expressed']</t>
  </si>
  <si>
    <t>Drosophila head development | Maternal coordinate systems | Sloppy paired locus | Transcriptional regulation</t>
  </si>
  <si>
    <t>In contrast to the segmentation of the embryonic trunk region which has been extensively studied, relatively little is known about the development and segmentation of the Drosophila head. Proper development of the cephalic region requires the informational input of three of the four maternal coordinate systems. Head-specific gene expression is set up in response to a complex interaction between the maternally provided gene products and zygotically expressed genes. Several zygotic genes involved in head development have recently been characterized. A genetic analysis suggests that the segmentation of the head may use a mechanism different from the one acting in the trunk. The two genes of the sloppy paired locus (slp1 and slp2) are also expressed in the embryonic head. slp1 plays a predominant role in head formation while slp2 is largely dispensible. A detailed analysis of the slp head phenotype suggests that slp is important for the development of the mandibular segment as well as two adjacent pregnathal segments (antennal and ocular). Our analysis of regulatory interactions of slp with maternal and zygotic genes suggests that it behaves like a gap gene. Thus, phenotype and regulation of slp support the view that slp acts as a head-specific gap gene in addition to its function as a pair-rule and segment polarity gene in the trunk. We show that all three maternal systems active in the cephalic region are required for proper slp expression and that the different systems cooperate in the patterning of the head. The terminal and anterior patterning system appear to be closely linked. This cooperation is likely to involve a direct interaction between the bcd morphogen and the terminal system. Low levels of terminal system activity seem to potentiate bcd as an activator of slp, whereas high levels down-regulate bcd rendering it inactive. Our analysis suggests that dorsal, the morphogen of the dorsoventral system, and the head-specific gap gene empty spiracles act as repressor and corepressor in the regulation of slp. We discuss how positional information established independently along two axes can act in concert to control gene regulation in two dimensions.</t>
  </si>
  <si>
    <t>3155-3171</t>
  </si>
  <si>
    <t>60015184-60029652;60015184-60032838;60015184</t>
  </si>
  <si>
    <t>7004934482;6701839576;57203032471</t>
  </si>
  <si>
    <t>Grossniklaus, Ueli;Cadigan, Kenneth M.;Gehring, Walter J.</t>
  </si>
  <si>
    <t>United States;United States;Switzerland</t>
  </si>
  <si>
    <t>Stanford;Cold Spring Harbor;Basel</t>
  </si>
  <si>
    <t>Stanford University School of Medicine;Cold Spring Harbor Laboratory;Biozentrum, Universit√§t Basel</t>
  </si>
  <si>
    <t>60032838;60029652;60015184</t>
  </si>
  <si>
    <t>Grossniklaus U.</t>
  </si>
  <si>
    <t>Three maternal coordinate systems cooperate in the patterning of the Drosophila head</t>
  </si>
  <si>
    <t>2-s2.0-0028034159</t>
  </si>
  <si>
    <t>['œªex ).', '¬© 1994', 'wavelength pigments', 'usually observed', 'therefore designate', 'state emission', 'shifts appear', 'polarized steady', 'pigments absorbing', 'peak wavelength', 'one c', 'much higher', 'longer wavelengths', 'inhomogeneously broadened', 'inhomogeneous distribution', 'gaussian bands', 'found previously', 'excitation wavelength', 'dimeric systems', 'depends strongly', 'core complexes', 'core antenna', 'containing photosystem', 'antenna pigments', '720 nm', '716 nm', '702 nm', '400 cm', '4 k', '325 cm', '215 cm', '200 results', '200 cm', '17 nm', '10 nm']</t>
  </si>
  <si>
    <t>(Synechocystis) | Photosystem I | Polarized fluorescence | Site selection | Spectroscopy</t>
  </si>
  <si>
    <t>Polarized steady-state fluorescence spectra have been obtained from Photosystem I core complexes of the cyanobacterium Synechocystis PCC 6803 and from LHC-I containing Photosystem I (PS I-200) complexes of spinach by selective laser excitation at 4 K. Excitation above 702 nm in Synechocystis and 720 nm in PS I-200 results in highly polarized emission, suggesting that pigments absorbing at these and longer wavelengths are not able to transfer excitation energy at 4 K. In both systems the peak wavelength of the emission (Œªem) depends strongly on the excitation wavelength (Œªex). This indicates that in both systems the long-wavelength bands responsible for the steady-state emission are inhomogeneously broadened. The width of the inhomogeneous distribution is estimated to be about 215 cm-1 in Synechocystis and 400 cm-1 in PS I-200. We conclude that the peaks of the total absorption spectra of the long-wavelength pigments of Synechocystis and PS I-200 are at 708 and 716 nm, respectively, and therefore designate these pigments as C-708 and C-716. The results further show that C-708 and C-716 are strongly homogeneously broadened, i.e. carry broad phonon side-bands. The width of these bands is estimated to be about 170 and 200 cm-1 for C-708 and C-716, respectively. The Stokes' shifts appear to be large: about 200 cm-1 (10 nm) for C-708 and about 325 cm-1 (17 nm) for C-716. These values are much higher than usually observed for "normal" antenna pigments, but are in the same order as found previously for a number of dimeric systems. Therefore, we propose that the long-wavelength pigments in Photosystem I are excitonically coupled dimers. Based on fitting with Gaussian bands the presence of one C-708 dimer per P700 is suggested in the core antenna of Synechocystis. ¬© 1994.</t>
  </si>
  <si>
    <t>60008734;60008734;60008734;60000401;60000401;60008734;60008734</t>
  </si>
  <si>
    <t>6603107782;7007181446;6602135863;6701913675;7003290055;35599806700;7202457418</t>
  </si>
  <si>
    <t>Gobets, Bas;van Amerongen, Herbert;Monshouwer, Ren√©;Kruip, Jochen;R√∂gner, Matthias;van Grondelle, Rienk;Dekker, Jan P.</t>
  </si>
  <si>
    <t>Amsterdam;Munster</t>
  </si>
  <si>
    <t>Vrije Universiteit Amsterdam;Westf√§lische Wilhelms-Universit√§t M√ºnster</t>
  </si>
  <si>
    <t>60008734;60000401</t>
  </si>
  <si>
    <t>Gobets B.</t>
  </si>
  <si>
    <t>Polarized site-selected fluorescence spectroscopy of isolated Photosystem I particles</t>
  </si>
  <si>
    <t>10.1016/0005-2728(94)90024-8</t>
  </si>
  <si>
    <t>2-s2.0-0028104302</t>
  </si>
  <si>
    <t>['total time', 'time spent', 'slowly crawling', 'similis williams', 'response time', 'rapid movements', 'quantified within', 'percent avoidance', 'normoxic side', 'laboratory conditions', 'initial entry', 'hypoxic zone', 'hypoxic water', 'hypoxic levels', 'hypoxic end', 'hypoxia avoidance', 'higher levels', 'frequent movement', 'erratic movements', 'completely anoxic', 'better detect', 'avoidance chamber', 'avoid hypoxia', '125 torr']</t>
  </si>
  <si>
    <t>Detection and avoidance of hypoxic water by juvenile blue crabs, Callinectes sapidus Rathbun and C. similis Williams were observed under laboratory conditions. Hypoxia avoidance was quantified within an avoidance chamber using response time (time in minutes before a crab's initial entry into the normoxic side of the avoidance chamber after the introduction of hypoxic water into the chamber), total time (amount of time spent by each crab at the hypoxic end of the chamber during the final 50 min of each 60 min treatment), activity (total distance travelled by a crab during a treatment), percent avoidance and preferred oxygen tension as indices of measurement. The mean preferred oxygen tension for C. sapidus was 112 torr oxygen (range = 98 to 125 torr) and for C. similis was 108 torr oxygen (range = 82 to 121 torr). Both species were able to detect hypoxic water and remain at an optimum oxygen tension. When percent avoidance, response time and total time were used as measures of avoidance, C. similis was found to detect and avoid hypoxic water at 0, 25 and 50 torr oxygen tension but not at any higher levels of hypoxia. C. sapidus, on the other hand, did not initiate any significant avoidance behavior even when the water was completely anoxic. Both species of crabs were more active at the higher oxygen tensions than in the more hypoxic levels. Behavioral responses associated with short-term hypoxic exposure included increased activity with the introduction of hypoxic water into the chamber, frequent movement of the eye-stalk, avoidance of hypoxic water by slowly crawling out of the hypoxic zone, restless and erratic movements, and rapid movements of the crabs' antennae. We conclude that C. similis can better detect and avoid hypoxia than C. sapidus. ¬© 1994 Springer-Verlag.</t>
  </si>
  <si>
    <t>593-600</t>
  </si>
  <si>
    <t>Marine Biology</t>
  </si>
  <si>
    <t>60007566;60007566</t>
  </si>
  <si>
    <t>7201461517;7004620076</t>
  </si>
  <si>
    <t>Das, T.;Stickle, W. B.</t>
  </si>
  <si>
    <t>Das T.</t>
  </si>
  <si>
    <t>Detection and avoidance of hypoxic water by juvenile Callinectes sapidus and C. similis</t>
  </si>
  <si>
    <t>10.1007/BF00350080</t>
  </si>
  <si>
    <t>2-s2.0-0028162194</t>
  </si>
  <si>
    <t>['triplet lifetimes', 'transient data', 'systematic approach', 'studies provide', 'structural integrity', 'state energies', 'sphaeroides r', 'fit according', 'energy transfer', 'either single', 'carotenoid incorporation', 'bchl quenched', 'b850 complex', '850 complex', '1 œºs']</t>
  </si>
  <si>
    <t>bacteriochlorophyll | carotenoid | flash absorbance spectroscopy | light-harvesting complex | Rhodobacter sphaeroides | triplet state</t>
  </si>
  <si>
    <t>The build-up and decay of bacteriochlorophyll (BChl) and carotenoid triplet states were studied by flash absorption spectroscopy in (a) the B800-850 antenna complex of Rhodobacter (Rb.)sphaeroides wild type strain 2.4.1, (b) the Rb. sphaeroides R-26.1 B850 light-harvesting complex incorporated with spheroidene, (c) the B850 complex incorporated with 3,4-dihydrospheroidene, (d) the B850 complex incorporated with 3,4,5,6-tetrahydrospheroidene and (e) the Rb. sphaeroides R-26.1 B850 complex lacking carotenoids. Steady state absorption and circular dichroism spectroscopy were used to evaluate the structural integrity of the complexes. The transient data were fit according to either single or double exponential rate expressions. The triplet lifetimes of the carotenoids were observed to be 7.0¬±0.1 Œºs for the B800-850 complex, 14¬±2 Œºs for the B850 complex incorporated with spheroidene, and 19¬±2 Œºs for the B850 complex incorporated with 3,4-dihydrospheroidene. The BChl triplet lifetime in the B850 complex was 80¬±5 Œºs. No quenching of BChl triplet states was seen in the B850 complex incorporated with 3,4,5,6-tetrahydrospheroidene. For the B850 complex incorporated with spheroidene and with 3,4-dihydrospheroidene, the percentage of BChl quenched by carotenoids was found to be related to the percentage of carotenoid incorporation. The triplet energy transfer efficiencies are compared to the values for singlet energy transfer measured previously (Frank et al. (1993) Photochem. Photobiol. 57: 49-55) on the same samples. These studies provide a systematic approach to exploring the effects of state energies and lifetimes on energy transfer between BChls and carotenoids in vivo. ¬© 1994 Kluwer Academic Publishers.</t>
  </si>
  <si>
    <t>157-166</t>
  </si>
  <si>
    <t>60022659;60022659;60019816;60019816;60022659</t>
  </si>
  <si>
    <t>6603256372;6603543639;57202105869;7006085551;7201842354</t>
  </si>
  <si>
    <t>Farhoosh, Roya;Chynwat, Veeradej;Gebhard, Ronald;Lugtenburg, Johan;Frank, Harry A.</t>
  </si>
  <si>
    <t>Storrs;Leiden</t>
  </si>
  <si>
    <t>University of Connecticut;Leiden University</t>
  </si>
  <si>
    <t>60022659;60019816</t>
  </si>
  <si>
    <t>Farhoosh R.</t>
  </si>
  <si>
    <t>Triplet energy transfer between bacteriochlorophyll and carotenoids in B850 light-harvesting complexes of Rhodobacter sphaeroides R-26.1</t>
  </si>
  <si>
    <t>10.1007/BF02187126</t>
  </si>
  <si>
    <t>2-s2.0-0028191696</t>
  </si>
  <si>
    <t>['wt controls', 'slightly lower', 'secale cereale', 'ps ii', 'oxygen evolution', 'may rather', 'intermittent light', 'increased limitation', 'hordeurn vulgare', 'grown plants', 'control plants', 'absorption cross', '7 ),']</t>
  </si>
  <si>
    <t>absorption cross-section | chlorophyll b-less mutant | intermittent light | oxygen evolution | PS II heterogeneity</t>
  </si>
  <si>
    <t>The size of the Photosystem II light harvesting antenna and the absorption cross-sections of PS I (œÉPSI) and PS II (œÉPSII) were examined in relation to photosynthetic performance fluorescence. Wild-type (WT) rye (Secale cereale) and barley (Hordeurn vulgare) as well as the barley chlorophyll b-less chlorina F2 mutant were grown under control and intermittent light (IML) conditions. (œÉPSII) in control barley F2 was similar to IML grown WT rye and barley, which, in turn was 2.5 to 3.5 times smaller than for control WT plants. In contrast, œÉPSI was similar for all control plants. This was 2.5 to 4 times larger than for IML-grown WT plants. IML-grown barley mutant plants had the smallest absorption cross-sections. Photosynthetic light response curves revealed that the barley chlorina F2-mutant had rates of oxygen evolution on a per leaf area basis that were only slightly lower than control WT rye and barley while IML-grown plants had strongly reduced photosynthetic performance. Convexity (Œò) for control barley chlorina F2-mutants was equal to the WT controls (0.6-0.7), while all IML-grown plants had a Œò of 0. This indicates that, in contrast to control barley mutants, IML-plants were limited by PS II turn-over rates at all irradiances. However, on a per leaf Chl-basis the IML-grown plants exhibited the highest photosynthetic rates. Thus, the comparatively poor photosynthetic rates for IML-grown plants on a per leaf area basis were not due to less efficient photosynthetic reaction centers, but may rather be due to an increased limitation from PS II turn-over and a reduction in the number of reaction centers per leaf area. ¬© 1994 Kluwer Academic Publishers.</t>
  </si>
  <si>
    <t>145-155</t>
  </si>
  <si>
    <t>60010884;60001343;60010884</t>
  </si>
  <si>
    <t>7102652403;7202146710;7005759492</t>
  </si>
  <si>
    <t>Falk, Stefan;Bruce, Doug;Huner, Norman P.A.</t>
  </si>
  <si>
    <t>London;St. Catharines</t>
  </si>
  <si>
    <t>The University of Western Ontario;Brock University</t>
  </si>
  <si>
    <t>60010884;60001343</t>
  </si>
  <si>
    <t>Photosynthetic performance and fluorescence in relation to antenna size and absorption cross-sections in rye and barley grown under normal and intermittent light conditions</t>
  </si>
  <si>
    <t>10.1007/BF02187125</t>
  </si>
  <si>
    <t>2-s2.0-0028312288</t>
  </si>
  <si>
    <t>['whisker tip', 'whisker antenna', 'terahertz region', 'terahertz operation', 'successfully used', 'physical ruggedness', 'performance may', 'new technique', 'computer analysis', 'also determine']</t>
  </si>
  <si>
    <t>A 250√ó scale model of a Schottky diode corner cube mixer designed for operation in the terahertz region has been built and tested. It has been successfully used to measure the embedding impedance presented to the diode at the whisker tip and also determine the impedance of the whisker antenna itself. The results have been input into a computer analysis to determine as to how the performance may be improved. With regards to improving the physical ruggedness of such mixers, a simple equivalent whisker structure has been determined and a new technique that may be used to fabricate a space qualifiable corner cube mixer intended for terahertz operation is disclosed. ¬© 1994 Plenum Publishing Corporation.</t>
  </si>
  <si>
    <t>1867-1881</t>
  </si>
  <si>
    <t>60021116;60021116;60021116;60008435;60021116-60008435</t>
  </si>
  <si>
    <t>7201448185;35564625500;56143269600;36083566400;36818671300</t>
  </si>
  <si>
    <t>Mann, C. M.;Nozokido, T.;Chang, J. J.;Suzuki, T.;Mizuno, K.</t>
  </si>
  <si>
    <t>Wako;Sendai</t>
  </si>
  <si>
    <t>RIKEN (The Institute of Physical and Chemical Research);Tohoku University</t>
  </si>
  <si>
    <t>60021116;60008435</t>
  </si>
  <si>
    <t>Mann C.</t>
  </si>
  <si>
    <t>Measurement and study of the embedding impedance presented by the whisker antenna of a schottky diode corner cube mixer</t>
  </si>
  <si>
    <t>10.1007/BF02096056</t>
  </si>
  <si>
    <t>2-s2.0-0028539868</t>
  </si>
  <si>
    <t>['wave equation', 'minimum deviation', 'large angles', 'calculation results', 'aperture field', 'aperture antenna', 'also suitable', '1 ].']</t>
  </si>
  <si>
    <t>In this paper perturbational expansion of wave equation is used to analyse the Gaussian beam radiation efficiency and the near field distribution of aperture antenna. The analysis is also suitable at large angles from boresight because the Gaussian beam used here is corrected to satisfy wave equation. An approach of minimum deviation of aperture field is used to calculate the Gaussian beam radiation efficiency, and calculation results is compared with that of Wydle's[1]. ¬© 1994 Plenum Publishing Corporation.</t>
  </si>
  <si>
    <t>1967-1980</t>
  </si>
  <si>
    <t>60005244;60005244</t>
  </si>
  <si>
    <t>7006874529;38062091300</t>
  </si>
  <si>
    <t>Dou, W. B.;Sun, Z. L.</t>
  </si>
  <si>
    <t>Southeast University</t>
  </si>
  <si>
    <t>Dou W.</t>
  </si>
  <si>
    <t>An analysis of millimeter wave quasi-optical gaussian beam radiation-perturbational expansion method</t>
  </si>
  <si>
    <t>10.1007/BF02096061</t>
  </si>
  <si>
    <t>2-s2.0-0028540084</t>
  </si>
  <si>
    <t>['ranging system', 'numerical results']</t>
  </si>
  <si>
    <t>On ranging system on short distance using spread spectrum, we examine waveform responses to predict the state of electromagnetic waveform propagation while the signal is received after scattered by a target. Then this system and the numerical results are discussed.</t>
  </si>
  <si>
    <t>1946-1947</t>
  </si>
  <si>
    <t>60008107;60008107;60008107;60008107</t>
  </si>
  <si>
    <t>6603986379;7003938202;7006355696;6506400221</t>
  </si>
  <si>
    <t>Yokoe, Katsutoshi;Kominami, Masanobu;Kusaka, Hiroji;Tsunasaki, Masaru</t>
  </si>
  <si>
    <t>Sakai</t>
  </si>
  <si>
    <t>Osaka Prefecture University</t>
  </si>
  <si>
    <t>Yokoe K.</t>
  </si>
  <si>
    <t>Numerical analysis of ranging system on short distance using spread spectrum</t>
  </si>
  <si>
    <t>2-s2.0-0028546915</t>
  </si>
  <si>
    <t>['sounding rocket', 'microwave power', 'microwave energy', 'microwave beam', 'february 18', '44 dbm', '411 ghz']</t>
  </si>
  <si>
    <t>On February 18, 1993, the International Space Year - Microwave Energy Transmission in Space (ISY-METS) sounding rocket was launched from the Kagoshima Space Center, Japan. The rocket experiment performed two activities: 1) demonstrated the first microwave power transmission system in space, and 2) studied nonlinear effects of the microwave beam in the ionospheric plasma environment. A microwave receiving rectifying antenna (rectenna), consisting of six rectenna elements, was produced for the flight. Laboratory test results revealed the rectenna to be sensitive and durable to withstand up to 44 dBm of microwave power. The space flight results indicated excellent detection of microwave energy at 2.411 GHz.</t>
  </si>
  <si>
    <t>36-41</t>
  </si>
  <si>
    <t>6701837757;55604798600;7404879378;7005013333</t>
  </si>
  <si>
    <t>McSpadden, James O.;Brown, Alan M.;Chang, Kai;Kaya, Nobuyuki</t>
  </si>
  <si>
    <t>McSpadden J.</t>
  </si>
  <si>
    <t>Receiving rectifying antenna for the International Space Year - Microwave Energy Transmission in Space (ISY-METS) rocket experiment</t>
  </si>
  <si>
    <t>2-s2.0-0028547580</t>
  </si>
  <si>
    <t>['truly apply', 'still experimental', 'software tools', 'frequency components', 'free space']</t>
  </si>
  <si>
    <t>Antennas remain one of the most difficult of all high-frequency components to model. Because they radiate into free space, equations governing radiators with boundaries do not truly apply. Commercial electromagnetic simulators have begun to attack antenna simulations, but many of these applications are still experimental. Presented are software tools for antenna analysis developed by the Communication Engineering Laboratory of the Science Applications International Corp. (Marlborough, MA).</t>
  </si>
  <si>
    <t>Packer, Malcolm</t>
  </si>
  <si>
    <t>SAIC</t>
  </si>
  <si>
    <t>Packer M.</t>
  </si>
  <si>
    <t>Software simulates antenna propagation in wireless systems</t>
  </si>
  <si>
    <t>2-s2.0-0028548020</t>
  </si>
  <si>
    <t>['theoretical analysis', 'security system', 'revealed theory', 'measuring apparatus', 'design theory', 'confirmed experimentally']</t>
  </si>
  <si>
    <t>The design theory was revealed by theoretical analysis of the measuring apparatus, and was confirmed experimentally. Higher quality tags having new circuit designs were proposed by the revealed theory. The measuring apparatus equivalent to the security system was produced to estimate the properties of the LC resonant circuit security tags quantitatively.</t>
  </si>
  <si>
    <t>1951-1953</t>
  </si>
  <si>
    <t>100488917;100488917;100488917;100488917</t>
  </si>
  <si>
    <t>7201646971;36764371400;7003938202;7006355696</t>
  </si>
  <si>
    <t>Inui, Kiyoshi;Tada, Hiroshi;Kominami, Masanobu;Kusaka, Hiroji</t>
  </si>
  <si>
    <t>Yao</t>
  </si>
  <si>
    <t>Toyo Aluminium K.K.</t>
  </si>
  <si>
    <t>Inui K.</t>
  </si>
  <si>
    <t>Study of the LC resonant circuit security tags</t>
  </si>
  <si>
    <t>2-s2.0-0028548063</t>
  </si>
  <si>
    <t>['two particles', 'trajectory estimations', 'particles systems', 'particles system', 'good agreements', 'general multi', 'estimation method', 'estimated trajectory', 'estimated one', 'circular motion', 'already presented', 'almost impossible']</t>
  </si>
  <si>
    <t>A particle trajectory estimation method from far electromagnetic fields are discussed in this paper. Authors have already presented a trajectory estimation method for single particle system and good agreements between a source particle trajectory and an estimated one have been obtained. For this, this paper discusses twin particles system as an examples of multi-particles systems for simplicity. First of all, it is pointed out that far electromagnetic fields from the twin particles system show quite different aspect from the single particle system using an example, radiation patterns produced by two particles which carry out circular motion. This result tells us that any trajectory estimations for general multi-particles system are almost impossible. However, it is shown that when the distance between the particles is small, the estimation method for the single particle system can be applied to the twin particles system, and that twin particles effects appear as disturbance of estimated trajectory.</t>
  </si>
  <si>
    <t>1802-1807</t>
  </si>
  <si>
    <t>60014652;60014652</t>
  </si>
  <si>
    <t>7401651371;35591190600</t>
  </si>
  <si>
    <t>Kawaguchi, Hideki;Honma, Toshihisa</t>
  </si>
  <si>
    <t>Kawaguchi H.</t>
  </si>
  <si>
    <t>Estimation of source particle trajectories from far electromagnetic fields using the Lienard-Wiechert superpotentials: twin particles system</t>
  </si>
  <si>
    <t>2-s2.0-0028548222</t>
  </si>
  <si>
    <t>['satellite technology', 'promising candidates', 'projects announced', 'introduces three', 'inmarsat p', 'brief overview', 'article gives']</t>
  </si>
  <si>
    <t>Satellite mobile networks with global radio coverage promise to be the market of the future. To determine the validity of this statement, the article gives a brief overview of satellite technology and, from the host of projects announced for satellite mobile networks, introduces three of the more promising candidates: Inmarsat P, Globalstar and Iridium.</t>
  </si>
  <si>
    <t>Telcom Report (English Edition)</t>
  </si>
  <si>
    <t>Huber, Josef Franz</t>
  </si>
  <si>
    <t>Siemens AG</t>
  </si>
  <si>
    <t>Huber J.</t>
  </si>
  <si>
    <t>Satellite mobile communication</t>
  </si>
  <si>
    <t>2-s2.0-0028548908</t>
  </si>
  <si>
    <t>['space methods', 'ram ),', 'optimum methodology', 'measurement uncertainties', 'factors affecting', 'comprehensive discussion']</t>
  </si>
  <si>
    <t>Although it is now some 50 years since the first practical application of radar absorbing materials (RAM), there does not seem to have been a comprehensive discussion in the literature of the optimum methodology for characterising such materials using free-space methods, the sources of error that arise in a typical laboratory measurement facility and, perhaps most important of all, an estimate of the measurement uncertainties. A previous paper started to address these problems by discussing calibration techniques for a vector network analyser system used for making complex reflectivity measurements on RAM. It is the aim of this paper to extend the discussion to include the use of a scalar measurement system (since these are still in common use), the factors affecting the design of a free-space reflectivity arch and the verification of measured reflectivity data.</t>
  </si>
  <si>
    <t>538-546</t>
  </si>
  <si>
    <t>55465770400;7101898419;7404251432</t>
  </si>
  <si>
    <t>Smith, F. C.;Chambers, B.;Bennett, J. C.</t>
  </si>
  <si>
    <t>Smith F.</t>
  </si>
  <si>
    <t>Methodology for accurate free-space characterisation of radar absorbing materials</t>
  </si>
  <si>
    <t>10.1049/ip-smt:19941154</t>
  </si>
  <si>
    <t>2-s2.0-0028549275</t>
  </si>
  <si>
    <t>['type antennas', 'td method', 'obtain first', 'ground conductor', 'electromagnetic sources', 'dielectric substrate', 'dielectric layer', 'arbitrary distribution']</t>
  </si>
  <si>
    <t>A new approach using radiation mode expansions is presented for calculating radiated fields from arbitrary distribution of electromagnetic sources in the half space region partitioned by a dielectric layer with a ground conductor. This method is applied to the calculation of radiation from microstrip-type antennas with a dielectric substrate of theoretically infinite extent. To be able to use this method, it is necessary to obtain first the field distribution around antenna patches, which is accomplished rather easily by using the FD-TD method. Radiation pattern calculations are presented for a rectangular patch antenna to verify the feasibility of this approach.</t>
  </si>
  <si>
    <t>1795-1801</t>
  </si>
  <si>
    <t>Morita, Nagayoshi</t>
  </si>
  <si>
    <t>Narashino</t>
  </si>
  <si>
    <t>Chiba Institute of Technology</t>
  </si>
  <si>
    <t>Morita N.</t>
  </si>
  <si>
    <t>New formulation for radiated fields using radiation mode expansions and its application to radiation from microstrip antennas</t>
  </si>
  <si>
    <t>2-s2.0-0028549810</t>
  </si>
  <si>
    <t>['sectional shape', 'plane e', 'minimum bscs', 'lossy dielectric', 'interference based', 'fscs ).', 'determined mainly', 'analytic solutions']</t>
  </si>
  <si>
    <t>The characteristics of scattering and diffraction of plane E-waves by a lossy dielectric elliptic cylinder are discussed. Analytic solutions for the diffraction of a lossy dielectric elliptic cylinder are derived using several computational programs. Results from these computations are used to determine the features of backscattering cross section (BSCS) and the forward-scattering cross section (FSCS). It is found that the minimum BSCS is determined mainly by interference based on the cross-sectional shape and complex dielectric constant of the cylinder, and is not caused by incident wave absorption due to the lossy dielectric.</t>
  </si>
  <si>
    <t>1759-1765</t>
  </si>
  <si>
    <t>57207053187;6701351934;55205487900</t>
  </si>
  <si>
    <t>Abe, Minoru;Hoshihara, Yasunori;Sekiguchi, Toshio</t>
  </si>
  <si>
    <t>Abe M.</t>
  </si>
  <si>
    <t>Scattering cross sections of lossy dielectric elliptic cylinders for plane waves</t>
  </si>
  <si>
    <t>2-s2.0-0028549894</t>
  </si>
  <si>
    <t>['theoretical formalism', 'radiation phenomena', 'paper introduces', 'original approach', 'consider radiation']</t>
  </si>
  <si>
    <t>Approximate method | Discontinuity | Energy loss | Radiation | Time domain method | Transmission line | Traveling wave antenna</t>
  </si>
  <si>
    <t>Because the transmission line method only allows to study the propagation of a pure tem mode along a line, all radiation phenomena are neglected. These phenomena become important when lines have discontinuities, then in this case radiating losses must be included in the theoretical formalism. This paper introduces an original approach to consider radiation of lines and to include them in a time domain transmission line method. Some comparisons with full modes method results validate the method. ¬© 1994 Springer-Verlag.</t>
  </si>
  <si>
    <t>684-689</t>
  </si>
  <si>
    <t>60008447;60008447</t>
  </si>
  <si>
    <t>7004363654;7006402070</t>
  </si>
  <si>
    <t>Reineix, Alain;Jecko, Bernard</t>
  </si>
  <si>
    <t>Introduction of radiation losses in the time domain transmission line method</t>
  </si>
  <si>
    <t>10.1007/BF03001323</t>
  </si>
  <si>
    <t>2-s2.0-0028550227</t>
  </si>
  <si>
    <t>['real time', 'polarization ellipse', 'phase shifters', 'phase measurements', 'main axis', 'instantaneous position', 'given referential', 'geostationary satellites', 'faraday rotations', 'experimental study', 'emw ),', 'electronic rotation', 'electromagnetic wave', 'continuous basis', 'brief summary']</t>
  </si>
  <si>
    <t>Electromagnetic wave | Elliptic polarization | Faraday effect | Ionospheric propagation | Polarimetry | Total electronic content | Wave polarization | Yagi antenna</t>
  </si>
  <si>
    <t>The experimental study of the ionospheric Faraday effect requires the development of polarization measurement systems. Their function is to determine the instantaneous position of the main axis of the polarization ellipse of an electromagnetic wave in a given referential and to follow its rotations on a continuous basis. After a brief summary of the parameters which define the polarization of an electromagnetic wave (emw), we describe the different polarizations techniques used in most equipment. The polarimeters are mainly based upon the processing of the vhf telemetry signals emitted by geostationary satellites and received on a pair of orthogonally linear antennas. The electronic rotation of the antennas is the operating principle common to all these devices. So the receiver involve mixers, phase shifters, filters and phase measurements. A new polarization technique is proposed; it uses a system of digital data processing from the two linear 45¬∞rossed antennas. Software data processing makes it possible to monitor the Faraday rotations in real time and to calculate the corresponding total electronic content of the ionosphere (tec) . ¬© 1994 Springer-Verlag.</t>
  </si>
  <si>
    <t>690-703</t>
  </si>
  <si>
    <t>60032653;60032653</t>
  </si>
  <si>
    <t>6603158612;7004179439</t>
  </si>
  <si>
    <t>Chatellier, Christian;Tixier, Michel</t>
  </si>
  <si>
    <t>Poitiers</t>
  </si>
  <si>
    <t>Universite de Poitiers</t>
  </si>
  <si>
    <t>Chatellier C.</t>
  </si>
  <si>
    <t>Devices used to follow the rotations of the polarization ellipse of an electromagnetic wave : application to the ionospheric Faraday effect</t>
  </si>
  <si>
    <t>10.1007/BF03001324</t>
  </si>
  <si>
    <t>2-s2.0-0028550556</t>
  </si>
  <si>
    <t>['wire antennas', 'wire antenna', 'tlm simulations', 'tlm method', 'theoretical method', 'scattered field', 'good agreement', 'electromagnetic wave', 'directly accessible', 'current measurement', 'calculating currents']</t>
  </si>
  <si>
    <t>Antenne fil | Champ magn√©tique | Courant √©lectrique | Courant induit | Electric current | iffraction onde | Induced current | Magnetic field | M√©thode num√©rique | Numerical method | Wave diffraction | Wire antenna</t>
  </si>
  <si>
    <t>A theoretical method for calculating currents in a wire antenna when it is illuminated with an electromagnetic wave, is proposed. The current is determined from the scattered field observed near the antenna. The purpose of such calculations is to evaluate currents even when the wire antennas are not directly accessible to current measurement. The tlm method has been used to simulate the scattered field. Theoretical results obtained with our method and tlm simulations are in very good agreement. ¬© 1994 Springer-Verlag.</t>
  </si>
  <si>
    <t>659-666</t>
  </si>
  <si>
    <t>60008134;60008134;60008134</t>
  </si>
  <si>
    <t>57225835095;7003356267;6701555390</t>
  </si>
  <si>
    <t>Bacha, Abdallah;Saguet, Pierre;Ndagijimana, Fabien</t>
  </si>
  <si>
    <t>Bacha A.</t>
  </si>
  <si>
    <t>Calculating currents in a conductor from the measured scattered magnetic field</t>
  </si>
  <si>
    <t>10.1007/BF03001320</t>
  </si>
  <si>
    <t>2-s2.0-0028550726</t>
  </si>
  <si>
    <t>['stationary orbit', 'satellite transponder', 'receiving sensitivity', 'outbound links', 'multiplexing methods', 'inbound links', 'hub station', 'earth stations', 'controlled proportionally', 'becomes possible']</t>
  </si>
  <si>
    <t>A satellite communications system of stationary orbit is studied here which is a star-shaped network configuration, having a hub station at the center, and all VSATs are connected only to the hub station. As multiplexing methods, TDMA in outbound links to, and SCPC in inbound links from, VSATs are selected. A traffic burst rate to a VSAT is controlled proportionally to receiving sensitivity of the VSAT. Using cost models of a satellite transponder and VSATs, a set of equations to optimize VSAT antenna gains are derived. From the equations, it becomes possible to minimize total system cost including a satellite transponder and earth stations.</t>
  </si>
  <si>
    <t>169-175</t>
  </si>
  <si>
    <t>Transactions of the Japan Society for Aeronautical and Space Sciences</t>
  </si>
  <si>
    <t>Miyoshi, Kazuyoshi</t>
  </si>
  <si>
    <t>Hiroshima</t>
  </si>
  <si>
    <t>Hiroshima-Denki Institute of Technology</t>
  </si>
  <si>
    <t>Miyoshi K.</t>
  </si>
  <si>
    <t>Optimization of star-shaped satellite communications network</t>
  </si>
  <si>
    <t>2-s2.0-0028550997</t>
  </si>
  <si>
    <t>['timing results', 'square error', 'speed recording', 'reference clock', 'reception band', 'pulsar 1937', 'psr 1919', 'observation data', 'noise ratio', 'min observation', 'camac interfaces', '610 mhz', '6 mhz', '400 nsec', '40 khz', '40 channels', '21 obtained', '21 along', '160 k', '13 years']</t>
  </si>
  <si>
    <t>Regular timing observations of the millisecond pulsar PSR 1937+21 at a frequency of 610 MHz by means of the TNA-1500 radio telescope with a fully steerable 64-m antenna have begun at the Bear Lakes Radio Observatory of the Special Research Bureau of the Moscow Power Engineering Institute. A 40-channel spectrum analyzer and a system for high-speed recording and acquisition of observation data are connected to a reference clock by means of CAMAC interfaces and an 80286 control computer. The reception band is 1.6 MHz (40 channels of 40 kHz each). The total noise temperature of the system is on the order of 160 K. The signal-to-noise ratio is on the order of 50 for a 30-min observation of the pulsar. The mean-square error of measurement of the pulse arrival time is 400 nsec. Data on pulsar 1937+21 along with timing results for "normal" reference pulsars PSR 0834+06 and PSR 1919+21 obtained at the Pushino Radio Observatory of the Lebedev Physics Institute over a period of 13 years will be used to construct a pulsar time scale. ¬© 1995 Plenum Publishing Corporation.</t>
  </si>
  <si>
    <t>898-904</t>
  </si>
  <si>
    <t>7005785456;6701793631;6602376537;6506041644;6602779895</t>
  </si>
  <si>
    <t>Belov, Yu I.;Ilyasov, Yu P.;Poperechenko, B. A.;Oreshko, V. V.;Doroshenko, O. V.</t>
  </si>
  <si>
    <t>Belov Y.</t>
  </si>
  <si>
    <t>First results of millisecond pulsar 1937+21 timing by TNA-1500 radio telescope of Special Research Bureau of Moscow Power Engineering Institute</t>
  </si>
  <si>
    <t>10.1007/BF01057278</t>
  </si>
  <si>
    <t>2-s2.0-34249760536</t>
  </si>
  <si>
    <t>['wiener filters', 'wave antennas', 'type gravitational', 'time resolution', 'practical application', 'particular reference', 'matched filters', 'filter becomes', 'data processed', 'brownian motion', 'briefly examine', 'amplifiers driven', 'also addressing']</t>
  </si>
  <si>
    <t>Experimental tests of general relativity and observations of gravitational radiation</t>
  </si>
  <si>
    <t>We report on the application of Wiener filters to the data of Weber-type gravitational-wave antennas, with particular reference to data processed by means of lock-in amplifiers driven at the frequencies of the modes of the detector. After a review of some basic results concerning the filtering of the data, we briefly examine the relationship between Wiener filters and matched filters. The discussion that follows is centred on various aspects related to the practical application of Wiener filters as well as on their limitations, also addressing the dependence of their performance on the values of their parameters. Finally, we consider some applications of non-optimal Wiener filters: by reducing the filter smoothing time constant, the time resolution can be increased; by increasing it, the filter becomes an estimator of the Brownian motion. ¬© 1994 Societ√† Italiana di Fisica.</t>
  </si>
  <si>
    <t>713-744</t>
  </si>
  <si>
    <t>60021660;116290042-60032350;60021660-60032350;60021660-60027509</t>
  </si>
  <si>
    <t>8728100700;7004641893;7004243218;7003386560</t>
  </si>
  <si>
    <t>Astone, P.;Bonifazi, P.;Pallottino, G. V.;Pizzella, G.</t>
  </si>
  <si>
    <t>Rome;Rome;Rome;</t>
  </si>
  <si>
    <t>Sapienza Universit√† di Roma;Universit√† degli Studi di Roma "Tor Vergata";Istituto Nazionale di Fisica Nucleare - INFN;Istituto di Fisica dello Spazio Interplanetario del CNR</t>
  </si>
  <si>
    <t>60032350;60027509;60021660;116290042</t>
  </si>
  <si>
    <t>Astone P.</t>
  </si>
  <si>
    <t>Weiner filters for gravitational-wave antennas: Characteristics and applications</t>
  </si>
  <si>
    <t>10.1007/BF02510882</t>
  </si>
  <si>
    <t>2-s2.0-51249165703</t>
  </si>
  <si>
    <t>['wide range', 'type stars', 'three well', 'studied oxygen', 'solving equations', 'rich stars', 'results show', 'radiative cooling', 'middle part', 'loss rates', 'loss rate', 'less significant', 'ir pumping', 'inner envelope', 'h2o followed', 'gas mass', 'earlier phase', 'dominant mechanism', 'collisional de', 'co cooling']</t>
  </si>
  <si>
    <t>Circumstellar matter | Line: profiles | Molecular processes | Stars: giants | Stars: mass loss</t>
  </si>
  <si>
    <t>We have developed a radiative transfer model of the dust and gas envelopes around late-type stars. The gas kinetic temperature for each star is calculated by solving equations of motion and the energy balance simultaneously. The main processes include viscous heating and adiabatic and radiative cooling. Heating is dominated by viscosity as the grains stream outward through the gas, with some contribution in oxygen-rich stars by near-IR pumping of H2O followed by collisional de-excitation in the inner envelope. For O-rich stars, rotational H2O cooling is a dominant mechanism in the middle part of the envelope, with CO cooling being less significant. We have applied our model to three well-studied oxygen-rich red giant stars. The three stars cover a wide range of mass-loss rates, and hence they have different temperature structures. The derived temperature structures are used in calculating CO line profiles for these objects. Comparison of the dust and gas mass-loss rates suggests that mass-loss rates are not constant during the asymptotic giant branch phase. In particular, the results show that the low CO 1-0 antenna temperatures of OH/IR stars reflect an earlier phase of much lower mass-loss rate.</t>
  </si>
  <si>
    <t>852-863</t>
  </si>
  <si>
    <t>60004179-60022148-60015201;60026175-100317689;60004179</t>
  </si>
  <si>
    <t>6701597318;7201765057;7102963219</t>
  </si>
  <si>
    <t>Justtanont, K.;Skinner, C. J.;Tielens, A. G.G.M.</t>
  </si>
  <si>
    <t>United States;United Kingdom;France;United States;United Kingdom</t>
  </si>
  <si>
    <t>Livermore;London;Paris;Moffett Field;Macclesfield</t>
  </si>
  <si>
    <t>Lawrence Livermore National Laboratory;University College London;Institut d‚ÄôAstrophysique de Paris;NASA Ames Research Center;Nuffield Radio Astronomy Laboratories</t>
  </si>
  <si>
    <t>60026175;60022148;60015201;60004179;100317689</t>
  </si>
  <si>
    <t>Justtanont K.</t>
  </si>
  <si>
    <t>Molecular rotational line profiles from oxygen-rich red giant winds</t>
  </si>
  <si>
    <t>10.1086/174865</t>
  </si>
  <si>
    <t>2-s2.0-12044254824</t>
  </si>
  <si>
    <t>['radio communication']</t>
  </si>
  <si>
    <t>Aspects of electromagnetic theory proposed recently point to a possible new mode of radio communication. Such communication would occur via a ‚Äòcompanion wave‚Äô, a heretofore unknown wave behaviour associated with a radio wave propagating in a superimposed magnetic field. A method of realizing this mode of communication within conventional radio science is outlined. ¬© 1994 IOP Publishing Ltd.</t>
  </si>
  <si>
    <t>2448-2450</t>
  </si>
  <si>
    <t>Journal of Physics D: Applied Physics</t>
  </si>
  <si>
    <t>101389038-60121655</t>
  </si>
  <si>
    <t>De, B. R.</t>
  </si>
  <si>
    <t>San Diego;</t>
  </si>
  <si>
    <t>The Electrical and Computer Engineering Department;Telesis Scientific</t>
  </si>
  <si>
    <t>60121655;101389038</t>
  </si>
  <si>
    <t>De B.</t>
  </si>
  <si>
    <t>A new mode of radio communication</t>
  </si>
  <si>
    <t>10.1088/0022-3727/27/11/031</t>
  </si>
  <si>
    <t>2-s2.0-0028539541</t>
  </si>
  <si>
    <t>Verband der Chemischen Industrie</t>
  </si>
  <si>
    <t>['œ ≤', '¬© 1994', 'rhodobacter capsulatus', 'results indicate', 'membrane fraction', 'lhiœ ≤', 'lhiœ ±']</t>
  </si>
  <si>
    <t>Antenna proteins | Cell-free translation | Membrane insertion | Protein phosphorylation | Rhodobacter capsulatus</t>
  </si>
  <si>
    <t>Synthesis and phosphorylation of the proteins Œ± and Œ≤ of the light-harvesting (LH) complex I (B870) were investigated in a cell-free translation system of Rhodobacter capsulatus. Both proteins were incorporated into the membrane fraction; LHIŒ≤ was inserted in the absence of LHIŒ± was phosphorylated in the presence of [Œ≥-32P]ATP only when membranes were present. Phosphorylated LHIŒ≤ was found only in the absence of membranes. The phosphate group bound to LHIŒ≤ was not transferred to LHIŒ± during insertion. The results indicate that a membrane-bound and a soluble protein kinase are involved. Strong light reduced the amount of phosphorylated LHIŒ±. The results are discussed with respect to the assembly and function of LHI. ¬© 1994.</t>
  </si>
  <si>
    <t>Phosphorylation of the Œ± and Œ≤ polypeptides of the light-harvesting complex I (B870) of Rhodobacter capsulatus in an in vitro translation system</t>
  </si>
  <si>
    <t>2-s2.0-85087324659</t>
  </si>
  <si>
    <t>['wind gusts', 'wind disturbances', 'tracking controller', 'simulation results', 'pointing errors', 'next used', 'methodology presented', 'main source', 'induced vibrations', 'errors satisfy', 'errors due', 'dsn antennas', 'azimuth servos', 'antennas must', 'antenna vibrations', 'antenna structure', 'antenna controller']</t>
  </si>
  <si>
    <t>Accurate spacecraft tracking by the NASA Deep Space Network (DSN) antennas must be assured during changing weather conditions. Wind disturbances are the main source of antenna vibrations, and consequently tracking errors. A wind force model is developed, and simulation results of wind-induced vibrations and pointing errors of the DSN antennas are presented. The antenna model includes the antenna structure, the elevation and azimuth servos, and the tracking controller. Simulation results show that pointing errors due to wind gusts are of the same order as errors due to wind steady state pressure, and that (similarly to steady state wind pressure) these errors satisfy the velocity quadratic law. The methodology presented is next used for wind disturbance estimation and for design of an antenna controller with wind disturbance rejection properties. ¬© 1994 Academic Press Ltd.</t>
  </si>
  <si>
    <t>0022460X</t>
  </si>
  <si>
    <t>Journal of Sound and Vibration</t>
  </si>
  <si>
    <t>60009037;60009226;119094409</t>
  </si>
  <si>
    <t>7006777295;7004089174;55451596600</t>
  </si>
  <si>
    <t>Gawronski, W.;Bienkiewicz, B.;Hill, R. E.</t>
  </si>
  <si>
    <t>Fort Collins;Pasadena;Glendale</t>
  </si>
  <si>
    <t>Colorado State University;Jet Propulsion Laboratory;Hill Engineering Services</t>
  </si>
  <si>
    <t>60009226;60009037;119094409</t>
  </si>
  <si>
    <t>Wind-induced dynamics of a deep space network antenna</t>
  </si>
  <si>
    <t>S0022460X84714684</t>
  </si>
  <si>
    <t>10.1006/jsvi.1994.1468</t>
  </si>
  <si>
    <t>2-s2.0-0028550177</t>
  </si>
  <si>
    <t>['¬© 1994', 'square approximation', 'rights reserved', 'radiative near', 'planar arrays', 'exact solution', 'constrained least']</t>
  </si>
  <si>
    <t>Antenna phased arrays | Antenna radiation patterns</t>
  </si>
  <si>
    <t>A pattern synthesis method, which incorporates deterministic nulls in the radiative near-field of an array, is presented. The problem is formulated as a constrained least-mean-square approximation and an exact solution is given. Both linear and planar arrays are considered. ¬© 1994, IEE. All rights reserved.</t>
  </si>
  <si>
    <t>2000-2001</t>
  </si>
  <si>
    <t>Steyskal, H.</t>
  </si>
  <si>
    <t>Steyskal H.</t>
  </si>
  <si>
    <t>Synthesis of antenna patterns with imposed near-field nulls</t>
  </si>
  <si>
    <t>10.1049/el:19941417</t>
  </si>
  <si>
    <t>2-s2.0-0028546812</t>
  </si>
  <si>
    <t>['¬© 1994', 'stop band', 'rights reserved', 'normal incidence', 'nonadjacent crystals', 'minimum rejection', 'cavity modes']</t>
  </si>
  <si>
    <t>Crystah | Optics | Photonic handgaps</t>
  </si>
  <si>
    <t>Face-centred-cubic photonic crystals with overlapping stop bands are stacked in tandem to obtain an ultrawideband photonic crystal. This crystal has a stop band that extends from 16 to at least 25 GHz and has a minimum rejection of ~7dB at normal incidence. Different stacking configurations have been studied, and cavity modes between nonadjacent crystals with overlapping stop bands have been observed. ¬© 1994, IEE. All rights reserved.</t>
  </si>
  <si>
    <t>2166-2167</t>
  </si>
  <si>
    <t>60033021;60033021;60022195;60022195;60022195</t>
  </si>
  <si>
    <t>6602354287;7005483240;57223745182;57194908320;57194907684</t>
  </si>
  <si>
    <t>Agi, K.;Malloy, K.;Brown, E. R.;McMalion, O. B.;Dili, C.</t>
  </si>
  <si>
    <t>Albuquerque;Cambridge</t>
  </si>
  <si>
    <t>The University of New Mexico;Massachusetts Institute of Technology</t>
  </si>
  <si>
    <t>60033021;60022195</t>
  </si>
  <si>
    <t>Agi K.</t>
  </si>
  <si>
    <t>Design of ultrawideband photonic crystals for broadband antenna applications</t>
  </si>
  <si>
    <t>10.1049/el:19941441</t>
  </si>
  <si>
    <t>2-s2.0-0028768712</t>
  </si>
  <si>
    <t>['¬© 1994', 'wave antenna', 'rights reserved', 'patch antennas', 'microstrip implementation', 'array provides']</t>
  </si>
  <si>
    <t>Antenna arrays | Microstrip antennas | Slot antennas</t>
  </si>
  <si>
    <t>A new printed array antenna fed by a microstrip transmission line is introduced. The structure is a combination of slot and patch antennas. The array provides a microstrip implementation of a leaky-wave antenna that is simple to design and inexpensive to fabricate. ¬© 1994, IEE. All rights reserved.</t>
  </si>
  <si>
    <t>2088-2090</t>
  </si>
  <si>
    <t>60017536;60011199;60011199</t>
  </si>
  <si>
    <t>7410158021;6603470321;7003541666</t>
  </si>
  <si>
    <t>Lee, C. S.;Nalbandian, V.;Schwering, F.</t>
  </si>
  <si>
    <t>Dallas;Fort Monmouth</t>
  </si>
  <si>
    <t>Southern Methodist University;U.S. Army Communications and Electronics Command</t>
  </si>
  <si>
    <t>60017536;60011199</t>
  </si>
  <si>
    <t>Simple linear microstrip array</t>
  </si>
  <si>
    <t>10.1049/el:19941452</t>
  </si>
  <si>
    <t>2-s2.0-0028768743</t>
  </si>
  <si>
    <t>['¬© 1994', 'rights reserved', 'plane shows', 'mutual coupling', 'edge diffraction', 'edge contribution', 'calculated including', 'accurately predicted', '80 db']</t>
  </si>
  <si>
    <t>Antenna phased arrays | Electromagnetic wave diffraction</t>
  </si>
  <si>
    <t>The mutual coupling between rectangular waveguide dements in a finite ground plane is calculated including the effect of edge diffraction. The edge contribution is obtained as the coupling to an equivalent image element, weighted with the edge diffraction coefficient. Comparison with measured coupling data in the H-plane shows that the edge diffraction effects on coupling, both amplitude and phase, can be accurately predicted down to levels of the order of -70 to -80 dB. ¬© 1994, IEE. All rights reserved.</t>
  </si>
  <si>
    <t>2087-2088</t>
  </si>
  <si>
    <t>Josefsson, L.</t>
  </si>
  <si>
    <t>Ericsson Radio Systems AB</t>
  </si>
  <si>
    <t>Josefsson L.</t>
  </si>
  <si>
    <t>Mutual coupling calculations including edge effects</t>
  </si>
  <si>
    <t>10.1049/el:19941435</t>
  </si>
  <si>
    <t>2-s2.0-0028768770</t>
  </si>
  <si>
    <t>['time constant', 'thermal conductance', 'simultaneously minimize', 'silicon substrate', 'several orders', 'previous record', 'optical noise', 'operating temperature', 'micromachined yttria', 'magnitude shorter', 'infrared wavelengths', 'heat capacity', 'equivalent power', 'detector incorporates', 'coupled high', '4 k', '2900 v', '2 lower', '12 w', '10 œºs']</t>
  </si>
  <si>
    <t>An antenna-coupled high-Tc superconducting microbolometer on a silicon substrate, operating at infrared wavelengths, is described. This detector incorporates a silicon-micromachined yttria-stabilized zirconia air bridge at the feed of a planar lithographic antenna to simultaneously minimize the thermal conductance and the heat capacity of the bolometer. At an operating temperature of 87.4 K, the optical responsivity measured using a 300-K blackbody source over a 0.2-2.9 THz bandwidth is 2900 V/W, the optical noise-equivalent power (NEP) is 9√ó10-12 W/Hz1/2, and the time constant is &lt;10 Œºs. This NEP is nearly a factor of 2 lower than the previous record for a liquid-nitrogen-cooled thermal detector, and the time constant is several orders of magnitude shorter.</t>
  </si>
  <si>
    <t>773-775</t>
  </si>
  <si>
    <t>Applied Physics Letters</t>
  </si>
  <si>
    <t>60023053;60023053;60023053</t>
  </si>
  <si>
    <t>55951021500;7202730843;7102303205</t>
  </si>
  <si>
    <t>Rice, J. P.;Grossman, E. N.;Rudman, D. A.</t>
  </si>
  <si>
    <t>Rice J.</t>
  </si>
  <si>
    <t>Antenna-coupled high-T&lt;inf&gt;c&lt;/inf&gt; air-bridge microbolometer on silicon</t>
  </si>
  <si>
    <t>10.1063/1.112226</t>
  </si>
  <si>
    <t>2-s2.0-0000048434</t>
  </si>
  <si>
    <t>['short section', 'plasma coupling', 'operation required', 'low frequencies', 'long strap', 'line antenna', 'iter requires', 'immediate vicinity', 'generally poor', 'frequency range', 'frequencies spread', 'flexibility provided', 'current drive', 'ceramic support']</t>
  </si>
  <si>
    <t>The flexibility provided by a variety of ion cyclotron resonance heating (ICRH) and current drive (CD) scenarios for ITER requires that the antenna should operate at a number of frequencies spread over a wide frequency range (20-85 MHz). A short circuited strip-line antenna in which a long strap is connected in parallel with a very short section is shown to provide the frequency range of operation required for ITER. The short section acts as a matching element located within the antenna and improves the power coupling capability especially at low frequencies where the plasma coupling is generally poor. The short section also supports the feeder-line central conductor. This means there is no longer a need for a ceramic support in the immediate vicinity of the antenna that will be subjected to a harsh neutron environment in a reactor.</t>
  </si>
  <si>
    <t>886-895</t>
  </si>
  <si>
    <t>I12</t>
  </si>
  <si>
    <t>Nuclear Fusion</t>
  </si>
  <si>
    <t>60025104;60025104</t>
  </si>
  <si>
    <t>7102660576;7005524697</t>
  </si>
  <si>
    <t>Bhatnagar, V. P.;Jacquinot, J.</t>
  </si>
  <si>
    <t>Bhatnagar V.</t>
  </si>
  <si>
    <t>An ICRF antenna for the next step tokamak operating in a wide frequency band</t>
  </si>
  <si>
    <t>10.1088/0029-5515/34/6/I12</t>
  </si>
  <si>
    <t>2-s2.0-0000437617</t>
  </si>
  <si>
    <t>['wide range', 'wavenumber spectra', 'various types', 'understood reasonably', 'theoretical model', 'studied numerically', 'plasma cylinder', 'plasma column', 'numerical findings', 'many cases', 'launching antenna', 'inductive coupling', 'finite size', 'experimental parameters']</t>
  </si>
  <si>
    <t>Inductive helicon wave coupling to a plasma column is studied numerically. In our theoretical model, the RF current distribution of the launching antenna is taken into account as well as the finite size of the plasma cylinder. Computational results based on the data of present-day helicon devices are shown. The efficiency of various types of antennae is studied for a wide range of experimental parameters. In particular, we discuss the role of magnetic-field-aligned electron Landau damping for the helicon wave absorption. In many cases, the numerical findings can be understood reasonably in terms of the wavenumber spectra of the antenna and the helicon wave dispersion relation. In general, however, the full electromagnetic treatment is necessary in order to describe and to understand the inductive coupling in the helicon wave regime.</t>
  </si>
  <si>
    <t>2003-2020</t>
  </si>
  <si>
    <t>60005322;60005322;60005322</t>
  </si>
  <si>
    <t>57216139108;7402838533;6508355246</t>
  </si>
  <si>
    <t>Fischer, B.;Kramer, M.;Enk, T.</t>
  </si>
  <si>
    <t>Fischer B.</t>
  </si>
  <si>
    <t>Helicon wave coupling to a finite plasma column</t>
  </si>
  <si>
    <t>10.1088/0741-3335/36/12/004</t>
  </si>
  <si>
    <t>2-s2.0-0000806526</t>
  </si>
  <si>
    <t>['plasma interaction', 'main consequences', 'high efficiency', 'experimentally demonstrated', 'antenna coupling', '6 kw', '45 ghz']</t>
  </si>
  <si>
    <t>Microwave resonant cavities running at 2.45 GHz are now being investigated for use in the high power remote plasma processings. The present paper deals with the design of two coupling devices, e.g., one coaxial cavity and one TM012 mode cylindrical cavity, using an antenna coupling. Their main attractive feature is the ability to run at powers as high as 3 and 6 kW, respectively. A basic model used to describe the wave-plasma interaction is developed and leads to the main consequences for the cavities conception thanks to the deduced equivalent electrical circuits. Their high efficiency is experimentally demonstrated for nitrogen, oxygen, air, and argon.</t>
  </si>
  <si>
    <t>3439-3443</t>
  </si>
  <si>
    <t>60104665;60104665;60104665;60104665</t>
  </si>
  <si>
    <t>6505808116;6603337889;6603906666;6701575109</t>
  </si>
  <si>
    <t>Dupret, C.;Supiot, P.;Dessaux, O.;Goudmand, P.</t>
  </si>
  <si>
    <t>Dupret C.</t>
  </si>
  <si>
    <t>Highly efficient microwave coupling devices for remote plasma applications</t>
  </si>
  <si>
    <t>10.1063/1.1144519</t>
  </si>
  <si>
    <t>2-s2.0-0000883180</t>
  </si>
  <si>
    <t>['‚ âà10', 'titanium indiffusion', 'theoretical investigation', 'substrate material', 'space wavelength', 'significant improvements', 'serial multiplication', 'satellite simulation', 'sar resolution', 'response time', 'reference signals', 'received echoes', 'proton exchange', 'proposed processor', 'platform motion', 'optical losses', 'novel architecture', 'new configuration', 'moving platform', 'linbo 3', 'intermodulation products', 'images coming', 'fabrication condition', 'electronically filtered', 'electrode configuration', 'dimensional buffer', 'detectors include', 'correct product', 'circuit performance', 'best results', 'basically interferometric', 'bandwidth ratio', 'azimuth resolution', 'azimuth directions', 'azimuth compression', 'appropriately designed', 'amplitude distortion', 'airborne simulation', '90 deg', '90 %)', '50 %)', '5 œºs', '410 mhz', '3 œºm']</t>
  </si>
  <si>
    <t>Electro-optic modulators | Guided-wave circuits | Hybrid technology | Optical pattern recognition | Signal processing | Synthetic aperture radar applications</t>
  </si>
  <si>
    <t>We present the theoretical investigation of a novel architecture of a LiNbO 3 guided-wave optical processor suitable for real-time microwave imaging in on-board synthetic aperture radar (SAR) applications, using a moving platform on either an aircraft or a spacecraft. The new configuration, which is basically interferometric, includes four MachZehnder (MZ) modulators, each characterized by an additional aperiodic phase-reversal traveling wave modulator. The electrode configuration is appropriately designed to reproduce the product of the base-band SAR received echoes and two reference signals and, then, to perform both the range and azimuth compression. The two product signals are separately time integrated by two fast photodetectors. The sampled signals coming out of the detectors include both the required product signals and intermodulation products and are electronically filtered for reproducing the correct product with no amplitude distortion. At this stage, the signals are multiplexed and registered on a two-dimensional buffer to reproduce the final correlation functions for the range and azimuth directions. Because of the serial multiplication between the received echoes and reference signals, the circuit can operate with very long data streams. Our proposed processor can reproduce the images coming from ground features using a conventional chirp pulse SAR system with the antenna beam looking at 90 deg from the direction of platform motion. The circuit can operate at a free-space wavelength of 1.3 Œºm with a radiofrequency (rf) of 410 MHz, a response time/bandwidth ratio of ‚âà10 -5 Œºs/MHZ, a linear dynamic range of ‚âà50 dB, and an SNR ‚âà 8 dB, assuming chirp pulses as reference signals. The circuit performance is evaluated by considering lithium niobate as the substrate material and two different waveguide fabrication techniques: titanium indiffusion (Th:LiNbO 3) and proton exchange with annealing (APE:LiNbO 3). The best results in terms of linear dynamic range and optical losses are obtained by the titanium indiffused channel waveguides. We calculated in any fabrication condition a swath range resolution of dœÉ‚âà=10 m in airborne simulation and about 60 m in the satellite simulation, whereas the azimuth resolution is about dœÅ = 1.5 and 6 m, respectively. Significant improvements in terms of SNR (90%) and SAR resolution (50%) are obtained by using binary pseudorandom sequences as reference signals, i.e., ‚âà 15 dB, ŒîœÉ = 2 and &lt;58 m, ŒîœÅ=1.5 and 6 m, respectively. ¬© 1994 Society of Photo-Optical Instrumentation Engineers.</t>
  </si>
  <si>
    <t>1854-1862</t>
  </si>
  <si>
    <t>Optical Engineering</t>
  </si>
  <si>
    <t>60027299;60027299</t>
  </si>
  <si>
    <t>7006655342;7004514939</t>
  </si>
  <si>
    <t>Armenise, Mario N.;Passaro, Vittorio M.N.</t>
  </si>
  <si>
    <t>Politecnico di Bari</t>
  </si>
  <si>
    <t>Novel guided-wave electro-optic processor for synthetic aperture radar imaging</t>
  </si>
  <si>
    <t>10.1117/12.170732</t>
  </si>
  <si>
    <t>2-s2.0-0001283008</t>
  </si>
  <si>
    <t>['whisker antenna', 'tunneling regime', 'tunneling diode', 'terahertz response', 'speed in0', 'resonant response', 'rectified response', 'electron lasers', 'alas resonant', '120 ghz']</t>
  </si>
  <si>
    <t>We have measured the room-temperature, broad-band, terahertz response of a high-speed In0.53Ga0.47As/AlAs resonant-tunneling diode from 120 GHz to 3.9 THz using the free-electron lasers at UCSB. The "rectified" response is measured with a conventional probe station by using the tungsten probe tip as a whisker antenna. Normalizing the rectified response in the resonant-tunneling regime with the off-resonant response we remove the extrinsic frequency dependence controlled by the antenna and the RC time constant and measure an intrinsic relaxation time.</t>
  </si>
  <si>
    <t>1995-1997</t>
  </si>
  <si>
    <t>60029241;60029241;60029241;60029241;60021939;60021939;60021939</t>
  </si>
  <si>
    <t>55477052700;16452871500;7004972007;35417089300;7103203999;7004991680;57206875518</t>
  </si>
  <si>
    <t>Scott, J. S.;Kaminski, J. P.;Wanke, M.;Allen, S. J.;Chow, D. H.;Lui, M.;Liu, T. Y.</t>
  </si>
  <si>
    <t>Terahertz frequency response of an In&lt;inf&gt;0.53&lt;/inf&gt;Ga&lt;inf&gt;0.47&lt;/inf&gt;As/ AlAs resonant-tunneling diode</t>
  </si>
  <si>
    <t>10.1063/1.111717</t>
  </si>
  <si>
    <t>2-s2.0-0001357827</t>
  </si>
  <si>
    <t>['thermal noise', 'test mass', 'existing low', 'excess noises', 'excess noise', 'examined thoroughly', 'dissipation materials', 'coordinate corresponding']</t>
  </si>
  <si>
    <t>We analyze the experimental conditions required for the action of thermal, seismic, and excess noises on the test mass in the advanced LIGO experiment to be smaller than the uncertainty of the coordinate corresponding to the standard quantum limit. It is shown that the contribution of thermal noise can be made small enough if existing low-dissipation materials are used for the suspension. On the other hand, the contribution of excess noise can be large and has to be examined thoroughly. ¬© 1994 American Institute of Physics.</t>
  </si>
  <si>
    <t>3771-3774</t>
  </si>
  <si>
    <t>7003908077;7101606756;6603764661</t>
  </si>
  <si>
    <t>Braginsky, V. B.;Mitrofanov, V. P.;Vyatchanin, S. P.</t>
  </si>
  <si>
    <t>Braginsky V.B.</t>
  </si>
  <si>
    <t>Isolation of test masses in the advanced laser interferometric gravitational-wave antennae</t>
  </si>
  <si>
    <t>10.1063/1.1144505</t>
  </si>
  <si>
    <t>2-s2.0-0001484944</t>
  </si>
  <si>
    <t>['two ring', 'plasma confinement', 'optimum arrangement', 'central region', 'almost isotropic']</t>
  </si>
  <si>
    <t>A new production method for a large diameter microwave plasma is proposed without magnetic coils. An annular slot antenna and two ring-typed permanent magnets are used for the generation of high density plasma in the circumference of a chamber with the plasma confinement and diffusing to the central region. The optimum arrangement of components in the device is examined for the production of the large diameter uniform plasma. The almost uniform electron density of about 4√ó1010 cm-3 is realized, and the plasma with two electron temperatures is observed. The measurement with a directional ion energy analyzer reveals that ions are almost isotropic.</t>
  </si>
  <si>
    <t>25-27</t>
  </si>
  <si>
    <t>57083802100;36347403600;35592137500</t>
  </si>
  <si>
    <t>Ikushima, Takayuki;Okuno, Yoshihiro;Fujita, Hiroharu</t>
  </si>
  <si>
    <t>Ikushima T.</t>
  </si>
  <si>
    <t>Production of large diameter microwave plasma using an annular slot antenna</t>
  </si>
  <si>
    <t>10.1063/1.110905</t>
  </si>
  <si>
    <t>2-s2.0-0002583458</t>
  </si>
  <si>
    <t>['two years', 'transducer combines', 'squid ).', 'predicted sensitivity', 'inductive transducer', 'detector equipped', 'continuous use', '74 %.', '4 k', '200h squid']</t>
  </si>
  <si>
    <t>The design, fabrication, and performance of an inductive transducer for a two-mode resonant mass gravitational radiation detector is described. The design of the transducer is based on a detailed noise model of the detector. The transducer combines a large dynamic mass, a large loaded quality factor, and transformer impedance matching to an integrated dc superconducting quantum interference device (SQUID). The transducer has been in continuous use on the Louisiana State University detector for two years. Its performance on the antenna is reported. The Q's of the two resonant modes measure 6.7√ó10 6 and 2.3√ó106 at a transducer coupling coefficient of 0.74%. The electrical Q ranges from 2√ó105 to 9√ó10 5 and is dependent upon trapped magnetic flux in the transducer. The detector's dominant noise source is the commercial SQUID amplifier, and not losses in the transducer. The predicted sensitivity of the detector equipped with our transducer agrees well with its measured burst strain sensitivity, h‚âà6√ó10-19. The detector's gravitational burst strain sensitivity could be improved to 1.7√ó10-19 by coupling the transducer to a 200h SQUID, while operating at 4 K.</t>
  </si>
  <si>
    <t>174-181</t>
  </si>
  <si>
    <t>60007566;60007566;60007566;105219382</t>
  </si>
  <si>
    <t>6507515577;10640778500;7404847027;7404588300</t>
  </si>
  <si>
    <t>Solomonson, N.;Hamilton, W. O.;Johnson, W.;Xu, B.</t>
  </si>
  <si>
    <t>Baton Rouge;Florence</t>
  </si>
  <si>
    <t>Louisiana State University;G. E. Medical Systems</t>
  </si>
  <si>
    <t>60007566;105219382</t>
  </si>
  <si>
    <t>Solomonson N.</t>
  </si>
  <si>
    <t>Construction and performance of a low noise inductive transducer for the Louisiana State University gravitational wave detector</t>
  </si>
  <si>
    <t>10.1063/1.1144773</t>
  </si>
  <si>
    <t>2-s2.0-0002945879</t>
  </si>
  <si>
    <t>['theory predicts', 'special cases', 'skin depth', 'propagation perpendicular', 'plasma configuration', 'omega lh', 'omega e', 'often limited', 'neutral collisions', 'magnetic field', 'less favourable', 'ion dynamics', 'investigate increasing', 'insufficient penetration', 'electromagnetic radiation', 'driven plasmas', 'dispersion relation', 'authors discuss', 'authors consider', 'arbitrary angles', 'appropriate angles', 'antenna geometry']</t>
  </si>
  <si>
    <t>The homogeneity and size of radio-frequency and microwave-driven plasmas are often limited by insufficient penetration of the electromagnetic radiation. To investigate increasing the skin depth of the radiation, the authors consider the propagation of electromagnetic plane waves in a weakly ionized plasma immersed in a steady magnetic field where the dominant collision processes are electron-neutral and ion-neutral collisions. Retaining both the electron and ion dynamics, the authors have adapted the theory for cold collisionless plasmas to include the effects of these collisions and obtained the dispersion relation at arbitrary frequency omega for plane waves propagating at arbitrary angles with respect to the magnetic field. The authors discuss in particular the special cases of magnetic field-enhanced wave penetration for parallel and perpendicular propagation beyond the collisional skin depth. Their theory predicts that the most favourable scaling occurs for waves propagating nearly parallel to B and for omega &lt;&lt; Omega e where Omega e is the electron cyclotron frequency. The scaling is less favourable for propagation perpendicular to B, but the skin depth does increase for this case as well, provided that omega &lt;&lt; omega LH where omega LH is the lower hybrid resonance frequency. Still, to achieve optimal wave penetration one must design the plasma configuration and antenna geometry so that one generates primarily the appropriate angles of propagation.</t>
  </si>
  <si>
    <t>99-107</t>
  </si>
  <si>
    <t>Plasma Sources Science and Technology</t>
  </si>
  <si>
    <t>60025111;60025111</t>
  </si>
  <si>
    <t>22991305500;57225808576</t>
  </si>
  <si>
    <t>Bozeman, S. P.;Hooke, W. M.</t>
  </si>
  <si>
    <t>Chapel Hill</t>
  </si>
  <si>
    <t>The University of North Carolina at Chapel Hill</t>
  </si>
  <si>
    <t>Bozeman S.P.</t>
  </si>
  <si>
    <t>Magnetically enhanced electromagnetic wave penetration in weakly ionized plasmas</t>
  </si>
  <si>
    <t>10.1088/0963-0252/3/1/012</t>
  </si>
  <si>
    <t>2-s2.0-0004639080</t>
  </si>
  <si>
    <t>['valid also', 'two parallel', 'two loops', 'theory provided', 'series inductance', 'good agreement', 'experimental results', 'easily vary', 'derived expressions', 'circuit constants', 'characteristic impedance', 'accurately known']</t>
  </si>
  <si>
    <t>Two parallel-plate copper rings with diagonally opposite gaps separated by a dielectric medium form a resonator the natural resonant frequency which is a function of the transmission line propagation constant, its characteristic impedance, as well as the series inductance of the two loops. By means of an extra capacitor connected to each gap, one can easily vary the frequency of the resonator. The derived expressions, valid also for coaxial line devices, relating resonant frequency to other circuit constants, can serve as a tool for those who intend to use this kind of resonator to design NMR surface coil antennas. Experimental results are in good agreement with theory provided the circuit constants are accurately known.</t>
  </si>
  <si>
    <t>509-510</t>
  </si>
  <si>
    <t>6603285052;24530433100</t>
  </si>
  <si>
    <t>Gonord, Patrick;Kan, Siew</t>
  </si>
  <si>
    <t>Gonord P.</t>
  </si>
  <si>
    <t>Twin-horseshoe resonator - An investigation</t>
  </si>
  <si>
    <t>10.1063/1.1145244</t>
  </si>
  <si>
    <t>2-s2.0-0004833549</t>
  </si>
  <si>
    <t>['time scale', 'slow recombination', 'simple model', 'screening originating', 'sapphire chips', 'probe measurements', 'find evidence', 'femtosecond pump', 'fast trapping', 'carriers trapped', 'carrier transport', 'bombarded silicon', '1 ps']</t>
  </si>
  <si>
    <t>We have performed two different types of femtosecond pump and probe measurements on THz transmitting antennas fabricated on ion-bombarded silicon-on-sapphire chips. We find evidence that the decay of the photoexcited current occurs on a time scale of less than 1 ps. Simultaneously, we observe unambiguous evidence of screening originating from carriers trapped in long-lived trap states. A simple model of carrier transport and screening in the presence of fast trapping and slow recombination is discussed.</t>
  </si>
  <si>
    <t>2385-2387</t>
  </si>
  <si>
    <t>60019160;60019160;60019160</t>
  </si>
  <si>
    <t>7004794036;7601352618;35560442800</t>
  </si>
  <si>
    <t>Brorson, Stuart D.;Zhang, Jucheng;Keiding, S√∏ren R.</t>
  </si>
  <si>
    <t>Odense</t>
  </si>
  <si>
    <t>Syddansk Universitet</t>
  </si>
  <si>
    <t>Brorson S.D.</t>
  </si>
  <si>
    <t>Ultrafast carrier trapping and slow recombination in ion-bombarded silicon on sapphire measured via THz spectroscopy</t>
  </si>
  <si>
    <t>10.1063/1.111622</t>
  </si>
  <si>
    <t>2-s2.0-0005080950</t>
  </si>
  <si>
    <t>['zro2 substrates', 'yba 2cu3o7', 'wavelengths greater', 'superconducting state', 'substrate stays', 'substrate interface', 'strongly coupled', 'specific detectivity', 'sensitivity measurements', 'relevant criterion', 'precise origin', 'order systems', 'optical sensitivity', 'observed signals', 'main resistance', 'irradiated area', 'heat sink', 'heat flow', 'heat capacity', 'film microstrips', 'existing sensors', 'entirely bolometric', 'device provides', 'critical temperature', 'complicated behaviors', 'case presented', 'bolometric nature', '85 k', '20 œºm', '20 ns']</t>
  </si>
  <si>
    <t>The bolometric nature of the optical sensitivity of YBCO (YBa 2Cu3O7-Œ¥) thin-film microstrips in the superconducting state is demonstrated. Below the critical temperature T c the critical current temperature dependence of the device provides a suitable temperature sensor. A theoretical thermal model that gives reliable forecasts for the sensor time constant and sensitivity over the 10-90 K temperature range has been developed. Sensitivity measurements on high-quality YBCO films deposited on MgO are in quite good agreement with the model, showing that the observed signals are entirely bolometric. The effective heat capacity of the sensor is that of the film in the irradiated area. Owing to the high thermal conductivity of MgO, the substrate stays at the heat sink temperature and the main resistance to heat flow is the film/substrate interface. The heat capacity of the irradiated area of the film, strongly coupled to the heat sink through the thermal boundary resistance gives high-speed bolometers behaving as first-order systems. For SrTiO3 or ZrO2 substrates, their lower thermal conductivity would lead to higher time constants and more complicated behaviors. The precise origin of the measured sensor noise has still to be established. On a 0.2√ó10√ó15 Œºm3 microbridge at 85 K (below the critical temperature), a noise equivalent power of 120 pW/‚àöHz and a time constant œÑ of 20 ns were measured; this corresponds to a noise equivalent temperature of 60 nK/‚àöHz and a specific detectivity D* of 1.8√ó106 cm ‚àöHz/W. A more relevant criterion for comparing optical sensors is the D*/‚àöœÑ ratio. In the case presented, this ratio is equal to 1.3√ó1011 cm/J which is one of the best values published at this time. Such performances should give competitive composite or antenna coupled bolometers compared to existing sensors for wavelengths greater than 20 Œºm.</t>
  </si>
  <si>
    <t>3858-3868</t>
  </si>
  <si>
    <t>Journal of Applied Physics</t>
  </si>
  <si>
    <t>60017281;60017281;60017281;60017281;60017281;60035085;60035085;60035085</t>
  </si>
  <si>
    <t>36936417800;56035030200;6506214082;7004447299;7003506684;7004136290;6603380610;7201773667</t>
  </si>
  <si>
    <t>Langlois, P.;Robbes, D.;Lam Chok Sing, M.;Gunther, C.;Bloyet, D.;Hamet, J. F.;Desfeux, R.;Murray, H.</t>
  </si>
  <si>
    <t>Caen;Caen</t>
  </si>
  <si>
    <t>CRISMAT - Laboratoire de Crystallographie et Sciences des Mat√©riaux;√âcole nationale sup√©rieure d'ing√©nieurs de Caen</t>
  </si>
  <si>
    <t>60035085;60017281</t>
  </si>
  <si>
    <t>Langlois P.</t>
  </si>
  <si>
    <t>Superconducting fast microbolometers operating below their critical temperature</t>
  </si>
  <si>
    <t>10.1063/1.357390</t>
  </si>
  <si>
    <t>2-s2.0-0005294667</t>
  </si>
  <si>
    <t>['wave discharge', 'special kind', 'source generates', 'sharp increase', 'produces low', 'nonuniformity within', 'magnetic fields', 'loop low', 'helicon wave', 'experimental investigations', 'current densities', '300 v', '20 mtorr', '100 gs']</t>
  </si>
  <si>
    <t>The results of theoretical and experimental investigations of dense plasma source resonantly excited by helicon wave are presented. Driven by a single-loop low-voltage (approximately-equal-to 300 V) antenna, a source generates a plasma of density up to 5√ó1011 cm-3 at gas pressures 0.5-20 mTorr, operates at magnetic fields &lt;100 Gs, and produces low-energy ion fluxes (&lt;60 eV) with current densities up to 7 mA/cm2 and 3.5% nonuniformity within a diameter 10 cm. A high-efficiency helicon source originates in a special kind of "resonance" wave discharge, where a sharp increase of plasma resistance occurs near the helicon wave dispersion branches.</t>
  </si>
  <si>
    <t>60005722;60005722;60005722;60005722;60005722</t>
  </si>
  <si>
    <t>24772784000;7004549257;24772415600;6701490821;6701557700</t>
  </si>
  <si>
    <t>Katyukha, V. P.;Kirichenko, G. S.;Rusavskii, A. V.;Taranov, V. B.;Shamrai, K. P.</t>
  </si>
  <si>
    <t>Katyukha V.</t>
  </si>
  <si>
    <t>Helicon ion source for plasma processing</t>
  </si>
  <si>
    <t>10.1063/1.1144963</t>
  </si>
  <si>
    <t>2-s2.0-0009393629</t>
  </si>
  <si>
    <t>['tunable narrow', 'novel technique', 'free space', 'center frequency']</t>
  </si>
  <si>
    <t>We report a novel technique for the generation of tunable narrow-band submillimeter wave electromagnetic radiation in free space. This is accomplished by mixing two linearly chirped optical pulses with a variable time delay on a biased large aperture GaAs photoconducting antenna. The center frequency of the THz radiation varies linearly with the delay between the two chirped pulses from dc to ‚àº1 THz.</t>
  </si>
  <si>
    <t>137-139</t>
  </si>
  <si>
    <t>60030162;60030162;60030162;60030162</t>
  </si>
  <si>
    <t>6603464866;24325456000;6603945990;7003905455</t>
  </si>
  <si>
    <t>Weling, A. S.;Hu, B. B.;Froberg, N. M.;Auston, D. H.</t>
  </si>
  <si>
    <t>Weling A.</t>
  </si>
  <si>
    <t>Generation of tunable narrow-band THz radiation from large aperture photoconducting antennas</t>
  </si>
  <si>
    <t>10.1063/1.111543</t>
  </si>
  <si>
    <t>2-s2.0-0027927097</t>
  </si>
  <si>
    <t>['wavelength monopole', 'wavelength dipole', 'vertical handset', 'typical position', 'top face', 'sar deposited', 'radiated power', 'one subject', 'mounted either', 'metal box', 'infant head', 'horizontal orientations', 'horizontal orientation', 'head model', 'hand grasping', 'give 3', 'generic transceiver', 'frequencies considered', 'difference time', 'corresponding values', 'also presented', '900 mhz', '8 ghz', '10 g', '1 g']</t>
  </si>
  <si>
    <t>A new mathematical model of the head has been constructed from a set of serial MRI slices from one subject. Finite-difference time-domain (FDTD) calculations of the specific energy absorption rate (SAR) have been performed on this model with a 2 mm resolution for a generic mobile communication transceiver represented by a quarter-wavelength monopole on a metal box. The antenna was mounted either at the centre or corner of the top face of the box. The frequencies considered were 900 MHz and 1.8 GHz. Three irradiation geometries were considered, a vertical handset in front of the eye and vertical and horizontal orientations at the side of the ear. The effect of a hand grasping the handset was considered. The head model was scaled to represent the head of an infant and a subset of calculations was performed to verify that the SAR deposited in the infant head did not exceed that in the adult. Results are also presented for a half-wavelength dipole. The maximum SAR values produced by the generic transceiver for the horizontal orientation at the side of the head which is the most typical position, averaged over 10 g of tissue at 900 MHz and 1.8 GHz, are 2.1 and 3.0 W kg-1 per W of radiated power. The corresponding values over 1 g of tissue are 2.3 and 4.8 W kg-1 per W at 900 MHz and 1.8 GHz. However, if one were to consider all possible operational conditions, the placement of the transceiver in front of the eye will give 3.1 and 4.6 W kg-1 per W averaged over 10 g of tissue and 4.7 and 7.7 W kg-1 per W over 1 g of tissue at 900 MHz and 1.8 GHz, respectively.</t>
  </si>
  <si>
    <t>1537-1553</t>
  </si>
  <si>
    <t>Physics in Medicine and Biology</t>
  </si>
  <si>
    <t>60007151;60007151</t>
  </si>
  <si>
    <t>7003510973;7401546796</t>
  </si>
  <si>
    <t>Dimbylow, P. J.;Mann, S. M.</t>
  </si>
  <si>
    <t>Radiation Protection Division</t>
  </si>
  <si>
    <t>Dimbylow P.</t>
  </si>
  <si>
    <t>SAR calculations in an anatomically realistic model of the head for mobile communication transceivers at 900 MHz and 1.8 GHz</t>
  </si>
  <si>
    <t>10.1088/0031-9155/39/10/003</t>
  </si>
  <si>
    <t>2-s2.0-0028049572</t>
  </si>
  <si>
    <t>DCB-9003928</t>
  </si>
  <si>
    <t>['¬© 1994', 'wise increment', 'weight proteins', 'variable chl', 'suggest co', 'subunits b', 'results suggest', 'psii unit', 'psii ).', 'protein known', 'polypeptide subunit', 'plastid development', 'plant physiologists', 'photosynthetic unit', 'peripheral antenna', 'pea plants', 'low dosage', 'light given', 'jspp ).', 'japanese society', 'intermittent illumination', 'inner antenna', 'increased amounts', 'iml plastids', 'harvesting complex', 'excitation energy', 'developmental stage', 'core form', 'core complex', 'bulk lhc', 'b light', '4 kda', '37 chl', '300 chl', '130 chl']</t>
  </si>
  <si>
    <t>Assembly | Histones | Light-harvesting complex | Pea chloroplast | Photosynthetic unit | Thylakoid membrane</t>
  </si>
  <si>
    <t>Pea plants were grown under intermittent illumination (ImL) conditions. The low dosage of light given to ImL plastids limited the rate of chlorophyll (Chl) a and Chl b biosynthesis and, therefore, it retarded the rate of photosynthetic unit formation and thylakoid membrane development. Depending on the developmental stage of the photosynthetic unit, ImL plastids had variable Chl a/Chl b ratios (2.7 &lt;Chl a/Chlb&lt;20) and showed distinct intermediates in the assembly of the chlorophyll a-b light-harvesting complex (LHC) of photosystem-II (PSII). The results are consistent with a step-wise increment in the PSII antenna size involving three distinct forms of the PSII unit: (i) a PSII-core form with about 37 Chl a molecules; (ii) a PSILŒ≤ form containing the PSII-core and the LHC-II-inner antenna with a total of about 130 Chl (a + b) molecules, and (iii) the mature PSIIa form containing PSIIŒ≤ and the LHC-II-peripheral antenna with a total of 210-300 Chl (a + b) molecules. The thylakoid membrane contained polypeptide subunits b, c and d (the Lhcb1, 2 and 3 gene products, respectively) when only the LHC-II-inner was present. Polypeptide subunit a, (the apoprotein of the chlorophyll-protein known as CP29), along with increased amounts of b and c appeared later in the development of thylakoids, concomitant with the assembly of the LHC-II-peripheral. The results suggest that polypeptide subunit d has priority of assembly over subunit a. It is implied that, of all LHC-II constituent proteins, subunit d is most proximal to the PSII-core complex and that it serves as a linker in the transfer of excitation energy from the bulk LHC-II (subunits b and c) to the PSII-core. The work also addresses the origin of low-molecular-weight proteins (Mr = 19, 17.5 and 13.4 kDa) which co-isolate with intact developing plastids and whose abundance decreases during plastid development. Amino acid compositional and immunoblot analyses show a nuclear histone origin for these low-molecular-weight proteins and suggest co-isolation of histone-containing nuclear vesicles along with intact developing plastids. ¬© 1994 The Japanese Society of Plant Physiologists (JSPP).</t>
  </si>
  <si>
    <t>341-351</t>
  </si>
  <si>
    <t>6603036630;7102472371;55429432700;57203081985</t>
  </si>
  <si>
    <t>Mawson, Bruce T.;Morrissey, Peter J.;Gomez, Amparo;Melis, Anastasios</t>
  </si>
  <si>
    <t>Mawson B.</t>
  </si>
  <si>
    <t>Thylakoid membrane development and differentiation: Assembly of the chlorophyll a-b light-harvesting complex and evidence for the origin of M&lt;inf&gt;r&lt;/inf&gt;=19, 17.5 and 13.4 kDa proteins</t>
  </si>
  <si>
    <t>2-s2.0-0028140642</t>
  </si>
  <si>
    <t>Iowa Science Foundation</t>
  </si>
  <si>
    <t>ISF-90-28</t>
  </si>
  <si>
    <t>ISF</t>
  </si>
  <si>
    <t>['water transparency', 'three lakes', 'tail spine', 'substrate preference', 'second antennae', 'northwest iowa', 'living epizoically', 'epizoic diatoms', 'diatoms concentrated', 'densities similar', 'cells attached', 'attached diatoms', 'annual high', '1 year']</t>
  </si>
  <si>
    <t>Cladocerans from three lakes in northwest Iowa were examined for attached diatoms over a period of 1 year to assess the seasonality, substrate preference and attachment site specificities of epizoic diatoms. Over 90% of the cladocerans had attached diatoms immediately following ice thaw, when the lakes were not yet thermally stratified, surface water temperatures were low(10-15¬∞C)and water transparency was at its annual high. Mean maximum density of diatoms on cladocerans averaged among lakes at this time was 3000 cells animal-1. The dominant epizoic diatom was Synedra cyclopum Brutschy, which was found most often on large, pelagic Daphnia pulicaria and Daphnia galeata mendotae. Heavily infested animals had diatoms concentrated on the second antennae and anterior ventral margin of the carapace. Animals with &lt;5 epizoic diatoms were more likely to have cells attached to the postabdomen or tail spine. In addition to living epizoically, S.cyclopum was found free living in the plankton, exhibiting temporal fluctuations in densities similar to epizoic counterparts However, the densities of the free-living cells seldom exceeded epizoic densities, suggesting that S.cyclopum is adapted for growth on motile cladoceran substrates. ¬© 1994 Oxford University Press.</t>
  </si>
  <si>
    <t>53-68</t>
  </si>
  <si>
    <t>Journal of Plankton Research</t>
  </si>
  <si>
    <t>6603032257;7006337360</t>
  </si>
  <si>
    <t>Gaiser, Evelyn E.;Bachmann, Roger W.</t>
  </si>
  <si>
    <t>Gaiser E.E.</t>
  </si>
  <si>
    <t>Seasonality, substrate perference and attachment sites of epizoic diatoms on cladoceran zooplankton</t>
  </si>
  <si>
    <t>10.1093/plankt/16.1.53</t>
  </si>
  <si>
    <t>2-s2.0-0028162604</t>
  </si>
  <si>
    <t>['three cases', 'synechococcus sp', 'state transitions', 'results indicate', 'replete cells', 'remaining phycobilisomes', 'reduced relative', 'rapid decrease', 'photosystem ii', 'photosynthetic activity', 'photoacoustic measurements', 'o2 evolution', 'net degradation', 'greatly reduced', 'fluorescence emissions', 'essential macronutrient', 'energy storage', 'due largely', 'diluting effect', 'deprived cells', 'cellular pigmentation', 'cellular phycobiliprotein', 'cells deprived', 'approximately 40']</t>
  </si>
  <si>
    <t>cyanobacteria | cyclic photophosphorylation | nutrient deprivation | photoacoustic spectroscopy | photoinhibition | Photosystem I</t>
  </si>
  <si>
    <t>When the cyanobacterium Synechococcus sp. Strain PCC 7942 is deprived of an essential macronutrient such as nitrogen, sulfur or phosphorus, cellular phycobiliprotein and chlorophyll contents decline. The level of Œ≤-carotene declines proportionately to chlorophyll, but the level of zeaxanthin increases relative to chlorophyll. In nitrogen- or sulfur-deprived cells there is a net degradation of phycobiliproteins. Otherwise, the declines in cellular pigmentation are due largely to the diluting effect of continued cell division after new pigment synthesis ceases and not to net pigment degradation. There was also a rapid decrease in O2 evolution when Synechococcus sp. Strain PCC 7942 was deprived of macronutrients. The rate of O2 evolution declined by more than 90% in nitrogen- or sulfur-deprived cells, and by approximately 40% in phosphorus-deprived cells. In addition, in all three cases the fluorescence emissions from Photosystem II and its antennae were reduced relative to that of Photosystem I and the remaining phycobilisomes. Furthermore, state transitions were not observed in cells deprived of sulfur or nitrogen and were greatly reduced in cells deprived of phosphorus. Photoacoustic measurements of the energy storage capacity of photosynthesis also showed that Photosystem II activity declined in nutrient-deprived cells. In contrast, energy storage by Photosystem I was unaffected, suggesting that Photosystem I-driven cyclic electron flow persisted in nutrient-deprived cells. These results indicate that in the modified photosynthetic apparatus of nutrient-deprived cells, a much larger fraction of the photosynthetic activity is driven by Photosystem I than in nutrient-replete cells. ¬© 1994 Kluwer Academic Publishers.</t>
  </si>
  <si>
    <t>173-183</t>
  </si>
  <si>
    <t>60023018;60033389;60024613;60024613</t>
  </si>
  <si>
    <t>7203048550;7101851384;7006821248;7202301923</t>
  </si>
  <si>
    <t>Collier, Jackie L.;Herbert, Stephen K.;Fork, David C.;Grossman, Arthur R.</t>
  </si>
  <si>
    <t>Moscow;Washington, D.C.;San Diego</t>
  </si>
  <si>
    <t>University of Idaho;Carnegie Institution of Washington;Scripps Institution of Oceanography</t>
  </si>
  <si>
    <t>60033389;60024613;60023018</t>
  </si>
  <si>
    <t>Collier J.</t>
  </si>
  <si>
    <t>Changes in the cyanobacterial photosynthetic apparatus during acclimation to macronutrient deprivation</t>
  </si>
  <si>
    <t>10.1007/BF00018260</t>
  </si>
  <si>
    <t>2-s2.0-0028251852</t>
  </si>
  <si>
    <t>['trans proportion', 'trans isomers', 'trans blend', 'significantly differ', 'sf males', 'racemic trans', 'nonnatural trans', 'nezara viridula', 'male pheromone', 'main components', 'isomer alone', 'interindividual variation', 'fwi males', 'fwi ).', 'female antennae', 'eag activity', 'different isomers', 'clearly elucidated', 'cis isomer', 'bisabolene epoxides', 'bisabolene epoxide', 'attracted 45', 'attracted 40', '75 proportions', '05 ).', '(-) enantiomers']</t>
  </si>
  <si>
    <t>bioassay | enantiomer | Heteroptera | interindividual variation | isomer | Nezara viridula | Pentatomidae | pheromonal specificity | sex pheromone | trans- and cis-(Z)-Œ±-bisabolene epoxides</t>
  </si>
  <si>
    <t>The trans- and cis-(Z)-Œ±-bisabolene epoxides (trans- and cis-(Z)-Œ±BE) are the main components of the male sex pheromone in Nezara viridula. The role of the cis isomer and the importance of the cis/trans proportion for the activity and the specificity of the pheromone are not clearly elucidated and were studied here. Interindividual variation of the cis/trans proportion produced by males was studied by individual hexanic extracts in two strains originating from the south of France (SF) and French West Indies (FWI). The trans isomer composed 42-82% of bisabolene epoxides in SF males and 74-94% of bisabolene epoxides in FWI males. Means (¬± SD) significantly differ between SF (62.8%¬±8.4) and FWI (82.4%¬±5.9) males in spite of this interindividual variation. Different isomers of bisabolene epoxide were synthesized and their EAG activity on female antennae was compared. Racemic trans- and cis-(Z)-Œ±BE elicited low EAGs, not different from the nonnatural trans and cis (E)-Œ±BE that were inactive on behavior. Behavioral tests revealed that racemic trans- and cis-(Z)-Œ±BE attracted 45% (P&lt;0.05) and 25% (P&lt;0.05) of females, respectively. The same levels of attraction were obtained with (-) enantiomers of trans- and cis-(Z)-Œ±BE, which attracted 40% (P&lt;0.05) and 20% (P&gt;0.05) of the females, respectively. Binary blends containing 75/25, 50/50, and 25/75 proportions of cis/trans isomers were more attractive than trans-(Z)-Œ±BE alone and response of females to the 25%cis/75%trans blend was significantly more important than the response to trans-isomer alone (P&lt;0.05). The importance of the cis/trans proportion in relation with the specificity of the male pheromone is discussed. ¬© 1994 Plenum Publishing Corporation.</t>
  </si>
  <si>
    <t>3133-3147</t>
  </si>
  <si>
    <t>60003274;60003274;60025272;60003274</t>
  </si>
  <si>
    <t>6506017868;7003910259;24543409400;7004185407</t>
  </si>
  <si>
    <t>Br√©zot, Patrick;Malosse, Christian;Mori, Kenji;Renou, Michel</t>
  </si>
  <si>
    <t>Japan;France</t>
  </si>
  <si>
    <t>Tokyo;Versailles</t>
  </si>
  <si>
    <t>The University of Tokyo;Centre de recherche √éle-de-France-Versailles - Grignon</t>
  </si>
  <si>
    <t>60025272;60003274</t>
  </si>
  <si>
    <t>Br√©zot P.</t>
  </si>
  <si>
    <t>Bisabolene epoxides in sex pheromone in nezara viridula (L.) (Heteroptera: Pentatomidae): Role of cis isomer and relation to specificity of pheromone</t>
  </si>
  <si>
    <t>10.1007/BF02033716</t>
  </si>
  <si>
    <t>2-s2.0-0028254675</t>
  </si>
  <si>
    <t>['zeaxanthin overnight', 'xanthophyll cycle', 'wild type', 'vary markedly', 'total chls', 'total carotenoids', 'reported concentration', 'relative proportions', 'plants grown', 'peripheral lhc', 'mutants grown', 'low light', 'ii complexes', 'high light', 'fm ),', 'diurnal cycle', 'deficient mutants', 'considerable degree', 'chl ratios', 'chl b']</t>
  </si>
  <si>
    <t>photoprotection | state transitions | zeaxanthin</t>
  </si>
  <si>
    <t>Three light intensity-dependent Chl b-deficient mutants, two in wheat and one in barley, were analyzed for their xanthophyll cycle carotenoids and Chl fluorescence characteristics under two different growth PFDs (30 versus 600 Œºmol photons¬∑m-2 s-1 incident light). Mutants grown under low light possessed lower levels of total Chls and carotenoids per unit leaf area compared to wild type plants, but the relative proportions of the two did not vary markedly between strains. In contrast, mutants grown under high light had much lower levels of Chl, leading to markedly greater carotenoid to Chl ratios in the mutants when compared to wild type. Under low light conditions the carotenoids of the xanthophyll cycle comprised approximately 15% of the total carotenoids in all strains; under high light the xanthophyll cycle pool increased to over 30% of the total carotenoids in wild type plants and to over 50% of the total carotenoids in the three mutant strains. Whereas the xanthophyll cycle remained fairly epoxidized in all plants grown under low light, plants grown under high light exhibited a considerable degree of conversion of the xanthophyll cycle into antheraxanthin and zeaxanthin during the diurnal cycle, with almost complete conversion (over 90%) occurring only in the mutants. 50 to 95% of the xanthophyll cycle was retained as antheraxanthin and zeaxanthin overnight in these mutants which also exhibited sustained depressions in PS II photochemical efficiency (Fv/Fm), which may have resulted from a sustained high level of photoprotective energy dissipation activity. The relatively larger xanthophyll cycle pool in the Chl b-deficient mutant could result in part from the reported concentration of the xanthophyll cycle in the inner antenna complexes, given that the Chl b-deficient mutants are deficient in the peripheral LHC-II complexes. ¬© 1994 Kluwer Academic Publishers.</t>
  </si>
  <si>
    <t>6603503814;7006830237;7401725101</t>
  </si>
  <si>
    <t>Falbel, Tanya G.;Staehelin, L. Andrew;Adams, William W.</t>
  </si>
  <si>
    <t>Falbel T.</t>
  </si>
  <si>
    <t>Analysis of xanthophyll cycle carotenoids and chlorophyll fluorescence in light intensity-dependent chlorophyll-deficient mutants of wheat and barley</t>
  </si>
  <si>
    <t>10.1007/BF00018262</t>
  </si>
  <si>
    <t>2-s2.0-0028312189</t>
  </si>
  <si>
    <t>['utilizing electroantennogram', 'sexual dimorphism', 'sexual differences', 'sexual attraction', 'produced butyrates', 'potential pheromones', 'plant volatiles', 'plant odors', 'olfactory reception', 'monoterpene geraniol', 'miridae ),', 'host finding', 'hexyl butyrate', 'females responded', 'among glvs', 'also observed', 'aldehyde glvs', 'acetate derivatives']</t>
  </si>
  <si>
    <t>butyrates | EAG | electroantennogram | green odor | host finding | host odor | Lygus lineolaris | olfaction | pheromone | sex attraction</t>
  </si>
  <si>
    <t>Olfactory reception of potential pheromones and host-plant odors by male and female tarnished plant bugs (TPBs), Lygus lineolaris (Hemiptera: Miridae), was investigated by utilizing electroantennogram (EAG) techniques. In general, EAGs were similar between the sexes. Among 31 compounds of seven chemical groups tested, insect-produced butyrates and host-plant-containing green leaf volatiles (GLVs) were the most active. Hexyl butyrate and (E)-2-hexenyl butyrate elicited greater EAGs in males than in females. Females responded with significantly greater EAGs to alcohol and aldehyde GLVs than to their acetate derivatives. Among GLVs, sexual dimorphism was also observed in response to (E)-2-hexenol and (E)-2-hexenal. Females were more sensitive to the monoterpene geraniol than were males. While nonanal was the most stimulatory compound tested, no sexual differences in EAGs to this compound were observed. These studies reveal olfactory receptors on TPB antennae responsive to insect and host-plant volatiles that are likely to play a role in host finding and sexual attraction. ¬© 1994 Plenum Publishing Corporation.</t>
  </si>
  <si>
    <t>3251-3267</t>
  </si>
  <si>
    <t>60001989;60001989;60000635</t>
  </si>
  <si>
    <t>6701642546;7102100454;7102901082</t>
  </si>
  <si>
    <t>Chinta, Srinivas;Dickens, Joseph C.;Aldrich, Jeffrey R.</t>
  </si>
  <si>
    <t>Washington, D.C.;Beltsville</t>
  </si>
  <si>
    <t>USDA Agricultural Research Service;USDA ARS Beltsville Agricultural Research Center</t>
  </si>
  <si>
    <t>60001989;60000635</t>
  </si>
  <si>
    <t>Chinta S.</t>
  </si>
  <si>
    <t>Olfactory reception of potential pheromones and plant odors by tarnished plant bug, Lygus lineolaris (Hemiptera: Miridae)</t>
  </si>
  <si>
    <t>10.1007/BF02033724</t>
  </si>
  <si>
    <t>2-s2.0-0028322599</t>
  </si>
  <si>
    <t>['œârf ).', 'threshold becomes', 'sufficiently high', 'result shows', 'pump wave', 'plasma position', 'plasma inhomogeneity', 'plasma edge', 'parametric instabilities', 'moved away', 'low level', 'deliberately varied', 'condition 2œâpi', 'antenna satisfies', 'also demonstrated', '2 cm']</t>
  </si>
  <si>
    <t>Parametric instabilities during the ion Bernstein wave (IBW) plasma heating experiment on PBX-M are investigated both theoretically and experimentally. The theoretical work shows that the RF power threshold of the instabilities is very low when the plasma density near the antenna satisfies the condition 2œâpi &lt; œâ0 &lt;&lt; œâpe. The threshold becomes very high, &gt;&gt;1 MW, and is determined by convective losses due to plasma inhomogeneity when the plasma density near the antenna is sufficiently high that 0.5 &lt; œâpi/œâ0 &lt; 1. According to the theory, the parametric instability activity should increase as the plasma is moved away from the antenna, creating a low density electron plasma wave 'gap' region. To test this hypothesis on PBX-M, the plasma position was deliberately varied while monitoring this activity. Under normal IBW operating conditions, very little parametric instability activity was observed ‚â§50 dB below the pump wave (œâ = œâRF). However, when the plasma edge was moved away from the antenna by about 2 cm, the parametric instability activity increased greatly, exceeding 20 dB of the pump wave. This result shows that the observed parametric instability activity can be explained in terms of the plasma inhomogeneity convective model. It was also demonstrated that, by controlling the plasma position with respect to the antenna, parametric instability activity can be controlled at a low level.</t>
  </si>
  <si>
    <t>261-269</t>
  </si>
  <si>
    <t>I08</t>
  </si>
  <si>
    <t>60019637;;;;</t>
  </si>
  <si>
    <t>6701455884;7402177612;56144605100;22994578600;7005144237</t>
  </si>
  <si>
    <t>Cesario, R.;Hermann, H.;Ono, M.;Paoletti, F.;Schmitz, L.</t>
  </si>
  <si>
    <t>Ente Per Le Nuove Tecnologie, l'Energia e l'Ambiente</t>
  </si>
  <si>
    <t>Cesario R.</t>
  </si>
  <si>
    <t>Study of parametric instabilities during the ion Bernstein wave heating experiment on PBX-M</t>
  </si>
  <si>
    <t>10.1088/0029-5515/34/2/I08</t>
  </si>
  <si>
    <t>2-s2.0-0028378773</t>
  </si>
  <si>
    <t>['wide range', 'wide gap', 'sufficient coupling', 'plasma parameters', 'phase mode', 'obtained even', 'much stronger', 'loading resistances', 'icrf antenna', 'heating response', 'faraday shield', 'electron density', '4 omega', '33 cm', '13 cm']</t>
  </si>
  <si>
    <t>Sufficient coupling of an ICRF antenna for high power experiments was obtained even for a wide gap between the separatrix and the antenna in JT-60U. The loading resistances for an out-of-phase mode are over 4 Omega for a gap of 13 cm between the separatrix and the Faraday shield over the wide range of electron density from 1 √ó 1019 to 5.5 √ó 1019 m-3. In particular, the loading resistances for an in-phase mode are about 5 Œ© for a gap of 33 cm between the separatrix and the Faraday shield for the same plasma parameters. However, the heating response for the out-of-phase mode is much stronger than that for the in-phase mode.</t>
  </si>
  <si>
    <t>276-282</t>
  </si>
  <si>
    <t>I10</t>
  </si>
  <si>
    <t>60015658;60015658;60015658;60015658;60015658;60015658;60015658;60015658</t>
  </si>
  <si>
    <t>7005938557;7101740816;35352771100;7404269925;55574413400;56284574900;8690918800;55703205600</t>
  </si>
  <si>
    <t>Saigusa, M.;Moriyama, S.;Fujii, T.;Kimura, H.;Sato, M.;Hosogane, N.;Nemoto, M.;Yamamoto, T.</t>
  </si>
  <si>
    <t>Kashiwa</t>
  </si>
  <si>
    <t>Japan Atomic Energy Agency</t>
  </si>
  <si>
    <t>High coupling performance of JT-60U ICRF antennas</t>
  </si>
  <si>
    <t>10.1088/0029-5515/34/2/I10</t>
  </si>
  <si>
    <t>2-s2.0-0028378774</t>
  </si>
  <si>
    <t>['work extends', 'unbiased sample', 'previous studies', 'normal incidence', 'excellent agreement', 'electromagnetic radiation', 'calculated results', 'blende crystals']</t>
  </si>
  <si>
    <t>We report the study of optically induced terahertz (THz) electromagnetic radiation from „Äà110„Äâ oriented zinc-blende crystals. This work extends our previous studies of „Äà100„Äâ and „Äà111„Äâ GaAs. Excellent agreement between calculated results and experimental data indicates that, under conditions of moderate optical fluence and normal incidence on the unbiased sample, second-order optical rectification is the major nonlinear process that generates THz radiation.</t>
  </si>
  <si>
    <t>1324-1326</t>
  </si>
  <si>
    <t>60025534;60025534;60025534;60025534;60076904;60076904;60076904</t>
  </si>
  <si>
    <t>57197944411;7404458505;23015530900;7410280543;7102454916;7203037401;57198982228</t>
  </si>
  <si>
    <t>Rice, A.;Jin, Y.;Ma, X. F.;Zhang, X. C.;Bliss, D.;Larkin, J.;Alexander, M.</t>
  </si>
  <si>
    <t>Wright-Patterson AFB;Troy</t>
  </si>
  <si>
    <t>Air Force Materiel Command;Rensselaer Polytechnic Institute</t>
  </si>
  <si>
    <t>60076904;60025534</t>
  </si>
  <si>
    <t>Rice A.</t>
  </si>
  <si>
    <t>Terahertz optical rectification from „Äà110„Äâ zinc-blende crystals</t>
  </si>
  <si>
    <t>10.1063/1.111922</t>
  </si>
  <si>
    <t>2-s2.0-0028384820</t>
  </si>
  <si>
    <t>['well known', 'spectral widths', 'rays covering', 'ray paths', 'poloidal structure', 'poloidal positions', 'parallel wavenumbers', 'important part', 'current drive', 'central region', 'antenna also', 'account without']</t>
  </si>
  <si>
    <t>In simulations of lower hybrid heating and current drive in tokamaks, an important part of the calculation is the determination of ray paths from the antenna to the central region of the plasma where they are absorbed. The role of the parallel refractive index spectrum and the need to launch a set of rays that cover it adequately are well known. However, the antenna also has a finite poloidal extent and a corresponding poloidal wavenumber spectrum. Here a method of estimating the effect of this poloidal structure on the spatial and spectral widths of the beam is discussed. The objective is to take this into account without the need to launch a set of rays covering the range of poloidal positions and wavenumbers as well as that of parallel wavenumbers.</t>
  </si>
  <si>
    <t>359-368</t>
  </si>
  <si>
    <t>I04</t>
  </si>
  <si>
    <t>60032151;60032151</t>
  </si>
  <si>
    <t>54790551800;7101932270</t>
  </si>
  <si>
    <t>Cairns, R. A.;Fuchs, V.</t>
  </si>
  <si>
    <t>Varennes</t>
  </si>
  <si>
    <t>Cent Canadien de Fusion Magnetique</t>
  </si>
  <si>
    <t>Cairns R.</t>
  </si>
  <si>
    <t>The effect of poloidal antenna width on lower hybrid ray propagation</t>
  </si>
  <si>
    <t>10.1088/0029-5515/34/3/I04</t>
  </si>
  <si>
    <t>2-s2.0-0028385526</t>
  </si>
  <si>
    <t>['type silicon', 'slow recombination', 'slow diffusion', 'silicon surface', 'silicon substrate', 'silicon structure', 'si interface', 'oxidized p', 'inversion layer', 'gold electrode']</t>
  </si>
  <si>
    <t>The increase in the effective carrier lifetime of oxidized p-type silicon at low carrier injection levels is studied from the viewpoint of silicon surface effects. The effective carrier lifetime is measured by a microwave photoconductive decay method. A gold/oxide/silicon structure is used to examine the dependence of effective carrier lifetime on injected carrier concentration. The effective carrier lifetime is measured at various voltages applied between the gold electrode and the silicon substrate in order to change the silicon surface conditions, i.e. accumulation, depletion or inversion. Increase in the effective carrier lifetime at low carrier injection levels is observed only when the inversion layer is induced at the silicon surface. The increase in effective carrier lifetime may be due to slow recombination of excess minority carriers stored in the inversion layer at the SiO2/Si interface with a low interface trap density and/or slow diffusion of the excess minority carriers into the bulk of the silicon.</t>
  </si>
  <si>
    <t>370-372</t>
  </si>
  <si>
    <t>Semiconductor Science and Technology</t>
  </si>
  <si>
    <t>Watanabe, K.</t>
  </si>
  <si>
    <t>Hitachi, Ltd.</t>
  </si>
  <si>
    <t>Watanabe K.</t>
  </si>
  <si>
    <t>Increase in effective carrier lifetime of silicon at low carrier injection levels</t>
  </si>
  <si>
    <t>10.1088/0268-1242/9/4/006</t>
  </si>
  <si>
    <t>2-s2.0-0028407942</t>
  </si>
  <si>
    <t>['switched photoconductively', 'measured late', 'ieee trans', 'gaas grown', 'coupled circular', 'coaxial cavities', 'antennas propagat', '75 ghz', '1975 )]']</t>
  </si>
  <si>
    <t>Coplanar-strip horn antennas are switched photoconductively to generate picosecond bursts of freely propagating electromagnetic energy with bandwidth covering 15-75 GHz. The antennas are fabricated on GaAs grown by molecular beam epitaxy at low substrate temperatures. These antennas are used to perform transient scattering measurements from slit-coupled circular and coaxial cavities; Prony's method [IEEE Trans. Antennas Propagat. 23, 777 (1975)] is used to extract cavity resonances from the measured late-time scattered signal.</t>
  </si>
  <si>
    <t>2178-2180</t>
  </si>
  <si>
    <t>60108318;60108318;60108318;60009254;60009254</t>
  </si>
  <si>
    <t>57210529469;7003737313;7004561693;35510435500;24558279000</t>
  </si>
  <si>
    <t>Rahman, Arifur;Kralj, David;Carin, Lawrence;Melloch, Michael R.;Woodall, Jerry M.</t>
  </si>
  <si>
    <t>New York;West Lafayette</t>
  </si>
  <si>
    <t>NYU Tandon School of Engineering;Purdue University</t>
  </si>
  <si>
    <t>60108318;60009254</t>
  </si>
  <si>
    <t>Rahman A.</t>
  </si>
  <si>
    <t>Photoconductively switched antennas for measuring target resonances</t>
  </si>
  <si>
    <t>10.1063/1.111668</t>
  </si>
  <si>
    <t>2-s2.0-0028408682</t>
  </si>
  <si>
    <t>['santa barbara', 'resonant response', 'rectified response', 'quantum inductance', 'infrared radiation', 'electron lasers', 'art ingaas', '120 ghz']</t>
  </si>
  <si>
    <t>We have measured the broad-band terahertz response of a state-of-the-art InGaAs/AlAs resonant tunnelling diode from 120 GHz to 3.9 THz using the free-electron lasers at the University of California, Santa Barbara. A tungsten whisker antenna in a conventional probe station is used to couple the far-infrared radiation into the device. By normalizing the rectified response in the resonant tunnelling regime with the off-resonant response we are able to remove the antenna frequency effects and the frequency dependence controlled by the much slower RC time constant and measure the relaxation time due to the quantum inductance.</t>
  </si>
  <si>
    <t>530-532</t>
  </si>
  <si>
    <t>5 S</t>
  </si>
  <si>
    <t>60029241;60029241;60029241;;;</t>
  </si>
  <si>
    <t>Scott, J. S.;Kaminski, J. P.;Allen, S. J.;Chow, D.;Lui, M.;Liu, T. Y.</t>
  </si>
  <si>
    <t>Terahertz response of an InGaAs/AlAs resonant tunnelling diode</t>
  </si>
  <si>
    <t>10.1088/0268-1242/9/5S/035</t>
  </si>
  <si>
    <t>2-s2.0-0028430088</t>
  </si>
  <si>
    <t>['system response', 'submillimeter astronomy', 'planar twin', 'main beam', 'heterodyne receiver', 'excellent sensitivity', 'bandwidth centered', '600 mhz', '5 ghz']</t>
  </si>
  <si>
    <t>A 492 GHz quasioptical superconductor-insulator-superconductor (SIS) heterodyne receiver for submillimeter astronomy has been constructed with a double-sideband noise temperature of 170¬±25 K, where the system response is an average over a 600 MHz i.f. bandwidth centered at 1.5 GHz. The excellent sensitivity is achieved through use of a planar twin-slot antenna feeding a pair of Nb-Al2O3-Nb junctions linked by an inductance. A main beam of f/15 has been measured. The performance of this receiver is comparable to that of the best 492 GHz waveguide receivers currently in operation.</t>
  </si>
  <si>
    <t>1833-1838</t>
  </si>
  <si>
    <t>60000745;60031581;60000745</t>
  </si>
  <si>
    <t>6603610850;7004482405;7402101550</t>
  </si>
  <si>
    <t>Engargiola, G.;Zmuidzinas, J.;Lo, K. Y.</t>
  </si>
  <si>
    <t>California Institute of Technology;University of Illinois Urbana-Champaign</t>
  </si>
  <si>
    <t>60031581;60000745</t>
  </si>
  <si>
    <t>Engargiola G.</t>
  </si>
  <si>
    <t>A 492 GHz quasioptical SIS receiver for submillimeter astronomy</t>
  </si>
  <si>
    <t>10.1063/1.1144831</t>
  </si>
  <si>
    <t>2-s2.0-0028442353</t>
  </si>
  <si>
    <t>['te mode', 'strong excitation', 'radiation patterns', 'polar angle', 'high fraction', 'dielectric matrix', 'dielectric material', 'cubic photonic', 'crystal substrate', '5 ghz']</t>
  </si>
  <si>
    <t>Radiation patterns are measured from a planar-dipole antenna mounted on two {111}-oriented surfaces of a face-centered-cubic photonic-crystal substrate. The photonic crystal consists of nonspherical air atoms in a dielectric matrix having a permittivity of 12. The measurements are made at a frequency of 14.5 GHz in the middle of the photonic band gap. We find that the antenna pattern depends strongly on the fraction of the crystal surface occupied by dielectric material. A surface having a low dielectric fraction yields much narrower patterns in polar angle than one having a high fraction. We attribute this difference to the strong excitation of a TE mode by the dipole on the surface having a high dielectric fraction.</t>
  </si>
  <si>
    <t>3345-3347</t>
  </si>
  <si>
    <t>60022195;60022195;60022195</t>
  </si>
  <si>
    <t>57223745182;7402174260;6602297101</t>
  </si>
  <si>
    <t>Brown, E. R.;Parker, C. D.;McMahon, O. B.</t>
  </si>
  <si>
    <t>Brown E.R.</t>
  </si>
  <si>
    <t>Effect of surface composition on the radiation pattern from a photonic-crystal planar-dipole antenna</t>
  </si>
  <si>
    <t>10.1063/1.111274</t>
  </si>
  <si>
    <t>2-s2.0-0028443020</t>
  </si>
  <si>
    <t>['strongly influenced', 'radial profiles', 'plasma current', 'mhd modes', 'largely decoupled', 'global confinement', 'electron temperature', 'density limit', 'controlled modification', '3 ).', '1 modes']</t>
  </si>
  <si>
    <t>Controlled modification of the radial profiles of the plasma current, electron temperature and density was achieved in the ASDEX divertor tokamak with lower hybrid waves. Variation of the lower hybrid power and current deposition profiles was accomplished by tailoring the launched wave spectra or by compound antenna phasing. The current and temperature profiles could be largely decoupled. MHD modes were strongly influenced by the current profile modifications. Sawteeth and m=1 modes were suppressed up to the density limit of lower hybrid current drive on ASDEX (ne=5*1019 m-3). The electron temperature profile peaked in this case and the global confinement was improved.</t>
  </si>
  <si>
    <t>985-1016</t>
  </si>
  <si>
    <t>I06</t>
  </si>
  <si>
    <t>60026838;60026838;60026838;60026838;60026838;60026838;60026838;60026838;60026838;60026838;60026838</t>
  </si>
  <si>
    <t>7003729083;8892836100;7003757458;56271220000;6506776642;6701610658;8535353900;6602336130;7102996694;16402476000;7004026043</t>
  </si>
  <si>
    <t>Soldner, F. X.;Leuterer, F.;Bartiromo, R.;Bernabei, S.;Buchse, R.;Gehre, O.;Harvey, R. W.;Kornherr, M.;McCormick, K.;Murmann, H. D.;Pereverzev, G. V.</t>
  </si>
  <si>
    <t>Soldner F.</t>
  </si>
  <si>
    <t>Profile control with lower hybrid waves on ASDEX</t>
  </si>
  <si>
    <t>10.1088/0029-5515/34/7/I06</t>
  </si>
  <si>
    <t>2-s2.0-0028463486</t>
  </si>
  <si>
    <t>['rf power', 'relatively low', 'points within', 'measurements calculated', 'magnetic fields', 'highly resistive', 'helical antennas', 'experimental data', 'current drive', 'actually prepared', '130 kw', '10 ka']</t>
  </si>
  <si>
    <t>We have measured the distribution of components of the steady magnetic fields and radiofrequency (RF) magnetic fields on a grid of points within the toroidal RF current drive device RYTHMAC, R0=0.375 m, a=0.075 m and from these measurements calculated the steady-current density distribution and the driving term distribution. With total RF power of about 130 kW at f=500 kHz coupled by currents phased 90 degrees apart in helical antennas to produce moving RF fields, the (j*b)/nee driving terms are strong, equivalent to tens of volts per metre, yet the driven current densities are relatively low, of the order of 10 kA m-2; the distribution of each is uneven and antenna-related. The interpretation is that the plasma which is actually prepared by the same RF power as that used for the current drive is highly resistive. In addition to the steady-current drive information, the experimental data on the RF fields reveal strong nonlinear effects producing strong b field harmonics at 2f, 35, 4f, etc.</t>
  </si>
  <si>
    <t>1189-1209</t>
  </si>
  <si>
    <t>60020828;60020828</t>
  </si>
  <si>
    <t>56207169400;22988641300</t>
  </si>
  <si>
    <t>White, K. A.B.;McCarthy, A. L.</t>
  </si>
  <si>
    <t>Flinders University</t>
  </si>
  <si>
    <t>White K.</t>
  </si>
  <si>
    <t>Measurement and analysis of the magnetic field structure of the RYTHMAC RF current drive device</t>
  </si>
  <si>
    <t>10.1088/0741-3335/36/7/007</t>
  </si>
  <si>
    <t>2-s2.0-0028464529</t>
  </si>
  <si>
    <t>['report radiation', 'produce jitter', 'opening switch', 'new method', 'generating ultra', 'also discuss', '80 %.', '5 ghz']</t>
  </si>
  <si>
    <t>A new method of generating ultra-wide-band electromagnetic pulses using a Tl2Ba2CaCu2O8 high Tc superconductor as a fast laser activated opening switch is presented. The superconductor is used as an opening switch with a current charged transmission line pulse forming network to produce jitter-free triggered square pulses which are radiated by an ultra-wide-band conical antenna. We report radiation and reception of pulses with center frequencies near 3.5 GHz and a bandwidth in excess of 80%. We also discuss how this technique can be used to assess various wide-band antenna designs.</t>
  </si>
  <si>
    <t>1048-1050</t>
  </si>
  <si>
    <t>60020304;60020304;60020304;60020304;60010910;60010910;60010910;60010910</t>
  </si>
  <si>
    <t>7401512168;7005278955;56121375900;25956629700;57218968166;7102589846;6603910788;7004003019</t>
  </si>
  <si>
    <t>Lai, Y. S.;Funk, E. E.;Cao, W. L.;Lee, Chi H.;Shen, Zhi Yuan;Pang, Philip;Kountz, Dennis J.;Holstein, William L.</t>
  </si>
  <si>
    <t>College Park;Wilmington</t>
  </si>
  <si>
    <t>University of Maryland, College Park;DuPont</t>
  </si>
  <si>
    <t>60020304;60010910</t>
  </si>
  <si>
    <t>Lai Y.S.</t>
  </si>
  <si>
    <t>Ultra-wide-band pulse generation and radiation using a high T&lt;inf&gt;c&lt;/inf&gt; superconductor opening switch</t>
  </si>
  <si>
    <t>10.1063/1.112148</t>
  </si>
  <si>
    <t>2-s2.0-0028480530</t>
  </si>
  <si>
    <t>['tunable gyrotron', 'scattered amplitude', 'radiation source', 'quasioptical antenna', 'phase take', 'new arrangement', 'gyrotron output', 'gaussian beam', 'broad agreement']</t>
  </si>
  <si>
    <t>A tunable gyrotron is used as the radiation source in a far-forward scattering experiment to investigate the density fluctuations associated with the appearance of discrete Alfven wave (DAW) resonances and kinetic Alfven waves (KAWs) in the TORTUS tokamak plasma. A new arrangement of a quasioptical antenna and a Gaussian telescope focuses the gyrotron output into the plasma. Predictions of the scattered amplitude and phase take into account the diffraction and refraction of a Gaussian beam in the plasma. The scattering experiments enable DAW resonances and KAWs to be identified, and their characteristics are in broad agreement with the predictions.</t>
  </si>
  <si>
    <t>1407-1417</t>
  </si>
  <si>
    <t>60025709;60025709;60025709</t>
  </si>
  <si>
    <t>7004424724;55666487200;10242269300</t>
  </si>
  <si>
    <t>Fekete, P. W.;Brand, G. F.;Idehara, T.</t>
  </si>
  <si>
    <t>The University of Sydney</t>
  </si>
  <si>
    <t>Fekete P.</t>
  </si>
  <si>
    <t>Scattering from discrete Alfven waves in a tokamak using a gyrotron radiation source</t>
  </si>
  <si>
    <t>10.1088/0741-3335/36/9/003</t>
  </si>
  <si>
    <t>2-s2.0-0028494959</t>
  </si>
  <si>
    <t>['usually discarded', 'operator includes', 'gyrokinetic formalism', 'antenna coupling']</t>
  </si>
  <si>
    <t>Using the gyrokinetic formalism, a conductivity tensor operator is constructed for low frequency perturbations. This operator includes the cold Alfven waves as well as kinetic Alfven waves. This operator should be appropriate for studies of toroidicity-induced Alfven waves as well as antenna coupling of global Alfven waves. In particular, terms normally missing in the usual magnetohydrodynamic description, as well as terms that are usually discarded in descriptions of Alfven wave heating, are retained in this formalism and are identified.</t>
  </si>
  <si>
    <t>1463-1483</t>
  </si>
  <si>
    <t>60013901;60013901</t>
  </si>
  <si>
    <t>7202291663;55579383500</t>
  </si>
  <si>
    <t>Chiu, S. C.;Chu, M. S.</t>
  </si>
  <si>
    <t>General Atomics</t>
  </si>
  <si>
    <t>Chiu S.</t>
  </si>
  <si>
    <t>Gyrokinetic construction of wave equations at low frequencies in tokamaks</t>
  </si>
  <si>
    <t>10.1088/0741-3335/36/9/007</t>
  </si>
  <si>
    <t>2-s2.0-0028495781</t>
  </si>
  <si>
    <t>['wave resonant', 'two mechanisms', 'modelled analytically', 'mode propagates', 'mode conversion', 'localized antennae', 'experimental results', 'direct excitation', 'coupled powers', 'antenna coupling', 'also demonstrated']</t>
  </si>
  <si>
    <t>Antenna coupling to the shear Alfven wave by both direct excitation and fast-wave resonant-mode conversion is modelled analytically for a plasma with a one-dimensional linear density gradient. We demonstrate the existence of a shear Alfven mode excited directly by the antenna. For localized antennae, this mode propagates as a guided beam along the steady magnetic field lines intersecting the antenna. Shear Alfven wave excitation by resonant-mode conversion of a fast wave near the Alfven resonance layer is also demonstrated and we prove that energy is conserved in this process. We compare the efficiency of these two mechanisms of shear Alfven wave excitation and present a simple analytical formula giving the ratio of the coupled powers. Finally, we discuss the interpretation of some experimental results.</t>
  </si>
  <si>
    <t>1419-1438</t>
  </si>
  <si>
    <t>Borg, G. G.</t>
  </si>
  <si>
    <t>Canberra</t>
  </si>
  <si>
    <t>The Australian National University</t>
  </si>
  <si>
    <t>Borg G.</t>
  </si>
  <si>
    <t>Shear Alfven wave excitation by direct antenna coupling and fast-wave resonant-mode conversion</t>
  </si>
  <si>
    <t>10.1088/0741-3335/36/9/004</t>
  </si>
  <si>
    <t>2-s2.0-0028496875</t>
  </si>
  <si>
    <t>['waveguiding film', 'two branches', 'transverse electric', 'resonance frequencies', 'quality factor', 'precession angles', 'perturbation theory', 'oriented substrates', 'optical modes', 'mouton effects', 'mode coupling', 'hybridization model', 'good agreement', 'frequency range', 'experimental data', 'dynamic components', 'domain resonance', 'conversion efficiencies', 'calculated using', '8 ghz', '5 ghz']</t>
  </si>
  <si>
    <t>Magnetic garnet films of composition (Y,Bi)3(Fe,Al) 5O12 are grown by liquid phase epitaxy on [111] oriented substrates of Gd3Ga5O12. They support periodic lattices of parallel stripe domains. A simple strip antenna is used to excite the domain wall resonance and the two branches of the domain resonance in the frequency range up to 5 GHz. The resonance frequencies and the dynamic components of the magnetization are calculated using a hybridization model. Good agreement between calculated and measured resonance frequencies is obtained if the quality factor of the film is larger than 0.6. Optical modes are coupled into the waveguiding film. The excited domain resonances cause dynamic conversion of transverse electric and transverse magnetic modes by the Faraday and the Cotton-Mouton effects. Mode coupling and conversion are calculated by the perturbation theory. The dynamic conversion efficiencies are measured at the fundamental and the first harmonic frequency and at zero diffraction order as a function of the static induction applied in the film plane parallel to the stripes. Conversion efficiencies up to 18% are achieved at a frequency of 2.8 GHz. From the experimental data the precession angles are derived.</t>
  </si>
  <si>
    <t>3272-3278</t>
  </si>
  <si>
    <t>60009731;60009731;60009731;60009731</t>
  </si>
  <si>
    <t>57197511502;7004043505;6603337657;6507792047</t>
  </si>
  <si>
    <t>Winkler, H. P.;D√∂tsch, H.;L√ºhrmann, B.;Sure, S.</t>
  </si>
  <si>
    <t>Osnabruck</t>
  </si>
  <si>
    <t>Universit√§t Osnabr√ºck</t>
  </si>
  <si>
    <t>Winkler H.</t>
  </si>
  <si>
    <t>Dynamic conversion of optical modes in magnetic garnet films induced by resonances of periodic stripe domains</t>
  </si>
  <si>
    <t>10.1063/1.357448</t>
  </si>
  <si>
    <t>2-s2.0-0028514230</t>
  </si>
  <si>
    <t>['values predicted', 'species plasma', 'selectively heated', 'qualitative agreement', 'potential formation', 'plasma heating', 'mode converted', 'minority ions', 'icrf wave', 'electrons due', 'core plasma', 'central cell', 'axial confinement', 'appropriate waves', '3 kev']</t>
  </si>
  <si>
    <t>Plasma heating and potential formation by ion cyclotron range of frequencies (ICRF) waves are investigated in the HIEI tandem mirror. It is demonstrated that ions and electrons are selectively heated by the appropriate waves that have been mode converted from the fast magnetosonic wave in a two-ion-species plasma. In the central cell, the minority ions can be heated up to 0.3 keV with the presence of the mode-converted slow ion cyclotron wave. Plug cell electrons are heated by the mode-converted electrostatic slow wave resulting in the formation of an ion confining potential. The dependence of the ion confining potential on the plug electron temperature is in qualitative agreement with values predicted by the improved modified Boltzmann relation which includes velocity space diffusion of electrons due to the ICRF wave. The axial confinement of the core plasma is improved by the ICRF produced potential.</t>
  </si>
  <si>
    <t>1263-1269</t>
  </si>
  <si>
    <t>I07</t>
  </si>
  <si>
    <t>60011001;60011001;60011001;60011001</t>
  </si>
  <si>
    <t>56102798000;54975895700;7005212632;7102337549</t>
  </si>
  <si>
    <t>Yasaka, Y.;Sakai, O.;Takeno, H.;Hojo, H.</t>
  </si>
  <si>
    <t>Selective ion and electron heating and potential formation using mode conversions of ICRF waves in HIEI</t>
  </si>
  <si>
    <t>10.1088/0029-5515/34/9/I07</t>
  </si>
  <si>
    <t>2-s2.0-0028514522</t>
  </si>
  <si>
    <t>['theoretical analysis', 'obtained using', 'measurement band', 'main sources', 'experimental measurements', 'digital system', 'automatic control']</t>
  </si>
  <si>
    <t>A digital control system is probably the best technical solution to the problem of automatic control of the Virgo interferometric antenna for gravitational wave detection, provided that very critical specifications concerning residual noise introduced by the digital system in the measurement band are met. For this purpose, a model of the digital system has been developed and tested to quantify the main sources and levels of noise. Experimental measurements, obtained using a prototype of the automatic control system, and theoretical analysis of the performances of the digital control loops have demonstrated the feasibility of a digital control system.</t>
  </si>
  <si>
    <t>1187-1196</t>
  </si>
  <si>
    <t>Measurement Science and Technology</t>
  </si>
  <si>
    <t>60017293;60017293;60017293;60017293</t>
  </si>
  <si>
    <t>7101880997;7003777189;56262970900;7202429853</t>
  </si>
  <si>
    <t>Barone, F.;Di Fiore, L.;Milano, L.;Russo, G.</t>
  </si>
  <si>
    <t>A digital approach to automatic control of a long-baseline interferometric antenna for gravitational wave detection</t>
  </si>
  <si>
    <t>10.1088/0957-0233/5/10/001</t>
  </si>
  <si>
    <t>2-s2.0-0028526854</t>
  </si>
  <si>
    <t>['synthesized signal', 'ripple components', 'percent ripple', 'one order', 'linear superposition', 'hv end', 'ground end', 'generator circuit', 'first compose', 'fine adjustment', 'experiment testing', 'deviation due', 'dc high', 'cw circuit', 'compensating signal', 'circuit via']</t>
  </si>
  <si>
    <t>To get ultrahigh stability of the dc high-voltage (HV) output, we propose a novel compensation method for reducing the periodic ripple included in the output of a Cockcroft-Walton (CW) generator circuit. A compensating signal is injected into the circuit via the ground end to compensate various ripple harmonics at the HV end. Considering the nonlinearity of a CW circuit, we first compose the signal with the linear superposition of harmonics minimizing individual ripple spectral components, and then reduce the deviation due to the nonlinearity through the fine adjustment on the synthesized signal. An experiment testing the method has been carried out in an ultrahigh-voltage electron microscope, compensating the ripple components from the fundamental to the ninth higher harmonics. Ripple has been decreased by above one order of magnitude, resulting in a percent ripple of less than 1√ó10-6.</t>
  </si>
  <si>
    <t>3194-3198</t>
  </si>
  <si>
    <t>56997126100;7006802616</t>
  </si>
  <si>
    <t>Zhang, Haibo;Takaoka, Akio</t>
  </si>
  <si>
    <t>Zhang H.</t>
  </si>
  <si>
    <t>Efficient compensation method for reducing ripple of Cockcroft-Walton generator in an ultrahigh-voltage electron microscope</t>
  </si>
  <si>
    <t>10.1063/1.1144549</t>
  </si>
  <si>
    <t>2-s2.0-0028529298</t>
  </si>
  <si>
    <t>['wave discharge', 'simple single', 'plasma resonator', 'inversely proportional', 'fields excited', 'field amplitudes', 'antenna resistance']</t>
  </si>
  <si>
    <t>The concept of the 'resonance' wave discharge is introduced to explain the high absorption efficiency of inductively coupled helicon plasma source. This discharge is supported by long-scale weakly damped eigenmodes excited in plasma resonator. The RF power absorbed in it is inversely proportional to electron collision frequency. The fields excited by simple single-loop inner antenna and its impedance are calculated in a cylindrical metal resonator. At low collision frequencies the field amplitudes and antenna resistance are shown to peak sharply near the helicon dispersion branches.</t>
  </si>
  <si>
    <t>1719-1735</t>
  </si>
  <si>
    <t>60005722;60005722</t>
  </si>
  <si>
    <t>6701557700;6701490821</t>
  </si>
  <si>
    <t>Shamrai, K. P.;Taranov, V. B.</t>
  </si>
  <si>
    <t>Shamrai K.</t>
  </si>
  <si>
    <t>Resonance wave discharge and collisional energy absorption in helicon plasma source</t>
  </si>
  <si>
    <t>10.1088/0741-3335/36/11/002</t>
  </si>
  <si>
    <t>2-s2.0-0028549759</t>
  </si>
  <si>
    <t>['radiating cables', 'propagation conditions', 'paper presents', 'mobile radio', 'great britain', 'channel tunnel']</t>
  </si>
  <si>
    <t>The paper presents an introduction to radiating mode cables and their real scale application in the Channel Tunnel between Great Britain and France. The example of applications such as transmission inside trains show that transmission by mobile radio in any area, whatever the propagation conditions, can be achieved by the use of radiating cables.</t>
  </si>
  <si>
    <t>66-73</t>
  </si>
  <si>
    <t>1 st Quar</t>
  </si>
  <si>
    <t>Electrical Communication</t>
  </si>
  <si>
    <t>Levisse, A.</t>
  </si>
  <si>
    <t>Compagnie Generale de</t>
  </si>
  <si>
    <t>Levisse A.</t>
  </si>
  <si>
    <t>Radiating cables - Channel tunnel applications</t>
  </si>
  <si>
    <t>2-s2.0-0028555456</t>
  </si>
  <si>
    <t>['wideband measurements', 'various methods', 'small cells', 'results regarding', 'potential gain', 'polarization conditions', 'multipath propagation', 'measurement technique', 'implementing diversity', 'dect system', 'considering also', 'carrier frequency']</t>
  </si>
  <si>
    <t>This article presents research results of radio wave propagation in relation to present and future mobile communication systems. The introduction briefly gives an overview of the relevant signal parameters, considering also the temporal dispersion caused by multipath propagation. Demands in the measurement technique for both narrowband and wideband measurements are discussed, and results regarding the dependency of carrier frequency and polarization conditions are shown. Various methods for calculating the propagation path loss are described in details, and comparisons with measurements are shown. The performance of different antenna configurations to be utilized in small cells is given, as well as commenting on the potential gain by implementing diversity in the GSM and the DECT system.</t>
  </si>
  <si>
    <t>41-54</t>
  </si>
  <si>
    <t>Teleteknik English ed.</t>
  </si>
  <si>
    <t>60022134;60022134;60022134</t>
  </si>
  <si>
    <t>7403571081;7006236794;35584209600</t>
  </si>
  <si>
    <t>Andersen, J. Bach;Eggers, P.;Mogensen, P. E.</t>
  </si>
  <si>
    <t>Aalborg</t>
  </si>
  <si>
    <t>Aalborg University</t>
  </si>
  <si>
    <t>Andersen J.</t>
  </si>
  <si>
    <t>Radio wave propagation and mobile communications</t>
  </si>
  <si>
    <t>2-s2.0-0028571382</t>
  </si>
  <si>
    <t>['rural type', 'rural areas', 'providing coverage', 'paper describes', 'minimum number', 'large areas', 'current generation', 'cellular radiofrequency', 'cell sites']</t>
  </si>
  <si>
    <t>The paper describes a cellular telephone system specifically designed to meet the stringent reliability requirements for application in rural areas with low population densities. The current generation of cellular radiofrequency (RF) equipment for rural areas allows coverage of large areas with a minimum number of cell sites, thereby, lowering the cost of providing coverage in these areas. In addition, the relatively low cost of the rural type of cellular equipment makes it very suitable for use in countries that do not at present have full telephone systems in place.</t>
  </si>
  <si>
    <t>78-83</t>
  </si>
  <si>
    <t>100590703;100590703</t>
  </si>
  <si>
    <t>57225372587;7101992745</t>
  </si>
  <si>
    <t>Larkin, R.;Testa, M.</t>
  </si>
  <si>
    <t>Corvallis</t>
  </si>
  <si>
    <t>Celwave RF</t>
  </si>
  <si>
    <t>Larkin R.</t>
  </si>
  <si>
    <t>Cellular telephone systems for rural areas</t>
  </si>
  <si>
    <t>2-s2.0-0028574980</t>
  </si>
  <si>
    <t>['two types', 'traditional manner', 'single peg', 'pos included', 'pos ).', 'pit sensillum', 'pit sensilla', 'organ clarified', 'organ ).', 'one type', 'megaselia halterata', 'lower half', 'lanceolate peg', 'internal structure', 'female johnston', 'cuticular surface', 'bulbous peg', 'also specimens', 'also found']</t>
  </si>
  <si>
    <t>antennae | Diptera | Megaselia halterata | palps | Paraplast | Phoridae | scanning electron microscopy | sectioning</t>
  </si>
  <si>
    <t>The antennae, palps, and mouth parts sheath of Megaselia halterata (Wood) (Diptera, Phoridae) were examined by scanning electron microscopy to locate putative olfactory sensilla (POS). Most POS were found on the third antennal segment (Johnston's organ). These POS included a lanceolate peg, a bulbous peg, and two types of pit sensilla. Female flies could be distinguished from males by the predominance of the lanceolate peg on the female Johnston's organ. One type of pit sensillum with a single exterior opening was located below the cuticular surface and housed several pegs. The other type of pit sensillum was domed with a single exterior opening, housed a single peg, and the lower half of this sensillum was embedded into the wall of the Johnston's organ. This type of pit sensillum was also found on the sixth antennal segment of both sexes. A bulbous peg was found on the palps of both sexes. No POS were found on the mouth parts sheath. Specimens were prepared in the traditional manner for scanning electron microscopy examination. Also specimens were embedded in Paraplast and sections of the Johnston's organ clarified the internal structure and distribution of the pit sensilla on this organ.</t>
  </si>
  <si>
    <t>687-694</t>
  </si>
  <si>
    <t>Scanning Microscopy</t>
  </si>
  <si>
    <t>60000635;60000635;60000635;60000635;60000635;60000635</t>
  </si>
  <si>
    <t>6701714151;7201782551;7006962761;57198182349;36850147400;57225281404</t>
  </si>
  <si>
    <t>Pfeil, R. M.;Walsh, R. A.;Mumma, R. O.;Kokko, E.;Wcislo, W. T.;Ruffolo, J. J.</t>
  </si>
  <si>
    <t>Beltsville</t>
  </si>
  <si>
    <t>USDA ARS Beltsville Agricultural Research Center</t>
  </si>
  <si>
    <t>Pfeil R.M.</t>
  </si>
  <si>
    <t>Scanning electron microscopic examination of the putative olfactory structures possessed by the phorid fly, Megaselia halterata (Diptera, Phoridae)</t>
  </si>
  <si>
    <t>2-s2.0-0028630623</t>
  </si>
  <si>
    <t>['three odorants', 'test changes', 'summation model', 'study tries', 'response curves', 'quantitative importance', 'normal flies', 'maxillary palps', 'high concentrations', 'factor 1', 'ethyl acetate', 'drosophila melanogaster', 'complementary experiment', 'comparing olfaction', 'brain either']</t>
  </si>
  <si>
    <t>Antenna | Drosophila | Maxillary palp | Olfaction | Olfactory behavior</t>
  </si>
  <si>
    <t>Maxillary palps have been proposed as secondary olfactory organs, after the antennae, in Drosophila melanogaster. Our study tries to establish the quantitative importance of both organs as olfactory information mediators. Dose-response curves for three odorants: ethyl acetate, propionaldehyde and benzaldehyde were carried out for comparing olfaction in either complete animals or flies surgically deprived of antennae. Antennaless flies tested in our behavioral assay showed indifferent, attractant and repellent responses depending on concentration, similarly as normal flies do. However, they clearly displayed less sensitivity than normal flies. The range of concentrations they were able to perceive was correlated to antennal sensitivity approximately by a factor 1:10 for ethyl acetate and benzaldehyde, and between 1:10 and 1:100 at high concentrations of propionaldehyde. A complementary experiment was performed to test changes in olfactory behavior produced by removing maxillary palps in the presence of antennae. At high concentrations of odorant, responses to ethyl acetate and propionaldehyde experienced small changes when both palps were removed. Results are compatible with a summation model of all olfactory information reaching the brain either through antennae or palps. ¬© 1994 Springer-Verlag.</t>
  </si>
  <si>
    <t>761-766</t>
  </si>
  <si>
    <t>60004623;60004623</t>
  </si>
  <si>
    <t>6507441476;6602075982</t>
  </si>
  <si>
    <t>Charro, M. J.;Alcorta, E.</t>
  </si>
  <si>
    <t>Oviedo</t>
  </si>
  <si>
    <t>Facultad de Medicina y Ciencias de la Salud</t>
  </si>
  <si>
    <t>Charro M.J.</t>
  </si>
  <si>
    <t>Quantifying relative importance of maxillary palp information on the olfactory behavior of Drosophila melanogaster</t>
  </si>
  <si>
    <t>10.1007/BF00191847</t>
  </si>
  <si>
    <t>2-s2.0-0028639916</t>
  </si>
  <si>
    <t>['va .,', 'plateau reigned', 'field welding', 'extensive amount', 'easy one', 'completely weld']</t>
  </si>
  <si>
    <t>Nestled on a plateau reigned by mountains, is the National Radio Astronomy Observatory, near Green Bank W.Va., where the world's largest radio telescope is being built. All the joints in this telescope are welded. The decision to completely weld all joints of the telescope was not an easy one to make. The telescope's tipping structure alone consists of more than 11,000 individual members. The extensive amount of field welding to be done in the Green Bank environment posed many problems.</t>
  </si>
  <si>
    <t>Welding Journal (Miami, Fla)</t>
  </si>
  <si>
    <t>Giant ear catches radio waves</t>
  </si>
  <si>
    <t>2-s2.0-0028672166</t>
  </si>
  <si>
    <t>['results obtained', 'orbit testing', 'needed basis', 'main beam', 'fringe areas']</t>
  </si>
  <si>
    <t>The general measurement methods used, and results obtained, during RF in-orbit testing of the INTELSAT-K satellite communications payload (antennas and transponders) and telemetry, command, and ranging (TC&amp;R) subsystems are described. All repeater, antenna, and TC&amp;R subsystems performed within specifications. Additional antenna tests conducted to measure the contours of the Europe beam within the fringe areas of the main beam are discussed, and INTELSAT's operational support provisions to ensure proper beam connectivity changes on an as-needed basis, as requested by some customers, are explained.</t>
  </si>
  <si>
    <t>65-78</t>
  </si>
  <si>
    <t>COMSAT Technical Review</t>
  </si>
  <si>
    <t>Teixeira, B.</t>
  </si>
  <si>
    <t>Teixeira B.</t>
  </si>
  <si>
    <t>INTELSAT-K transponder in-orbit tests and operational considerations</t>
  </si>
  <si>
    <t>2-s2.0-0028679890</t>
  </si>
  <si>
    <t>['transponder channelization', 'study results', 'spacecraft antennas', 'sng site', 'sng add', 'satellite newsgathering', 'satellite link', 'rain impairment', 'packages );', 'individual basis', 'growing rapidly', 'division multiple', 'coordination channel', 'considerations related', 'channelized transponders', 'architecture consisting', 'access mode']</t>
  </si>
  <si>
    <t>The demand for satellite newsgathering (SNG) services - where mobile units using small antennas transmit programming material to a broadcast center via satellite - is growing rapidly. A study was conducted to examine satellite system architectures appropriate for this type of service. Topics addressed include the modulation and multiple-access transmission format; selection of the uplink frequency band for the SNG-to-satellite link; spacecraft implementation issues such as transponder channelization and antennas (with emphasis on add-on packages); and the provision of an auxiliary or coordination channel in the direction of the broadcast-center-to-SNG site. Other issues presented include rain impairment and uplink margin requirements for the SNG-to-satellite link operating at both Ku- and Ka-band, a comparison between channelized transponders implemented with surface acoustic wave filters and those with onboard digital processors, and considerations related to the placement of spacecraft antennas on an SNG add-on package. Based on the study results, an architecture consisting of digitally compressed video carders operating in a frequency-division multiple-access mode, in combination with channelized transponders that apply automatic gain control to carriers on an individual basis, was recommended. This architecture maximizes uplink margins against rain impairment.</t>
  </si>
  <si>
    <t>95-143</t>
  </si>
  <si>
    <t>6601953916;6507601051;7007014212;6506665983;7201789536;7404473232</t>
  </si>
  <si>
    <t>Sandrin, W. A.;Abdel-Nabi, T.;Ames, S. A.;Haschart, D. V.;Price, K. M.;Rao, A. K.</t>
  </si>
  <si>
    <t>Sandrin W.A.</t>
  </si>
  <si>
    <t>System architectures for satellite newsgathering</t>
  </si>
  <si>
    <t>2-s2.0-0028679899</t>
  </si>
  <si>
    <t>['used systematically', 'simplicity make', 'rcs computations', 'processor sp1', 'principal difficulty', 'parallelized algorithms', 'new family', 'method applicable', 'many fields', 'key point', 'electromagnetic compatibility', 'current field', 'absorbing conditions', '350 mflops']</t>
  </si>
  <si>
    <t>Electromagnetic modelling using the finite difference time domain method. The principal difficulty with the `Finite Difference Time Domain' method of simulating electromagnetic problems is taking the freestream boundary conditions into account. This key point has been studied in detail and our work has resulted in the creation of a new family of absorbing conditions, called the `Mercier-Joly' conditions. Its strength and simplicity make this method applicable in many fields: electromagnetic compatibility, RCS computations, diffraction grating characterization, and antenna pattern computations, not to mention its current field of application in complex structures extending over several dozen wavelengths. Parallelized algorithms have been used systematically to meet major computing requirements: in 1993 the AS-THETIS soltware runs at 350 Mflops on a 16-processor SP1.</t>
  </si>
  <si>
    <t>301-317</t>
  </si>
  <si>
    <t>Recherche aerospatiale</t>
  </si>
  <si>
    <t>Duceau, Eric</t>
  </si>
  <si>
    <t>Suresnes</t>
  </si>
  <si>
    <t>Centre Commun de Recherches</t>
  </si>
  <si>
    <t>Duceau E.</t>
  </si>
  <si>
    <t>Electromagnetic modelling using the finite difference time domain method</t>
  </si>
  <si>
    <t>2-s2.0-0028697115</t>
  </si>
  <si>
    <t>['unknown currents', 'theoretical findings', 'testing modes', 'swr bandwidth', 'spectral domain', 'offset dual', 'metal patches', 'input impedance', 'galerkin procedure', 'experimental results']</t>
  </si>
  <si>
    <t>An analysis of the offset dual-patch microstrip antenna is described. Input impedance, SWR bandwidth and far-field radiation patterns are investigated. Rigorous Green functions of the complex multilayer structure are derived in the spectral domain. A moment method together with a Galerkin procedure are employed to solve for the unknown currents on the patches. Piecewise sinusoidal functions are selected as expansion and testing modes. It is found that SWR bandwidth varies significantly with sizes and locations of the metal patches. Experimental results are obtained to verify the theoretical findings.</t>
  </si>
  <si>
    <t>7006646156;7102473419;55510527400</t>
  </si>
  <si>
    <t>Au, T. M.;Tong, K. F.;Luk, K. M.</t>
  </si>
  <si>
    <t>Au T.</t>
  </si>
  <si>
    <t>Analysis of offset dual-patch microstrip antenna</t>
  </si>
  <si>
    <t>10.1049/ip-map:19941545</t>
  </si>
  <si>
    <t>2-s2.0-0028697947</t>
  </si>
  <si>
    <t>['weak formulation', 'easily applied', 'differential operators', 'differential equations', 'available results']</t>
  </si>
  <si>
    <t>The weak formulation of the generalized Galerkin approach to the finite element method for integral and integro-differential operators is described. It is shown that such an approach provides advantages over the usual variational approach because it can be easily applied to integral and integro-differential equations with non - self adjoint operators. The obtained numerical results are compared with other available results.</t>
  </si>
  <si>
    <t>International Journal for Engineering Modelling</t>
  </si>
  <si>
    <t>60006948;60006948</t>
  </si>
  <si>
    <t>7004103789;6602731544</t>
  </si>
  <si>
    <t>Poljak, Dragan;Roje, Vesna</t>
  </si>
  <si>
    <t>Croatia</t>
  </si>
  <si>
    <t>Split</t>
  </si>
  <si>
    <t>Sveuƒçili≈°te u Splitu</t>
  </si>
  <si>
    <t>Poljak D.</t>
  </si>
  <si>
    <t>Weak finite element formulation for Pocklington's integro-differential equation</t>
  </si>
  <si>
    <t>2-s2.0-0028698208</t>
  </si>
  <si>
    <t>['special capabilities', 'rf downconverters', 'radio telescope', 'custom spectrum', 'article reports', 'analysis boards']</t>
  </si>
  <si>
    <t>In an effort to locate extraterrestrial civilizations, a specialized radio telescope is being developed that comprise of an 84-ft dish antenna, amplifiers, RF downconverters and mixers, custom spectrum-analysis boards and a bank of 21 embedded PCs for processing spectral data to recognize potential ET sources. This article reports on the design and special capabilities of this radio telescope.</t>
  </si>
  <si>
    <t>53-55</t>
  </si>
  <si>
    <t>Personal Engineering and Instrumentation News</t>
  </si>
  <si>
    <t>Embedded PCs scan RF data for extraterrestial trail</t>
  </si>
  <si>
    <t>2-s2.0-0028699372</t>
  </si>
  <si>
    <t>['wave functions', 'transverse magnetic', 'transverse electric', 'provide references', 'paper presents', 'numerical results', 'isotropic media', 'future computations', 'formally similar', 'coating thickness', 'aperture conductance', 'anisotropic media', 'anisotropic material', 'analytical solution']</t>
  </si>
  <si>
    <t>This paper presents an analytical solution of an axial slot antenna on a conducting circular cylinder coated with an anisotropic material in terms of the series of wave functions for anisotropic media. This solution is formally similar to the solution of an axial slot antenna on a conducting elliptic cylinder with an isotropic dielectric coating. In the anisotropic dielectric coating, and in the exterior free space region, the fields are expanded by the wave functions in anisotropic media and the well known wave functions in isotropic media, respectively. Numerical results for the far-field radiation patterns and the aperture conductance against coating thickness for different anisotropic media are presented for the transverse electric (TE) and transverse magnetic (TM) polarizations. Numerical results for the gyrotropic type media are used to check our calculations, and those for general anisotropic media are presented to provide references for future computations by using other methods, respectively.</t>
  </si>
  <si>
    <t>527-530</t>
  </si>
  <si>
    <t>122601591;122601591</t>
  </si>
  <si>
    <t>56129319400;35269941100</t>
  </si>
  <si>
    <t>Wu, X. B.;Ren, W.</t>
  </si>
  <si>
    <t>China Research Inst of Radiowave</t>
  </si>
  <si>
    <t>Axial slot antenna on an anisotropic dielectric-coated circular cylinder</t>
  </si>
  <si>
    <t>10.1049/ip-map:19941417</t>
  </si>
  <si>
    <t>2-s2.0-0028699518</t>
  </si>
  <si>
    <t>['two approaches', 'theoretical prediction', 'presented using', 'field integration', 'crosspolarization levels', 'antenna performance']</t>
  </si>
  <si>
    <t>An analysis of the offset Fresnel lens antenna is presented using the vectorial Kirchhoff diffraction theory. Equations for predicting the copolarized and crosspolarized radiation patterns are given. Two approaches to evaluating the far-field integration are introduced. Antenna performance such as the sidelobe and the crosspolarization levels is investigated. An experimental offset Fresnel lens is reported. Measured results agree well with the theoretical prediction.</t>
  </si>
  <si>
    <t>517-522</t>
  </si>
  <si>
    <t>Offset Fresnel lens antenna</t>
  </si>
  <si>
    <t>10.1049/ip-map:19941310</t>
  </si>
  <si>
    <t>2-s2.0-0028714336</t>
  </si>
  <si>
    <t>['technical decisions', 'signal distribution', 'several thousands', 'phase distribution', 'paa aperture', 'paa ).', 'optical systems', 'fiber channels', 'discussed allowing']</t>
  </si>
  <si>
    <t>Review article describes main design conceptions of fiber-optical systems for signal distribution in modules of phased array antenna (PAA). Technical decisions are discussed allowing to increase the number of fiber channels up to several thousands, including the ones by use of Erbium doped fiber amplifiers. Optical control systems are described for amplitude and phase distribution in PAA aperture and phase stabilization methods and systems are discussed.</t>
  </si>
  <si>
    <t>33-64</t>
  </si>
  <si>
    <t>Modelling, Measurement and Control A</t>
  </si>
  <si>
    <t>60069256;60069256</t>
  </si>
  <si>
    <t>7004473149;6503873600</t>
  </si>
  <si>
    <t>Bratchikov, Alexander N.;Ioannesiants, Michael R.</t>
  </si>
  <si>
    <t>Moscow Aviation Institute (National Research University)</t>
  </si>
  <si>
    <t>Bratchikov A.</t>
  </si>
  <si>
    <t>Fiber-optic technology for signal transmission and distribution in phased array antennas</t>
  </si>
  <si>
    <t>2-s2.0-0028725904</t>
  </si>
  <si>
    <t>['whose performance', 'theoretical study', 'theoretical predictions', 'suitably tapered', 'spot beams', 'spacecraft applications', 'small dominant', 'single feed', 'required within', 'reflector shape', 'previously described', 'paper describes', 'new type', 'mesh reflector', 'made using', 'individual elements', 'experimental results', 'excellent agreement', 'element array', 'coverage region', '10 ghz']</t>
  </si>
  <si>
    <t>The paper describes a new type of reconfigurable reflector antenna for spacecraft applications, in which both the reflector shape and the excitation of a small array feed combine to offer maximum coverage flexibility. To create a reconfigurable continental coverage, the array is excited to produce a suitably tapered, circularly symmetric pattern, and the shape of the mesh reflector adjusted to yield the appropriate secondary radiation pattern. When spot beams are required within the coverage region, the mesh reflector is configured as a paraboloid, and individual elements or local clusters excited within the array. The results of a theoretical study are described which involve a representative 50 Œª reflector. The comparison between experiment and theory is made using a prototype mesh reflector, whose performance with a single feed has been previously described, and whose centre operating frequency is 10 GHz. The antenna is fed from a 19-element array of small dominant-mode conical horns. Generally, excellent agreement between theoretical predictions and experimental results is obtained.</t>
  </si>
  <si>
    <t>531-535</t>
  </si>
  <si>
    <t>Clarricoats P.</t>
  </si>
  <si>
    <t>Array-fed reconfigurable reflector for spacecraft applications</t>
  </si>
  <si>
    <t>10.1049/ip-map:19941530</t>
  </si>
  <si>
    <t>2-s2.0-0028727349</t>
  </si>
  <si>
    <t>['slot offset', 'resonant resistance', 'resonant length', 'radiating slot', 'practical case', 'neighbouring regions', 'moment method', 'measured results', 'magnetic fields', 'lower surfaces', 'located entirely', 'feedline structure', 'excited cavity', 'convergence properties', 'computed results', 'computational efficiency', 'analyzed using', 'analytical model', 'analysis solves']</t>
  </si>
  <si>
    <t>A stripline-excited cavity-backed transverse slot radiator is analyzed using a moment method. The analysis solves a pair of simultaneous integral equations that describe the magnetic fields in the vicinity of the slot, in terms of the tangential electric fields of the upper and lower surfaces of the slot, and the Green's functions for the neighbouring regions. A comprehensive dyadic Green's function is developed to model the feedline structure for the practical case where the central conducting strip is located entirely under the radiating slot. Computed results for resonant length and resonant resistance are analyzed and compared with measured results, while the computational efficiency of the analytical model is established by investigating its convergence properties. An examination of scattering as a function of the parameters, slot offset and strip impedance shows how the efficiency of the coupling between the feedline and the radiating slot can be optimized.</t>
  </si>
  <si>
    <t>509-516</t>
  </si>
  <si>
    <t>60019656;60019656</t>
  </si>
  <si>
    <t>7007049394;57214269260</t>
  </si>
  <si>
    <t>Sangster, A. J.;Smith, P.</t>
  </si>
  <si>
    <t>Optimization of radiation efficiency for a transverse ground-plane slot in boxed-stripline</t>
  </si>
  <si>
    <t>10.1049/ip-map:19941404</t>
  </si>
  <si>
    <t>2-s2.0-0028727981</t>
  </si>
  <si>
    <t>['tracking performance', 'system concept', 'required carrier', 'noise ratio', 'measured results', 'flat antenna', 'digital terminals', 'design concept', 'best use', 'also presented']</t>
  </si>
  <si>
    <t>Error correction techniques can be used to reduce the required carrier to noise ratio in digital satellite news gathering systems. A Ku-band portable SNG RF terminal using a flat antenna is proposed to make the best use of these digital terminals. It is portable and has an electronic tracking capability. The system concept and the design concept is discussed in this paper. Also presented is the tracking performance of a feedback system using four subarrays with comparisons between theoretical and measured results.</t>
  </si>
  <si>
    <t>1501-1510</t>
  </si>
  <si>
    <t>7402736806;7006511710;55461669400;55730303000;7401688376;55465678000;7005418157</t>
  </si>
  <si>
    <t>Murata, Takao;Mitsumoto, Hideo;Fujita, Masaru;Tanaka, Shoji;Takano, Kouichi;Imai, Kazuo;Toyama, Noboru</t>
  </si>
  <si>
    <t>Portable digital satellite news gathering (SNG) RF terminal using a flat antenna</t>
  </si>
  <si>
    <t>2-s2.0-0028729013</t>
  </si>
  <si>
    <t>['phase shifters', 'key components', 'instrumentation systems', 'conductive losses', 'coaxial configurations', 'array antennas', 'applications ranging']</t>
  </si>
  <si>
    <t>Phase shifters are key components in applications ranging from instrumentation systems to phased-array antennas. By using the proper design techniques, dielectric and conductive losses can be minimized in high-temperature-superconductor (HTS) ferroelectric phase shifters employing microstrip, MMIC, waveguide, and coaxial configurations.</t>
  </si>
  <si>
    <t>Das, Satyen</t>
  </si>
  <si>
    <t>Das S.</t>
  </si>
  <si>
    <t>HTS ferroelectrics form high-power phase shifters</t>
  </si>
  <si>
    <t>2-s2.0-0028730249</t>
  </si>
  <si>
    <t>['turn controls', 'traveling waveguide', 'theoretical predictions', 'simple experiment', 'opposite side', 'one side', 'ground plane', 'ferroelectric materials', 'ferroelectric material', 'dielectric properties']</t>
  </si>
  <si>
    <t>In this paper an electronically steerable antenna using a tunable ferroelectric material is proposed. Ferroelectric materials such as barium strontium titanate have been used as a traveling waveguide with a ground plane on one side and a metallic periodic grating on the opposite side. The dielectric properties of the ferroelectric material are changed by a bias voltage applied to the waveguide which in turn controls the leaky wave direction of the antenna. Results from a simple experiment are presented which show good agreement with theoretical predictions.</t>
  </si>
  <si>
    <t>470-475</t>
  </si>
  <si>
    <t>Smart Materials and Structures</t>
  </si>
  <si>
    <t>60001439;60001439;60001439;60001439</t>
  </si>
  <si>
    <t>36039583900;7202350150;7005956560;56427039000</t>
  </si>
  <si>
    <t>Varadan, V. K.;Varadan, V. V.;Jose, K. A.;Kelly, J. F.</t>
  </si>
  <si>
    <t>Electronically steerable leaky wave antenna using a tunable ferroelectric material</t>
  </si>
  <si>
    <t>10.1088/0964-1726/3/4/009</t>
  </si>
  <si>
    <t>2-s2.0-0028731324</t>
  </si>
  <si>
    <t>['semitropical regions', 'recent refinements', 'rainy regions', 'paper presents', 'many tropical', 'home ku', 'digital technology', 'ccir modeling', 'band broadcasting', 'band appeared']</t>
  </si>
  <si>
    <t>The effect of rain on Ku-band satellite broadcasting of analog video signals has discouraged the use of Ku-band in many tropical and semitropical regions of the world. The promise of small home antennas at Ku-band appeared to be denied in these regions. However, today's new digital technologies, and recent refinements in CCIR modeling of Ku-band degradation due to rain, have changed that situation. This paper presents a top level review of how digital technology and rain modeling changes have improved the viability of direct-to-home Ku-band broadcasting in rainy regions.</t>
  </si>
  <si>
    <t>Space Communications</t>
  </si>
  <si>
    <t>60030821;60030821</t>
  </si>
  <si>
    <t>6602232356;7005832782</t>
  </si>
  <si>
    <t>Durling, G. W.;Cuevas, Carlos</t>
  </si>
  <si>
    <t>Boeing Corporation</t>
  </si>
  <si>
    <t>Durling G.</t>
  </si>
  <si>
    <t>Lower power Ku-band direct to home video broadcasting in rainy regions</t>
  </si>
  <si>
    <t>2-s2.0-0028737482</t>
  </si>
  <si>
    <t>['short time', 'remarkable miniaturization', 'extensive standardization', 'electronic functions', 'complex design']</t>
  </si>
  <si>
    <t>The technical and technological progress already achieved or expected in a short time are revolutionizing communication satellite payloads. They will lead to a remarkable miniaturization that will allow for more complex design, more flexible, and more easily reconfigurable systems. This miniaturization also presents the benefit of being compatible with the extensive standardization of electronic functions of various equipment designs.</t>
  </si>
  <si>
    <t>371-376</t>
  </si>
  <si>
    <t>4 th Quarter</t>
  </si>
  <si>
    <t>60019894;60019894</t>
  </si>
  <si>
    <t>6506701130;35546726400</t>
  </si>
  <si>
    <t>Floury, G.;Cazaux, J. L.</t>
  </si>
  <si>
    <t>Toulouse</t>
  </si>
  <si>
    <t>Thales Alenia Space</t>
  </si>
  <si>
    <t>Floury G.</t>
  </si>
  <si>
    <t>Benefits of new technologies in satellite transponders</t>
  </si>
  <si>
    <t>2-s2.0-0028738196</t>
  </si>
  <si>
    <t>['wide range', 'significant demand', 'likely occur', 'effective lan', 'catalyst project', 'atm links', 'also expected']</t>
  </si>
  <si>
    <t>The development of the Integrated Broadband Communications (IBC) Network is expected to stimulate the emergence of a significant demand for cost-effective LAN/MAN interconnection services. Connections between other private and public broadband islands are also expected to add to this demand. Hence, in this period, a shortage of broadband terrestrial connections will most likely occur. However, today's satellite systems possess features which make them attractive for meeting future broadband demand. To demonstrate this, the CATALYST project which has developed an experimental broadband satellite system based on ATM links to show the interconnection of a wide range of different network technologies is described.</t>
  </si>
  <si>
    <t>290-296</t>
  </si>
  <si>
    <t>3 rd Quarter</t>
  </si>
  <si>
    <t>6506304960;6506504392</t>
  </si>
  <si>
    <t>Louvet, B.;Chellingsworth, S.</t>
  </si>
  <si>
    <t>Louvet B.</t>
  </si>
  <si>
    <t>Satellite integration into broadband networks</t>
  </si>
  <si>
    <t>2-s2.0-0028738252</t>
  </si>
  <si>
    <t>['wire generators', 'wire antennas', 'wire antenna', 'paying attention', 'directly applicable', 'design consideration', 'article demonstrates', 'active arrays']</t>
  </si>
  <si>
    <t>This article demonstrates the importance of the L/D radio in determining the bandwidth of wire generators. Similar considerations apply to other wire antennas such as dipoles, parasitic arrays like yagis, or active arrays. Although the monopole design rules are not directly applicable, paying attention to L/D should be a design consideration for any wire antenna, because selecting the right value may result in significantly improved bandwidth.</t>
  </si>
  <si>
    <t>1026-1028</t>
  </si>
  <si>
    <t>Formato, Richard</t>
  </si>
  <si>
    <t>Formato R.</t>
  </si>
  <si>
    <t>Maximising monopole bandwidth</t>
  </si>
  <si>
    <t>2-s2.0-0028740532</t>
  </si>
  <si>
    <t>['skilled staff', 'rf signal', 'power levels', 'outside far', 'measure amplitude', 'field measurements', 'characterize antennas', 'based upon', 'antenna measurements', 'anechoic chamber']</t>
  </si>
  <si>
    <t>Antenna measurements are generally expensive since it requires high performance test equipment, a skilled staff, and an anechoic chamber or an outside far-field test range. A new antenna analyzer, based upon the RF marking principle, is available to characterize antennas or test antenna signatures in a production line setup, or for field measurements. The ESTAR 2110 antenna analyzer can measure amplitude and phase of the RF signal with power levels as low as -120dBm.</t>
  </si>
  <si>
    <t>Microwave Journal</t>
  </si>
  <si>
    <t>Antenna analyzer based on the RF marking principle</t>
  </si>
  <si>
    <t>2-s2.0-0028741435</t>
  </si>
  <si>
    <t>['vsat system', 'two types', 'studied experimentally', 'national institute', 'n networks', 'multimedia education', 'comparison experiment']</t>
  </si>
  <si>
    <t>A VSAT system is effective for the educational exchange network. Through two types of experiments, the educational exchange network was studied experimentally by several institutes including the National Institute of Multimedia Education, the Communications Research Laboratory, etc. More than 25 Satellite Workshops (SAWS) were conducted, indicating the importance of N:N networks. A comparison experiment of compressed/wideband pictures suggests the possibility of an effective communication system in the field of education.</t>
  </si>
  <si>
    <t>249-254</t>
  </si>
  <si>
    <t>60016613;60016613;60016613;60016613;60016613;60016613;60016613</t>
  </si>
  <si>
    <t>55209469800;7402805964;56059817100;55502338200;56645898900;36856061000;7003470398</t>
  </si>
  <si>
    <t>Kondo, Kimio;Suzuki, Ryutaro;Hamamoto, Naokazu;Tanaka, Masatomo;Nemoto, Yoshiaki;Ogawa, Mina;Uto, Yumiko</t>
  </si>
  <si>
    <t>National Institute of Multimedia Education</t>
  </si>
  <si>
    <t>Kondo K.</t>
  </si>
  <si>
    <t>Experimental study of the VSAT educational exchange network</t>
  </si>
  <si>
    <t>2-s2.0-0028747442</t>
  </si>
  <si>
    <t>['specifically designed', 'simple operation', 'products developed', 'possible interruptions', 'optimized maintenance', 'mechanical stresses', 'high quality', 'electronic warfare', 'comprehensive range', 'alcatel presents', 'afh 990', 'afh 701', 'afh 450']</t>
  </si>
  <si>
    <t>Alcatel presents a comprehensive range of products developed to answer all military microwave radio requirements. The new-generation products includes the AFH 701, AFH 450 M and AFH 990. This equipment, which complies to valid military standards, is specifically designed to yield a high quality of transmission in the face of possible interruptions, to withstand severe weather, mechanical stresses and electronic warfare, and for efficient, simple operation and optimized maintenance.</t>
  </si>
  <si>
    <t>100477807;100477807</t>
  </si>
  <si>
    <t>7006079631;6701689359</t>
  </si>
  <si>
    <t>Darmon, M.;Le Roux, E.</t>
  </si>
  <si>
    <t>Nanterre</t>
  </si>
  <si>
    <t>Alcatel Radio Transmission Systems</t>
  </si>
  <si>
    <t>Darmon M.</t>
  </si>
  <si>
    <t>New generation of terrestrial and satellite microwave communication products for military networks</t>
  </si>
  <si>
    <t>2-s2.0-0028748610</t>
  </si>
  <si>
    <t>['unfamiliar frequencies', 'underground interviews', 'underground communication', 'several instances', 'problems resulting', 'mining industry', 'lower depths', 'great importance', 'conventional radio', 'appropriate idea']</t>
  </si>
  <si>
    <t>The success of Workman's underground interviews in several instances have paved the way for the development of underground communication which is of great importance to the mining industry. With the use of telephones which are considered more promising than conventional radio, underground communications became more possible at lower depths. But because of the problems resulting from the use of cables, researchers have come up with the most appropriate idea- to improve radio communications by improving the frequencies of radios. As such designers were required to work at unfamiliar frequencies in order to maximise the magnetic moment moment of the loop while minimizing its weight and dimensions as well as designing the radio to withstand harsh environmental conditions.</t>
  </si>
  <si>
    <t>982-987</t>
  </si>
  <si>
    <t>Bedford, Mike</t>
  </si>
  <si>
    <t>Bedford M.</t>
  </si>
  <si>
    <t>Going underground</t>
  </si>
  <si>
    <t>2-s2.0-0028750893</t>
  </si>
  <si>
    <t>['modern microwave', 'important role', 'high gain', 'broad bandwidth', 'approach results', 'antenna patches', 'active circuits']</t>
  </si>
  <si>
    <t>Active microstrip antennas play an important role in modern microwave and millimeter-wave communications systems. A novel design approach employs semi-balanced amplifier configurations as the active circuits, which are designed to match the impedance of the antenna patches. This approach results in high gain, broad bandwidth (in terms of gain or polarization purity), and good input VSWR.</t>
  </si>
  <si>
    <t>60009507;60009507;60009507;60009507</t>
  </si>
  <si>
    <t>54679304800;7005721326;7005545716;7003998197</t>
  </si>
  <si>
    <t>An, Hongming;Nauwelaers, Bart K.J.C.;Vandenbosch, Guy A.E.;Van De Capelle, Antoine R.</t>
  </si>
  <si>
    <t>University of Montreal</t>
  </si>
  <si>
    <t>Active antenna uses semi-balanced amplifier structure</t>
  </si>
  <si>
    <t>2-s2.0-0028751348</t>
  </si>
  <si>
    <t>['special reference', 'radar detection', 'paper describes', 'located within', 'last decade', 'general technique', 'buried mines', 'buried bodies', 'antitank mines']</t>
  </si>
  <si>
    <t>Surface penetrating radar refer to a range of electromagnetic techniques designed primarily for the location of objects or interfaces buried beneath the earth's surface or located within a visually opaque structure. R&amp;D projects over the last decade have been involved with the application of surface penetrating radar technology for the detection of buried mines and bodies, and industrial nondestructive testing. This paper describes the general technique with special reference to the inspection of sewers by means of a special pipeline inspection gear (PIG) radar, the detection of buried bodies, and the radar detection of antipersonnel and antitank mines.</t>
  </si>
  <si>
    <t>Daniels, D. J.</t>
  </si>
  <si>
    <t>Daniels D.</t>
  </si>
  <si>
    <t>Surface penetrating radar for industrial and security applications</t>
  </si>
  <si>
    <t>2-s2.0-0028752821</t>
  </si>
  <si>
    <t>['structured antennas', 'strip element', 'strip dipole', 'paper shows', 'numerical results', 'new path', 'frequency bandwidth', 'fdtd analysis', 'experimental procedure', 'difference time', 'designed numerically', 'demonstrated numerically']</t>
  </si>
  <si>
    <t>The validity of numerical design scheme of CP-PASS (Circularly Polarized Printed Array antenna composed of Strips and Slots) is considered. The strip element of CP-PASS is composed of a strip dipole and a window which increases the frequency bandwidth of the strip element. With the window, however, analysis of the antenna becomes difficult if a simple analytical model is used. The previous design procedure required an experimental procedure. By using modern computers, the FDTD (finite-difference time-domain) method becomes powerful tool for the analysis of 3D-structured antennas. In this paper, numerical results of the FDTD analysis for CP-PASS is compared with results from experiments. The characteristics of the unit-radiator of CP-PASS are demonstrated numerically. This paper shows that CP-PASS can be designed numerically and a new path has opened in the study of CP-PASS.</t>
  </si>
  <si>
    <t>1621-1627</t>
  </si>
  <si>
    <t>7403261744;57198218129;55445582500</t>
  </si>
  <si>
    <t>Naito, Motoyuki;Matsuzawa, Shin ichiro;Ito, Koichi</t>
  </si>
  <si>
    <t>FDTD analysis of unit-radiator for a circularly polarized printed array antenna composed of strips and slots</t>
  </si>
  <si>
    <t>2-s2.0-0028753222</t>
  </si>
  <si>
    <t>['typically used', 'synthesis method', 'size advantage', 'power combiners', 'lumped elements', 'distributed counterparts']</t>
  </si>
  <si>
    <t>Lumped elements are typically used at lower microwave frequencies due to the size advantage over their distributed counterparts. A simple graphical technique permits the design of phase-shifting and matching networks using lumped elements. This synthesis method can be applied to the design of such components as power combiners, antenna phasing networks, and baluns.</t>
  </si>
  <si>
    <t>Sadowski, Bogdan</t>
  </si>
  <si>
    <t>Sadowski B.</t>
  </si>
  <si>
    <t>Design complex phase-shifting and matching networks</t>
  </si>
  <si>
    <t>2-s2.0-0028755614</t>
  </si>
  <si>
    <t>['steered polarization', 'significant evolution', 'multibeam capability', 'major challenge', 'low weight', 'development effort', 'communications satellites', 'brief summary', 'beam capability', 'antenna performance']</t>
  </si>
  <si>
    <t>The demands for perpetual system improvements place stringent prerequisites on antenna performance, such as high efficiency shaped coverages, high polarization discrimination and very low weight. This, along with steered polarization and beam capability, reconfigurability, and multibeam capability, renders antenna research and development effort a major challenge. A selection of activities of Alcatel Espace Space Antenna Dept is presented. The brief summary of past and on-going activities showed a significant evolution in antennas for communications satellites.</t>
  </si>
  <si>
    <t>365-370</t>
  </si>
  <si>
    <t>Duret, G.</t>
  </si>
  <si>
    <t>Duret G.</t>
  </si>
  <si>
    <t>Antennas for communication satellites</t>
  </si>
  <si>
    <t>2-s2.0-0028756835</t>
  </si>
  <si>
    <t>['six pairs', 'signals coming', 'processor selects', 'phase information', 'observing results', 'later used', 'improvements suggested', 'frequency window', 'correlation spectrometer', 'central frequency']</t>
  </si>
  <si>
    <t>A correlation spectrometer for the IRAM Plateau de Bure radio astronomy observatory is presented. It can process up to 960 MHz wide IF signals coming from the 4-antenna connected array. An IF processor selects the frequency window of interest, both in width and central frequency. A digital correlator produces channelized amplitude and phase information for the six pairs of antennas, which is later used for aperture synthesis mapping. Some original technical features are detailed. Some improvements suggested by observing results are discussed.</t>
  </si>
  <si>
    <t>1537-1540</t>
  </si>
  <si>
    <t>Torres, Marc</t>
  </si>
  <si>
    <t>Saint Martin d'Heres</t>
  </si>
  <si>
    <t>IRAM Institut de RadioAstronomie Millim√©trique</t>
  </si>
  <si>
    <t>Torres M.</t>
  </si>
  <si>
    <t>A frequency-agile hybrid spectral correlator for mm-wave radio interferometry</t>
  </si>
  <si>
    <t>10.1063/1.1144888</t>
  </si>
  <si>
    <t>2-s2.0-0040057273</t>
  </si>
  <si>
    <t>['transient response', 'transducer parameters', 'torsional transducer', 'stage coupling', 'simultaneously achieved', 'similar masses', 'prototype three', 'one stage', 'mode antenna', 'mathematical model', 'linear transducer', 'conventional transducer', 'close agreement', '900 hz', '260 hz']</t>
  </si>
  <si>
    <t>A prototype three-mode gravitational wave antenna which employs a two-mode torsional transducer has been constructed and tested. For the torsional transducer the coupling from one stage to the next is via inertial forces, whereas in a conventional transducer the stage-to-stage coupling is proportional to the relative displacements via the springs. Experiments with our antenna-torsional transducer prototype demonstrate a maximum antenna bandwidth of 260 Hz (29% of the antenna resonant frequency of 900 Hz) and a mechanical amplification factor of 40. A mathematical model for the three-mode antenna has been developed and predictions of the system transfer functions and transient response are in close agreement with the measurements. Through the optimization of the transducer parameters we find that maximum fractional antenna bandwidths near 30% may be simultaneously achieved with mechanical amplification factors of 100 or more. Furthermore, the torsional transducer has a larger mechanical gain-antenna bandwidth product than a linear transducer with similar masses.</t>
  </si>
  <si>
    <t>2627-2634</t>
  </si>
  <si>
    <t>60027165;60027165;60027165;105140418</t>
  </si>
  <si>
    <t>22962695600;7004544285;56170530600;22967435100</t>
  </si>
  <si>
    <t>Marchese, Linda E.;Bocko, Mark F.;Zhang, Guizhen;Karim, Munawar</t>
  </si>
  <si>
    <t>Rochester;Rochester</t>
  </si>
  <si>
    <t>University of Rochester;St. John Fischer College</t>
  </si>
  <si>
    <t>60027165;105140418</t>
  </si>
  <si>
    <t>Marchese L.E.</t>
  </si>
  <si>
    <t>Performance of an inertially coupled, three-mode gravitational wave antenna prototype</t>
  </si>
  <si>
    <t>10.1063/1.1145208</t>
  </si>
  <si>
    <t>2-s2.0-0042391862</t>
  </si>
  <si>
    <t>['tunable peak', 'temperature mixer', 'stripline resonance', 'single voltage', 'linewidth data', 'line antenna', 'josephson junctions', 'frequency range', 'emission linewidth', 'dynamic resistance', 'coupled emission', 'antenna reduced', '4 k', '230 ghz', '14 k', '12 waveguide', '10 khz']</t>
  </si>
  <si>
    <t>We have coupled emission from 10√ó10 arrays of Josephson junctions at 4 K to a room-temperature mixer through a fin-line antenna and a WR-12 waveguide. A single voltage-tunable peak was detected in the frequency range from 53 to 230 GHz. A stripline resonance in the antenna reduced the array's dynamic resistance and thereby the emission linewidth to as low as 10 kHz. We extract an effective noise temperature of 14 K from the linewidth data.</t>
  </si>
  <si>
    <t>2163-2165</t>
  </si>
  <si>
    <t>6603016024;7004419783</t>
  </si>
  <si>
    <t>Booi, P. A.A.;Benz, S. P.</t>
  </si>
  <si>
    <t>Booi P.</t>
  </si>
  <si>
    <t>Emission linewidth measurements of two-dimensional array Josephson oscillators</t>
  </si>
  <si>
    <t>10.1063/1.111984</t>
  </si>
  <si>
    <t>2-s2.0-0042946713</t>
  </si>
  <si>
    <t>['typical results', 'tube axially', 'technological applications', 'slot antenna', 'slan without', 'pressure range', 'power range', 'plasma source', 'plasma fills', 'new large', 'microwave power', 'low pressure', 'ion density', 'high pressure', 'geometrical properties', 'gas pressure', 'field applicator', 'extends axially', 'electron temperature', 'azimuthal homogeneity', 'axial slots', 'argon plasma', '9 cm', '5 %.', '49 cm', '45 ghz', '2 kw', '2 ev', '16 cm', '1200 w', '1012 cm', '1 mbar', '01 mbar']</t>
  </si>
  <si>
    <t>A new large-volume microwave plasma source of interest for technological applications has been developed. An annular waveguide resonator with axial slots on its inner side acts as a field applicator to sustain a plasma at 2.45 GHz in a fused silica cylinder of 16 cm in diameter and 49 cm in length. The distance between slots is equal to a waveguide wave length. The slot antenna (SLAN) extends axially for about 9 cm. The plasma fills the tube axially as a result of surface wave propagation at the plasma-fused silica interface. The geometrical properties of the source were optimized by use of a numerical code allowing calculation of electric and magnetic fields inside the slot antenna. The calculated field patterns fit perfectly to those collected by use of a small loop antenna inside the SLAN without a plasma. A long time stable operation of the plasma source for pressure range from 0.01 to 1 mbar and power range from 50 to 1200 W was achieved. Argon plasma was characterized by use of a double Langmuir probe. Typical results are an ion density of 1.2*1012 cm-3 and an electron temperature of 1.2 eV*11604 K eV -1 for a microwave power of 1.2 kW and a gas pressure of 1 mbar. The worst case azimuthal variation of the ion density for high pressure (1 mbar) does not exceed 25%. For low pressure (0.01 mbar) the azimuthal homogeneity is better than 5%.</t>
  </si>
  <si>
    <t>473-481</t>
  </si>
  <si>
    <t>60022995;60022995;60022995</t>
  </si>
  <si>
    <t>24726530800;56592463300;7005887079</t>
  </si>
  <si>
    <t>Werner, F.;Korzec, D.;Engemann, J.</t>
  </si>
  <si>
    <t>Wuppertal</t>
  </si>
  <si>
    <t>Bergische Universit√§t Wuppertal</t>
  </si>
  <si>
    <t>Werner F.</t>
  </si>
  <si>
    <t>Slot antenna 2.45 GHz microwave plasma source</t>
  </si>
  <si>
    <t>10.1088/0963-0252/3/4/004</t>
  </si>
  <si>
    <t>2-s2.0-0343913109</t>
  </si>
  <si>
    <t>['source chamber', 'rectangular beam', 'input power', 'homogeneous plasma', 'extraction area', 'extracted ions', 'extracted beam', 'extracted ar', 'electrostatic analyzer', 'current density', 'aluminum chamber', '360 w', '3 cm', '17 cm']</t>
  </si>
  <si>
    <t>A microwave ion source equipped with two linear antennae set parallel to the wall of the source chamber has been designed and built. A homogeneous plasma of Ar was produced in an aluminum chamber of 22 cm long, 9 cm wide, and 6 cm deep. Beam forming grids produced a rectangular beam of 17 cm by 3 cm. The current density of the extracted Ar+ beam was 0.16 mA/cm2 at the center of the extraction area when the input power to the magnetrons was 360 W. The energy distribution function of the extracted ions was measured with an electrostatic analyzer. The measured energy distribution showed a presence of high energy ions in the extracted beam.</t>
  </si>
  <si>
    <t>1757-1760</t>
  </si>
  <si>
    <t>60010726;60010726;60010726;60010726;60102642;60102642</t>
  </si>
  <si>
    <t>7401844050;7004238089;23017023800;23017222700;55612165400;23015965200</t>
  </si>
  <si>
    <t>Wada, Motoi;Hamabe, Makoto;Tsuji, Kousei;Tsuda, Hiroshi;Miyamoto, Naoki;Ohtani, Yoshiaki</t>
  </si>
  <si>
    <t>Kyoto;Kyoto</t>
  </si>
  <si>
    <t>Nissin Electric Co., Ltd.;Doshisha University</t>
  </si>
  <si>
    <t>60102642;60010726</t>
  </si>
  <si>
    <t>Wada M.</t>
  </si>
  <si>
    <t>Microwave ion source with linear antennae</t>
  </si>
  <si>
    <t>10.1063/1.1144873</t>
  </si>
  <si>
    <t>2-s2.0-10944246947</t>
  </si>
  <si>
    <t>['wavelength antenna', 'voltage plasma', 'two sm', 'plasma shape', 'plasma chamber', 'microwave power', 'ion beams', 'energy 200', 'co ring', 'beam line', 'beam half', '45 ghz', '40 w', '4 torr', '300 w', '2000 ev', '1700 ev']</t>
  </si>
  <si>
    <t>Ion-beam-sputtered and -assisted deposition technologies need medium energy, 100-2000 eV, ion beams of current density 1-3 mA cm-2, operated in a reactive and corrosive gas environment. We designed, built and characterized a compact electron cyclotron resonance ion beam source generating 2 cm diameter ion beams with currents of 2-8 mA and energy 200-1700 eV. Continuous wave microwave power (2.45 GHz, P1=0-300 W) was introduced into a 5 cm diameter plasma chamber via a 50 omega cable and a half-wavelength antenna. A ceramic cup sealed the plasma chamber and separated the antenna from the plasma. Boron nitride spacers electrically isolated the high-voltage plasma from the earthed chamber walls. Two Sm-Co ring-shaped magnets formed a circular electron cyclotron resonance surface in the plasma generation zone near the microwave introduction point. An external magnetic coil generated in the chamber an axial magnetic field, which helped to ignite the plasma and to control the plasma shape and density. The ignition microwave power was 5-40 W, with operational (argon) pressures in the beam line of 2*10-5 to 2*10-4 Torr. An argon ion beam was extracted using two multi-aperture pyrolitic graphite grids: a positive plasma grid and a negative electron suppression grid. The ion beam current increased linearly with microwave power; the beam half-angle divergence near the target was alpha /2=4-6.</t>
  </si>
  <si>
    <t>453-459</t>
  </si>
  <si>
    <t>105197623;105197623</t>
  </si>
  <si>
    <t>7101813488;23017438900</t>
  </si>
  <si>
    <t>Popov, O. A.;Westner, A. O.</t>
  </si>
  <si>
    <t>Microscience, Inc.</t>
  </si>
  <si>
    <t>Popov O.</t>
  </si>
  <si>
    <t>A compact electron cyclotron resonance source for 200-2000 eV ion beams</t>
  </si>
  <si>
    <t>10.1088/0963-0252/3/4/001</t>
  </si>
  <si>
    <t>2-s2.0-11644323566</t>
  </si>
  <si>
    <t>['technical barriers', 'present status', 'laser interferometer', 'future plan']</t>
  </si>
  <si>
    <t>The laser interferometer for the gravitational wave antenna - -its present status and future plan - -is reviewed. A typical km class interferometer is reviewed and the technical barriers having to be overcome in order to realize its use for gravitational wave observation are discussed.</t>
  </si>
  <si>
    <t>6A</t>
  </si>
  <si>
    <t>Classical and Quantum Gravity</t>
  </si>
  <si>
    <t>Kawashima, Nobuki</t>
  </si>
  <si>
    <t>Kawashima N.</t>
  </si>
  <si>
    <t>The laser interferometer gravitational wave antenna: Present status and future plan</t>
  </si>
  <si>
    <t>10.1088/0264-9381/11/6A/007</t>
  </si>
  <si>
    <t>2-s2.0-21344478449</t>
  </si>
  <si>
    <t>['ultracryogenic detector', 'third generation', 'substantial improvements', 'recent results', 'recent advances', 'new ideas', 'mass detectors', 'laboratories around', 'gravitational radiation', 'finally present', 'efforts currently', 'could lead', 'coincidence observation', 'antenna design']</t>
  </si>
  <si>
    <t>We report on recent advances on resonant-mass detectors for gravitational radiation. After a review of the concepts that underlie the development of antennas and the enhancement of their sensitivity, the most recent results on coincidence observation between two cryogenic antennas, Explorer and Allegro, are presented. We then describe the efforts currently under way to bring into operation a third generation, ultracryogenic detector, and finally present a review of new ideas and techniques, currently being studied or developed in laboratories around the world, that could lead to substantial improvements in antenna design.</t>
  </si>
  <si>
    <t>60027509-60114688</t>
  </si>
  <si>
    <t>Bassan, Massimo</t>
  </si>
  <si>
    <t>Istituto Nazionale di Fisica Nucleare, Sezione di Roma Tor Vergata;Universit√† degli Studi di Roma "Tor Vergata"</t>
  </si>
  <si>
    <t>60114688;60027509</t>
  </si>
  <si>
    <t>Resonant gravitational wave detectors: A progress report</t>
  </si>
  <si>
    <t>10.1088/0264-9381/11/6A/004</t>
  </si>
  <si>
    <t>2-s2.0-21344489336</t>
  </si>
  <si>
    <t>['weighting vector', 'weighting factors', 'signal read', 'output signal', 'mean value', 'covariance matrix', 'correlation coefficient']</t>
  </si>
  <si>
    <t>The most important statistical characteristics of adaptive antenna arrays are determined. These are the mean value and covariance matrix of the vector of the weighting factors, and the powers of the fluctuations of the weighting factors and of the output signal of the array. It is found that under steady-state operating conditions the fluctuations of the vector of the weighting factors lead to a bias of its mean value for an adaptive antenna array without constraints, but the mean value of the weighting vector of an array with constraints and of an array operating using the criterion of the minimum root mean square error is not biased. It is shown that the effect of fluctuations of the weighting vector on the output signal of an adaptive antenna array may be different and is determined by the value of the correlation coefficient between the input-signal read-outs. ¬© 1996 Plenum Publishing Corporation.</t>
  </si>
  <si>
    <t>993-1002</t>
  </si>
  <si>
    <t>7004856676;57220358034</t>
  </si>
  <si>
    <t>Ignatenko, S. V.;Mal'tsev, A. A.</t>
  </si>
  <si>
    <t>Ignatenko S.V.</t>
  </si>
  <si>
    <t>The statistical characteristics of adaptive antenna arrays when processing discrete signals with correlated readouts</t>
  </si>
  <si>
    <t>10.1007/BF01056153</t>
  </si>
  <si>
    <t>2-s2.0-33646782017</t>
  </si>
  <si>
    <t>['wave antenna', 'wanted signal', 'special case', 'reverse noise', 'refined expression', 'optimal value', 'noise figure', 'known expression', 'electromechanical transducer', 'decreasing masses']</t>
  </si>
  <si>
    <t>A method is considered for increasing the sensitivity of a gravitational-wave antenna by using a network of oscillators with decreasing masses, forming a multimode displacement transformer. A refined expression is found for the noise figure which reduces to the well-known expression in the special case of a wanted signal. The optimal value of this figure is determined and an estimate is made of the influence of the reverse noise of the electromechanical transducer. ¬© 1995 Plenum Publishing Corporation.</t>
  </si>
  <si>
    <t>1329-1335</t>
  </si>
  <si>
    <t>56423205700;7005584223;7101836147</t>
  </si>
  <si>
    <t>Gusev, A. V.;Kulagin, V. V.;Rudenko, V. N.</t>
  </si>
  <si>
    <t>Gusev A.</t>
  </si>
  <si>
    <t>Generalized theory of a multimode displacement transformer for gravitational antennas</t>
  </si>
  <si>
    <t>10.1007/BF00976908</t>
  </si>
  <si>
    <t>2-s2.0-34249755139</t>
  </si>
  <si>
    <t>['using differential', 'tftr plasmas', 'system probes', 'small penetration', 'reflectometer launcher', 'reflecting layer', 'previously used', 'new type', 'layers separated', 'full size', 'faraday shield', 'extraordinary mode', 'effective way', 'difference phase', 'density fluctuations', 'correlation length', '125 mhz', '118 ghz', '1013 cm']</t>
  </si>
  <si>
    <t>A new type of reflectometer not previously used on tokamaks has been installed on TFTR to measure edge electron density profiles. This reflectometer gives unambiguous edge profiles despite large edge density fluctuations and the presence of strong auxiliary heating. The effects of the large density fluctuations in the edge gradient region are overcome by reducing the multiplicity of fringes and eliminating phase excursions produced by scattering from density fluctuations at the reflecting layer. This is accomplished by using differential-reflectometry: the difference phase between two probing signals reflecting from cut-off layers separated by a distance much less than the correlation length of the density fluctuations is used. This system probes the TFTR plasma using the extraordinary mode (X-mode) with two signals swept from 90-118 GHz while maintaining a fixed difference frequency of 125 MHz between these signals. It has been used to obtain density profiles in the range of 1*1011 to 3*1013 cm-3 in high-field (4.5-4.9 T) full size (R0=2.62 m, a=0.96 m) TFTR plasmas. The reflectometer launcher is located in an ion cyclotron range of frequencies (ICRF) antenna and views the plasma through a small penetration in the centre of the Faraday shield. Initial measurements demonstrated that this technique is an effective way to measure the electron density profile in the edge gradient region.</t>
  </si>
  <si>
    <t>2073-2082</t>
  </si>
  <si>
    <t>7201565452;7004674569;7004191043;22991892700;35371212800;57202314574;56814450500;24072016300;57202528890;56415174700</t>
  </si>
  <si>
    <t>Hanson, G. R.;Wilgen, J. B.;Bigelow, T. S.;Collazo, I.;England, A. C.;Murakami, M.;Rasmussen, D. A.;Thomas, C. E.;Wilson, J. R.;Park, H. K.</t>
  </si>
  <si>
    <t>Hanson G.R.</t>
  </si>
  <si>
    <t>Microwave reflectometry for edge density profile measurements on TFTR</t>
  </si>
  <si>
    <t>10.1088/0741-3335/36/12/009</t>
  </si>
  <si>
    <t>2-s2.0-36149035652</t>
  </si>
  <si>
    <t>['tokamak geometry', 'simplified description', 'scheme allows', 'sawtooth control', 'pi ),', 'minority ion', 'magnetic shear', 'ld ))', 'landau damping', 'jet using', 'iter ).', 'inductive currents', 'good agreement', 'fast waves', 'experimental results', 'earlier theories', 'drive non', 'depending upon', 'delta phi', 'current drive', 'antenna array']</t>
  </si>
  <si>
    <t>When an ion cyclotron resonance heating (ICRH) antenna array is phased ( Delta phi not=0 or pi ), the excited asymmetric k spectrum can drive non-inductive currents by interaction of fast waves both with electrons (transit time magnetic pumping (e-TTMP) and Landau damping (e-LD)) and with ions at minority (fundamental) or harmonic cyclotron resonances, depending upon the scenario. On the basis of earlier theories, a simplified description is presented that includes the minority ion and electron current drive effects simultaneously in a 3-D ray tracing calculation in the tokamak geometry. The experimental results of sawtooth stabilization destabilization in JET using the minority ion current drive scheme are presented. This scheme allows a modification of the local current density gradient (or the magnetic shear) at the q=1 surface resulting in a control of sawteeth. The predictions of the above model of current drive and its effects on sawtooth period calculated in conjunction with a model of stability of internal resistive kink modes, that encompasses the effects of both the fast particle pressure and the local (q=1) magnetic shear, are found to be qualitatively in good agreement with the experimental results. Further, the results are discussed of our model of fast wave current drive scenarios of magnetic shear reversal with a view to achieving long duration high confinement regimes in the forthcoming experimental campaign on JET. Finally, the results are presented of minority current drive for sawtooth control in next step devices such as the International Thermonuclear Experimental Reactor (ITER).</t>
  </si>
  <si>
    <t>1579-1603</t>
  </si>
  <si>
    <t>60025104;60025104;60025104;60025104;60025104;60025104</t>
  </si>
  <si>
    <t>7102660576;7003994552;7005524697;6507757988;7005767814;56229062800</t>
  </si>
  <si>
    <t>Bhatnagar, V. P.;Start, D. F.H.;Jacquinot, J.;Chaland, F.;Cherubini, A.;Porcelli, F.</t>
  </si>
  <si>
    <t>Local magnetic shear control in a tokamak via fast wave minority ion current drive: Theory and experiments in JET</t>
  </si>
  <si>
    <t>10.1088/0029-5515/34/12/I04</t>
  </si>
  <si>
    <t>2-s2.0-36149036402</t>
  </si>
  <si>
    <t>['wave detectors', 'type gravity', 'tunnelling transducer', 'transduction mechanism', 'technological improvements', 'quite possibly', 'quantum nature', 'noisy amplifiers', 'noise sources', 'noise injected', 'negligible amounts', 'illustrated using', 'general strategy', 'future weber', 'feeble forces', 'energy exchange', 'electromechanical transduction', 'basic principles', 'attendant increase', 'applications relevant']</t>
  </si>
  <si>
    <t>The basic principles of electromechanical transduction are reviewed with an emphasis on applications relevant to gravitational-wave detectors. In any apparatus where feeble forces are measured, certain fundamental limits are imposed by the quantum nature of the measurement. After filtering out all sources of noise whose origins are external to the apparatus, the noise sources that remain are intrinsic to the measurement itself. The origin of three major noise sources are identified. These are: (i) Brownian noise due to the energy exchange with the surrounding thermal reservoir, (ii) the noise injected into the apparatus by the amplifier, and (iii) the noise of the amplifier itself. It is shown how the contribution of these noise sources are affected in the transduction mechanism. A general strategy is suggested where a parametric transducer strongly coupled to a gravity-wave antenna reduces the back-action of noisy amplifiers to negligible amounts. A strong electromechanical coupling and the attendant increase in the bandwidth facilitates rapid energy transfer between antenna and transducer. As a result, with a sufficiently low dissipative antenna, the remaining Brownian noise can be reduced by using short sampling intervals. This strategy is illustrated using, as an example, a tunnelling transducer. Along with other technological improvements, quite possibly a similar strategy may be necessary to lower the sensitivity of future Weber-type gravity-wave detectors.</t>
  </si>
  <si>
    <t>60018783;60074845</t>
  </si>
  <si>
    <t>7003264879;22967435100</t>
  </si>
  <si>
    <t>Bordoni, Franco;Karim, Munawar</t>
  </si>
  <si>
    <t>Rochester;L'Aquila</t>
  </si>
  <si>
    <t>St. John Fisher College;Universit√† degli Studi dell'Aquila</t>
  </si>
  <si>
    <t>60074845;60018783</t>
  </si>
  <si>
    <t>Bordoni F.</t>
  </si>
  <si>
    <t>Fundamental noise, electromechanical transduction and their role in resonant gravitational-wave detectors</t>
  </si>
  <si>
    <t>10.1088/0264-9381/11/6A/005</t>
  </si>
  <si>
    <t>2-s2.0-36149036870</t>
  </si>
  <si>
    <t>['unknown surface', 'surface roughness', 'smooth target', 'remote sensing', 'reflection coefficients', 'reflection coefficient', 'received power', 'possible industrial', 'new model', 'multiple reflection', 'models based', 'microwave beam', 'measurement techniques', 'laboratory applications', 'isotropic antenna', 'interference pattern', 'interference effect', 'horn antenna', 'experimental data', 'dielectric constant', 'described together', 'backscatter ."']</t>
  </si>
  <si>
    <t>Multiple reflection of a microwave beam between a horn antenna and a smooth target in the antenna near field produces an interference effect in the received power. This effect can be described by modeling the antenna and target as a closely coupled system with "coherent" reflection coefficients. This model shows better agreement with experimental data than models based on isotropic antenna "backscatter." Measurement techniques are derived from this new model, which permit, by sampling the interference pattern, the remote sensing of the reflection coefficient of an unknown surface. From the reflection coefficient the dielectric constant or surface roughness can be obtained. A simple diagnostic apparatus is described together with possible industrial/laboratory applications.</t>
  </si>
  <si>
    <t>2920-2928</t>
  </si>
  <si>
    <t>8627612400;6701521464;35416014100</t>
  </si>
  <si>
    <t>Conway, G. D.;Schott, L.;Hirose, A.</t>
  </si>
  <si>
    <t>Conway G.</t>
  </si>
  <si>
    <t>Measurement of surface reflection coefficients via multiple reflection of microwaves</t>
  </si>
  <si>
    <t>10.1063/1.1144578</t>
  </si>
  <si>
    <t>2-s2.0-36448999052</t>
  </si>
  <si>
    <t>['ion source', 'ion production', 'great significance', 'extractable current', 'cm 2', '80 %.']</t>
  </si>
  <si>
    <t>A compact, 2.5 cm diam rf-driven multicusp ion source has been developed and tested for H+ ion production in pulse mode operation. The source is optimized for atomic hydrogen ion species and extractable current. It is found that hydrogen ion beam current densities in excess of 650 mA/cm 2 can be achieved with H+ species above 80%. The geometry and position of the porcelain-coated copper antenna were found to be of great significance in relation to the efficiency of the ion source.</t>
  </si>
  <si>
    <t>1186-1188</t>
  </si>
  <si>
    <t>7102519231;57003151100;7401860698;7005484528</t>
  </si>
  <si>
    <t>Perkins, L. T.;Herz, P. R.;Leung, K. N.;Pickard, D. S.</t>
  </si>
  <si>
    <t>Perkins L.</t>
  </si>
  <si>
    <t>Small radio frequency driven multicusp ion source for positive hydrogen ion beam production</t>
  </si>
  <si>
    <t>10.1063/1.1145052</t>
  </si>
  <si>
    <t>2-s2.0-36449000745</t>
  </si>
  <si>
    <t>['seriously affect', 'relevant parameters', 'real experiment', 'problems concerning', 'particular attention', 'microwave radiometers', 'metal reflectors', 'intensity anisotropy', 'instrumental errors', 'instrumental configurations', 'incident radiation', 'experiments measuring', 'effects introduced', 'different values', 'antenna beam']</t>
  </si>
  <si>
    <t>Problems concerning the response of microwave radiometers to the polarization of incident radiation are examined. Particular attention is given to their consequences in experiments measuring the intensity anisotropy of the cosmic background radiation. Considered in detail are instrumental configurations in which metal reflectors are used to redirect the antenna beam. Some effects introduced by such reflectors are calculated and modelled for different values of some relevant parameters, in order to evaluate their contribution to instrumental errors. The analysis of a real experiment is then considered. It is shown that such mechanisms, if ignored, can seriously affect the measurements.</t>
  </si>
  <si>
    <t>2667-2671</t>
  </si>
  <si>
    <t>Cortiglioni, S.</t>
  </si>
  <si>
    <t>Cortiglioni S.</t>
  </si>
  <si>
    <t>Linear polarization and the effects of metal reflectors used to redirect the beam in microwave radiometers</t>
  </si>
  <si>
    <t>10.1063/1.1144667</t>
  </si>
  <si>
    <t>2-s2.0-36449002734</t>
  </si>
  <si>
    <t>['wide range', 'uniform across', 'transient effect', 'three types', 'thin oxide', 'substrate potentials', 'substrate potential', 'serious damage', 'saturation behavior', 'saturated ion', 'rf bias', 'reported observations', 'rapid turn', 'plasma uniformity', 'plasma system', 'plasma potential', 'plasma exposure', 'nonuniform distribution', 'mere showing', 'magnetic field', 'largely ignored', 'gate potential', 'frequency dependence', 'explained logically', 'exist simultaneously', 'dc effect', 'damage characteristics', 'continued adjustment', 'complex dynamic', 'complex behavior', 'charging effects', 'charging effect', 'charging damage', 'carefully track', 'asymmetric electron', 'ac effect']</t>
  </si>
  <si>
    <t>An entirely physical model is proposed to explain a wide range of seemingly conflicting observations of plasma-charging damage. Unlike other authors who largely ignored the role of substrate potential, we carefully track both the gate and the substrate potentials to explain the origin of the electric field developed across the thin oxide during plasma exposure. Central to this model is the fact that the surface floating potential tracks the plasma potential. Thus a nonuniform plasma drives the gate potential to a nonuniform distribution. Another important idea of this model is the continued adjustment by both the gate and the substrate of their potentials to satisfy the charge balance requirement of plasma system. The interaction between saturated ion-current, asymmetric electron-current, and the Fowler-Nordheim tunneling current produces a complex dynamic for the movements of the gate and the substrate potentials. This complex behavior of the gate and the substrate potential allows many of the reported observations in the literature to be explained logically. We explored three types of charging effect and their damage characteristics. They are dc effect, ac effect, and transient effect. The separation of dc and ac effect is artificial. They exist simultaneously and add to each other to cause more serious damage than by themselves. The model predicts antenna effects from all three types of charging effects. Unique to the ac antenna effect are saturation behavior, the oxide thickness ratio dependence, and the rf bias-frequency dependence. The effect of ON/OFF transient is explored quantitatively using the concept of effective exposed substrate area. The combination of large antenna ratio and rapid turn-off of plasma causes severe damage to gate-oxide. Magnetic field in general will worsen the charging damage. The reason for that is explained. Plasma uniformity is the most important factor governing charging damage, but is not the only factor. Plasma uniformity extending beyond the edge of the wafer is important. Mere showing that the plasma is uniform across the most part of the wafer is misleading.</t>
  </si>
  <si>
    <t>4415-4426</t>
  </si>
  <si>
    <t>55619458400;57226047393</t>
  </si>
  <si>
    <t>Cheung, K. P.;Chang, C. P.</t>
  </si>
  <si>
    <t>Cheung K.P.</t>
  </si>
  <si>
    <t>Plasma-charging damage: A physical model</t>
  </si>
  <si>
    <t>10.1063/1.355985</t>
  </si>
  <si>
    <t>2-s2.0-36449008064</t>
  </si>
  <si>
    <t>['time delay', 'superconductor junction', 'quasiparticle current', 'picosecond pulses', 'photoconductive switch', 'nb junction', 'monitoring changes', 'locked laser', 'linear theory', 'linear response', 'broadband response', 'assisted tunneling', '200 ghz']</t>
  </si>
  <si>
    <t>We have measured the linear response of the quasiparticle current in a Nb/AlOx/Nb junction from 75-200 GHz. Picosecond pulses of millimeter wave radiation were generated by illuminating a photoconductive switch with a mode-locked laser. The pulses were coupled to the junction through an impedance-mismatched, planar lithographed antenna. The broadband response of the superconductor-insulator-superconductor junction was measured by monitoring changes in the dc current induced by interfering two electrical pulses at the junction as a function of the time delay between them. The data are in agreement with the linear theory of photon-assisted tunneling.</t>
  </si>
  <si>
    <t>915-917</t>
  </si>
  <si>
    <t>60025038;60025038;60025038;60025038;60025038;60006364</t>
  </si>
  <si>
    <t>Verghese, S.;Karadi, C.;Mears, C. A.;Orenstein, J.;Richards, P. L.;Barfknecht, A. T.</t>
  </si>
  <si>
    <t>Broadband response of the quasiparticle current in a superconducting tunnel junction</t>
  </si>
  <si>
    <t>10.1063/1.110994</t>
  </si>
  <si>
    <t>2-s2.0-36449008249</t>
  </si>
  <si>
    <t>['sommerfeld approach']</t>
  </si>
  <si>
    <t>Electrically small loops and monopoles are modeled over infinite lossy ground planes using a modification to the Sommerfeld approach, in order to assess the performance of YBCO antennas connected to typical metallic ground planes. Calculated results suggest that for antennas with low radiation resistances, significant efficiency improvements can be obtained with YBCO elements even if the ground planes remain lossy, and that little is to be gained by making the ground planes superconducting if the antenna elements remain lossy.</t>
  </si>
  <si>
    <t>1266-1268</t>
  </si>
  <si>
    <t>60001881;60001881;105219174;105219174;105219174</t>
  </si>
  <si>
    <t>55328764600;6701323282;7004480877;6701843222;36346833900</t>
  </si>
  <si>
    <t>Cook, G. G.;Khamas, S. K.;Bowling, D. R.;Overfelt, P. L.;Hageman, L.</t>
  </si>
  <si>
    <t>Sheffield;China Lake</t>
  </si>
  <si>
    <t>The University of Sheffield;ONR</t>
  </si>
  <si>
    <t>60001881;105219174</t>
  </si>
  <si>
    <t>Predictions of the efficiencies of superconducting small antennas connected to lossy ground planes using a Sommerfeld integral technique</t>
  </si>
  <si>
    <t>10.1063/1.357855</t>
  </si>
  <si>
    <t>2-s2.0-36449008652</t>
  </si>
  <si>
    <t>['wavelength visible', 'room temperature', 'readily oxidized', 'photochemical oxidation', 'oxidation reaction', 'ordinating solvents', 'ome 1c', 'nc6h 4r', 'ligands inhibit', 'induction period', 'h 2a', 'h 1a', 'first order', 'even long', 'complexes 1b', 'complex 1b', 'complex 1a', 'centred radicals', 'biological processes', 'azobenzene chromophore', 'atmospheric oxygen', 'approximately twice', 'acetone solutions', 'acac ligand', 'acac )]', '500 nm', '1 started']</t>
  </si>
  <si>
    <t>(Arylazo)aryl(acetylacetonato)palladium(II) complexes [Pd(4-RC6H3N=NC6H 4R-4‚Ä≤)(O,O-acac)] (R = H 1a, Me 1b or OMe 1c; Hacac = acetylacetone), upon irradiation of their acetone solutions at room temperature by UV, or even long-wavelength visible (Œª &gt; 500 nm) light, were readily oxidized by atmospheric oxygen to give the corresponding acetato derivatives [Pd(4-RC6H3N=NC6H 4R-4‚Ä≤)(Œº-O2CMe)]2 (R = H 2a, Me 2b or OMe 2c), providing a model for some chemical and biological processes. The oxidation reaction of complex 1b was first order in the complex when [1b]0 ‚â§ 2 √ó 10-3 mol dm-3. Complexes 1b and 1c were photooxidized at approximately twice the rate of complex 1a. In the presence of a scavenger of C-centred radicals (CCl4) the rate of complex 2b accumulation was reduced. When pyridine was added or co-ordinating solvents (acetonitrile or nitromethane) were used no photooxidation of complex 1 occurred. In the presence of PPh3 an induction period was observed and the oxidation of 1 started only after all the PPh3 was oxidized under irradiation into OPPh3. Spectroscopic data suggested that these ligands inhibit this photochemical oxidation because they change the type of co-ordination of the azobenzene chromophore and/or the acac ligands inducing a disconnection between the chromophore (antenna) and the acac ligand.</t>
  </si>
  <si>
    <t>1505-1509</t>
  </si>
  <si>
    <t>Journal of the Chemical Society, Dalton Transactions</t>
  </si>
  <si>
    <t>60000130;60000130;60000130;60000130</t>
  </si>
  <si>
    <t>7103110150;6603429992;7005018822;7005162392</t>
  </si>
  <si>
    <t>Vicente, Jos√©;Arcas, Aurelia;Bautista, Delia;Shul'Pin, Georgiy B.</t>
  </si>
  <si>
    <t>Murcia</t>
  </si>
  <si>
    <t>Universidad de Murcia</t>
  </si>
  <si>
    <t>Vicente J.</t>
  </si>
  <si>
    <t>Aerobic photooxidation and C-C bond cleavage of the acetylacetonate ligand in (2-arylazo)arylpalladium(II) complexes induced by visible light</t>
  </si>
  <si>
    <t>10.1039/DT9940001505</t>
  </si>
  <si>
    <t>2-s2.0-37049074483</t>
  </si>
  <si>
    <t>['v ||.', 'symmetrical spectrum', 'significant evolution', 'several scenarios', 'proper distance', 'numerical calculations', 'major radius', 'main condition', 'loop antenna', 'k ||', 'ibws ).', 'fast waves', 'detailed consideration', 'current drive', 'certain conditions', 'analytical investigation', 'also performed', '10 tokamak']</t>
  </si>
  <si>
    <t>Detailed consideration is given to the problem of current drive by ion Bernstein waves (IBWs). An analytical investigation of ray tracing equations is used to prove that a significant evolution of k|| for the IBWs in tokamaks can ensure the possibility of current drive by these waves, if certain conditions are fulfilled. The main condition is the displacement of the antenna out of the midplane by a proper distance. Several scenarios for current drive are discussed, including direct excitation of the IBWs and the conversion of fast waves into IBWs. In all of these a loop antenna with a symmetrical spectrum in k|| can be used, the electron distribution function also being symmetrical in V||. The development of asymmetry in k|| for the IBWs during their propagation is caused by the gradient of the toroidal magnetic field along the major radius. Numerical calculations are also performed - for the cases of ITER and the T-10 tokamak. It is concluded that IBWs can be used as an inexpensive and effective current drive and current density profile control in tokamaks.</t>
  </si>
  <si>
    <t>63-74</t>
  </si>
  <si>
    <t>Petrov, Yu V.</t>
  </si>
  <si>
    <t>National Research Centre "Kurchatov Institute"</t>
  </si>
  <si>
    <t>Petrov Y.V.</t>
  </si>
  <si>
    <t>Current drive by ion Bernstein waves in tokamaks</t>
  </si>
  <si>
    <t>10.1088/0029-5515/34/1/I04</t>
  </si>
  <si>
    <t>2-s2.0-3743077789</t>
  </si>
  <si>
    <t>['tore supra', 'stationary improvement', 'significant increase', 'preliminary experiments', 'initial experiments', 'enhanced performance', 'energy confinement', 'direct coupling', 'demonstrated coupling', 'antenna phasing', '5 mw']</t>
  </si>
  <si>
    <t>The 1993-94 experimental campaign has seen a significant increase of the application of waves in the ion cyclotron range of frequency on Tore Supra. Ion cyclotron resonant heating has been applied to plasmas with strongly radiating layers, pellet-enhanced performance and lower hybrid enhanced performance. Initial experiments on direct coupling of the fast magnetosonic wave to the electrons have demonstrated coupling up to 5 MW to the plasma and have demonstrated an efficient electron heating in these discharges. A significant bootstrap current fraction is observed. This heating scheme leads to a stationary improvement in energy confinement, with implications for the Rebut-Lallia-Watkins local transport model. Finally, preliminary experiments on antenna phasing have shown clear evidence of fast wave current drive.</t>
  </si>
  <si>
    <t>12 B</t>
  </si>
  <si>
    <t>60003729;60003729</t>
  </si>
  <si>
    <t>22995070400;24082321100</t>
  </si>
  <si>
    <t>Supra, E. T.;Soutic, B.</t>
  </si>
  <si>
    <t>Supra E.T.</t>
  </si>
  <si>
    <t>Effects induced by ICRF waves on various confinement schemes in Tore Supra</t>
  </si>
  <si>
    <t>10.1088/0741-3335/36/12B/009</t>
  </si>
  <si>
    <t>2-s2.0-42149197161</t>
  </si>
  <si>
    <t>['two modes', 'surface ionizer', 'sputter mode', 'radial direction', 'ion optics', 'hot filament', 'geometry cesium', 'discharge igniter', 'design features', 'brief descriptions', 'anticipated performances']</t>
  </si>
  <si>
    <t>A versatile, high-intensity, negative ion source has been designed and is now under construction which can be operated in either the cesium-sputter or plasma-sputter mode. The cesium-sputter mode can be effected by installation of a newly designed conical-geometry cesium-surface ionizer; for operation in the plasma-sputter mode, the surface ionizer is removed and either a hot filament or rf antenna plasma-discharge igniter is installed. A multicusp magnetic field is specifically provided confining the plasma in the radial direction when the plasma-sputter mode is selected. This arrangement allows comparison of the two modes of operation. Brief descriptions of the design features, ion optics, and anticipated performances of the two source geometries will be presented in this report.</t>
  </si>
  <si>
    <t>2006-2011</t>
  </si>
  <si>
    <t>60024266;60024266;60024266</t>
  </si>
  <si>
    <t>7006284202;7201923304;6602968741</t>
  </si>
  <si>
    <t>Alton, G. D.;Mills, G. D.;Dellwo, J.</t>
  </si>
  <si>
    <t>Alton G.</t>
  </si>
  <si>
    <t>Design features of a high-intensity, cesium-sputter/plasma-sputter negative ion source&lt;sup&gt;a)&lt;/sup&gt;</t>
  </si>
  <si>
    <t>10.1063/1.1144804</t>
  </si>
  <si>
    <t>2-s2.0-4243083175</t>
  </si>
  <si>
    <t>['¬© 1994', 'whole plant', 'structurofunctional organization', 'reaction centres', 'rate constants', 'rapid changes', 'ps ii', 'primary processes', 'plant seedlings', 'photochemical activity', 'paper presents', 'individual components', 'high rate', 'harvesting antenna', 'energy requirements', 'dynamic structure', 'developed indicating', 'dark processes', 'conjugating complexes', 'conformational state', 'changes may', 'brisk rate']</t>
  </si>
  <si>
    <t>The paper presents a review of the results of study of the photochemical activity and structurofunctional organization of the thylacoids in plant seedlings with a brisk rate of photosynthesis. Ideas are developed indicating that the dynamic structure of the membrane is the basis for regulation of the primary processes of photosynthesis on the part of the metabolism of the whole plant. The efficiency of the energy-transforming mechanism may change with the energy requirements of the plant. The "strategy" of adjusting the membrane to a high rate of dark processes of carbon metabolism includes increase in the membranes in the content of complexes with the reaction centres of PS II, electron transport chain carriers between the PS and also the number of conjugating complexes. These changes may be accompanied by some decrease in the size of the light-harvesting antenna. Rapid changes in the work of the electron transport chain are achieved through change in the rate constants of the individual electron transport processes as a result of change in the conformational state of the PPC or the individual components of the electron transport chain. ¬© 1994.</t>
  </si>
  <si>
    <t>Biophysics</t>
  </si>
  <si>
    <t>60007457;60007457</t>
  </si>
  <si>
    <t>7003612796;24446372300</t>
  </si>
  <si>
    <t>Krendeleva, T. Ye;Rubin, A. B.</t>
  </si>
  <si>
    <t>Krendeleva T.</t>
  </si>
  <si>
    <t>Structuro-functional organization of chloroplast membranes in plants with a high CO&lt;inf&gt;2&lt;/inf&gt; fixation rate</t>
  </si>
  <si>
    <t>2-s2.0-43949152432</t>
  </si>
  <si>
    <t>['standing waves', 'spatial profiles', 'slot antennas', 'slightly rough', 'shaped ridge', 'rectangular waveguide', 'plasma reactors', 'plasma density', 'o2 1016', 'n 2', 'electron temperature', 'electric fields', 'discharge chamber', 'ar ranged', 'almost flat', '8 ev', '4 ev', '30 kv']</t>
  </si>
  <si>
    <t>30-cm-class long plasmas were generated using 2.45-GHz microwave slot antennas on a rectangular waveguide with a T-shaped ridge for the development of high performance ion sources or for plasma reactors for large-area material processing. The microwave coupling efficiencies above 85% were achieved for Ar, N2, and O2 over large flow rate ranges. From the electric fields on the inner wall E side of the waveguide, standing waves with the maximum electric field strength of about 30 kV/m were expected to be excited in the waveguide, depending on the location of the T-shaped ridge. The plasma density for Ar was in the order of 1017 m-3 and for N 2 and O2 1016 m-3 in a discharge chamber in front of the slot antennas. The electron temperature for Ar ranged from 3 to 4 eV and for N2 and O2 from 3 to 8 eV. The spatial profiles of the ion saturation current for Ar were almost flat in the discharge chamber although the profiles for N2 and O2, with large flow rates or near the antennas, were slightly rough.</t>
  </si>
  <si>
    <t>669-672</t>
  </si>
  <si>
    <t>60024322;60024322;60024322;60024322;60024322;60024322</t>
  </si>
  <si>
    <t>7103195195;23015399200;7202943241;7102554065;6701837393;7402718440</t>
  </si>
  <si>
    <t>Tahara, Hirokazu;Kitayama, Jiro;Yasui, Toshiaki;Onoe, Ken Ichi;Tsubakishita, Yasuji;Yoshikawa, Takao</t>
  </si>
  <si>
    <t>Tahara H.</t>
  </si>
  <si>
    <t>Long plasma generation using microwave slot antennas on a rectangular waveguide</t>
  </si>
  <si>
    <t>10.1063/1.1145136</t>
  </si>
  <si>
    <t>2-s2.0-5944224745</t>
  </si>
  <si>
    <t>['wise fashion', 'wall flexibility', 'using fixed', 'transverse response', 'transverse bending', 'tip mass', 'special class', 'spacecraft antennas', 'slender beam', 'size elements', 'problems associated', 'prescribed function', 'numerical solutions', 'followed wherein', 'elements change', 'elegant approach', 'elastic deformation', 'also examined']</t>
  </si>
  <si>
    <t>Axially moving materials arise in problems associated with spacecraft antennas, pipes conveying fluid and telescopic robotic manipulators. Axially moving beams are a special class of axially moving materials, in which the axially moving material is modelled as a slender beam and the mechanism of elastic deformation is transverse bending. The mass of this system is not constant and the general analytical solution to the equation of motion is not known. In this study, numerical solutions are obtained using finite element analysis. However, instead of following the obvious (but cumbersome) approach of using fixed-size elements and increasing their number, in a step-wise fashion, as mass elements enter the domain of interest, a more elegant approach is followed wherein the number of elements is fixed, while the sizes of the elements change with time. To this end, a variable-domain beam finite element the size of which is a prescribed function of time is formulated in Part I. The accuracy of this variable-domain beam element is demonstrated through the time-integration of equations of motion using various extrusion profiles. The effects of wall flexibility, tip mass, and high frequency axial motion perturbations to the transverse response of the flexible extendible beam are also examined. ¬© 1994 Academic Press Ltd.</t>
  </si>
  <si>
    <t>433-453</t>
  </si>
  <si>
    <t>60003122;60003122</t>
  </si>
  <si>
    <t>7003579641;7006973701</t>
  </si>
  <si>
    <t>Stylianou, M.;Tabarrok, B.</t>
  </si>
  <si>
    <t>Stylianou M.</t>
  </si>
  <si>
    <t>Finite element analysis of an axially moving beam, Part I: Time Integration</t>
  </si>
  <si>
    <t>S0022460X84714970</t>
  </si>
  <si>
    <t>10.1006/jsvi.1994.1497</t>
  </si>
  <si>
    <t>2-s2.0-0028768807</t>
  </si>
  <si>
    <t>['unique hardware', 'range demonstration', 'prototype system', 'ghz band', 'compressive architecture', 'broadband phased', 'array antennas']</t>
  </si>
  <si>
    <t>Delay line | Fiber-optic manifold | Phased-array antenna | Time-delay steering | True-time delay</t>
  </si>
  <si>
    <t>We describe the design, fabrication, testing, and antenna-range demonstration of a photonic wavelengthmultiplexed true-time-delay steering system for use with broadband phased-array antennas. The prototype system is based on a unique hardware-compressive architecture and can drive 16 antenna elements over the 0.35-2.1-GHz band with 6-bit angular resolution over a ¬± 45 ¬∞ scan angle. ¬© 1994 Optical Society of America.</t>
  </si>
  <si>
    <t>8173-8185</t>
  </si>
  <si>
    <t>60020818;60020818;60020818;60020818;60020818</t>
  </si>
  <si>
    <t>35616191300;57189885475;6603252809;6701749635;7410012278</t>
  </si>
  <si>
    <t>Goutzoulis, Akis;Davies, Ken;Zomp, John;Hrycak, Peter;Johnson, Andy</t>
  </si>
  <si>
    <t>Pittsburgh</t>
  </si>
  <si>
    <t>Westinghouse Electric Company</t>
  </si>
  <si>
    <t>Goutzoulis A.</t>
  </si>
  <si>
    <t>Development and field demonstration of a hardware-compressive fiber-optic true-time-delay steering system for phased-array antennas</t>
  </si>
  <si>
    <t>10.1364/AO.33.008173</t>
  </si>
  <si>
    <t>2-s2.0-0028731740</t>
  </si>
  <si>
    <t>['¬© 1994', 'upgraded within', 'time performance', 'radio telescope', 'prototype system', 'new devices', 'millimetre array', 'local controllers', 'key point', 'flexible operation', 'control system', 'also replaced']</t>
  </si>
  <si>
    <t>The control system for the 45 m radio telescope and the millimetre array at the Nobeyama Radio Observatory, which has been used since 1982, has a centralized structure based on an IBM compatible mainframe. To allow more flexible operation and to enable easy installation of new devices, the control system should be upgraded within a few years. Key point of this upgrading is to replace the mainframe with several UNIX workstations and UNIX compatible systems with real-time performance. Some local controllers should be also replaced. A prototype system, which consists of a new local controller and a real-time UNIX system has been developed for the antenna reflector drive. We are now evaluating the performance of these components for the design of the upgraded control system. ¬© 1994.</t>
  </si>
  <si>
    <t>122-124</t>
  </si>
  <si>
    <t>60029701;60029701</t>
  </si>
  <si>
    <t>35552169300;55934760400</t>
  </si>
  <si>
    <t>Morita, K. I.;Takahashi, T.</t>
  </si>
  <si>
    <t>Mitaka</t>
  </si>
  <si>
    <t>National Institutes of Natural Sciences - National Astronomical Observatory of Japan</t>
  </si>
  <si>
    <t>Morita K.I.</t>
  </si>
  <si>
    <t>Upgrading the telescope control system of the Nobeyama Radio Observatory</t>
  </si>
  <si>
    <t>0168-9002(94)91477-X</t>
  </si>
  <si>
    <t>10.1016/0168-9002(94)91477-X</t>
  </si>
  <si>
    <t>2-s2.0-43949152773</t>
  </si>
  <si>
    <t>['usual assumption', 'time scale', 'theoretical treatments', 'temperature study', 'room temperature', 'rhodobacter sphaeroides', 'results set', 'primary electron', 'oscillations occur', 'lower limit', 'excited state', 'electron transfer', 'condon region', 'bacterial photosynthesis', 'activated motions', '192 cm', '1 ps']</t>
  </si>
  <si>
    <t>electron transfer | femtosecond spectroscopy | photosynthesis | stimulated emission</t>
  </si>
  <si>
    <t>A room-temperature study is reported of the femtosecond spectral evolution of the stimulated emission band of the primary electron-transfer precursor P* in bacterial photosynthesis. The study was performed with membranes of the antenna-deficient RCO1 mutant of Rhodobacter sphaeroides. A time- dependent red shift, reflecting nuclear motion out of the Franck-Condon region of the excited state, is resolved. Analysis of oscillatory features persisting for &gt;1 ps in the kinetics revealed main frequencies of the activated motions at 30, 84, 145, and 192 cm-1. The oscillations occur on the time scale of primary electron transfer. Our results set a lower limit for the vibrational dephasing time in P* that is not compatible with the usual assumption in theoretical treatments of complete vibrational relaxation prior to electron transfer, even at room temperature.</t>
  </si>
  <si>
    <t>12701-12705</t>
  </si>
  <si>
    <t>60008134;60001881;60001881;100342965;60008134</t>
  </si>
  <si>
    <t>7101786803;8247663200;13105070700;24310010600;57201040806</t>
  </si>
  <si>
    <t>Vos, Marten H.;Jones, Michael R.;Hunter, C. Neil;Breton, Jacques;Martin, Jean Louis</t>
  </si>
  <si>
    <t>France;United Kingdom;France</t>
  </si>
  <si>
    <t>Paris;Sheffield;Gif-sur-Yvette</t>
  </si>
  <si>
    <t>CNRS Centre National de la Recherche Scientifique;The University of Sheffield;Section de Bio√©nerg√©tique</t>
  </si>
  <si>
    <t>60008134;60001881;100342965</t>
  </si>
  <si>
    <t>Vos M.</t>
  </si>
  <si>
    <t>Coherent nuclear dynamics at room temperature in bacterial reaction centers</t>
  </si>
  <si>
    <t>10.1073/pnas.91.26.12701</t>
  </si>
  <si>
    <t>2-s2.0-0028577726</t>
  </si>
  <si>
    <t>31-33678.92</t>
  </si>
  <si>
    <t>['¬© 1994', 'violaxanthin availability', 'two preparations', 'trace amounts', 'thylakoid membrane', 'rye leaves', 'remarkable light', 'protein complex', 'possible involvement', 'physical detachment', 'photosystem ii', 'nonpigmented liposomes', 'markedly slowed', 'major light', 'lipid complex', 'limited amount', 'lhc ii', 'l reconstituted', 'l contained', 'identical conditions', 'harvesting pigment', 'following sequence', 'fluorescence quenching', 'fluorescence level', 'driven chlorophyll', 'differed significantly', 'dependent changes', 'dark reversibility', 'dark period', 'complex isolated', 'asolectin liposomes', 'antenna complex', 'also discussed', 'additionally antheraxanthin', 'adaptation whereas', '2 h']</t>
  </si>
  <si>
    <t>Excitation quenching | Fluorescence quenching | LHC II | Photosynthesis | Violaxanthin | Xanthophyll cycle | Zeaxanthin</t>
  </si>
  <si>
    <t>Light-driven chlorophyll a fluorescence quenching and dark reversibility of this process was measured in LHC II - the major light-harvesting pigment-protein complex of Photosystem II. Two preparations of LHC II, complex isolated from dark-adapted (LHC II-D) and light-pretreated (LHC II-L) rye leaves, differed significantly in the level of the xanthophyll pigment violaxanthin, being enriched in LHC II-D. LHC II-L contained only trace amounts of zeaxanthin but additionally antheraxanthin. LHC II-D suspended in buffer showed similar fluorescence quenching kinetics. Chlorophyll fluorescence quenching in LHC II-L was almost fully reversible after 2 h of dark-adaptation whereas only 37% of the initial fluorescence level was recovered under identical conditions. Transfer of LHC II as protein-lipid complex (PLC) in a reverse micellar solution composed of isooctane, phospholipids and limited amount of water, considerably decreased xanthophyll pigment concentrations. Under these conditions, light-driven fluorescence chlorophyll a quenching was the same for LHC II-L and LHC II-D and fluorescence level in both preparations was fully reversible within the dark period. Kinetics of light-induced fluorescence quenching and reversibility of LHC II-L reconstituted in asolectin liposomes was faster than in buffer. However, reversibility of LHC II-L in liposomes was markedly slowed down by addition of exogenous xanthophyll pigments in the following sequence: violaxanthin &gt; zeaxanthin &gt; nonpigmented liposomes. Remarkable light-dependent changes in chlorophyll a fluorescence excitation spectra of LHC II-L in liposomes were observed. These changes are ascribed to energetic uncoupling caused by physical detachment of violaxanthin from the antenna complex - this process being discussed in terms of violaxanthin availability to de-epoxidation in thylakoid membrane. The possible involvement of the xanthophyll cycle pigments violaxanthin and zeaxanthin in the regulation of light-driven excitation quenching in LHC II is also discussed. ¬© 1994.</t>
  </si>
  <si>
    <t>235-242</t>
  </si>
  <si>
    <t>60011685;60004718;60011685;60004718</t>
  </si>
  <si>
    <t>7005047468;6603936416;6701372735;7102071600</t>
  </si>
  <si>
    <t>Gruszecki, Wies≈Çaw I.;Kernen, Peter;Krupa, Zbigniew;Strasser, Reto J.</t>
  </si>
  <si>
    <t>Poland;Switzerland</t>
  </si>
  <si>
    <t>Lublin;Geneva</t>
  </si>
  <si>
    <t>Maria Curie-Sklodowska University in Lublin;Universit√© de Gen√®ve</t>
  </si>
  <si>
    <t>60011685;60004718</t>
  </si>
  <si>
    <t>Gruszecki W.</t>
  </si>
  <si>
    <t>Involvement of xanthophyll pigments in regulation of light-driven excitation quenching in light-harvesting complex of Photosystem II</t>
  </si>
  <si>
    <t>0005-2728(94)90041-8</t>
  </si>
  <si>
    <t>10.1016/0005-2728(94)90041-8</t>
  </si>
  <si>
    <t>2-s2.0-0028558708</t>
  </si>
  <si>
    <t>['¬© 1994', 'trapping time', 'time resolution', 'time constants', 'reaction centre', 'purple bacteria', 'primary donor', 'minor contributions', 'major contribution', 'kinetic components', 'excitation trapping', 'excitation quenching', 'equilibration within', 'entirely clear', 'energy trapping', 'core antenna', 'chromatium tepidum', '40 ps', '310 ps', '230 ps', '15 ps']</t>
  </si>
  <si>
    <t>(C. tepidum) | (C. vinosum) | Antenna | Energy transfer | Energy trapping | Purple bacterium | Reaction center</t>
  </si>
  <si>
    <t>Energy trapping in chromatophores of the purple sulfur bacteria Chromatium vinosum and Chromatium tepidum has been examined by means of picosecond transient absorption spectroscopy. In C. vinosum, time constants for excitation quenching in the core antenna by open and closed reaction centres were 50 and 230 ps, respectively. In C. tepidum, excitation quenching by closed reaction centres occurred with a single time constant of 310 ps. With open reaction centres, the kinetics of decay of excitations in the core antenna were more complicated. The decay was multi-exponential, with a major contribution from a 140 ps component and minor contributions from 40 ps and 530 ps components. By comparison with the kinetics of oxidation of the primary donor, the 140 ps component was identified as being due to excitation trapping by open reaction centres. This trapping time is slow as compared with other purple bacteria, and is most likely a consequence of the red-shift of the core antenna with respect to the reaction centre. The origin of the 40 ps component is not entirely clear, but it probably represents energy transfer to the reaction centre as well. The 530 ps component may reflect a fraction of bacteriochlorophyll a that transfers its energy to the reaction centre very inefficiently, or not at all. In C. vinosum as well as in C. tepidum, no kinetic components were found that could be associated with internal core antenna relaxation, which implies that equilibration within the core antenna occurred within our time resolution of 10-15 ps. ¬© 1994.</t>
  </si>
  <si>
    <t>278-286</t>
  </si>
  <si>
    <t>6701664153;7003777767;7004456032</t>
  </si>
  <si>
    <t>Kennis, John T.M.;Aartsma, Thijs J.;Amesz, Jan</t>
  </si>
  <si>
    <t>Kennis J.</t>
  </si>
  <si>
    <t>Energy trapping in the purple sulfur bacteria Chromatium vinosum and Chromatium tepidum</t>
  </si>
  <si>
    <t>10.1016/0005-2728(94)90046-9</t>
  </si>
  <si>
    <t>2-s2.0-0028568018</t>
  </si>
  <si>
    <t>['œ ≤-', '¬© 1994', 'total chlorophyll', 'thylakoid structure', 'thylakoid membranes', 'sucrose gradient', 'structurally similar', 'staining sds', 'stained bands', 'red alga', 'purified ps', 'prominent silver', 'previously unknown', 'photoactivity rate', 'particular interest', 'page gels', 'p700 apoproteins', 'nature 367', 'like rhodophytes', 'immunologically related', 'immunologically identified', 'immunoblot analysis', 'higher plants', 'following solubilization', 'et al', 'dcmu inhibition', 'cyt b', 'containing organisms', 'also observed', 'absorption maximum', '730 nm', '692 nm', '680 nm', '674 nm', '568 ).', '559 subunits', '5 kda', '11 kda']</t>
  </si>
  <si>
    <t>(Porphyridium) | Light harvesting complex I | Photosystem I | Photosystem II | Rhodophyte</t>
  </si>
  <si>
    <t>Photosystem I and Photosystem II complexes were isolated from the red alga Porphyridium cruentum (P. purpureum) following solubilization of thylakoid membranes with dodecyl-Œ≤-d-maltoside. More than 90% of the total chlorophyll was recovered in two green bands on a sucrose gradient. PS I and PS II complexes, present in the lower green band, were separated by anion exchange chromatography. The purified PS II complex, with an absorption maximum at 674 nm and a fluorescence emission maximum at 692 nm (77 K), contained the reaction center polypeptide D2 and the core antenna proteins CP43 and CP47 as shown by immunoblot analysis. Two bands (&lt; 14 kDa), presumably the cyt b-559 subunits were also observed after silver-staining SDS-PAGE gels. The photoactivity rate of 58 Œºmol DCPIP/mg Chl per h with DPC for PS II core complexes, and 112 Œºmol DCPIP/mg Chl per h for thylakoids (minus phycobilisomes), was sensitive to DCMU inhibition. The purified PS I holocomplex had approx. 130 chlorophyll per P700, an absorption maximum at 680 nm and a fluorescence emission maximum at 730 nm (at 77 K). Prominent silver-stained bands in SDS-PAGE gels at 62 and 57 kDa polypeptides were immunologically identified as the P700 apoproteins. Polypeptides of 23.5, 23, 22, 20, 19.5, 18, 16.5, 15.5, and 11 kDa and at least three low molecular mass polypeptides (&lt; 11 kDa) were also observed. Of particular interest are the 18-23.5 kDa polypeptides in the PS I complex, since such polypeptides were previously unknown in phycobilisome-containing organisms. In fact, we have found that the PS I complex of P. cruentum is structurally similar to that of higher plants, especially since polypeptides of 18-23.5 kDa were shown to be immunologically related to LHC I of higher plants (Wolfe, G. et al. (1994) Nature 367, 566-568). These results clearly suggest that the thylakoid structure of this red alga is more complex than in cyanobacteria, which like rhodophytes, also have phycobilisomes as major antenna complexes. ¬© 1994.</t>
  </si>
  <si>
    <t>357-366</t>
  </si>
  <si>
    <t>60020304;60020304;60020304;60020304</t>
  </si>
  <si>
    <t>7102634421;7102226979;36963849200;7005758772</t>
  </si>
  <si>
    <t>Wolfe, Gregory R.;Cunningham, Francis X.;Grabowski, Beatrice;Gantt, Elisabeth</t>
  </si>
  <si>
    <t>College Park</t>
  </si>
  <si>
    <t>University of Maryland, College Park</t>
  </si>
  <si>
    <t>Isolation and characterization of Photosystems I and II from the red alga Porphyridium cruentum</t>
  </si>
  <si>
    <t>0005-2728(94)90056-6</t>
  </si>
  <si>
    <t>10.1016/0005-2728(94)90056-6</t>
  </si>
  <si>
    <t>2-s2.0-0028670495</t>
  </si>
  <si>
    <t>['several tons', 'new astronomy', 'nautilus ).', 'detect waves']</t>
  </si>
  <si>
    <t>Large metallic cylinders with a mass of several tons have been cooled to liquid helium temperatures and recently down to T ~ 100 mK leading to the most sensitive gravitational wave detector (NAUTILUS). The sensitivity is still not enough to detect waves from distances so large that the number of events becomes several per year. Cooling spherical detectors with a mass around 100 tons to temperatures around 10 mK could achieve this goal giving rise to a new astronomy. ¬© 1994 IOP Publishing Ltd.</t>
  </si>
  <si>
    <t>1192-1197</t>
  </si>
  <si>
    <t>Physics-Uspekhi</t>
  </si>
  <si>
    <t>Frossati, G.</t>
  </si>
  <si>
    <t>Leiden University</t>
  </si>
  <si>
    <t>Frossati G.</t>
  </si>
  <si>
    <t>A fourth-generation cryogenic gravitational antenna</t>
  </si>
  <si>
    <t>10.1070/PU1994v037n12ABEH000061</t>
  </si>
  <si>
    <t>2-s2.0-27144554479</t>
  </si>
  <si>
    <t>['viking magnetic', 'upper e', 'simulated using', 'radar detected', 'possibly influenced', 'plasma data', 'overall decrease', 'orbiting viking', 'magnetospheric cusp', 'ionospheric response', 'ionospheric observations', 'ionospheric footprint', 'instrument magnetospheric', 'geomagnetic field', 'f7 satellites', 'cusp signature', 'cusp appeared', 'coincident multi', 'auroral model']</t>
  </si>
  <si>
    <t>Coincident multi-instrument magnetospheric and ionospheric observations have made it possible to determine the position of the ionospheric footprint of the magnetospheric cusp and to monitor its evolution over time. The data used include charged particle and magnetic field measurements from the Earth-orbiting Viking and DMSP-F7 satellites, electric field measurements from Viking, interplanetary magnetic field and plasma data from IMP-8, and Sondrestrom incoherent scatter radar observations of the ionospheric plasma density, temperature, and convection. Viking detected cusp precipitation poleward of 75.5¬∞ invariant latitude. The ionospheric response to the observed electron precipitation was simulated using an auroral model. It predicts enhanced plasma density and elevated electron temperature in the upper E- and F-regions. Sondrestrom radar observations are in agreement with the predictions. The radar detected a cusp signature on each of five consecutive antenna elevation scans covering 1.2 h local time. The cusp appeared to be about 2¬∞ invariant latitude wide, and its ionospheric footprint shifted equatorward by nearly 2¬∞ during this time, possibly influenced by an overall decrease in the IMF Bz component. The radar plasma drift data and the Viking magnetic and electric field data suggest that the cusp was associated with a continuous, rather than a patchy, merging between the IMF and the geomagnetic field. ¬© European Geosciences Union 1994.</t>
  </si>
  <si>
    <t>1144-1157</t>
  </si>
  <si>
    <t>6603471661;11438963500;8454752600;9939235000;7004933393;6603893875;35482828300;57190927159</t>
  </si>
  <si>
    <t>Watermann, J.;De la Beaujardi√®re, O.;Lummerzheim, D.;Woch, J.;Newell, P. T.;Potemra, T. A.;Rich, F. J.;Shapshak, M.</t>
  </si>
  <si>
    <t>Watermann J.</t>
  </si>
  <si>
    <t>The dynamic cusp at low altitudes: A case study utilizing viking, dmsp-f7, and sondrestrom incoherent scatter radar observations</t>
  </si>
  <si>
    <t>10.1007/s00585-994-1144-7</t>
  </si>
  <si>
    <t>2-s2.0-84984407381</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</si>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</sst>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5"/>
      <sheetName val="1994"/>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CAC0-2DE3-9C46-9E25-A8255D1B66C1}">
  <dimension ref="A1:AW298"/>
  <sheetViews>
    <sheetView tabSelected="1" topLeftCell="V1" workbookViewId="0">
      <selection activeCell="AN2" sqref="AN2"/>
    </sheetView>
  </sheetViews>
  <sheetFormatPr baseColWidth="10" defaultRowHeight="16" x14ac:dyDescent="0.2"/>
  <sheetData>
    <row r="1" spans="1:49" s="12" customFormat="1" x14ac:dyDescent="0.2">
      <c r="A1" s="15"/>
      <c r="B1" s="15" t="s">
        <v>3577</v>
      </c>
      <c r="C1" s="15" t="s">
        <v>3576</v>
      </c>
      <c r="D1" s="15" t="s">
        <v>3575</v>
      </c>
      <c r="E1" s="15" t="s">
        <v>3574</v>
      </c>
      <c r="F1" s="15" t="s">
        <v>3573</v>
      </c>
      <c r="G1" s="15" t="s">
        <v>3572</v>
      </c>
      <c r="H1" s="15" t="s">
        <v>3571</v>
      </c>
      <c r="I1" s="15" t="s">
        <v>3570</v>
      </c>
      <c r="J1" s="15" t="s">
        <v>3569</v>
      </c>
      <c r="K1" s="15" t="s">
        <v>3568</v>
      </c>
      <c r="L1" s="15" t="s">
        <v>3567</v>
      </c>
      <c r="M1" s="15" t="s">
        <v>3566</v>
      </c>
      <c r="N1" s="15" t="s">
        <v>3565</v>
      </c>
      <c r="O1" s="15" t="s">
        <v>3564</v>
      </c>
      <c r="P1" s="15" t="s">
        <v>3563</v>
      </c>
      <c r="Q1" s="15" t="s">
        <v>3562</v>
      </c>
      <c r="R1" s="20" t="s">
        <v>3561</v>
      </c>
      <c r="S1" s="15" t="s">
        <v>3560</v>
      </c>
      <c r="T1" s="15" t="s">
        <v>3560</v>
      </c>
      <c r="U1" s="15" t="s">
        <v>3559</v>
      </c>
      <c r="V1" s="20" t="s">
        <v>3558</v>
      </c>
      <c r="W1" s="15" t="s">
        <v>3557</v>
      </c>
      <c r="X1" s="14" t="s">
        <v>3556</v>
      </c>
      <c r="Y1" s="19" t="s">
        <v>3555</v>
      </c>
      <c r="Z1" s="18" t="s">
        <v>3540</v>
      </c>
      <c r="AA1" s="15" t="s">
        <v>3554</v>
      </c>
      <c r="AB1" s="15" t="s">
        <v>3553</v>
      </c>
      <c r="AC1" s="15" t="s">
        <v>3552</v>
      </c>
      <c r="AD1" s="15" t="s">
        <v>3551</v>
      </c>
      <c r="AE1" s="15" t="s">
        <v>3550</v>
      </c>
      <c r="AF1" s="15" t="s">
        <v>3549</v>
      </c>
      <c r="AG1" s="15" t="s">
        <v>3548</v>
      </c>
      <c r="AH1" s="15" t="s">
        <v>3547</v>
      </c>
      <c r="AI1" s="15" t="s">
        <v>3546</v>
      </c>
      <c r="AJ1" s="15" t="s">
        <v>3545</v>
      </c>
      <c r="AK1" s="14" t="s">
        <v>3544</v>
      </c>
      <c r="AL1" s="15" t="s">
        <v>3543</v>
      </c>
      <c r="AM1" s="17" t="s">
        <v>3542</v>
      </c>
      <c r="AN1" s="16" t="s">
        <v>3541</v>
      </c>
      <c r="AO1" s="16" t="s">
        <v>3540</v>
      </c>
      <c r="AP1" s="15" t="s">
        <v>3539</v>
      </c>
      <c r="AQ1" s="15" t="s">
        <v>3538</v>
      </c>
      <c r="AR1" s="15" t="s">
        <v>3537</v>
      </c>
      <c r="AS1" s="15" t="s">
        <v>3536</v>
      </c>
      <c r="AT1" s="14" t="s">
        <v>3535</v>
      </c>
      <c r="AU1" s="13" t="s">
        <v>3534</v>
      </c>
      <c r="AV1" s="13" t="s">
        <v>3533</v>
      </c>
      <c r="AW1" s="13" t="s">
        <v>3532</v>
      </c>
    </row>
    <row r="2" spans="1:49" x14ac:dyDescent="0.2">
      <c r="A2">
        <v>0</v>
      </c>
      <c r="B2" t="s">
        <v>3531</v>
      </c>
      <c r="C2" t="s">
        <v>3530</v>
      </c>
      <c r="F2" t="s">
        <v>3529</v>
      </c>
      <c r="G2" t="s">
        <v>8</v>
      </c>
      <c r="H2" t="s">
        <v>7</v>
      </c>
      <c r="I2" t="s">
        <v>3528</v>
      </c>
      <c r="N2">
        <v>8</v>
      </c>
      <c r="O2" t="s">
        <v>3527</v>
      </c>
      <c r="P2" t="s">
        <v>3526</v>
      </c>
      <c r="Q2" t="s">
        <v>127</v>
      </c>
      <c r="R2" s="7">
        <v>34699</v>
      </c>
      <c r="S2" s="8">
        <f t="shared" ref="S2:S65" si="0">YEAR(R2)</f>
        <v>1994</v>
      </c>
      <c r="T2" s="8">
        <v>1994</v>
      </c>
      <c r="U2" s="8">
        <f t="shared" ref="U2:U65" si="1">2022-T2</f>
        <v>28</v>
      </c>
      <c r="V2" s="7">
        <v>34699</v>
      </c>
      <c r="W2" t="s">
        <v>435</v>
      </c>
      <c r="X2" s="2">
        <v>0.52200000000000002</v>
      </c>
      <c r="Y2" s="6">
        <f t="shared" ref="Y2:Y65" si="2">(X2-$Z$4)/($Z$3-$Z$4)</f>
        <v>1.393449187154641E-2</v>
      </c>
      <c r="AA2">
        <v>9927689</v>
      </c>
      <c r="AB2">
        <v>27424</v>
      </c>
      <c r="AC2">
        <v>14320576</v>
      </c>
      <c r="AD2" t="s">
        <v>2</v>
      </c>
      <c r="AE2">
        <v>12</v>
      </c>
      <c r="AF2">
        <v>12</v>
      </c>
      <c r="AH2" t="s">
        <v>3525</v>
      </c>
      <c r="AI2" t="s">
        <v>3524</v>
      </c>
      <c r="AK2" t="s">
        <v>3523</v>
      </c>
      <c r="AL2">
        <v>8</v>
      </c>
      <c r="AM2" s="5">
        <f t="shared" ref="AM2:AM65" si="3">AL2/U2</f>
        <v>0.2857142857142857</v>
      </c>
      <c r="AN2" s="4">
        <f t="shared" ref="AN2:AN65" si="4">(AM2-$AO$4)/($AO$3-$AO$4)</f>
        <v>4.3273651755287499E-4</v>
      </c>
      <c r="AO2" s="3"/>
      <c r="AP2">
        <v>0</v>
      </c>
      <c r="AR2" t="s">
        <v>1</v>
      </c>
      <c r="AT2" s="2">
        <v>1.88</v>
      </c>
      <c r="AU2" s="1">
        <f t="shared" ref="AU2:AU65" si="5">(Y2*0.7+AN2*0.3)*100</f>
        <v>0.9883965265348349</v>
      </c>
      <c r="AV2" s="1">
        <f t="shared" ref="AV2:AV65" si="6">(Y2*0.5+AN2*0.5)*100</f>
        <v>0.71836141945496423</v>
      </c>
      <c r="AW2" s="1">
        <f t="shared" ref="AW2:AW65" si="7">(Y2*0.3+AN2*0.7)*100</f>
        <v>0.44832631237509363</v>
      </c>
    </row>
    <row r="3" spans="1:49" x14ac:dyDescent="0.2">
      <c r="A3">
        <v>1</v>
      </c>
      <c r="B3" t="s">
        <v>3522</v>
      </c>
      <c r="C3" t="s">
        <v>3521</v>
      </c>
      <c r="F3" t="s">
        <v>3520</v>
      </c>
      <c r="G3" t="s">
        <v>8</v>
      </c>
      <c r="H3" t="s">
        <v>7</v>
      </c>
      <c r="I3" t="s">
        <v>3519</v>
      </c>
      <c r="J3">
        <v>60019816</v>
      </c>
      <c r="K3" t="s">
        <v>3518</v>
      </c>
      <c r="L3" t="s">
        <v>110</v>
      </c>
      <c r="M3" t="s">
        <v>109</v>
      </c>
      <c r="N3">
        <v>1</v>
      </c>
      <c r="O3" t="s">
        <v>3517</v>
      </c>
      <c r="P3">
        <v>7007117704</v>
      </c>
      <c r="Q3">
        <v>60019816</v>
      </c>
      <c r="R3" s="7">
        <v>34699</v>
      </c>
      <c r="S3" s="8">
        <f t="shared" si="0"/>
        <v>1994</v>
      </c>
      <c r="T3" s="8">
        <v>1994</v>
      </c>
      <c r="U3" s="8">
        <f t="shared" si="1"/>
        <v>28</v>
      </c>
      <c r="V3" s="7">
        <v>34699</v>
      </c>
      <c r="W3" t="s">
        <v>3516</v>
      </c>
      <c r="X3" s="2">
        <v>0.81200000000000006</v>
      </c>
      <c r="Y3" s="6">
        <f t="shared" si="2"/>
        <v>2.1675876244627749E-2</v>
      </c>
      <c r="Z3">
        <v>37.460999999999999</v>
      </c>
      <c r="AA3">
        <v>10637869</v>
      </c>
      <c r="AB3">
        <v>29244</v>
      </c>
      <c r="AC3">
        <v>14684780</v>
      </c>
      <c r="AD3" t="s">
        <v>2</v>
      </c>
      <c r="AE3">
        <v>37</v>
      </c>
      <c r="AF3">
        <v>12</v>
      </c>
      <c r="AH3" t="s">
        <v>3515</v>
      </c>
      <c r="AI3" t="s">
        <v>3514</v>
      </c>
      <c r="AK3" t="s">
        <v>3513</v>
      </c>
      <c r="AL3">
        <v>5</v>
      </c>
      <c r="AM3" s="5">
        <f t="shared" si="3"/>
        <v>0.17857142857142858</v>
      </c>
      <c r="AN3" s="4">
        <f t="shared" si="4"/>
        <v>2.7046032347054688E-4</v>
      </c>
      <c r="AO3" s="3">
        <v>660.25</v>
      </c>
      <c r="AP3">
        <v>0</v>
      </c>
      <c r="AR3" t="s">
        <v>1</v>
      </c>
      <c r="AT3" s="2">
        <v>3.3610000000000002</v>
      </c>
      <c r="AU3" s="1">
        <f t="shared" si="5"/>
        <v>1.5254251468280589</v>
      </c>
      <c r="AV3" s="1">
        <f t="shared" si="6"/>
        <v>1.0973168284049146</v>
      </c>
      <c r="AW3" s="1">
        <f t="shared" si="7"/>
        <v>0.66920850998177073</v>
      </c>
    </row>
    <row r="4" spans="1:49" x14ac:dyDescent="0.2">
      <c r="A4">
        <v>2</v>
      </c>
      <c r="B4" t="s">
        <v>3512</v>
      </c>
      <c r="C4" t="s">
        <v>3511</v>
      </c>
      <c r="D4" t="s">
        <v>3510</v>
      </c>
      <c r="F4" t="s">
        <v>3509</v>
      </c>
      <c r="G4" t="s">
        <v>8</v>
      </c>
      <c r="H4" t="s">
        <v>7</v>
      </c>
      <c r="I4" t="s">
        <v>26</v>
      </c>
      <c r="J4">
        <v>60020304</v>
      </c>
      <c r="K4" t="s">
        <v>3508</v>
      </c>
      <c r="L4" t="s">
        <v>3507</v>
      </c>
      <c r="M4" t="s">
        <v>19</v>
      </c>
      <c r="N4">
        <v>4</v>
      </c>
      <c r="O4" t="s">
        <v>3506</v>
      </c>
      <c r="P4" t="s">
        <v>3505</v>
      </c>
      <c r="Q4" t="s">
        <v>3504</v>
      </c>
      <c r="R4" s="7">
        <v>34698</v>
      </c>
      <c r="S4" s="8">
        <f t="shared" si="0"/>
        <v>1994</v>
      </c>
      <c r="T4" s="8">
        <v>1994</v>
      </c>
      <c r="U4" s="8">
        <f t="shared" si="1"/>
        <v>28</v>
      </c>
      <c r="V4" s="7">
        <v>34698</v>
      </c>
      <c r="W4" t="s">
        <v>371</v>
      </c>
      <c r="X4" s="2">
        <v>1.59</v>
      </c>
      <c r="Y4" s="6">
        <f t="shared" si="2"/>
        <v>4.2444141907583888E-2</v>
      </c>
      <c r="Z4">
        <v>0</v>
      </c>
      <c r="AA4">
        <v>52728</v>
      </c>
      <c r="AB4">
        <v>16791</v>
      </c>
      <c r="AD4" t="s">
        <v>2</v>
      </c>
      <c r="AE4">
        <v>1188</v>
      </c>
      <c r="AF4">
        <v>3</v>
      </c>
      <c r="AH4" t="s">
        <v>3503</v>
      </c>
      <c r="AI4" t="s">
        <v>3502</v>
      </c>
      <c r="AJ4" t="s">
        <v>3501</v>
      </c>
      <c r="AK4" t="s">
        <v>3500</v>
      </c>
      <c r="AL4">
        <v>36</v>
      </c>
      <c r="AM4" s="5">
        <f t="shared" si="3"/>
        <v>1.2857142857142858</v>
      </c>
      <c r="AN4" s="4">
        <f t="shared" si="4"/>
        <v>1.9473143289879377E-3</v>
      </c>
      <c r="AO4" s="3">
        <v>0</v>
      </c>
      <c r="AP4">
        <v>0</v>
      </c>
      <c r="AQ4" t="s">
        <v>97</v>
      </c>
      <c r="AR4" t="s">
        <v>1</v>
      </c>
      <c r="AS4" t="s">
        <v>96</v>
      </c>
      <c r="AT4" s="2" t="s">
        <v>0</v>
      </c>
      <c r="AU4" s="1">
        <f t="shared" si="5"/>
        <v>3.0295093634005101</v>
      </c>
      <c r="AV4" s="1">
        <f t="shared" si="6"/>
        <v>2.2195728118285913</v>
      </c>
      <c r="AW4" s="1">
        <f t="shared" si="7"/>
        <v>1.4096362602566721</v>
      </c>
    </row>
    <row r="5" spans="1:49" x14ac:dyDescent="0.2">
      <c r="A5">
        <v>3</v>
      </c>
      <c r="B5" t="s">
        <v>3499</v>
      </c>
      <c r="C5" t="s">
        <v>3498</v>
      </c>
      <c r="D5">
        <v>5272894900469</v>
      </c>
      <c r="F5" t="s">
        <v>3497</v>
      </c>
      <c r="G5" t="s">
        <v>8</v>
      </c>
      <c r="H5" t="s">
        <v>7</v>
      </c>
      <c r="I5" t="s">
        <v>3496</v>
      </c>
      <c r="J5">
        <v>60003878</v>
      </c>
      <c r="K5" t="s">
        <v>111</v>
      </c>
      <c r="L5" t="s">
        <v>110</v>
      </c>
      <c r="M5" t="s">
        <v>109</v>
      </c>
      <c r="N5">
        <v>3</v>
      </c>
      <c r="O5" t="s">
        <v>3495</v>
      </c>
      <c r="P5" t="s">
        <v>3494</v>
      </c>
      <c r="Q5" t="s">
        <v>108</v>
      </c>
      <c r="R5" s="7">
        <v>34698</v>
      </c>
      <c r="S5" s="8">
        <f t="shared" si="0"/>
        <v>1994</v>
      </c>
      <c r="T5" s="8">
        <v>1994</v>
      </c>
      <c r="U5" s="8">
        <f t="shared" si="1"/>
        <v>28</v>
      </c>
      <c r="V5" s="7">
        <v>34698</v>
      </c>
      <c r="W5" t="s">
        <v>371</v>
      </c>
      <c r="X5" s="2">
        <v>1.59</v>
      </c>
      <c r="Y5" s="6">
        <f t="shared" si="2"/>
        <v>4.2444141907583888E-2</v>
      </c>
      <c r="AA5">
        <v>52728</v>
      </c>
      <c r="AB5">
        <v>16791</v>
      </c>
      <c r="AD5" t="s">
        <v>2</v>
      </c>
      <c r="AE5">
        <v>1188</v>
      </c>
      <c r="AF5">
        <v>3</v>
      </c>
      <c r="AH5" t="s">
        <v>3493</v>
      </c>
      <c r="AI5" t="s">
        <v>3492</v>
      </c>
      <c r="AJ5" t="s">
        <v>3491</v>
      </c>
      <c r="AK5" t="s">
        <v>3490</v>
      </c>
      <c r="AL5">
        <v>33</v>
      </c>
      <c r="AM5" s="5">
        <f t="shared" si="3"/>
        <v>1.1785714285714286</v>
      </c>
      <c r="AN5" s="4">
        <f t="shared" si="4"/>
        <v>1.7850381349056093E-3</v>
      </c>
      <c r="AO5" s="3"/>
      <c r="AP5">
        <v>0</v>
      </c>
      <c r="AQ5" t="s">
        <v>207</v>
      </c>
      <c r="AR5" t="s">
        <v>1</v>
      </c>
      <c r="AS5" t="s">
        <v>206</v>
      </c>
      <c r="AT5" s="2" t="s">
        <v>0</v>
      </c>
      <c r="AU5" s="1">
        <f t="shared" si="5"/>
        <v>3.0246410775780403</v>
      </c>
      <c r="AV5" s="1">
        <f t="shared" si="6"/>
        <v>2.2114590021244749</v>
      </c>
      <c r="AW5" s="1">
        <f t="shared" si="7"/>
        <v>1.3982769266709092</v>
      </c>
    </row>
    <row r="6" spans="1:49" x14ac:dyDescent="0.2">
      <c r="A6">
        <v>4</v>
      </c>
      <c r="B6" t="s">
        <v>3489</v>
      </c>
      <c r="C6" t="s">
        <v>3488</v>
      </c>
      <c r="D6" t="s">
        <v>3487</v>
      </c>
      <c r="F6" t="s">
        <v>3486</v>
      </c>
      <c r="G6" t="s">
        <v>8</v>
      </c>
      <c r="H6" t="s">
        <v>7</v>
      </c>
      <c r="I6" t="s">
        <v>3485</v>
      </c>
      <c r="J6" t="s">
        <v>3484</v>
      </c>
      <c r="K6" t="s">
        <v>3483</v>
      </c>
      <c r="L6" t="s">
        <v>3482</v>
      </c>
      <c r="M6" t="s">
        <v>3481</v>
      </c>
      <c r="N6">
        <v>4</v>
      </c>
      <c r="O6" t="s">
        <v>3480</v>
      </c>
      <c r="P6" t="s">
        <v>3479</v>
      </c>
      <c r="Q6" t="s">
        <v>3478</v>
      </c>
      <c r="R6" s="7">
        <v>34698</v>
      </c>
      <c r="S6" s="8">
        <f t="shared" si="0"/>
        <v>1994</v>
      </c>
      <c r="T6" s="8">
        <v>1994</v>
      </c>
      <c r="U6" s="8">
        <f t="shared" si="1"/>
        <v>28</v>
      </c>
      <c r="V6" s="7">
        <v>34698</v>
      </c>
      <c r="W6" t="s">
        <v>371</v>
      </c>
      <c r="X6" s="2">
        <v>1.59</v>
      </c>
      <c r="Y6" s="6">
        <f t="shared" si="2"/>
        <v>4.2444141907583888E-2</v>
      </c>
      <c r="AA6">
        <v>52728</v>
      </c>
      <c r="AB6">
        <v>16791</v>
      </c>
      <c r="AD6" t="s">
        <v>2</v>
      </c>
      <c r="AE6">
        <v>1188</v>
      </c>
      <c r="AF6">
        <v>3</v>
      </c>
      <c r="AH6" t="s">
        <v>3477</v>
      </c>
      <c r="AI6" t="s">
        <v>3476</v>
      </c>
      <c r="AJ6" t="s">
        <v>3475</v>
      </c>
      <c r="AK6" t="s">
        <v>3474</v>
      </c>
      <c r="AL6">
        <v>30</v>
      </c>
      <c r="AM6" s="5">
        <f t="shared" si="3"/>
        <v>1.0714285714285714</v>
      </c>
      <c r="AN6" s="4">
        <f t="shared" si="4"/>
        <v>1.6227619408232812E-3</v>
      </c>
      <c r="AO6" s="3"/>
      <c r="AP6">
        <v>0</v>
      </c>
      <c r="AQ6" t="s">
        <v>318</v>
      </c>
      <c r="AR6" t="s">
        <v>3473</v>
      </c>
      <c r="AS6" t="s">
        <v>317</v>
      </c>
      <c r="AT6" s="2" t="s">
        <v>0</v>
      </c>
      <c r="AU6" s="1">
        <f t="shared" si="5"/>
        <v>3.0197727917555706</v>
      </c>
      <c r="AV6" s="1">
        <f t="shared" si="6"/>
        <v>2.2033451924203584</v>
      </c>
      <c r="AW6" s="1">
        <f t="shared" si="7"/>
        <v>1.3869175930851463</v>
      </c>
    </row>
    <row r="7" spans="1:49" x14ac:dyDescent="0.2">
      <c r="A7">
        <v>5</v>
      </c>
      <c r="B7" t="s">
        <v>3472</v>
      </c>
      <c r="C7" t="s">
        <v>3471</v>
      </c>
      <c r="E7">
        <v>7809105</v>
      </c>
      <c r="F7" t="s">
        <v>3470</v>
      </c>
      <c r="G7" t="s">
        <v>8</v>
      </c>
      <c r="H7" t="s">
        <v>7</v>
      </c>
      <c r="I7" t="s">
        <v>3469</v>
      </c>
      <c r="J7" t="s">
        <v>3468</v>
      </c>
      <c r="K7" t="s">
        <v>3467</v>
      </c>
      <c r="L7" t="s">
        <v>3466</v>
      </c>
      <c r="M7" t="s">
        <v>3465</v>
      </c>
      <c r="N7">
        <v>5</v>
      </c>
      <c r="O7" t="s">
        <v>3464</v>
      </c>
      <c r="P7" t="s">
        <v>3463</v>
      </c>
      <c r="Q7" t="s">
        <v>3462</v>
      </c>
      <c r="R7" s="7">
        <v>34688</v>
      </c>
      <c r="S7" s="8">
        <f t="shared" si="0"/>
        <v>1994</v>
      </c>
      <c r="T7" s="8">
        <v>1994</v>
      </c>
      <c r="U7" s="8">
        <f t="shared" si="1"/>
        <v>28</v>
      </c>
      <c r="V7" s="7">
        <v>34688</v>
      </c>
      <c r="W7" t="s">
        <v>447</v>
      </c>
      <c r="X7" s="2">
        <v>5.0110000000000001</v>
      </c>
      <c r="Y7" s="6">
        <f t="shared" si="2"/>
        <v>0.13376578308107098</v>
      </c>
      <c r="AA7">
        <v>278424</v>
      </c>
      <c r="AB7">
        <v>21121</v>
      </c>
      <c r="AD7" t="s">
        <v>2</v>
      </c>
      <c r="AE7">
        <v>91</v>
      </c>
      <c r="AF7">
        <v>26</v>
      </c>
      <c r="AH7" t="s">
        <v>3461</v>
      </c>
      <c r="AI7" t="s">
        <v>3460</v>
      </c>
      <c r="AJ7" t="s">
        <v>3459</v>
      </c>
      <c r="AK7" t="s">
        <v>3458</v>
      </c>
      <c r="AL7">
        <v>113</v>
      </c>
      <c r="AM7" s="5">
        <f t="shared" si="3"/>
        <v>4.0357142857142856</v>
      </c>
      <c r="AN7" s="4">
        <f t="shared" si="4"/>
        <v>6.1124033104343594E-3</v>
      </c>
      <c r="AO7" s="3"/>
      <c r="AP7">
        <v>1</v>
      </c>
      <c r="AR7" t="s">
        <v>1</v>
      </c>
      <c r="AT7" s="2" t="s">
        <v>0</v>
      </c>
      <c r="AU7" s="1">
        <f t="shared" si="5"/>
        <v>9.5469769149879991</v>
      </c>
      <c r="AV7" s="1">
        <f t="shared" si="6"/>
        <v>6.9939093195752671</v>
      </c>
      <c r="AW7" s="1">
        <f t="shared" si="7"/>
        <v>4.4408417241625342</v>
      </c>
    </row>
    <row r="8" spans="1:49" x14ac:dyDescent="0.2">
      <c r="A8">
        <v>6</v>
      </c>
      <c r="B8" t="s">
        <v>3457</v>
      </c>
      <c r="C8" t="s">
        <v>3456</v>
      </c>
      <c r="D8" t="s">
        <v>3455</v>
      </c>
      <c r="F8" t="s">
        <v>3454</v>
      </c>
      <c r="G8" t="s">
        <v>8</v>
      </c>
      <c r="H8" t="s">
        <v>7</v>
      </c>
      <c r="I8" t="s">
        <v>3453</v>
      </c>
      <c r="J8">
        <v>60029701</v>
      </c>
      <c r="K8" t="s">
        <v>3452</v>
      </c>
      <c r="L8" t="s">
        <v>3451</v>
      </c>
      <c r="M8" t="s">
        <v>53</v>
      </c>
      <c r="N8">
        <v>2</v>
      </c>
      <c r="O8" t="s">
        <v>3450</v>
      </c>
      <c r="P8" t="s">
        <v>3449</v>
      </c>
      <c r="Q8" t="s">
        <v>3448</v>
      </c>
      <c r="R8" s="7">
        <v>34683</v>
      </c>
      <c r="S8" s="8">
        <f t="shared" si="0"/>
        <v>1994</v>
      </c>
      <c r="T8" s="8">
        <v>1994</v>
      </c>
      <c r="U8" s="8">
        <f t="shared" si="1"/>
        <v>28</v>
      </c>
      <c r="V8" s="7">
        <v>34683</v>
      </c>
      <c r="W8" t="s">
        <v>432</v>
      </c>
      <c r="X8" s="2" t="s">
        <v>0</v>
      </c>
      <c r="Y8" s="6" t="e">
        <f t="shared" si="2"/>
        <v>#VALUE!</v>
      </c>
      <c r="AA8">
        <v>1689002</v>
      </c>
      <c r="AB8">
        <v>29067</v>
      </c>
      <c r="AD8" t="s">
        <v>2</v>
      </c>
      <c r="AE8">
        <v>352</v>
      </c>
      <c r="AF8" s="10">
        <v>44228</v>
      </c>
      <c r="AH8" t="s">
        <v>3447</v>
      </c>
      <c r="AI8" t="s">
        <v>3446</v>
      </c>
      <c r="AK8" t="s">
        <v>3445</v>
      </c>
      <c r="AL8">
        <v>0</v>
      </c>
      <c r="AM8" s="5">
        <f t="shared" si="3"/>
        <v>0</v>
      </c>
      <c r="AN8" s="4">
        <f t="shared" si="4"/>
        <v>0</v>
      </c>
      <c r="AO8" s="3"/>
      <c r="AP8">
        <v>0</v>
      </c>
      <c r="AR8" t="s">
        <v>1</v>
      </c>
      <c r="AT8" s="2" t="s">
        <v>0</v>
      </c>
      <c r="AU8" s="1" t="e">
        <f t="shared" si="5"/>
        <v>#VALUE!</v>
      </c>
      <c r="AV8" s="1" t="e">
        <f t="shared" si="6"/>
        <v>#VALUE!</v>
      </c>
      <c r="AW8" s="1" t="e">
        <f t="shared" si="7"/>
        <v>#VALUE!</v>
      </c>
    </row>
    <row r="9" spans="1:49" x14ac:dyDescent="0.2">
      <c r="A9">
        <v>7</v>
      </c>
      <c r="B9" t="s">
        <v>3444</v>
      </c>
      <c r="C9" t="s">
        <v>3443</v>
      </c>
      <c r="F9" t="s">
        <v>3442</v>
      </c>
      <c r="G9" t="s">
        <v>8</v>
      </c>
      <c r="H9" t="s">
        <v>7</v>
      </c>
      <c r="I9" t="s">
        <v>3441</v>
      </c>
      <c r="J9">
        <v>60020818</v>
      </c>
      <c r="K9" t="s">
        <v>3440</v>
      </c>
      <c r="L9" t="s">
        <v>3439</v>
      </c>
      <c r="M9" t="s">
        <v>19</v>
      </c>
      <c r="N9">
        <v>5</v>
      </c>
      <c r="O9" t="s">
        <v>3438</v>
      </c>
      <c r="P9" t="s">
        <v>3437</v>
      </c>
      <c r="Q9" t="s">
        <v>3436</v>
      </c>
      <c r="R9" s="7">
        <v>34678</v>
      </c>
      <c r="S9" s="8">
        <f t="shared" si="0"/>
        <v>1994</v>
      </c>
      <c r="T9" s="8">
        <v>1994</v>
      </c>
      <c r="U9" s="8">
        <f t="shared" si="1"/>
        <v>28</v>
      </c>
      <c r="V9" s="7">
        <v>34678</v>
      </c>
      <c r="W9" t="s">
        <v>449</v>
      </c>
      <c r="X9" s="2">
        <v>0.66800000000000004</v>
      </c>
      <c r="Y9" s="6">
        <f t="shared" si="2"/>
        <v>1.7831878486959774E-2</v>
      </c>
      <c r="AA9" t="s">
        <v>448</v>
      </c>
      <c r="AB9">
        <v>29593</v>
      </c>
      <c r="AC9">
        <v>21553165</v>
      </c>
      <c r="AD9" t="s">
        <v>2</v>
      </c>
      <c r="AE9">
        <v>33</v>
      </c>
      <c r="AF9">
        <v>35</v>
      </c>
      <c r="AH9" t="s">
        <v>3435</v>
      </c>
      <c r="AI9" t="s">
        <v>3434</v>
      </c>
      <c r="AJ9" t="s">
        <v>3433</v>
      </c>
      <c r="AK9" t="s">
        <v>3432</v>
      </c>
      <c r="AL9">
        <v>34</v>
      </c>
      <c r="AM9" s="5">
        <f t="shared" si="3"/>
        <v>1.2142857142857142</v>
      </c>
      <c r="AN9" s="4">
        <f t="shared" si="4"/>
        <v>1.8391301995997185E-3</v>
      </c>
      <c r="AO9" s="3"/>
      <c r="AP9">
        <v>0</v>
      </c>
      <c r="AR9" t="s">
        <v>1</v>
      </c>
      <c r="AT9" s="2">
        <v>1.98</v>
      </c>
      <c r="AU9" s="1">
        <f t="shared" si="5"/>
        <v>1.3034054000751756</v>
      </c>
      <c r="AV9" s="1">
        <f t="shared" si="6"/>
        <v>0.98355043432797462</v>
      </c>
      <c r="AW9" s="1">
        <f t="shared" si="7"/>
        <v>0.66369546858077344</v>
      </c>
    </row>
    <row r="10" spans="1:49" x14ac:dyDescent="0.2">
      <c r="A10">
        <v>8</v>
      </c>
      <c r="B10" t="s">
        <v>3431</v>
      </c>
      <c r="C10" t="s">
        <v>3430</v>
      </c>
      <c r="D10" t="s">
        <v>3429</v>
      </c>
      <c r="F10" t="s">
        <v>3428</v>
      </c>
      <c r="G10" t="s">
        <v>8</v>
      </c>
      <c r="H10" t="s">
        <v>7</v>
      </c>
      <c r="I10" t="s">
        <v>3427</v>
      </c>
      <c r="J10">
        <v>60003122</v>
      </c>
      <c r="K10" t="s">
        <v>1603</v>
      </c>
      <c r="L10" t="s">
        <v>305</v>
      </c>
      <c r="M10" t="s">
        <v>47</v>
      </c>
      <c r="N10">
        <v>2</v>
      </c>
      <c r="O10" t="s">
        <v>3426</v>
      </c>
      <c r="P10" t="s">
        <v>3425</v>
      </c>
      <c r="Q10" t="s">
        <v>3424</v>
      </c>
      <c r="R10" s="7">
        <v>34676</v>
      </c>
      <c r="S10" s="8">
        <f t="shared" si="0"/>
        <v>1994</v>
      </c>
      <c r="T10" s="8">
        <v>1994</v>
      </c>
      <c r="U10" s="8">
        <f t="shared" si="1"/>
        <v>28</v>
      </c>
      <c r="V10" s="7">
        <v>34676</v>
      </c>
      <c r="W10" t="s">
        <v>2357</v>
      </c>
      <c r="X10" s="2">
        <v>1.3149999999999999</v>
      </c>
      <c r="Y10" s="6">
        <f t="shared" si="2"/>
        <v>3.5103173967592965E-2</v>
      </c>
      <c r="AA10" t="s">
        <v>2356</v>
      </c>
      <c r="AB10">
        <v>13030</v>
      </c>
      <c r="AC10">
        <v>10958568</v>
      </c>
      <c r="AD10" t="s">
        <v>2</v>
      </c>
      <c r="AE10">
        <v>178</v>
      </c>
      <c r="AF10">
        <v>4</v>
      </c>
      <c r="AH10" t="s">
        <v>3423</v>
      </c>
      <c r="AI10" t="s">
        <v>3422</v>
      </c>
      <c r="AK10" t="s">
        <v>3421</v>
      </c>
      <c r="AL10">
        <v>140</v>
      </c>
      <c r="AM10" s="5">
        <f t="shared" si="3"/>
        <v>5</v>
      </c>
      <c r="AN10" s="4">
        <f t="shared" si="4"/>
        <v>7.5728890571753124E-3</v>
      </c>
      <c r="AO10" s="3"/>
      <c r="AP10">
        <v>0</v>
      </c>
      <c r="AR10" t="s">
        <v>1</v>
      </c>
      <c r="AT10" s="2">
        <v>3.6549999999999998</v>
      </c>
      <c r="AU10" s="1">
        <f t="shared" si="5"/>
        <v>2.6844088494467671</v>
      </c>
      <c r="AV10" s="1">
        <f t="shared" si="6"/>
        <v>2.1338031512384137</v>
      </c>
      <c r="AW10" s="1">
        <f t="shared" si="7"/>
        <v>1.5831974530300608</v>
      </c>
    </row>
    <row r="11" spans="1:49" x14ac:dyDescent="0.2">
      <c r="A11">
        <v>9</v>
      </c>
      <c r="B11" t="s">
        <v>3420</v>
      </c>
      <c r="C11" t="s">
        <v>3419</v>
      </c>
      <c r="F11" t="s">
        <v>3418</v>
      </c>
      <c r="G11" t="s">
        <v>8</v>
      </c>
      <c r="H11" t="s">
        <v>7</v>
      </c>
      <c r="I11" t="s">
        <v>3417</v>
      </c>
      <c r="J11">
        <v>60024322</v>
      </c>
      <c r="K11" t="s">
        <v>328</v>
      </c>
      <c r="L11" t="s">
        <v>327</v>
      </c>
      <c r="M11" t="s">
        <v>53</v>
      </c>
      <c r="N11">
        <v>6</v>
      </c>
      <c r="O11" t="s">
        <v>3416</v>
      </c>
      <c r="P11" t="s">
        <v>3415</v>
      </c>
      <c r="Q11" t="s">
        <v>3414</v>
      </c>
      <c r="R11" s="7">
        <v>34669</v>
      </c>
      <c r="S11" s="8">
        <f t="shared" si="0"/>
        <v>1994</v>
      </c>
      <c r="T11" s="8">
        <v>1994</v>
      </c>
      <c r="U11" s="8">
        <f t="shared" si="1"/>
        <v>28</v>
      </c>
      <c r="V11" s="7">
        <v>1994</v>
      </c>
      <c r="W11" t="s">
        <v>338</v>
      </c>
      <c r="X11" s="2">
        <v>0.60499999999999998</v>
      </c>
      <c r="Y11" s="6">
        <f t="shared" si="2"/>
        <v>1.6150129467980032E-2</v>
      </c>
      <c r="AA11">
        <v>346748</v>
      </c>
      <c r="AB11">
        <v>15563</v>
      </c>
      <c r="AD11" t="s">
        <v>2</v>
      </c>
      <c r="AE11">
        <v>65</v>
      </c>
      <c r="AF11">
        <v>3</v>
      </c>
      <c r="AH11" t="s">
        <v>3413</v>
      </c>
      <c r="AI11" t="s">
        <v>3412</v>
      </c>
      <c r="AK11" t="s">
        <v>3411</v>
      </c>
      <c r="AL11">
        <v>9</v>
      </c>
      <c r="AM11" s="5">
        <f t="shared" si="3"/>
        <v>0.32142857142857145</v>
      </c>
      <c r="AN11" s="4">
        <f t="shared" si="4"/>
        <v>4.8682858224698443E-4</v>
      </c>
      <c r="AO11" s="3"/>
      <c r="AP11">
        <v>0</v>
      </c>
      <c r="AR11" t="s">
        <v>1</v>
      </c>
      <c r="AT11" s="2">
        <v>1.5229999999999999</v>
      </c>
      <c r="AU11" s="1">
        <f t="shared" si="5"/>
        <v>1.1451139202260117</v>
      </c>
      <c r="AV11" s="1">
        <f t="shared" si="6"/>
        <v>0.83184790251135088</v>
      </c>
      <c r="AW11" s="1">
        <f t="shared" si="7"/>
        <v>0.51858188479668987</v>
      </c>
    </row>
    <row r="12" spans="1:49" x14ac:dyDescent="0.2">
      <c r="A12">
        <v>10</v>
      </c>
      <c r="B12" t="s">
        <v>3410</v>
      </c>
      <c r="D12">
        <v>6350994900035</v>
      </c>
      <c r="F12" t="s">
        <v>3409</v>
      </c>
      <c r="G12" t="s">
        <v>8</v>
      </c>
      <c r="H12" t="s">
        <v>7</v>
      </c>
      <c r="I12" t="s">
        <v>3408</v>
      </c>
      <c r="J12">
        <v>60007457</v>
      </c>
      <c r="K12" t="s">
        <v>142</v>
      </c>
      <c r="L12" t="s">
        <v>141</v>
      </c>
      <c r="M12" t="s">
        <v>17</v>
      </c>
      <c r="N12">
        <v>2</v>
      </c>
      <c r="O12" t="s">
        <v>3407</v>
      </c>
      <c r="P12" t="s">
        <v>3406</v>
      </c>
      <c r="Q12" t="s">
        <v>3405</v>
      </c>
      <c r="R12" s="7">
        <v>34669</v>
      </c>
      <c r="S12" s="8">
        <f t="shared" si="0"/>
        <v>1994</v>
      </c>
      <c r="T12" s="8">
        <v>1994</v>
      </c>
      <c r="U12" s="8">
        <f t="shared" si="1"/>
        <v>28</v>
      </c>
      <c r="V12" s="7">
        <v>1994</v>
      </c>
      <c r="W12" t="s">
        <v>3404</v>
      </c>
      <c r="X12" s="2" t="s">
        <v>0</v>
      </c>
      <c r="Y12" s="6" t="e">
        <f t="shared" si="2"/>
        <v>#VALUE!</v>
      </c>
      <c r="AA12">
        <v>63509</v>
      </c>
      <c r="AB12">
        <v>14860</v>
      </c>
      <c r="AD12" t="s">
        <v>2</v>
      </c>
      <c r="AE12">
        <v>39</v>
      </c>
      <c r="AF12">
        <v>1</v>
      </c>
      <c r="AH12" s="10">
        <v>44409</v>
      </c>
      <c r="AI12" t="s">
        <v>3403</v>
      </c>
      <c r="AK12" t="s">
        <v>3402</v>
      </c>
      <c r="AL12">
        <v>2</v>
      </c>
      <c r="AM12" s="5">
        <f t="shared" si="3"/>
        <v>7.1428571428571425E-2</v>
      </c>
      <c r="AN12" s="4">
        <f t="shared" si="4"/>
        <v>1.0818412938821875E-4</v>
      </c>
      <c r="AO12" s="3"/>
      <c r="AP12">
        <v>0</v>
      </c>
      <c r="AR12" t="s">
        <v>1</v>
      </c>
      <c r="AT12" s="2" t="s">
        <v>0</v>
      </c>
      <c r="AU12" s="1" t="e">
        <f t="shared" si="5"/>
        <v>#VALUE!</v>
      </c>
      <c r="AV12" s="1" t="e">
        <f t="shared" si="6"/>
        <v>#VALUE!</v>
      </c>
      <c r="AW12" s="1" t="e">
        <f t="shared" si="7"/>
        <v>#VALUE!</v>
      </c>
    </row>
    <row r="13" spans="1:49" x14ac:dyDescent="0.2">
      <c r="A13">
        <v>11</v>
      </c>
      <c r="B13" t="s">
        <v>3401</v>
      </c>
      <c r="C13" t="s">
        <v>3400</v>
      </c>
      <c r="F13" t="s">
        <v>3399</v>
      </c>
      <c r="G13" t="s">
        <v>8</v>
      </c>
      <c r="H13" t="s">
        <v>7</v>
      </c>
      <c r="I13" t="s">
        <v>3398</v>
      </c>
      <c r="J13">
        <v>60024266</v>
      </c>
      <c r="K13" t="s">
        <v>191</v>
      </c>
      <c r="L13" t="s">
        <v>190</v>
      </c>
      <c r="M13" t="s">
        <v>19</v>
      </c>
      <c r="N13">
        <v>3</v>
      </c>
      <c r="O13" t="s">
        <v>3397</v>
      </c>
      <c r="P13" t="s">
        <v>3396</v>
      </c>
      <c r="Q13" t="s">
        <v>3395</v>
      </c>
      <c r="R13" s="7">
        <v>34669</v>
      </c>
      <c r="S13" s="8">
        <f t="shared" si="0"/>
        <v>1994</v>
      </c>
      <c r="T13" s="8">
        <v>1994</v>
      </c>
      <c r="U13" s="8">
        <f t="shared" si="1"/>
        <v>28</v>
      </c>
      <c r="V13" s="7">
        <v>1994</v>
      </c>
      <c r="W13" t="s">
        <v>338</v>
      </c>
      <c r="X13" s="2">
        <v>0.60499999999999998</v>
      </c>
      <c r="Y13" s="6">
        <f t="shared" si="2"/>
        <v>1.6150129467980032E-2</v>
      </c>
      <c r="AA13">
        <v>346748</v>
      </c>
      <c r="AB13">
        <v>15563</v>
      </c>
      <c r="AD13" t="s">
        <v>2</v>
      </c>
      <c r="AE13">
        <v>65</v>
      </c>
      <c r="AF13">
        <v>6</v>
      </c>
      <c r="AH13" t="s">
        <v>3394</v>
      </c>
      <c r="AI13" t="s">
        <v>3393</v>
      </c>
      <c r="AK13" t="s">
        <v>3392</v>
      </c>
      <c r="AL13">
        <v>11</v>
      </c>
      <c r="AM13" s="5">
        <f t="shared" si="3"/>
        <v>0.39285714285714285</v>
      </c>
      <c r="AN13" s="4">
        <f t="shared" si="4"/>
        <v>5.9501271163520315E-4</v>
      </c>
      <c r="AO13" s="3"/>
      <c r="AP13">
        <v>0</v>
      </c>
      <c r="AR13" t="s">
        <v>1</v>
      </c>
      <c r="AT13" s="2">
        <v>1.5229999999999999</v>
      </c>
      <c r="AU13" s="1">
        <f t="shared" si="5"/>
        <v>1.1483594441076583</v>
      </c>
      <c r="AV13" s="1">
        <f t="shared" si="6"/>
        <v>0.83725710898076189</v>
      </c>
      <c r="AW13" s="1">
        <f t="shared" si="7"/>
        <v>0.52615477385386522</v>
      </c>
    </row>
    <row r="14" spans="1:49" x14ac:dyDescent="0.2">
      <c r="A14">
        <v>12</v>
      </c>
      <c r="B14" t="s">
        <v>3391</v>
      </c>
      <c r="C14" t="s">
        <v>3390</v>
      </c>
      <c r="F14" t="s">
        <v>3389</v>
      </c>
      <c r="G14" t="s">
        <v>8</v>
      </c>
      <c r="H14" t="s">
        <v>7</v>
      </c>
      <c r="I14" t="s">
        <v>3388</v>
      </c>
      <c r="J14">
        <v>60003729</v>
      </c>
      <c r="K14" t="s">
        <v>69</v>
      </c>
      <c r="L14" t="s">
        <v>68</v>
      </c>
      <c r="M14" t="s">
        <v>10</v>
      </c>
      <c r="N14">
        <v>2</v>
      </c>
      <c r="O14" t="s">
        <v>3387</v>
      </c>
      <c r="P14" t="s">
        <v>3386</v>
      </c>
      <c r="Q14" t="s">
        <v>3385</v>
      </c>
      <c r="R14" s="7">
        <v>34669</v>
      </c>
      <c r="S14" s="8">
        <f t="shared" si="0"/>
        <v>1994</v>
      </c>
      <c r="T14" s="8">
        <v>1994</v>
      </c>
      <c r="U14" s="8">
        <f t="shared" si="1"/>
        <v>28</v>
      </c>
      <c r="V14" s="7">
        <v>1994</v>
      </c>
      <c r="W14" t="s">
        <v>247</v>
      </c>
      <c r="X14" s="2">
        <v>1.3280000000000001</v>
      </c>
      <c r="Y14" s="6">
        <f t="shared" si="2"/>
        <v>3.5450201542937994E-2</v>
      </c>
      <c r="AA14">
        <v>7413335</v>
      </c>
      <c r="AB14">
        <v>29251</v>
      </c>
      <c r="AD14" t="s">
        <v>2</v>
      </c>
      <c r="AE14">
        <v>36</v>
      </c>
      <c r="AF14" t="s">
        <v>3384</v>
      </c>
      <c r="AG14">
        <v>9</v>
      </c>
      <c r="AI14" t="s">
        <v>3383</v>
      </c>
      <c r="AK14" t="s">
        <v>3382</v>
      </c>
      <c r="AL14">
        <v>12</v>
      </c>
      <c r="AM14" s="5">
        <f t="shared" si="3"/>
        <v>0.42857142857142855</v>
      </c>
      <c r="AN14" s="4">
        <f t="shared" si="4"/>
        <v>6.4910477632931242E-4</v>
      </c>
      <c r="AO14" s="3"/>
      <c r="AP14">
        <v>0</v>
      </c>
      <c r="AR14" t="s">
        <v>1</v>
      </c>
      <c r="AT14" s="2">
        <v>2.4580000000000002</v>
      </c>
      <c r="AU14" s="1">
        <f t="shared" si="5"/>
        <v>2.5009872512955389</v>
      </c>
      <c r="AV14" s="1">
        <f t="shared" si="6"/>
        <v>1.8049653159633652</v>
      </c>
      <c r="AW14" s="1">
        <f t="shared" si="7"/>
        <v>1.1089433806311917</v>
      </c>
    </row>
    <row r="15" spans="1:49" x14ac:dyDescent="0.2">
      <c r="A15">
        <v>13</v>
      </c>
      <c r="B15" t="s">
        <v>3381</v>
      </c>
      <c r="C15" t="s">
        <v>3380</v>
      </c>
      <c r="F15" t="s">
        <v>3379</v>
      </c>
      <c r="G15" t="s">
        <v>8</v>
      </c>
      <c r="H15" t="s">
        <v>7</v>
      </c>
      <c r="I15" t="s">
        <v>3378</v>
      </c>
      <c r="J15">
        <v>60020943</v>
      </c>
      <c r="K15" t="s">
        <v>3377</v>
      </c>
      <c r="L15" t="s">
        <v>141</v>
      </c>
      <c r="M15" t="s">
        <v>17</v>
      </c>
      <c r="N15">
        <v>1</v>
      </c>
      <c r="O15" t="s">
        <v>3376</v>
      </c>
      <c r="P15">
        <v>56275004000</v>
      </c>
      <c r="Q15">
        <v>60020943</v>
      </c>
      <c r="R15" s="7">
        <v>34669</v>
      </c>
      <c r="S15" s="8">
        <f t="shared" si="0"/>
        <v>1994</v>
      </c>
      <c r="T15" s="8">
        <v>1994</v>
      </c>
      <c r="U15" s="8">
        <f t="shared" si="1"/>
        <v>28</v>
      </c>
      <c r="V15" s="7">
        <v>1994</v>
      </c>
      <c r="W15" t="s">
        <v>2429</v>
      </c>
      <c r="X15" s="2">
        <v>1.774</v>
      </c>
      <c r="Y15" s="6">
        <f t="shared" si="2"/>
        <v>4.7355916820159633E-2</v>
      </c>
      <c r="AA15">
        <v>295515</v>
      </c>
      <c r="AB15">
        <v>29066</v>
      </c>
      <c r="AD15" t="s">
        <v>2</v>
      </c>
      <c r="AE15">
        <v>34</v>
      </c>
      <c r="AF15">
        <v>1</v>
      </c>
      <c r="AG15" t="s">
        <v>2703</v>
      </c>
      <c r="AH15" t="s">
        <v>3375</v>
      </c>
      <c r="AI15" t="s">
        <v>3374</v>
      </c>
      <c r="AK15" t="s">
        <v>3373</v>
      </c>
      <c r="AL15">
        <v>5</v>
      </c>
      <c r="AM15" s="5">
        <f t="shared" si="3"/>
        <v>0.17857142857142858</v>
      </c>
      <c r="AN15" s="4">
        <f t="shared" si="4"/>
        <v>2.7046032347054688E-4</v>
      </c>
      <c r="AO15" s="3"/>
      <c r="AP15">
        <v>0</v>
      </c>
      <c r="AR15" t="s">
        <v>1</v>
      </c>
      <c r="AT15" s="2">
        <v>3.1789999999999998</v>
      </c>
      <c r="AU15" s="1">
        <f t="shared" si="5"/>
        <v>3.3230279871152901</v>
      </c>
      <c r="AV15" s="1">
        <f t="shared" si="6"/>
        <v>2.3813188571815092</v>
      </c>
      <c r="AW15" s="1">
        <f t="shared" si="7"/>
        <v>1.4396097272477271</v>
      </c>
    </row>
    <row r="16" spans="1:49" x14ac:dyDescent="0.2">
      <c r="A16">
        <v>14</v>
      </c>
      <c r="B16" t="s">
        <v>3372</v>
      </c>
      <c r="C16" t="s">
        <v>3371</v>
      </c>
      <c r="F16" t="s">
        <v>3370</v>
      </c>
      <c r="G16" t="s">
        <v>8</v>
      </c>
      <c r="H16" t="s">
        <v>7</v>
      </c>
      <c r="I16" t="s">
        <v>3369</v>
      </c>
      <c r="J16">
        <v>60000130</v>
      </c>
      <c r="K16" t="s">
        <v>3368</v>
      </c>
      <c r="L16" t="s">
        <v>3367</v>
      </c>
      <c r="M16" t="s">
        <v>140</v>
      </c>
      <c r="N16">
        <v>4</v>
      </c>
      <c r="O16" t="s">
        <v>3366</v>
      </c>
      <c r="P16" t="s">
        <v>3365</v>
      </c>
      <c r="Q16" t="s">
        <v>3364</v>
      </c>
      <c r="R16" s="7">
        <v>34669</v>
      </c>
      <c r="S16" s="8">
        <f t="shared" si="0"/>
        <v>1994</v>
      </c>
      <c r="T16" s="8">
        <v>1994</v>
      </c>
      <c r="U16" s="8">
        <f t="shared" si="1"/>
        <v>28</v>
      </c>
      <c r="V16" s="7">
        <v>1994</v>
      </c>
      <c r="W16" t="s">
        <v>3363</v>
      </c>
      <c r="X16" s="2" t="s">
        <v>0</v>
      </c>
      <c r="Y16" s="6" t="e">
        <f t="shared" si="2"/>
        <v>#VALUE!</v>
      </c>
      <c r="AA16">
        <v>14727773</v>
      </c>
      <c r="AB16">
        <v>62317</v>
      </c>
      <c r="AD16" t="s">
        <v>2</v>
      </c>
      <c r="AF16">
        <v>10</v>
      </c>
      <c r="AH16" t="s">
        <v>3362</v>
      </c>
      <c r="AI16" t="s">
        <v>3361</v>
      </c>
      <c r="AK16" t="s">
        <v>3360</v>
      </c>
      <c r="AL16">
        <v>13</v>
      </c>
      <c r="AM16" s="5">
        <f t="shared" si="3"/>
        <v>0.4642857142857143</v>
      </c>
      <c r="AN16" s="4">
        <f t="shared" si="4"/>
        <v>7.0319684102342192E-4</v>
      </c>
      <c r="AO16" s="3"/>
      <c r="AP16">
        <v>0</v>
      </c>
      <c r="AR16" t="s">
        <v>1</v>
      </c>
      <c r="AT16" s="2" t="s">
        <v>0</v>
      </c>
      <c r="AU16" s="1" t="e">
        <f t="shared" si="5"/>
        <v>#VALUE!</v>
      </c>
      <c r="AV16" s="1" t="e">
        <f t="shared" si="6"/>
        <v>#VALUE!</v>
      </c>
      <c r="AW16" s="1" t="e">
        <f t="shared" si="7"/>
        <v>#VALUE!</v>
      </c>
    </row>
    <row r="17" spans="1:49" x14ac:dyDescent="0.2">
      <c r="A17">
        <v>15</v>
      </c>
      <c r="B17" t="s">
        <v>3359</v>
      </c>
      <c r="C17" t="s">
        <v>3358</v>
      </c>
      <c r="F17" t="s">
        <v>3357</v>
      </c>
      <c r="G17" t="s">
        <v>8</v>
      </c>
      <c r="H17" t="s">
        <v>7</v>
      </c>
      <c r="I17" t="s">
        <v>268</v>
      </c>
      <c r="J17" t="s">
        <v>3356</v>
      </c>
      <c r="K17" t="s">
        <v>3355</v>
      </c>
      <c r="L17" t="s">
        <v>3354</v>
      </c>
      <c r="M17" t="s">
        <v>300</v>
      </c>
      <c r="N17">
        <v>5</v>
      </c>
      <c r="O17" t="s">
        <v>3353</v>
      </c>
      <c r="P17" t="s">
        <v>3352</v>
      </c>
      <c r="Q17" t="s">
        <v>3351</v>
      </c>
      <c r="R17" s="7">
        <v>34669</v>
      </c>
      <c r="S17" s="8">
        <f t="shared" si="0"/>
        <v>1994</v>
      </c>
      <c r="T17" s="8">
        <v>1994</v>
      </c>
      <c r="U17" s="8">
        <f t="shared" si="1"/>
        <v>28</v>
      </c>
      <c r="V17" s="7">
        <v>1994</v>
      </c>
      <c r="W17" t="s">
        <v>2546</v>
      </c>
      <c r="X17" s="2">
        <v>0.69899999999999995</v>
      </c>
      <c r="Y17" s="6">
        <f t="shared" si="2"/>
        <v>1.8659405782013295E-2</v>
      </c>
      <c r="AA17">
        <v>218979</v>
      </c>
      <c r="AB17">
        <v>28132</v>
      </c>
      <c r="AD17" t="s">
        <v>2</v>
      </c>
      <c r="AE17">
        <v>76</v>
      </c>
      <c r="AF17">
        <v>2</v>
      </c>
      <c r="AH17" t="s">
        <v>3350</v>
      </c>
      <c r="AI17" t="s">
        <v>3349</v>
      </c>
      <c r="AK17" t="s">
        <v>3348</v>
      </c>
      <c r="AL17">
        <v>4</v>
      </c>
      <c r="AM17" s="5">
        <f t="shared" si="3"/>
        <v>0.14285714285714285</v>
      </c>
      <c r="AN17" s="4">
        <f t="shared" si="4"/>
        <v>2.1636825877643749E-4</v>
      </c>
      <c r="AO17" s="3"/>
      <c r="AP17">
        <v>0</v>
      </c>
      <c r="AR17" t="s">
        <v>1</v>
      </c>
      <c r="AT17" s="2">
        <v>2.5459999999999998</v>
      </c>
      <c r="AU17" s="1">
        <f t="shared" si="5"/>
        <v>1.3126494525042236</v>
      </c>
      <c r="AV17" s="1">
        <f t="shared" si="6"/>
        <v>0.9437887020394865</v>
      </c>
      <c r="AW17" s="1">
        <f t="shared" si="7"/>
        <v>0.57492795157474941</v>
      </c>
    </row>
    <row r="18" spans="1:49" x14ac:dyDescent="0.2">
      <c r="A18">
        <v>16</v>
      </c>
      <c r="B18" t="s">
        <v>3347</v>
      </c>
      <c r="C18" t="s">
        <v>3346</v>
      </c>
      <c r="F18" t="s">
        <v>3345</v>
      </c>
      <c r="G18" t="s">
        <v>8</v>
      </c>
      <c r="H18" t="s">
        <v>7</v>
      </c>
      <c r="I18" t="s">
        <v>395</v>
      </c>
      <c r="J18" t="s">
        <v>394</v>
      </c>
      <c r="K18" t="s">
        <v>393</v>
      </c>
      <c r="L18" t="s">
        <v>392</v>
      </c>
      <c r="M18" t="s">
        <v>12</v>
      </c>
      <c r="N18">
        <v>6</v>
      </c>
      <c r="O18" t="s">
        <v>3344</v>
      </c>
      <c r="P18" t="s">
        <v>391</v>
      </c>
      <c r="Q18" t="s">
        <v>3343</v>
      </c>
      <c r="R18" s="7">
        <v>34669</v>
      </c>
      <c r="S18" s="8">
        <f t="shared" si="0"/>
        <v>1994</v>
      </c>
      <c r="T18" s="8">
        <v>1994</v>
      </c>
      <c r="U18" s="8">
        <f t="shared" si="1"/>
        <v>28</v>
      </c>
      <c r="V18" s="7">
        <v>1994</v>
      </c>
      <c r="W18" t="s">
        <v>2417</v>
      </c>
      <c r="X18" s="2">
        <v>1.1819999999999999</v>
      </c>
      <c r="Y18" s="6">
        <f t="shared" si="2"/>
        <v>3.1552814927524625E-2</v>
      </c>
      <c r="AA18">
        <v>36951</v>
      </c>
      <c r="AB18">
        <v>27030</v>
      </c>
      <c r="AD18" t="s">
        <v>2</v>
      </c>
      <c r="AE18">
        <v>64</v>
      </c>
      <c r="AF18">
        <v>7</v>
      </c>
      <c r="AH18" t="s">
        <v>3342</v>
      </c>
      <c r="AI18" t="s">
        <v>3341</v>
      </c>
      <c r="AK18" t="s">
        <v>3340</v>
      </c>
      <c r="AL18">
        <v>3</v>
      </c>
      <c r="AM18" s="5">
        <f t="shared" si="3"/>
        <v>0.10714285714285714</v>
      </c>
      <c r="AN18" s="4">
        <f t="shared" si="4"/>
        <v>1.6227619408232811E-4</v>
      </c>
      <c r="AO18" s="3"/>
      <c r="AP18">
        <v>0</v>
      </c>
      <c r="AR18" t="s">
        <v>1</v>
      </c>
      <c r="AT18" s="2">
        <v>3.7909999999999999</v>
      </c>
      <c r="AU18" s="1">
        <f t="shared" si="5"/>
        <v>2.2135653307491934</v>
      </c>
      <c r="AV18" s="1">
        <f t="shared" si="6"/>
        <v>1.5857545560803477</v>
      </c>
      <c r="AW18" s="1">
        <f t="shared" si="7"/>
        <v>0.95794378141150183</v>
      </c>
    </row>
    <row r="19" spans="1:49" x14ac:dyDescent="0.2">
      <c r="A19">
        <v>17</v>
      </c>
      <c r="B19" t="s">
        <v>3339</v>
      </c>
      <c r="C19" t="s">
        <v>3338</v>
      </c>
      <c r="F19" t="s">
        <v>3337</v>
      </c>
      <c r="G19" t="s">
        <v>8</v>
      </c>
      <c r="H19" t="s">
        <v>7</v>
      </c>
      <c r="I19" t="s">
        <v>3336</v>
      </c>
      <c r="J19">
        <v>60021378</v>
      </c>
      <c r="K19" t="s">
        <v>65</v>
      </c>
      <c r="L19" t="s">
        <v>64</v>
      </c>
      <c r="M19" t="s">
        <v>19</v>
      </c>
      <c r="N19">
        <v>2</v>
      </c>
      <c r="O19" t="s">
        <v>3335</v>
      </c>
      <c r="P19" t="s">
        <v>3334</v>
      </c>
      <c r="Q19" t="s">
        <v>63</v>
      </c>
      <c r="R19" s="7">
        <v>34669</v>
      </c>
      <c r="S19" s="8">
        <f t="shared" si="0"/>
        <v>1994</v>
      </c>
      <c r="T19" s="8">
        <v>1994</v>
      </c>
      <c r="U19" s="8">
        <f t="shared" si="1"/>
        <v>28</v>
      </c>
      <c r="V19" s="7">
        <v>1994</v>
      </c>
      <c r="W19" t="s">
        <v>2546</v>
      </c>
      <c r="X19" s="2">
        <v>0.69899999999999995</v>
      </c>
      <c r="Y19" s="6">
        <f t="shared" si="2"/>
        <v>1.8659405782013295E-2</v>
      </c>
      <c r="AA19">
        <v>218979</v>
      </c>
      <c r="AB19">
        <v>28132</v>
      </c>
      <c r="AD19" t="s">
        <v>2</v>
      </c>
      <c r="AE19">
        <v>75</v>
      </c>
      <c r="AF19">
        <v>9</v>
      </c>
      <c r="AH19" t="s">
        <v>3333</v>
      </c>
      <c r="AI19" t="s">
        <v>3332</v>
      </c>
      <c r="AK19" t="s">
        <v>3331</v>
      </c>
      <c r="AL19">
        <v>117</v>
      </c>
      <c r="AM19" s="5">
        <f t="shared" si="3"/>
        <v>4.1785714285714288</v>
      </c>
      <c r="AN19" s="4">
        <f t="shared" si="4"/>
        <v>6.3287715692107969E-3</v>
      </c>
      <c r="AO19" s="3"/>
      <c r="AP19">
        <v>0</v>
      </c>
      <c r="AR19" t="s">
        <v>1</v>
      </c>
      <c r="AT19" s="2">
        <v>2.5459999999999998</v>
      </c>
      <c r="AU19" s="1">
        <f t="shared" si="5"/>
        <v>1.4960215518172544</v>
      </c>
      <c r="AV19" s="1">
        <f t="shared" si="6"/>
        <v>1.2494088675612045</v>
      </c>
      <c r="AW19" s="1">
        <f t="shared" si="7"/>
        <v>1.0027961833051546</v>
      </c>
    </row>
    <row r="20" spans="1:49" x14ac:dyDescent="0.2">
      <c r="A20">
        <v>18</v>
      </c>
      <c r="B20" t="s">
        <v>3330</v>
      </c>
      <c r="C20" t="s">
        <v>3329</v>
      </c>
      <c r="F20" t="s">
        <v>3328</v>
      </c>
      <c r="G20" t="s">
        <v>8</v>
      </c>
      <c r="H20" t="s">
        <v>7</v>
      </c>
      <c r="I20" t="s">
        <v>3327</v>
      </c>
      <c r="J20">
        <v>60021199</v>
      </c>
      <c r="K20" t="s">
        <v>88</v>
      </c>
      <c r="L20" t="s">
        <v>274</v>
      </c>
      <c r="M20" t="s">
        <v>52</v>
      </c>
      <c r="N20">
        <v>1</v>
      </c>
      <c r="O20" t="s">
        <v>3326</v>
      </c>
      <c r="P20">
        <v>56549835400</v>
      </c>
      <c r="Q20">
        <v>60021199</v>
      </c>
      <c r="R20" s="7">
        <v>34669</v>
      </c>
      <c r="S20" s="8">
        <f t="shared" si="0"/>
        <v>1994</v>
      </c>
      <c r="T20" s="8">
        <v>1994</v>
      </c>
      <c r="U20" s="8">
        <f t="shared" si="1"/>
        <v>28</v>
      </c>
      <c r="V20" s="7">
        <v>1994</v>
      </c>
      <c r="W20" t="s">
        <v>338</v>
      </c>
      <c r="X20" s="2">
        <v>0.60499999999999998</v>
      </c>
      <c r="Y20" s="6">
        <f t="shared" si="2"/>
        <v>1.6150129467980032E-2</v>
      </c>
      <c r="AA20">
        <v>346748</v>
      </c>
      <c r="AB20">
        <v>15563</v>
      </c>
      <c r="AD20" t="s">
        <v>2</v>
      </c>
      <c r="AE20">
        <v>65</v>
      </c>
      <c r="AF20">
        <v>8</v>
      </c>
      <c r="AH20" t="s">
        <v>3325</v>
      </c>
      <c r="AI20" t="s">
        <v>3324</v>
      </c>
      <c r="AK20" t="s">
        <v>3323</v>
      </c>
      <c r="AL20">
        <v>7</v>
      </c>
      <c r="AM20" s="5">
        <f t="shared" si="3"/>
        <v>0.25</v>
      </c>
      <c r="AN20" s="4">
        <f t="shared" si="4"/>
        <v>3.786444528587656E-4</v>
      </c>
      <c r="AO20" s="3"/>
      <c r="AP20">
        <v>0</v>
      </c>
      <c r="AR20" t="s">
        <v>1</v>
      </c>
      <c r="AT20" s="2">
        <v>1.5229999999999999</v>
      </c>
      <c r="AU20" s="1">
        <f t="shared" si="5"/>
        <v>1.1418683963443652</v>
      </c>
      <c r="AV20" s="1">
        <f t="shared" si="6"/>
        <v>0.82643869604193987</v>
      </c>
      <c r="AW20" s="1">
        <f t="shared" si="7"/>
        <v>0.51100899573951453</v>
      </c>
    </row>
    <row r="21" spans="1:49" x14ac:dyDescent="0.2">
      <c r="A21">
        <v>19</v>
      </c>
      <c r="B21" t="s">
        <v>3322</v>
      </c>
      <c r="C21" t="s">
        <v>3321</v>
      </c>
      <c r="F21" t="s">
        <v>3320</v>
      </c>
      <c r="G21" t="s">
        <v>8</v>
      </c>
      <c r="H21" t="s">
        <v>7</v>
      </c>
      <c r="I21" t="s">
        <v>3319</v>
      </c>
      <c r="J21">
        <v>60025038</v>
      </c>
      <c r="K21" t="s">
        <v>260</v>
      </c>
      <c r="L21" t="s">
        <v>259</v>
      </c>
      <c r="M21" t="s">
        <v>19</v>
      </c>
      <c r="N21">
        <v>4</v>
      </c>
      <c r="O21" t="s">
        <v>3318</v>
      </c>
      <c r="P21" t="s">
        <v>3317</v>
      </c>
      <c r="Q21" t="s">
        <v>258</v>
      </c>
      <c r="R21" s="7">
        <v>34669</v>
      </c>
      <c r="S21" s="8">
        <f t="shared" si="0"/>
        <v>1994</v>
      </c>
      <c r="T21" s="8">
        <v>1994</v>
      </c>
      <c r="U21" s="8">
        <f t="shared" si="1"/>
        <v>28</v>
      </c>
      <c r="V21" s="7">
        <v>1994</v>
      </c>
      <c r="W21" t="s">
        <v>338</v>
      </c>
      <c r="X21" s="2">
        <v>0.60499999999999998</v>
      </c>
      <c r="Y21" s="6">
        <f t="shared" si="2"/>
        <v>1.6150129467980032E-2</v>
      </c>
      <c r="AA21">
        <v>346748</v>
      </c>
      <c r="AB21">
        <v>15563</v>
      </c>
      <c r="AD21" t="s">
        <v>2</v>
      </c>
      <c r="AE21">
        <v>65</v>
      </c>
      <c r="AF21">
        <v>4</v>
      </c>
      <c r="AH21" t="s">
        <v>3316</v>
      </c>
      <c r="AI21" t="s">
        <v>3315</v>
      </c>
      <c r="AK21" t="s">
        <v>3314</v>
      </c>
      <c r="AL21">
        <v>3</v>
      </c>
      <c r="AM21" s="5">
        <f t="shared" si="3"/>
        <v>0.10714285714285714</v>
      </c>
      <c r="AN21" s="4">
        <f t="shared" si="4"/>
        <v>1.6227619408232811E-4</v>
      </c>
      <c r="AO21" s="3"/>
      <c r="AP21">
        <v>0</v>
      </c>
      <c r="AR21" t="s">
        <v>1</v>
      </c>
      <c r="AT21" s="2">
        <v>1.5229999999999999</v>
      </c>
      <c r="AU21" s="1">
        <f t="shared" si="5"/>
        <v>1.1353773485810721</v>
      </c>
      <c r="AV21" s="1">
        <f t="shared" si="6"/>
        <v>0.81562028310311807</v>
      </c>
      <c r="AW21" s="1">
        <f t="shared" si="7"/>
        <v>0.49586321762516394</v>
      </c>
    </row>
    <row r="22" spans="1:49" x14ac:dyDescent="0.2">
      <c r="A22">
        <v>20</v>
      </c>
      <c r="B22" t="s">
        <v>3313</v>
      </c>
      <c r="C22" t="s">
        <v>3312</v>
      </c>
      <c r="F22" t="s">
        <v>3311</v>
      </c>
      <c r="G22" t="s">
        <v>8</v>
      </c>
      <c r="H22" t="s">
        <v>7</v>
      </c>
      <c r="I22" t="s">
        <v>3310</v>
      </c>
      <c r="J22">
        <v>60015186</v>
      </c>
      <c r="K22" t="s">
        <v>271</v>
      </c>
      <c r="L22" t="s">
        <v>71</v>
      </c>
      <c r="M22" t="s">
        <v>47</v>
      </c>
      <c r="N22">
        <v>3</v>
      </c>
      <c r="O22" t="s">
        <v>3309</v>
      </c>
      <c r="P22" t="s">
        <v>3308</v>
      </c>
      <c r="Q22" t="s">
        <v>270</v>
      </c>
      <c r="R22" s="7">
        <v>34669</v>
      </c>
      <c r="S22" s="8">
        <f t="shared" si="0"/>
        <v>1994</v>
      </c>
      <c r="T22" s="8">
        <v>1994</v>
      </c>
      <c r="U22" s="8">
        <f t="shared" si="1"/>
        <v>28</v>
      </c>
      <c r="V22" s="7">
        <v>1994</v>
      </c>
      <c r="W22" t="s">
        <v>338</v>
      </c>
      <c r="X22" s="2">
        <v>0.60499999999999998</v>
      </c>
      <c r="Y22" s="6">
        <f t="shared" si="2"/>
        <v>1.6150129467980032E-2</v>
      </c>
      <c r="AA22">
        <v>346748</v>
      </c>
      <c r="AB22">
        <v>15563</v>
      </c>
      <c r="AD22" t="s">
        <v>2</v>
      </c>
      <c r="AE22">
        <v>65</v>
      </c>
      <c r="AF22">
        <v>9</v>
      </c>
      <c r="AH22" t="s">
        <v>3307</v>
      </c>
      <c r="AI22" t="s">
        <v>3306</v>
      </c>
      <c r="AK22" t="s">
        <v>3305</v>
      </c>
      <c r="AL22">
        <v>4</v>
      </c>
      <c r="AM22" s="5">
        <f t="shared" si="3"/>
        <v>0.14285714285714285</v>
      </c>
      <c r="AN22" s="4">
        <f t="shared" si="4"/>
        <v>2.1636825877643749E-4</v>
      </c>
      <c r="AO22" s="3"/>
      <c r="AP22">
        <v>0</v>
      </c>
      <c r="AR22" t="s">
        <v>1</v>
      </c>
      <c r="AT22" s="2">
        <v>1.5229999999999999</v>
      </c>
      <c r="AU22" s="1">
        <f t="shared" si="5"/>
        <v>1.1370001105218952</v>
      </c>
      <c r="AV22" s="1">
        <f t="shared" si="6"/>
        <v>0.81832488633782341</v>
      </c>
      <c r="AW22" s="1">
        <f t="shared" si="7"/>
        <v>0.49964966215375162</v>
      </c>
    </row>
    <row r="23" spans="1:49" x14ac:dyDescent="0.2">
      <c r="A23">
        <v>21</v>
      </c>
      <c r="B23" t="s">
        <v>3304</v>
      </c>
      <c r="C23" t="s">
        <v>3303</v>
      </c>
      <c r="F23" t="s">
        <v>3302</v>
      </c>
      <c r="G23" t="s">
        <v>8</v>
      </c>
      <c r="H23" t="s">
        <v>7</v>
      </c>
      <c r="I23" t="s">
        <v>3301</v>
      </c>
      <c r="J23" t="s">
        <v>3300</v>
      </c>
      <c r="K23" t="s">
        <v>3299</v>
      </c>
      <c r="L23" t="s">
        <v>3298</v>
      </c>
      <c r="M23" t="s">
        <v>208</v>
      </c>
      <c r="N23">
        <v>2</v>
      </c>
      <c r="O23" t="s">
        <v>3297</v>
      </c>
      <c r="P23" t="s">
        <v>3296</v>
      </c>
      <c r="Q23" t="s">
        <v>3295</v>
      </c>
      <c r="R23" s="7">
        <v>34669</v>
      </c>
      <c r="S23" s="8">
        <f t="shared" si="0"/>
        <v>1994</v>
      </c>
      <c r="T23" s="8">
        <v>1994</v>
      </c>
      <c r="U23" s="8">
        <f t="shared" si="1"/>
        <v>28</v>
      </c>
      <c r="V23" s="7">
        <v>1994</v>
      </c>
      <c r="W23" t="s">
        <v>3242</v>
      </c>
      <c r="X23" s="2">
        <v>1.528</v>
      </c>
      <c r="Y23" s="6">
        <f t="shared" si="2"/>
        <v>4.0789087317476845E-2</v>
      </c>
      <c r="AA23">
        <v>2649381</v>
      </c>
      <c r="AB23">
        <v>27433</v>
      </c>
      <c r="AD23" t="s">
        <v>2</v>
      </c>
      <c r="AE23">
        <v>11</v>
      </c>
      <c r="AF23" t="s">
        <v>3241</v>
      </c>
      <c r="AG23">
        <v>5</v>
      </c>
      <c r="AI23" t="s">
        <v>3294</v>
      </c>
      <c r="AK23" t="s">
        <v>3293</v>
      </c>
      <c r="AL23">
        <v>3</v>
      </c>
      <c r="AM23" s="5">
        <f t="shared" si="3"/>
        <v>0.10714285714285714</v>
      </c>
      <c r="AN23" s="4">
        <f t="shared" si="4"/>
        <v>1.6227619408232811E-4</v>
      </c>
      <c r="AO23" s="3"/>
      <c r="AP23">
        <v>0</v>
      </c>
      <c r="AR23" t="s">
        <v>1</v>
      </c>
      <c r="AT23" s="2">
        <v>3.528</v>
      </c>
      <c r="AU23" s="1">
        <f t="shared" si="5"/>
        <v>2.8601043980458489</v>
      </c>
      <c r="AV23" s="1">
        <f t="shared" si="6"/>
        <v>2.0475681755779589</v>
      </c>
      <c r="AW23" s="1">
        <f t="shared" si="7"/>
        <v>1.2350319531100682</v>
      </c>
    </row>
    <row r="24" spans="1:49" x14ac:dyDescent="0.2">
      <c r="A24">
        <v>22</v>
      </c>
      <c r="B24" t="s">
        <v>3292</v>
      </c>
      <c r="C24" t="s">
        <v>3291</v>
      </c>
      <c r="F24" t="s">
        <v>3290</v>
      </c>
      <c r="G24" t="s">
        <v>8</v>
      </c>
      <c r="H24" t="s">
        <v>7</v>
      </c>
      <c r="I24" t="s">
        <v>2433</v>
      </c>
      <c r="J24">
        <v>60025104</v>
      </c>
      <c r="K24" t="s">
        <v>201</v>
      </c>
      <c r="M24" t="s">
        <v>4</v>
      </c>
      <c r="N24">
        <v>6</v>
      </c>
      <c r="O24" t="s">
        <v>3289</v>
      </c>
      <c r="P24" t="s">
        <v>3288</v>
      </c>
      <c r="Q24" t="s">
        <v>3287</v>
      </c>
      <c r="R24" s="7">
        <v>34669</v>
      </c>
      <c r="S24" s="8">
        <f t="shared" si="0"/>
        <v>1994</v>
      </c>
      <c r="T24" s="8">
        <v>1994</v>
      </c>
      <c r="U24" s="8">
        <f t="shared" si="1"/>
        <v>28</v>
      </c>
      <c r="V24" s="7">
        <v>1994</v>
      </c>
      <c r="W24" t="s">
        <v>2429</v>
      </c>
      <c r="X24" s="2">
        <v>1.774</v>
      </c>
      <c r="Y24" s="6">
        <f t="shared" si="2"/>
        <v>4.7355916820159633E-2</v>
      </c>
      <c r="AA24">
        <v>295515</v>
      </c>
      <c r="AB24">
        <v>29066</v>
      </c>
      <c r="AD24" t="s">
        <v>2</v>
      </c>
      <c r="AE24">
        <v>34</v>
      </c>
      <c r="AF24">
        <v>12</v>
      </c>
      <c r="AG24" t="s">
        <v>2703</v>
      </c>
      <c r="AH24" t="s">
        <v>3286</v>
      </c>
      <c r="AI24" t="s">
        <v>3285</v>
      </c>
      <c r="AK24" t="s">
        <v>3284</v>
      </c>
      <c r="AL24">
        <v>66</v>
      </c>
      <c r="AM24" s="5">
        <f t="shared" si="3"/>
        <v>2.3571428571428572</v>
      </c>
      <c r="AN24" s="4">
        <f t="shared" si="4"/>
        <v>3.5700762698112187E-3</v>
      </c>
      <c r="AO24" s="3"/>
      <c r="AP24">
        <v>0</v>
      </c>
      <c r="AR24" t="s">
        <v>1</v>
      </c>
      <c r="AT24" s="2">
        <v>3.1789999999999998</v>
      </c>
      <c r="AU24" s="1">
        <f t="shared" si="5"/>
        <v>3.4220164655055103</v>
      </c>
      <c r="AV24" s="1">
        <f t="shared" si="6"/>
        <v>2.5462996544985428</v>
      </c>
      <c r="AW24" s="1">
        <f t="shared" si="7"/>
        <v>1.6705828434915742</v>
      </c>
    </row>
    <row r="25" spans="1:49" x14ac:dyDescent="0.2">
      <c r="A25">
        <v>23</v>
      </c>
      <c r="B25" t="s">
        <v>3283</v>
      </c>
      <c r="C25" t="s">
        <v>3282</v>
      </c>
      <c r="F25" t="s">
        <v>3281</v>
      </c>
      <c r="G25" t="s">
        <v>8</v>
      </c>
      <c r="H25" t="s">
        <v>7</v>
      </c>
      <c r="I25" t="s">
        <v>3280</v>
      </c>
      <c r="J25">
        <v>60024266</v>
      </c>
      <c r="K25" t="s">
        <v>191</v>
      </c>
      <c r="L25" t="s">
        <v>190</v>
      </c>
      <c r="M25" t="s">
        <v>19</v>
      </c>
      <c r="N25">
        <v>10</v>
      </c>
      <c r="O25" t="s">
        <v>3279</v>
      </c>
      <c r="P25" t="s">
        <v>3278</v>
      </c>
      <c r="Q25" t="s">
        <v>200</v>
      </c>
      <c r="R25" s="7">
        <v>34669</v>
      </c>
      <c r="S25" s="8">
        <f t="shared" si="0"/>
        <v>1994</v>
      </c>
      <c r="T25" s="8">
        <v>1994</v>
      </c>
      <c r="U25" s="8">
        <f t="shared" si="1"/>
        <v>28</v>
      </c>
      <c r="V25" s="7">
        <v>1994</v>
      </c>
      <c r="W25" t="s">
        <v>247</v>
      </c>
      <c r="X25" s="2">
        <v>1.3280000000000001</v>
      </c>
      <c r="Y25" s="6">
        <f t="shared" si="2"/>
        <v>3.5450201542937994E-2</v>
      </c>
      <c r="AA25">
        <v>7413335</v>
      </c>
      <c r="AB25">
        <v>29251</v>
      </c>
      <c r="AD25" t="s">
        <v>2</v>
      </c>
      <c r="AE25">
        <v>36</v>
      </c>
      <c r="AF25">
        <v>12</v>
      </c>
      <c r="AG25">
        <v>9</v>
      </c>
      <c r="AH25" t="s">
        <v>3277</v>
      </c>
      <c r="AI25" t="s">
        <v>3276</v>
      </c>
      <c r="AK25" t="s">
        <v>3275</v>
      </c>
      <c r="AL25">
        <v>15</v>
      </c>
      <c r="AM25" s="5">
        <f t="shared" si="3"/>
        <v>0.5357142857142857</v>
      </c>
      <c r="AN25" s="4">
        <f t="shared" si="4"/>
        <v>8.1138097041164058E-4</v>
      </c>
      <c r="AO25" s="3"/>
      <c r="AP25">
        <v>0</v>
      </c>
      <c r="AR25" t="s">
        <v>1</v>
      </c>
      <c r="AT25" s="2">
        <v>2.4580000000000002</v>
      </c>
      <c r="AU25" s="1">
        <f t="shared" si="5"/>
        <v>2.5058555371180087</v>
      </c>
      <c r="AV25" s="1">
        <f t="shared" si="6"/>
        <v>1.8130791256674816</v>
      </c>
      <c r="AW25" s="1">
        <f t="shared" si="7"/>
        <v>1.1203027142169546</v>
      </c>
    </row>
    <row r="26" spans="1:49" x14ac:dyDescent="0.2">
      <c r="A26">
        <v>24</v>
      </c>
      <c r="B26" t="s">
        <v>3274</v>
      </c>
      <c r="C26" t="s">
        <v>3273</v>
      </c>
      <c r="F26" t="s">
        <v>3272</v>
      </c>
      <c r="G26" t="s">
        <v>8</v>
      </c>
      <c r="H26" t="s">
        <v>7</v>
      </c>
      <c r="I26" t="s">
        <v>3271</v>
      </c>
      <c r="N26">
        <v>3</v>
      </c>
      <c r="O26" t="s">
        <v>3270</v>
      </c>
      <c r="P26" t="s">
        <v>3269</v>
      </c>
      <c r="Q26" t="s">
        <v>121</v>
      </c>
      <c r="R26" s="7">
        <v>34669</v>
      </c>
      <c r="S26" s="8">
        <f t="shared" si="0"/>
        <v>1994</v>
      </c>
      <c r="T26" s="8">
        <v>1994</v>
      </c>
      <c r="U26" s="8">
        <f t="shared" si="1"/>
        <v>28</v>
      </c>
      <c r="V26" s="7">
        <v>34669</v>
      </c>
      <c r="W26" t="s">
        <v>340</v>
      </c>
      <c r="X26" s="2">
        <v>0.14899999999999999</v>
      </c>
      <c r="Y26" s="6">
        <f t="shared" si="2"/>
        <v>3.977469902031446E-3</v>
      </c>
      <c r="AA26">
        <v>5431972</v>
      </c>
      <c r="AB26">
        <v>15425</v>
      </c>
      <c r="AC26">
        <v>15738906</v>
      </c>
      <c r="AD26" t="s">
        <v>2</v>
      </c>
      <c r="AE26">
        <v>37</v>
      </c>
      <c r="AF26">
        <v>12</v>
      </c>
      <c r="AH26" t="s">
        <v>3268</v>
      </c>
      <c r="AI26" t="s">
        <v>3267</v>
      </c>
      <c r="AK26" t="s">
        <v>3266</v>
      </c>
      <c r="AL26">
        <v>0</v>
      </c>
      <c r="AM26" s="5">
        <f t="shared" si="3"/>
        <v>0</v>
      </c>
      <c r="AN26" s="4">
        <f t="shared" si="4"/>
        <v>0</v>
      </c>
      <c r="AO26" s="3"/>
      <c r="AP26">
        <v>0</v>
      </c>
      <c r="AR26" t="s">
        <v>1</v>
      </c>
      <c r="AT26" s="2" t="s">
        <v>0</v>
      </c>
      <c r="AU26" s="1">
        <f t="shared" si="5"/>
        <v>0.2784228931422012</v>
      </c>
      <c r="AV26" s="1">
        <f t="shared" si="6"/>
        <v>0.19887349510157229</v>
      </c>
      <c r="AW26" s="1">
        <f t="shared" si="7"/>
        <v>0.11932409706094337</v>
      </c>
    </row>
    <row r="27" spans="1:49" x14ac:dyDescent="0.2">
      <c r="A27">
        <v>25</v>
      </c>
      <c r="B27" t="s">
        <v>3265</v>
      </c>
      <c r="C27" t="s">
        <v>3264</v>
      </c>
      <c r="F27" t="s">
        <v>3263</v>
      </c>
      <c r="G27" t="s">
        <v>8</v>
      </c>
      <c r="H27" t="s">
        <v>7</v>
      </c>
      <c r="I27" t="s">
        <v>3262</v>
      </c>
      <c r="N27">
        <v>2</v>
      </c>
      <c r="O27" t="s">
        <v>3261</v>
      </c>
      <c r="P27" t="s">
        <v>3260</v>
      </c>
      <c r="Q27" t="s">
        <v>133</v>
      </c>
      <c r="R27" s="7">
        <v>34669</v>
      </c>
      <c r="S27" s="8">
        <f t="shared" si="0"/>
        <v>1994</v>
      </c>
      <c r="T27" s="8">
        <v>1994</v>
      </c>
      <c r="U27" s="8">
        <f t="shared" si="1"/>
        <v>28</v>
      </c>
      <c r="V27" s="7">
        <v>34669</v>
      </c>
      <c r="W27" t="s">
        <v>390</v>
      </c>
      <c r="X27" s="2">
        <v>0.318</v>
      </c>
      <c r="Y27" s="6">
        <f t="shared" si="2"/>
        <v>8.4888283815167786E-3</v>
      </c>
      <c r="AA27">
        <v>338443</v>
      </c>
      <c r="AB27">
        <v>27160</v>
      </c>
      <c r="AC27">
        <v>15739120</v>
      </c>
      <c r="AD27" t="s">
        <v>2</v>
      </c>
      <c r="AE27">
        <v>37</v>
      </c>
      <c r="AF27">
        <v>12</v>
      </c>
      <c r="AH27" t="s">
        <v>3259</v>
      </c>
      <c r="AI27" t="s">
        <v>3258</v>
      </c>
      <c r="AK27" t="s">
        <v>3257</v>
      </c>
      <c r="AL27">
        <v>5</v>
      </c>
      <c r="AM27" s="5">
        <f t="shared" si="3"/>
        <v>0.17857142857142858</v>
      </c>
      <c r="AN27" s="4">
        <f t="shared" si="4"/>
        <v>2.7046032347054688E-4</v>
      </c>
      <c r="AO27" s="3"/>
      <c r="AP27">
        <v>0</v>
      </c>
      <c r="AR27" t="s">
        <v>1</v>
      </c>
      <c r="AT27" s="2">
        <v>0.77</v>
      </c>
      <c r="AU27" s="1">
        <f t="shared" si="5"/>
        <v>0.60233179641029089</v>
      </c>
      <c r="AV27" s="1">
        <f t="shared" si="6"/>
        <v>0.43796443524936629</v>
      </c>
      <c r="AW27" s="1">
        <f t="shared" si="7"/>
        <v>0.27359707408844164</v>
      </c>
    </row>
    <row r="28" spans="1:49" x14ac:dyDescent="0.2">
      <c r="A28">
        <v>26</v>
      </c>
      <c r="B28" t="s">
        <v>3256</v>
      </c>
      <c r="C28" t="s">
        <v>3255</v>
      </c>
      <c r="F28" t="s">
        <v>3254</v>
      </c>
      <c r="G28" t="s">
        <v>8</v>
      </c>
      <c r="H28" t="s">
        <v>7</v>
      </c>
      <c r="I28" t="s">
        <v>1139</v>
      </c>
      <c r="J28" t="s">
        <v>3253</v>
      </c>
      <c r="K28" t="s">
        <v>3252</v>
      </c>
      <c r="L28" t="s">
        <v>22</v>
      </c>
      <c r="M28" t="s">
        <v>9</v>
      </c>
      <c r="N28">
        <v>1</v>
      </c>
      <c r="O28" t="s">
        <v>3251</v>
      </c>
      <c r="P28">
        <v>7004985710</v>
      </c>
      <c r="Q28" t="s">
        <v>3250</v>
      </c>
      <c r="R28" s="7">
        <v>34669</v>
      </c>
      <c r="S28" s="8">
        <f t="shared" si="0"/>
        <v>1994</v>
      </c>
      <c r="T28" s="8">
        <v>1994</v>
      </c>
      <c r="U28" s="8">
        <f t="shared" si="1"/>
        <v>28</v>
      </c>
      <c r="V28" s="7">
        <v>1994</v>
      </c>
      <c r="W28" t="s">
        <v>3242</v>
      </c>
      <c r="X28" s="2">
        <v>1.528</v>
      </c>
      <c r="Y28" s="6">
        <f t="shared" si="2"/>
        <v>4.0789087317476845E-2</v>
      </c>
      <c r="AA28">
        <v>2649381</v>
      </c>
      <c r="AB28">
        <v>27433</v>
      </c>
      <c r="AD28" t="s">
        <v>2</v>
      </c>
      <c r="AE28">
        <v>11</v>
      </c>
      <c r="AF28" t="s">
        <v>3241</v>
      </c>
      <c r="AG28">
        <v>4</v>
      </c>
      <c r="AI28" t="s">
        <v>3249</v>
      </c>
      <c r="AK28" t="s">
        <v>3248</v>
      </c>
      <c r="AL28">
        <v>2</v>
      </c>
      <c r="AM28" s="5">
        <f t="shared" si="3"/>
        <v>7.1428571428571425E-2</v>
      </c>
      <c r="AN28" s="4">
        <f t="shared" si="4"/>
        <v>1.0818412938821875E-4</v>
      </c>
      <c r="AO28" s="3"/>
      <c r="AP28">
        <v>0</v>
      </c>
      <c r="AR28" t="s">
        <v>1</v>
      </c>
      <c r="AT28" s="2">
        <v>3.528</v>
      </c>
      <c r="AU28" s="1">
        <f t="shared" si="5"/>
        <v>2.8584816361050258</v>
      </c>
      <c r="AV28" s="1">
        <f t="shared" si="6"/>
        <v>2.0448635723432531</v>
      </c>
      <c r="AW28" s="1">
        <f t="shared" si="7"/>
        <v>1.2312455085814804</v>
      </c>
    </row>
    <row r="29" spans="1:49" x14ac:dyDescent="0.2">
      <c r="A29">
        <v>27</v>
      </c>
      <c r="B29" t="s">
        <v>3247</v>
      </c>
      <c r="C29" t="s">
        <v>3246</v>
      </c>
      <c r="F29" t="s">
        <v>3245</v>
      </c>
      <c r="G29" t="s">
        <v>8</v>
      </c>
      <c r="H29" t="s">
        <v>7</v>
      </c>
      <c r="I29" t="s">
        <v>3244</v>
      </c>
      <c r="J29">
        <v>60000809</v>
      </c>
      <c r="K29" t="s">
        <v>85</v>
      </c>
      <c r="L29" t="s">
        <v>84</v>
      </c>
      <c r="M29" t="s">
        <v>53</v>
      </c>
      <c r="N29">
        <v>1</v>
      </c>
      <c r="O29" t="s">
        <v>3243</v>
      </c>
      <c r="P29">
        <v>57218129459</v>
      </c>
      <c r="Q29">
        <v>60000809</v>
      </c>
      <c r="R29" s="7">
        <v>34669</v>
      </c>
      <c r="S29" s="8">
        <f t="shared" si="0"/>
        <v>1994</v>
      </c>
      <c r="T29" s="8">
        <v>1994</v>
      </c>
      <c r="U29" s="8">
        <f t="shared" si="1"/>
        <v>28</v>
      </c>
      <c r="V29" s="7">
        <v>1994</v>
      </c>
      <c r="W29" t="s">
        <v>3242</v>
      </c>
      <c r="X29" s="2">
        <v>1.528</v>
      </c>
      <c r="Y29" s="6">
        <f t="shared" si="2"/>
        <v>4.0789087317476845E-2</v>
      </c>
      <c r="AA29">
        <v>2649381</v>
      </c>
      <c r="AB29">
        <v>27433</v>
      </c>
      <c r="AD29" t="s">
        <v>2</v>
      </c>
      <c r="AE29">
        <v>11</v>
      </c>
      <c r="AF29" t="s">
        <v>3241</v>
      </c>
      <c r="AG29">
        <v>7</v>
      </c>
      <c r="AI29" t="s">
        <v>3240</v>
      </c>
      <c r="AK29" t="s">
        <v>3239</v>
      </c>
      <c r="AL29">
        <v>2</v>
      </c>
      <c r="AM29" s="5">
        <f t="shared" si="3"/>
        <v>7.1428571428571425E-2</v>
      </c>
      <c r="AN29" s="4">
        <f t="shared" si="4"/>
        <v>1.0818412938821875E-4</v>
      </c>
      <c r="AO29" s="3"/>
      <c r="AP29">
        <v>0</v>
      </c>
      <c r="AR29" t="s">
        <v>1</v>
      </c>
      <c r="AT29" s="2">
        <v>3.528</v>
      </c>
      <c r="AU29" s="1">
        <f t="shared" si="5"/>
        <v>2.8584816361050258</v>
      </c>
      <c r="AV29" s="1">
        <f t="shared" si="6"/>
        <v>2.0448635723432531</v>
      </c>
      <c r="AW29" s="1">
        <f t="shared" si="7"/>
        <v>1.2312455085814804</v>
      </c>
    </row>
    <row r="30" spans="1:49" x14ac:dyDescent="0.2">
      <c r="A30">
        <v>28</v>
      </c>
      <c r="B30" t="s">
        <v>3238</v>
      </c>
      <c r="C30" t="s">
        <v>3237</v>
      </c>
      <c r="F30" t="s">
        <v>3236</v>
      </c>
      <c r="G30" t="s">
        <v>8</v>
      </c>
      <c r="H30" t="s">
        <v>7</v>
      </c>
      <c r="I30" t="s">
        <v>3235</v>
      </c>
      <c r="J30">
        <v>105197623</v>
      </c>
      <c r="K30" t="s">
        <v>3234</v>
      </c>
      <c r="M30" t="s">
        <v>19</v>
      </c>
      <c r="N30">
        <v>2</v>
      </c>
      <c r="O30" t="s">
        <v>3233</v>
      </c>
      <c r="P30" t="s">
        <v>3232</v>
      </c>
      <c r="Q30" t="s">
        <v>3231</v>
      </c>
      <c r="R30" s="7">
        <v>34669</v>
      </c>
      <c r="S30" s="8">
        <f t="shared" si="0"/>
        <v>1994</v>
      </c>
      <c r="T30" s="8">
        <v>1994</v>
      </c>
      <c r="U30" s="8">
        <f t="shared" si="1"/>
        <v>28</v>
      </c>
      <c r="V30" s="7">
        <v>1994</v>
      </c>
      <c r="W30" t="s">
        <v>2512</v>
      </c>
      <c r="X30" s="2">
        <v>0.9</v>
      </c>
      <c r="Y30" s="6">
        <f t="shared" si="2"/>
        <v>2.4024985985424845E-2</v>
      </c>
      <c r="AA30">
        <v>9630252</v>
      </c>
      <c r="AB30">
        <v>29614</v>
      </c>
      <c r="AD30" t="s">
        <v>2</v>
      </c>
      <c r="AE30">
        <v>3</v>
      </c>
      <c r="AF30">
        <v>4</v>
      </c>
      <c r="AG30">
        <v>1</v>
      </c>
      <c r="AH30" t="s">
        <v>3230</v>
      </c>
      <c r="AI30" t="s">
        <v>3229</v>
      </c>
      <c r="AK30" t="s">
        <v>3228</v>
      </c>
      <c r="AL30">
        <v>2</v>
      </c>
      <c r="AM30" s="5">
        <f t="shared" si="3"/>
        <v>7.1428571428571425E-2</v>
      </c>
      <c r="AN30" s="4">
        <f t="shared" si="4"/>
        <v>1.0818412938821875E-4</v>
      </c>
      <c r="AO30" s="3"/>
      <c r="AP30">
        <v>0</v>
      </c>
      <c r="AR30" t="s">
        <v>1</v>
      </c>
      <c r="AT30" s="2" t="s">
        <v>0</v>
      </c>
      <c r="AU30" s="1">
        <f t="shared" si="5"/>
        <v>1.6849945428613857</v>
      </c>
      <c r="AV30" s="1">
        <f t="shared" si="6"/>
        <v>1.2066585057406531</v>
      </c>
      <c r="AW30" s="1">
        <f t="shared" si="7"/>
        <v>0.72832246861992067</v>
      </c>
    </row>
    <row r="31" spans="1:49" x14ac:dyDescent="0.2">
      <c r="A31">
        <v>29</v>
      </c>
      <c r="B31" t="s">
        <v>3227</v>
      </c>
      <c r="C31" t="s">
        <v>3226</v>
      </c>
      <c r="F31" t="s">
        <v>3225</v>
      </c>
      <c r="G31" t="s">
        <v>8</v>
      </c>
      <c r="H31" t="s">
        <v>7</v>
      </c>
      <c r="I31" t="s">
        <v>3224</v>
      </c>
      <c r="J31" t="s">
        <v>3223</v>
      </c>
      <c r="K31" t="s">
        <v>3222</v>
      </c>
      <c r="L31" t="s">
        <v>3221</v>
      </c>
      <c r="M31" t="s">
        <v>23</v>
      </c>
      <c r="N31">
        <v>6</v>
      </c>
      <c r="O31" t="s">
        <v>3220</v>
      </c>
      <c r="P31" t="s">
        <v>3219</v>
      </c>
      <c r="Q31" t="s">
        <v>3218</v>
      </c>
      <c r="R31" s="7">
        <v>34669</v>
      </c>
      <c r="S31" s="8">
        <f t="shared" si="0"/>
        <v>1994</v>
      </c>
      <c r="T31" s="8">
        <v>1994</v>
      </c>
      <c r="U31" s="8">
        <f t="shared" si="1"/>
        <v>28</v>
      </c>
      <c r="V31" s="7">
        <v>1994</v>
      </c>
      <c r="W31" t="s">
        <v>338</v>
      </c>
      <c r="X31" s="2">
        <v>0.60499999999999998</v>
      </c>
      <c r="Y31" s="6">
        <f t="shared" si="2"/>
        <v>1.6150129467980032E-2</v>
      </c>
      <c r="AA31">
        <v>346748</v>
      </c>
      <c r="AB31">
        <v>15563</v>
      </c>
      <c r="AD31" t="s">
        <v>2</v>
      </c>
      <c r="AE31">
        <v>65</v>
      </c>
      <c r="AF31">
        <v>5</v>
      </c>
      <c r="AH31" t="s">
        <v>3217</v>
      </c>
      <c r="AI31" t="s">
        <v>3216</v>
      </c>
      <c r="AK31" t="s">
        <v>3215</v>
      </c>
      <c r="AL31">
        <v>4</v>
      </c>
      <c r="AM31" s="5">
        <f t="shared" si="3"/>
        <v>0.14285714285714285</v>
      </c>
      <c r="AN31" s="4">
        <f t="shared" si="4"/>
        <v>2.1636825877643749E-4</v>
      </c>
      <c r="AO31" s="3"/>
      <c r="AP31">
        <v>0</v>
      </c>
      <c r="AR31" t="s">
        <v>1</v>
      </c>
      <c r="AT31" s="2">
        <v>1.5229999999999999</v>
      </c>
      <c r="AU31" s="1">
        <f t="shared" si="5"/>
        <v>1.1370001105218952</v>
      </c>
      <c r="AV31" s="1">
        <f t="shared" si="6"/>
        <v>0.81832488633782341</v>
      </c>
      <c r="AW31" s="1">
        <f t="shared" si="7"/>
        <v>0.49964966215375162</v>
      </c>
    </row>
    <row r="32" spans="1:49" x14ac:dyDescent="0.2">
      <c r="A32">
        <v>30</v>
      </c>
      <c r="B32" t="s">
        <v>3214</v>
      </c>
      <c r="C32" t="s">
        <v>3213</v>
      </c>
      <c r="F32" t="s">
        <v>3212</v>
      </c>
      <c r="G32" t="s">
        <v>8</v>
      </c>
      <c r="H32" t="s">
        <v>7</v>
      </c>
      <c r="I32" t="s">
        <v>3211</v>
      </c>
      <c r="J32">
        <v>60022995</v>
      </c>
      <c r="K32" t="s">
        <v>3210</v>
      </c>
      <c r="L32" t="s">
        <v>3209</v>
      </c>
      <c r="M32" t="s">
        <v>49</v>
      </c>
      <c r="N32">
        <v>3</v>
      </c>
      <c r="O32" t="s">
        <v>3208</v>
      </c>
      <c r="P32" t="s">
        <v>3207</v>
      </c>
      <c r="Q32" t="s">
        <v>3206</v>
      </c>
      <c r="R32" s="7">
        <v>34669</v>
      </c>
      <c r="S32" s="8">
        <f t="shared" si="0"/>
        <v>1994</v>
      </c>
      <c r="T32" s="8">
        <v>1994</v>
      </c>
      <c r="U32" s="8">
        <f t="shared" si="1"/>
        <v>28</v>
      </c>
      <c r="V32" s="7">
        <v>1994</v>
      </c>
      <c r="W32" t="s">
        <v>2512</v>
      </c>
      <c r="X32" s="2">
        <v>0.9</v>
      </c>
      <c r="Y32" s="6">
        <f t="shared" si="2"/>
        <v>2.4024985985424845E-2</v>
      </c>
      <c r="AA32">
        <v>9630252</v>
      </c>
      <c r="AB32">
        <v>29614</v>
      </c>
      <c r="AD32" t="s">
        <v>2</v>
      </c>
      <c r="AE32">
        <v>3</v>
      </c>
      <c r="AF32">
        <v>4</v>
      </c>
      <c r="AG32">
        <v>4</v>
      </c>
      <c r="AH32" t="s">
        <v>3205</v>
      </c>
      <c r="AI32" t="s">
        <v>3204</v>
      </c>
      <c r="AK32" t="s">
        <v>3203</v>
      </c>
      <c r="AL32">
        <v>133</v>
      </c>
      <c r="AM32" s="5">
        <f t="shared" si="3"/>
        <v>4.75</v>
      </c>
      <c r="AN32" s="4">
        <f t="shared" si="4"/>
        <v>7.1942446043165471E-3</v>
      </c>
      <c r="AO32" s="3"/>
      <c r="AP32">
        <v>0</v>
      </c>
      <c r="AR32" t="s">
        <v>1</v>
      </c>
      <c r="AT32" s="2" t="s">
        <v>0</v>
      </c>
      <c r="AU32" s="1">
        <f t="shared" si="5"/>
        <v>1.8975763571092354</v>
      </c>
      <c r="AV32" s="1">
        <f t="shared" si="6"/>
        <v>1.5609615294870696</v>
      </c>
      <c r="AW32" s="1">
        <f t="shared" si="7"/>
        <v>1.2243467018649035</v>
      </c>
    </row>
    <row r="33" spans="1:49" x14ac:dyDescent="0.2">
      <c r="A33">
        <v>31</v>
      </c>
      <c r="B33" t="s">
        <v>3202</v>
      </c>
      <c r="C33" t="s">
        <v>3201</v>
      </c>
      <c r="F33" t="s">
        <v>3200</v>
      </c>
      <c r="G33" t="s">
        <v>8</v>
      </c>
      <c r="H33" t="s">
        <v>7</v>
      </c>
      <c r="I33" t="s">
        <v>3199</v>
      </c>
      <c r="J33">
        <v>60023053</v>
      </c>
      <c r="K33" t="s">
        <v>172</v>
      </c>
      <c r="L33" t="s">
        <v>171</v>
      </c>
      <c r="M33" t="s">
        <v>19</v>
      </c>
      <c r="N33">
        <v>2</v>
      </c>
      <c r="O33" t="s">
        <v>3198</v>
      </c>
      <c r="P33" t="s">
        <v>3197</v>
      </c>
      <c r="Q33" t="s">
        <v>245</v>
      </c>
      <c r="R33" s="7">
        <v>34669</v>
      </c>
      <c r="S33" s="8">
        <f t="shared" si="0"/>
        <v>1994</v>
      </c>
      <c r="T33" s="8">
        <v>1994</v>
      </c>
      <c r="U33" s="8">
        <f t="shared" si="1"/>
        <v>28</v>
      </c>
      <c r="V33" s="7">
        <v>1994</v>
      </c>
      <c r="W33" t="s">
        <v>2417</v>
      </c>
      <c r="X33" s="2">
        <v>1.1819999999999999</v>
      </c>
      <c r="Y33" s="6">
        <f t="shared" si="2"/>
        <v>3.1552814927524625E-2</v>
      </c>
      <c r="AA33">
        <v>36951</v>
      </c>
      <c r="AB33">
        <v>27030</v>
      </c>
      <c r="AD33" t="s">
        <v>2</v>
      </c>
      <c r="AE33">
        <v>64</v>
      </c>
      <c r="AF33">
        <v>16</v>
      </c>
      <c r="AH33" t="s">
        <v>3196</v>
      </c>
      <c r="AI33" t="s">
        <v>3195</v>
      </c>
      <c r="AK33" t="s">
        <v>3194</v>
      </c>
      <c r="AL33">
        <v>51</v>
      </c>
      <c r="AM33" s="5">
        <f t="shared" si="3"/>
        <v>1.8214285714285714</v>
      </c>
      <c r="AN33" s="4">
        <f t="shared" si="4"/>
        <v>2.7586952993995779E-3</v>
      </c>
      <c r="AO33" s="3"/>
      <c r="AP33">
        <v>0</v>
      </c>
      <c r="AR33" t="s">
        <v>1</v>
      </c>
      <c r="AT33" s="2">
        <v>3.7909999999999999</v>
      </c>
      <c r="AU33" s="1">
        <f t="shared" si="5"/>
        <v>2.2914579039087108</v>
      </c>
      <c r="AV33" s="1">
        <f t="shared" si="6"/>
        <v>1.7155755113462103</v>
      </c>
      <c r="AW33" s="1">
        <f t="shared" si="7"/>
        <v>1.1396931187837092</v>
      </c>
    </row>
    <row r="34" spans="1:49" x14ac:dyDescent="0.2">
      <c r="A34">
        <v>32</v>
      </c>
      <c r="B34" t="s">
        <v>3193</v>
      </c>
      <c r="C34" t="s">
        <v>3192</v>
      </c>
      <c r="F34" t="s">
        <v>3191</v>
      </c>
      <c r="G34" t="s">
        <v>8</v>
      </c>
      <c r="H34" t="s">
        <v>7</v>
      </c>
      <c r="I34" t="s">
        <v>3190</v>
      </c>
      <c r="J34" t="s">
        <v>3189</v>
      </c>
      <c r="K34" t="s">
        <v>3188</v>
      </c>
      <c r="L34" t="s">
        <v>3187</v>
      </c>
      <c r="M34" t="s">
        <v>12</v>
      </c>
      <c r="N34">
        <v>4</v>
      </c>
      <c r="O34" t="s">
        <v>3186</v>
      </c>
      <c r="P34" t="s">
        <v>3185</v>
      </c>
      <c r="Q34" t="s">
        <v>3184</v>
      </c>
      <c r="R34" s="7">
        <v>34669</v>
      </c>
      <c r="S34" s="8">
        <f t="shared" si="0"/>
        <v>1994</v>
      </c>
      <c r="T34" s="8">
        <v>1994</v>
      </c>
      <c r="U34" s="8">
        <f t="shared" si="1"/>
        <v>28</v>
      </c>
      <c r="V34" s="7">
        <v>1994</v>
      </c>
      <c r="W34" t="s">
        <v>338</v>
      </c>
      <c r="X34" s="2">
        <v>0.60499999999999998</v>
      </c>
      <c r="Y34" s="6">
        <f t="shared" si="2"/>
        <v>1.6150129467980032E-2</v>
      </c>
      <c r="AA34">
        <v>346748</v>
      </c>
      <c r="AB34">
        <v>15563</v>
      </c>
      <c r="AD34" t="s">
        <v>2</v>
      </c>
      <c r="AE34">
        <v>65</v>
      </c>
      <c r="AF34">
        <v>8</v>
      </c>
      <c r="AH34" t="s">
        <v>3183</v>
      </c>
      <c r="AI34" t="s">
        <v>3182</v>
      </c>
      <c r="AK34" t="s">
        <v>3181</v>
      </c>
      <c r="AL34">
        <v>4</v>
      </c>
      <c r="AM34" s="5">
        <f t="shared" si="3"/>
        <v>0.14285714285714285</v>
      </c>
      <c r="AN34" s="4">
        <f t="shared" si="4"/>
        <v>2.1636825877643749E-4</v>
      </c>
      <c r="AO34" s="3"/>
      <c r="AP34">
        <v>0</v>
      </c>
      <c r="AR34" t="s">
        <v>1</v>
      </c>
      <c r="AT34" s="2">
        <v>1.5229999999999999</v>
      </c>
      <c r="AU34" s="1">
        <f t="shared" si="5"/>
        <v>1.1370001105218952</v>
      </c>
      <c r="AV34" s="1">
        <f t="shared" si="6"/>
        <v>0.81832488633782341</v>
      </c>
      <c r="AW34" s="1">
        <f t="shared" si="7"/>
        <v>0.49964966215375162</v>
      </c>
    </row>
    <row r="35" spans="1:49" x14ac:dyDescent="0.2">
      <c r="A35">
        <v>33</v>
      </c>
      <c r="B35" t="s">
        <v>3180</v>
      </c>
      <c r="C35" t="s">
        <v>3179</v>
      </c>
      <c r="F35" t="s">
        <v>3178</v>
      </c>
      <c r="G35" t="s">
        <v>8</v>
      </c>
      <c r="H35" t="s">
        <v>7</v>
      </c>
      <c r="I35" t="s">
        <v>3177</v>
      </c>
      <c r="J35">
        <v>60001753</v>
      </c>
      <c r="K35" t="s">
        <v>3176</v>
      </c>
      <c r="L35" t="s">
        <v>3175</v>
      </c>
      <c r="M35" t="s">
        <v>10</v>
      </c>
      <c r="N35">
        <v>1</v>
      </c>
      <c r="O35" t="s">
        <v>3174</v>
      </c>
      <c r="P35">
        <v>7402581188</v>
      </c>
      <c r="Q35">
        <v>60001753</v>
      </c>
      <c r="R35" s="7">
        <v>34669</v>
      </c>
      <c r="S35" s="8">
        <f t="shared" si="0"/>
        <v>1994</v>
      </c>
      <c r="T35" s="8">
        <v>1994</v>
      </c>
      <c r="U35" s="8">
        <f t="shared" si="1"/>
        <v>28</v>
      </c>
      <c r="V35" s="7">
        <v>1994</v>
      </c>
      <c r="W35" t="s">
        <v>338</v>
      </c>
      <c r="X35" s="2">
        <v>0.60499999999999998</v>
      </c>
      <c r="Y35" s="6">
        <f t="shared" si="2"/>
        <v>1.6150129467980032E-2</v>
      </c>
      <c r="AA35">
        <v>346748</v>
      </c>
      <c r="AB35">
        <v>15563</v>
      </c>
      <c r="AD35" t="s">
        <v>2</v>
      </c>
      <c r="AE35">
        <v>65</v>
      </c>
      <c r="AF35">
        <v>5</v>
      </c>
      <c r="AH35" t="s">
        <v>3173</v>
      </c>
      <c r="AI35" t="s">
        <v>3172</v>
      </c>
      <c r="AK35" t="s">
        <v>3171</v>
      </c>
      <c r="AL35">
        <v>6</v>
      </c>
      <c r="AM35" s="5">
        <f t="shared" si="3"/>
        <v>0.21428571428571427</v>
      </c>
      <c r="AN35" s="4">
        <f t="shared" si="4"/>
        <v>3.2455238816465621E-4</v>
      </c>
      <c r="AO35" s="3"/>
      <c r="AP35">
        <v>0</v>
      </c>
      <c r="AR35" t="s">
        <v>1</v>
      </c>
      <c r="AT35" s="2">
        <v>1.5229999999999999</v>
      </c>
      <c r="AU35" s="1">
        <f t="shared" si="5"/>
        <v>1.1402456344035419</v>
      </c>
      <c r="AV35" s="1">
        <f t="shared" si="6"/>
        <v>0.82373409280723442</v>
      </c>
      <c r="AW35" s="1">
        <f t="shared" si="7"/>
        <v>0.50722255121092696</v>
      </c>
    </row>
    <row r="36" spans="1:49" x14ac:dyDescent="0.2">
      <c r="A36">
        <v>34</v>
      </c>
      <c r="B36" t="s">
        <v>3170</v>
      </c>
      <c r="F36" t="s">
        <v>3169</v>
      </c>
      <c r="G36" t="s">
        <v>8</v>
      </c>
      <c r="H36" t="s">
        <v>7</v>
      </c>
      <c r="I36" t="s">
        <v>3168</v>
      </c>
      <c r="J36">
        <v>60019894</v>
      </c>
      <c r="K36" t="s">
        <v>3085</v>
      </c>
      <c r="L36" t="s">
        <v>3084</v>
      </c>
      <c r="M36" t="s">
        <v>10</v>
      </c>
      <c r="N36">
        <v>1</v>
      </c>
      <c r="O36" t="s">
        <v>3167</v>
      </c>
      <c r="P36">
        <v>6602270443</v>
      </c>
      <c r="Q36">
        <v>60019894</v>
      </c>
      <c r="R36" s="7">
        <v>34669</v>
      </c>
      <c r="S36" s="8">
        <f t="shared" si="0"/>
        <v>1994</v>
      </c>
      <c r="T36" s="8">
        <v>1994</v>
      </c>
      <c r="U36" s="8">
        <f t="shared" si="1"/>
        <v>28</v>
      </c>
      <c r="V36" s="7">
        <v>1994</v>
      </c>
      <c r="W36" t="s">
        <v>2889</v>
      </c>
      <c r="X36" s="2" t="s">
        <v>0</v>
      </c>
      <c r="Y36" s="6" t="e">
        <f t="shared" si="2"/>
        <v>#VALUE!</v>
      </c>
      <c r="AA36">
        <v>134252</v>
      </c>
      <c r="AB36">
        <v>32198</v>
      </c>
      <c r="AD36" t="s">
        <v>2</v>
      </c>
      <c r="AF36" t="s">
        <v>3080</v>
      </c>
      <c r="AH36" t="s">
        <v>3166</v>
      </c>
      <c r="AI36" t="s">
        <v>3165</v>
      </c>
      <c r="AK36" t="s">
        <v>3164</v>
      </c>
      <c r="AL36">
        <v>0</v>
      </c>
      <c r="AM36" s="5">
        <f t="shared" si="3"/>
        <v>0</v>
      </c>
      <c r="AN36" s="4">
        <f t="shared" si="4"/>
        <v>0</v>
      </c>
      <c r="AO36" s="3"/>
      <c r="AP36">
        <v>0</v>
      </c>
      <c r="AR36" t="s">
        <v>1</v>
      </c>
      <c r="AT36" s="2" t="s">
        <v>0</v>
      </c>
      <c r="AU36" s="1" t="e">
        <f t="shared" si="5"/>
        <v>#VALUE!</v>
      </c>
      <c r="AV36" s="1" t="e">
        <f t="shared" si="6"/>
        <v>#VALUE!</v>
      </c>
      <c r="AW36" s="1" t="e">
        <f t="shared" si="7"/>
        <v>#VALUE!</v>
      </c>
    </row>
    <row r="37" spans="1:49" x14ac:dyDescent="0.2">
      <c r="A37">
        <v>35</v>
      </c>
      <c r="B37" t="s">
        <v>3163</v>
      </c>
      <c r="F37" t="s">
        <v>3162</v>
      </c>
      <c r="G37" t="s">
        <v>8</v>
      </c>
      <c r="H37" t="s">
        <v>7</v>
      </c>
      <c r="I37" t="s">
        <v>3161</v>
      </c>
      <c r="J37">
        <v>60024590</v>
      </c>
      <c r="K37" t="s">
        <v>174</v>
      </c>
      <c r="L37" t="s">
        <v>283</v>
      </c>
      <c r="M37" t="s">
        <v>19</v>
      </c>
      <c r="N37">
        <v>1</v>
      </c>
      <c r="O37" t="s">
        <v>3160</v>
      </c>
      <c r="P37">
        <v>25631348900</v>
      </c>
      <c r="Q37">
        <v>60024590</v>
      </c>
      <c r="R37" s="7">
        <v>34669</v>
      </c>
      <c r="S37" s="8">
        <f t="shared" si="0"/>
        <v>1994</v>
      </c>
      <c r="T37" s="8">
        <v>1994</v>
      </c>
      <c r="U37" s="8">
        <f t="shared" si="1"/>
        <v>28</v>
      </c>
      <c r="V37" s="7">
        <v>34669</v>
      </c>
      <c r="W37" t="s">
        <v>112</v>
      </c>
      <c r="X37" s="2">
        <v>0.10100000000000001</v>
      </c>
      <c r="Y37" s="6">
        <f t="shared" si="2"/>
        <v>2.6961373161421215E-3</v>
      </c>
      <c r="AA37">
        <v>7452993</v>
      </c>
      <c r="AB37">
        <v>18563</v>
      </c>
      <c r="AD37" t="s">
        <v>2</v>
      </c>
      <c r="AE37">
        <v>33</v>
      </c>
      <c r="AF37">
        <v>13</v>
      </c>
      <c r="AI37" t="s">
        <v>3159</v>
      </c>
      <c r="AK37" t="s">
        <v>3158</v>
      </c>
      <c r="AL37">
        <v>0</v>
      </c>
      <c r="AM37" s="5">
        <f t="shared" si="3"/>
        <v>0</v>
      </c>
      <c r="AN37" s="4">
        <f t="shared" si="4"/>
        <v>0</v>
      </c>
      <c r="AO37" s="3"/>
      <c r="AP37">
        <v>0</v>
      </c>
      <c r="AR37" t="s">
        <v>1</v>
      </c>
      <c r="AT37" s="2" t="s">
        <v>0</v>
      </c>
      <c r="AU37" s="1">
        <f t="shared" si="5"/>
        <v>0.18872961212994849</v>
      </c>
      <c r="AV37" s="1">
        <f t="shared" si="6"/>
        <v>0.13480686580710607</v>
      </c>
      <c r="AW37" s="1">
        <f t="shared" si="7"/>
        <v>8.0884119484263647E-2</v>
      </c>
    </row>
    <row r="38" spans="1:49" x14ac:dyDescent="0.2">
      <c r="A38">
        <v>36</v>
      </c>
      <c r="B38" t="s">
        <v>3157</v>
      </c>
      <c r="F38" t="s">
        <v>3156</v>
      </c>
      <c r="G38" t="s">
        <v>8</v>
      </c>
      <c r="H38" t="s">
        <v>7</v>
      </c>
      <c r="I38" t="s">
        <v>132</v>
      </c>
      <c r="J38">
        <v>60002787</v>
      </c>
      <c r="K38" t="s">
        <v>131</v>
      </c>
      <c r="L38" t="s">
        <v>130</v>
      </c>
      <c r="M38" t="s">
        <v>53</v>
      </c>
      <c r="N38">
        <v>3</v>
      </c>
      <c r="O38" t="s">
        <v>3155</v>
      </c>
      <c r="P38" t="s">
        <v>3154</v>
      </c>
      <c r="Q38" t="s">
        <v>203</v>
      </c>
      <c r="R38" s="7">
        <v>34669</v>
      </c>
      <c r="S38" s="8">
        <f t="shared" si="0"/>
        <v>1994</v>
      </c>
      <c r="T38" s="8">
        <v>1994</v>
      </c>
      <c r="U38" s="8">
        <f t="shared" si="1"/>
        <v>28</v>
      </c>
      <c r="V38" s="7">
        <v>34669</v>
      </c>
      <c r="W38" t="s">
        <v>119</v>
      </c>
      <c r="X38" s="2">
        <v>0.21099999999999999</v>
      </c>
      <c r="Y38" s="6">
        <f t="shared" si="2"/>
        <v>5.6325244921384904E-3</v>
      </c>
      <c r="AA38">
        <v>9168516</v>
      </c>
      <c r="AB38">
        <v>18936</v>
      </c>
      <c r="AD38" t="s">
        <v>2</v>
      </c>
      <c r="AE38" t="s">
        <v>118</v>
      </c>
      <c r="AF38">
        <v>12</v>
      </c>
      <c r="AH38" t="s">
        <v>3153</v>
      </c>
      <c r="AI38" t="s">
        <v>3152</v>
      </c>
      <c r="AK38" t="s">
        <v>3151</v>
      </c>
      <c r="AL38">
        <v>1</v>
      </c>
      <c r="AM38" s="5">
        <f t="shared" si="3"/>
        <v>3.5714285714285712E-2</v>
      </c>
      <c r="AN38" s="4">
        <f t="shared" si="4"/>
        <v>5.4092064694109373E-5</v>
      </c>
      <c r="AO38" s="3"/>
      <c r="AP38">
        <v>0</v>
      </c>
      <c r="AR38" t="s">
        <v>1</v>
      </c>
      <c r="AT38" s="2">
        <v>0.52500000000000002</v>
      </c>
      <c r="AU38" s="1">
        <f t="shared" si="5"/>
        <v>0.39589947639051759</v>
      </c>
      <c r="AV38" s="1">
        <f t="shared" si="6"/>
        <v>0.28433082784163</v>
      </c>
      <c r="AW38" s="1">
        <f t="shared" si="7"/>
        <v>0.17276217929274237</v>
      </c>
    </row>
    <row r="39" spans="1:49" x14ac:dyDescent="0.2">
      <c r="A39">
        <v>37</v>
      </c>
      <c r="B39" t="s">
        <v>3150</v>
      </c>
      <c r="F39" t="s">
        <v>3149</v>
      </c>
      <c r="G39" t="s">
        <v>8</v>
      </c>
      <c r="H39" t="s">
        <v>7</v>
      </c>
      <c r="I39" t="s">
        <v>3148</v>
      </c>
      <c r="J39">
        <v>60011897</v>
      </c>
      <c r="K39" t="s">
        <v>281</v>
      </c>
      <c r="L39" t="s">
        <v>280</v>
      </c>
      <c r="M39" t="s">
        <v>4</v>
      </c>
      <c r="N39">
        <v>1</v>
      </c>
      <c r="O39" t="s">
        <v>3147</v>
      </c>
      <c r="P39">
        <v>55937002800</v>
      </c>
      <c r="Q39">
        <v>60011897</v>
      </c>
      <c r="R39" s="7">
        <v>34669</v>
      </c>
      <c r="S39" s="8">
        <f t="shared" si="0"/>
        <v>1994</v>
      </c>
      <c r="T39" s="8">
        <v>1994</v>
      </c>
      <c r="U39" s="8">
        <f t="shared" si="1"/>
        <v>28</v>
      </c>
      <c r="V39" s="7">
        <v>34669</v>
      </c>
      <c r="W39" t="s">
        <v>3107</v>
      </c>
      <c r="X39" s="2">
        <v>0.13800000000000001</v>
      </c>
      <c r="Y39" s="6">
        <f t="shared" si="2"/>
        <v>3.6838311844318095E-3</v>
      </c>
      <c r="AA39">
        <v>1926225</v>
      </c>
      <c r="AB39">
        <v>18580</v>
      </c>
      <c r="AD39" t="s">
        <v>2</v>
      </c>
      <c r="AE39">
        <v>37</v>
      </c>
      <c r="AF39">
        <v>12</v>
      </c>
      <c r="AH39">
        <v>68</v>
      </c>
      <c r="AI39" t="s">
        <v>3146</v>
      </c>
      <c r="AK39" t="s">
        <v>3145</v>
      </c>
      <c r="AL39">
        <v>20</v>
      </c>
      <c r="AM39" s="5">
        <f t="shared" si="3"/>
        <v>0.7142857142857143</v>
      </c>
      <c r="AN39" s="4">
        <f t="shared" si="4"/>
        <v>1.0818412938821875E-3</v>
      </c>
      <c r="AO39" s="3"/>
      <c r="AP39">
        <v>0</v>
      </c>
      <c r="AR39" t="s">
        <v>1</v>
      </c>
      <c r="AT39" s="2">
        <v>0.30599999999999999</v>
      </c>
      <c r="AU39" s="1">
        <f t="shared" si="5"/>
        <v>0.29032342172669229</v>
      </c>
      <c r="AV39" s="1">
        <f t="shared" si="6"/>
        <v>0.23828362391569985</v>
      </c>
      <c r="AW39" s="1">
        <f t="shared" si="7"/>
        <v>0.18624382610470741</v>
      </c>
    </row>
    <row r="40" spans="1:49" x14ac:dyDescent="0.2">
      <c r="A40">
        <v>38</v>
      </c>
      <c r="B40" t="s">
        <v>3144</v>
      </c>
      <c r="F40" t="s">
        <v>3143</v>
      </c>
      <c r="G40" t="s">
        <v>8</v>
      </c>
      <c r="H40" t="s">
        <v>7</v>
      </c>
      <c r="I40" t="s">
        <v>173</v>
      </c>
      <c r="J40">
        <v>60009507</v>
      </c>
      <c r="K40" t="s">
        <v>3142</v>
      </c>
      <c r="L40" t="s">
        <v>182</v>
      </c>
      <c r="M40" t="s">
        <v>47</v>
      </c>
      <c r="N40">
        <v>4</v>
      </c>
      <c r="O40" t="s">
        <v>3141</v>
      </c>
      <c r="P40" t="s">
        <v>3140</v>
      </c>
      <c r="Q40" t="s">
        <v>3139</v>
      </c>
      <c r="R40" s="7">
        <v>34669</v>
      </c>
      <c r="S40" s="8">
        <f t="shared" si="0"/>
        <v>1994</v>
      </c>
      <c r="T40" s="8">
        <v>1994</v>
      </c>
      <c r="U40" s="8">
        <f t="shared" si="1"/>
        <v>28</v>
      </c>
      <c r="V40" s="7">
        <v>34669</v>
      </c>
      <c r="W40" t="s">
        <v>112</v>
      </c>
      <c r="X40" s="2">
        <v>0.10100000000000001</v>
      </c>
      <c r="Y40" s="6">
        <f t="shared" si="2"/>
        <v>2.6961373161421215E-3</v>
      </c>
      <c r="AA40">
        <v>7452993</v>
      </c>
      <c r="AB40">
        <v>18563</v>
      </c>
      <c r="AD40" t="s">
        <v>2</v>
      </c>
      <c r="AE40">
        <v>33</v>
      </c>
      <c r="AF40">
        <v>13</v>
      </c>
      <c r="AI40" t="s">
        <v>3138</v>
      </c>
      <c r="AK40" t="s">
        <v>3137</v>
      </c>
      <c r="AL40">
        <v>2</v>
      </c>
      <c r="AM40" s="5">
        <f t="shared" si="3"/>
        <v>7.1428571428571425E-2</v>
      </c>
      <c r="AN40" s="4">
        <f t="shared" si="4"/>
        <v>1.0818412938821875E-4</v>
      </c>
      <c r="AO40" s="3"/>
      <c r="AP40">
        <v>0</v>
      </c>
      <c r="AR40" t="s">
        <v>1</v>
      </c>
      <c r="AT40" s="2" t="s">
        <v>0</v>
      </c>
      <c r="AU40" s="1">
        <f t="shared" si="5"/>
        <v>0.19197513601159505</v>
      </c>
      <c r="AV40" s="1">
        <f t="shared" si="6"/>
        <v>0.140216072276517</v>
      </c>
      <c r="AW40" s="1">
        <f t="shared" si="7"/>
        <v>8.8457008541438953E-2</v>
      </c>
    </row>
    <row r="41" spans="1:49" x14ac:dyDescent="0.2">
      <c r="A41">
        <v>39</v>
      </c>
      <c r="B41" t="s">
        <v>3136</v>
      </c>
      <c r="F41" t="s">
        <v>3135</v>
      </c>
      <c r="G41" t="s">
        <v>8</v>
      </c>
      <c r="H41" t="s">
        <v>7</v>
      </c>
      <c r="I41" t="s">
        <v>3134</v>
      </c>
      <c r="N41">
        <v>1</v>
      </c>
      <c r="O41" t="s">
        <v>3133</v>
      </c>
      <c r="P41">
        <v>56207234000</v>
      </c>
      <c r="R41" s="7">
        <v>34669</v>
      </c>
      <c r="S41" s="8">
        <f t="shared" si="0"/>
        <v>1994</v>
      </c>
      <c r="T41" s="8">
        <v>1994</v>
      </c>
      <c r="U41" s="8">
        <f t="shared" si="1"/>
        <v>28</v>
      </c>
      <c r="V41" s="7">
        <v>34669</v>
      </c>
      <c r="W41" t="s">
        <v>1107</v>
      </c>
      <c r="X41" s="2" t="s">
        <v>0</v>
      </c>
      <c r="Y41" s="6" t="e">
        <f t="shared" si="2"/>
        <v>#VALUE!</v>
      </c>
      <c r="AA41">
        <v>9598332</v>
      </c>
      <c r="AB41">
        <v>58615</v>
      </c>
      <c r="AD41" t="s">
        <v>2</v>
      </c>
      <c r="AE41">
        <v>100</v>
      </c>
      <c r="AF41">
        <v>1705</v>
      </c>
      <c r="AH41" t="s">
        <v>3132</v>
      </c>
      <c r="AI41" t="s">
        <v>3131</v>
      </c>
      <c r="AK41" t="s">
        <v>3130</v>
      </c>
      <c r="AL41">
        <v>0</v>
      </c>
      <c r="AM41" s="5">
        <f t="shared" si="3"/>
        <v>0</v>
      </c>
      <c r="AN41" s="4">
        <f t="shared" si="4"/>
        <v>0</v>
      </c>
      <c r="AO41" s="3"/>
      <c r="AP41">
        <v>0</v>
      </c>
      <c r="AR41" t="s">
        <v>1</v>
      </c>
      <c r="AT41" s="2" t="s">
        <v>0</v>
      </c>
      <c r="AU41" s="1" t="e">
        <f t="shared" si="5"/>
        <v>#VALUE!</v>
      </c>
      <c r="AV41" s="1" t="e">
        <f t="shared" si="6"/>
        <v>#VALUE!</v>
      </c>
      <c r="AW41" s="1" t="e">
        <f t="shared" si="7"/>
        <v>#VALUE!</v>
      </c>
    </row>
    <row r="42" spans="1:49" x14ac:dyDescent="0.2">
      <c r="A42">
        <v>40</v>
      </c>
      <c r="B42" t="s">
        <v>3129</v>
      </c>
      <c r="F42" t="s">
        <v>3128</v>
      </c>
      <c r="G42" t="s">
        <v>8</v>
      </c>
      <c r="H42" t="s">
        <v>7</v>
      </c>
      <c r="I42" t="s">
        <v>3127</v>
      </c>
      <c r="J42">
        <v>100477807</v>
      </c>
      <c r="K42" t="s">
        <v>3126</v>
      </c>
      <c r="L42" t="s">
        <v>3125</v>
      </c>
      <c r="M42" t="s">
        <v>10</v>
      </c>
      <c r="N42">
        <v>2</v>
      </c>
      <c r="O42" t="s">
        <v>3124</v>
      </c>
      <c r="P42" t="s">
        <v>3123</v>
      </c>
      <c r="Q42" t="s">
        <v>3122</v>
      </c>
      <c r="R42" s="7">
        <v>34669</v>
      </c>
      <c r="S42" s="8">
        <f t="shared" si="0"/>
        <v>1994</v>
      </c>
      <c r="T42" s="8">
        <v>1994</v>
      </c>
      <c r="U42" s="8">
        <f t="shared" si="1"/>
        <v>28</v>
      </c>
      <c r="V42" s="7">
        <v>1994</v>
      </c>
      <c r="W42" t="s">
        <v>2889</v>
      </c>
      <c r="X42" s="2" t="s">
        <v>0</v>
      </c>
      <c r="Y42" s="6" t="e">
        <f t="shared" si="2"/>
        <v>#VALUE!</v>
      </c>
      <c r="AA42">
        <v>134252</v>
      </c>
      <c r="AB42">
        <v>32198</v>
      </c>
      <c r="AD42" t="s">
        <v>2</v>
      </c>
      <c r="AF42" t="s">
        <v>3080</v>
      </c>
      <c r="AH42" t="s">
        <v>77</v>
      </c>
      <c r="AI42" t="s">
        <v>3121</v>
      </c>
      <c r="AK42" t="s">
        <v>3120</v>
      </c>
      <c r="AL42">
        <v>0</v>
      </c>
      <c r="AM42" s="5">
        <f t="shared" si="3"/>
        <v>0</v>
      </c>
      <c r="AN42" s="4">
        <f t="shared" si="4"/>
        <v>0</v>
      </c>
      <c r="AO42" s="3"/>
      <c r="AP42">
        <v>0</v>
      </c>
      <c r="AR42" t="s">
        <v>1</v>
      </c>
      <c r="AT42" s="2" t="s">
        <v>0</v>
      </c>
      <c r="AU42" s="1" t="e">
        <f t="shared" si="5"/>
        <v>#VALUE!</v>
      </c>
      <c r="AV42" s="1" t="e">
        <f t="shared" si="6"/>
        <v>#VALUE!</v>
      </c>
      <c r="AW42" s="1" t="e">
        <f t="shared" si="7"/>
        <v>#VALUE!</v>
      </c>
    </row>
    <row r="43" spans="1:49" x14ac:dyDescent="0.2">
      <c r="A43">
        <v>41</v>
      </c>
      <c r="B43" t="s">
        <v>3119</v>
      </c>
      <c r="F43" t="s">
        <v>3118</v>
      </c>
      <c r="G43" t="s">
        <v>8</v>
      </c>
      <c r="H43" t="s">
        <v>7</v>
      </c>
      <c r="I43" t="s">
        <v>3117</v>
      </c>
      <c r="J43">
        <v>60016613</v>
      </c>
      <c r="K43" t="s">
        <v>3116</v>
      </c>
      <c r="L43" t="s">
        <v>130</v>
      </c>
      <c r="M43" t="s">
        <v>53</v>
      </c>
      <c r="N43">
        <v>7</v>
      </c>
      <c r="O43" t="s">
        <v>3115</v>
      </c>
      <c r="P43" t="s">
        <v>3114</v>
      </c>
      <c r="Q43" t="s">
        <v>3113</v>
      </c>
      <c r="R43" s="7">
        <v>34669</v>
      </c>
      <c r="S43" s="8">
        <f t="shared" si="0"/>
        <v>1994</v>
      </c>
      <c r="T43" s="8">
        <v>1994</v>
      </c>
      <c r="U43" s="8">
        <f t="shared" si="1"/>
        <v>28</v>
      </c>
      <c r="V43" s="7">
        <v>1994</v>
      </c>
      <c r="W43" t="s">
        <v>3069</v>
      </c>
      <c r="X43" s="2" t="s">
        <v>0</v>
      </c>
      <c r="Y43" s="6" t="e">
        <f t="shared" si="2"/>
        <v>#VALUE!</v>
      </c>
      <c r="AA43">
        <v>9248625</v>
      </c>
      <c r="AB43">
        <v>12897</v>
      </c>
      <c r="AD43" t="s">
        <v>2</v>
      </c>
      <c r="AE43">
        <v>12</v>
      </c>
      <c r="AF43" s="10">
        <v>44289</v>
      </c>
      <c r="AH43" t="s">
        <v>3112</v>
      </c>
      <c r="AI43" t="s">
        <v>3111</v>
      </c>
      <c r="AK43" t="s">
        <v>3110</v>
      </c>
      <c r="AL43">
        <v>0</v>
      </c>
      <c r="AM43" s="5">
        <f t="shared" si="3"/>
        <v>0</v>
      </c>
      <c r="AN43" s="4">
        <f t="shared" si="4"/>
        <v>0</v>
      </c>
      <c r="AO43" s="3"/>
      <c r="AP43">
        <v>0</v>
      </c>
      <c r="AR43" t="s">
        <v>1</v>
      </c>
      <c r="AT43" s="2" t="s">
        <v>0</v>
      </c>
      <c r="AU43" s="1" t="e">
        <f t="shared" si="5"/>
        <v>#VALUE!</v>
      </c>
      <c r="AV43" s="1" t="e">
        <f t="shared" si="6"/>
        <v>#VALUE!</v>
      </c>
      <c r="AW43" s="1" t="e">
        <f t="shared" si="7"/>
        <v>#VALUE!</v>
      </c>
    </row>
    <row r="44" spans="1:49" x14ac:dyDescent="0.2">
      <c r="A44">
        <v>42</v>
      </c>
      <c r="B44" t="s">
        <v>3109</v>
      </c>
      <c r="F44" t="s">
        <v>3108</v>
      </c>
      <c r="G44" t="s">
        <v>8</v>
      </c>
      <c r="H44" t="s">
        <v>7</v>
      </c>
      <c r="I44" t="s">
        <v>595</v>
      </c>
      <c r="N44">
        <v>1</v>
      </c>
      <c r="O44" t="s">
        <v>316</v>
      </c>
      <c r="P44">
        <v>1</v>
      </c>
      <c r="R44" s="7">
        <v>34669</v>
      </c>
      <c r="S44" s="8">
        <f t="shared" si="0"/>
        <v>1994</v>
      </c>
      <c r="T44" s="8">
        <v>1994</v>
      </c>
      <c r="U44" s="8">
        <f t="shared" si="1"/>
        <v>28</v>
      </c>
      <c r="V44" s="7">
        <v>34669</v>
      </c>
      <c r="W44" t="s">
        <v>3107</v>
      </c>
      <c r="X44" s="2">
        <v>0.13800000000000001</v>
      </c>
      <c r="Y44" s="6">
        <f t="shared" si="2"/>
        <v>3.6838311844318095E-3</v>
      </c>
      <c r="AA44">
        <v>1926225</v>
      </c>
      <c r="AB44">
        <v>18580</v>
      </c>
      <c r="AD44" t="s">
        <v>2</v>
      </c>
      <c r="AE44">
        <v>37</v>
      </c>
      <c r="AF44">
        <v>12</v>
      </c>
      <c r="AH44">
        <v>104</v>
      </c>
      <c r="AI44" t="s">
        <v>3106</v>
      </c>
      <c r="AK44" t="s">
        <v>3105</v>
      </c>
      <c r="AL44">
        <v>0</v>
      </c>
      <c r="AM44" s="5">
        <f t="shared" si="3"/>
        <v>0</v>
      </c>
      <c r="AN44" s="4">
        <f t="shared" si="4"/>
        <v>0</v>
      </c>
      <c r="AO44" s="3"/>
      <c r="AP44">
        <v>0</v>
      </c>
      <c r="AR44" t="s">
        <v>1</v>
      </c>
      <c r="AT44" s="2">
        <v>0.30599999999999999</v>
      </c>
      <c r="AU44" s="1">
        <f t="shared" si="5"/>
        <v>0.25786818291022667</v>
      </c>
      <c r="AV44" s="1">
        <f t="shared" si="6"/>
        <v>0.18419155922159047</v>
      </c>
      <c r="AW44" s="1">
        <f t="shared" si="7"/>
        <v>0.11051493553295429</v>
      </c>
    </row>
    <row r="45" spans="1:49" x14ac:dyDescent="0.2">
      <c r="A45">
        <v>43</v>
      </c>
      <c r="B45" t="s">
        <v>3104</v>
      </c>
      <c r="F45" t="s">
        <v>3103</v>
      </c>
      <c r="G45" t="s">
        <v>8</v>
      </c>
      <c r="H45" t="s">
        <v>7</v>
      </c>
      <c r="I45" t="s">
        <v>3102</v>
      </c>
      <c r="N45">
        <v>1</v>
      </c>
      <c r="O45" t="s">
        <v>3101</v>
      </c>
      <c r="P45">
        <v>6507727394</v>
      </c>
      <c r="R45" s="7">
        <v>34669</v>
      </c>
      <c r="S45" s="8">
        <f t="shared" si="0"/>
        <v>1994</v>
      </c>
      <c r="T45" s="8">
        <v>1994</v>
      </c>
      <c r="U45" s="8">
        <f t="shared" si="1"/>
        <v>28</v>
      </c>
      <c r="V45" s="7">
        <v>34669</v>
      </c>
      <c r="W45" t="s">
        <v>1107</v>
      </c>
      <c r="X45" s="2" t="s">
        <v>0</v>
      </c>
      <c r="Y45" s="6" t="e">
        <f t="shared" si="2"/>
        <v>#VALUE!</v>
      </c>
      <c r="AA45">
        <v>9598332</v>
      </c>
      <c r="AB45">
        <v>58615</v>
      </c>
      <c r="AD45" t="s">
        <v>2</v>
      </c>
      <c r="AE45">
        <v>100</v>
      </c>
      <c r="AF45">
        <v>1705</v>
      </c>
      <c r="AH45" t="s">
        <v>3100</v>
      </c>
      <c r="AI45" t="s">
        <v>3099</v>
      </c>
      <c r="AK45" t="s">
        <v>3098</v>
      </c>
      <c r="AL45">
        <v>1</v>
      </c>
      <c r="AM45" s="5">
        <f t="shared" si="3"/>
        <v>3.5714285714285712E-2</v>
      </c>
      <c r="AN45" s="4">
        <f t="shared" si="4"/>
        <v>5.4092064694109373E-5</v>
      </c>
      <c r="AO45" s="3"/>
      <c r="AP45">
        <v>0</v>
      </c>
      <c r="AR45" t="s">
        <v>1</v>
      </c>
      <c r="AT45" s="2" t="s">
        <v>0</v>
      </c>
      <c r="AU45" s="1" t="e">
        <f t="shared" si="5"/>
        <v>#VALUE!</v>
      </c>
      <c r="AV45" s="1" t="e">
        <f t="shared" si="6"/>
        <v>#VALUE!</v>
      </c>
      <c r="AW45" s="1" t="e">
        <f t="shared" si="7"/>
        <v>#VALUE!</v>
      </c>
    </row>
    <row r="46" spans="1:49" x14ac:dyDescent="0.2">
      <c r="A46">
        <v>44</v>
      </c>
      <c r="B46" t="s">
        <v>3097</v>
      </c>
      <c r="F46" t="s">
        <v>3096</v>
      </c>
      <c r="G46" t="s">
        <v>8</v>
      </c>
      <c r="H46" t="s">
        <v>7</v>
      </c>
      <c r="I46" t="s">
        <v>3095</v>
      </c>
      <c r="J46">
        <v>60019894</v>
      </c>
      <c r="K46" t="s">
        <v>3085</v>
      </c>
      <c r="L46" t="s">
        <v>3084</v>
      </c>
      <c r="M46" t="s">
        <v>10</v>
      </c>
      <c r="N46">
        <v>2</v>
      </c>
      <c r="O46" t="s">
        <v>3094</v>
      </c>
      <c r="P46" t="s">
        <v>3093</v>
      </c>
      <c r="Q46" t="s">
        <v>3081</v>
      </c>
      <c r="R46" s="7">
        <v>34669</v>
      </c>
      <c r="S46" s="8">
        <f t="shared" si="0"/>
        <v>1994</v>
      </c>
      <c r="T46" s="8">
        <v>1994</v>
      </c>
      <c r="U46" s="8">
        <f t="shared" si="1"/>
        <v>28</v>
      </c>
      <c r="V46" s="7">
        <v>1994</v>
      </c>
      <c r="W46" t="s">
        <v>2889</v>
      </c>
      <c r="X46" s="2" t="s">
        <v>0</v>
      </c>
      <c r="Y46" s="6" t="e">
        <f t="shared" si="2"/>
        <v>#VALUE!</v>
      </c>
      <c r="AA46">
        <v>134252</v>
      </c>
      <c r="AB46">
        <v>32198</v>
      </c>
      <c r="AD46" t="s">
        <v>2</v>
      </c>
      <c r="AF46" t="s">
        <v>3092</v>
      </c>
      <c r="AH46" t="s">
        <v>3091</v>
      </c>
      <c r="AI46" t="s">
        <v>3090</v>
      </c>
      <c r="AK46" t="s">
        <v>3089</v>
      </c>
      <c r="AL46">
        <v>2</v>
      </c>
      <c r="AM46" s="5">
        <f t="shared" si="3"/>
        <v>7.1428571428571425E-2</v>
      </c>
      <c r="AN46" s="4">
        <f t="shared" si="4"/>
        <v>1.0818412938821875E-4</v>
      </c>
      <c r="AO46" s="3"/>
      <c r="AP46">
        <v>0</v>
      </c>
      <c r="AR46" t="s">
        <v>1</v>
      </c>
      <c r="AT46" s="2" t="s">
        <v>0</v>
      </c>
      <c r="AU46" s="1" t="e">
        <f t="shared" si="5"/>
        <v>#VALUE!</v>
      </c>
      <c r="AV46" s="1" t="e">
        <f t="shared" si="6"/>
        <v>#VALUE!</v>
      </c>
      <c r="AW46" s="1" t="e">
        <f t="shared" si="7"/>
        <v>#VALUE!</v>
      </c>
    </row>
    <row r="47" spans="1:49" x14ac:dyDescent="0.2">
      <c r="A47">
        <v>45</v>
      </c>
      <c r="B47" t="s">
        <v>3088</v>
      </c>
      <c r="F47" t="s">
        <v>3087</v>
      </c>
      <c r="G47" t="s">
        <v>8</v>
      </c>
      <c r="H47" t="s">
        <v>7</v>
      </c>
      <c r="I47" t="s">
        <v>3086</v>
      </c>
      <c r="J47">
        <v>60019894</v>
      </c>
      <c r="K47" t="s">
        <v>3085</v>
      </c>
      <c r="L47" t="s">
        <v>3084</v>
      </c>
      <c r="M47" t="s">
        <v>10</v>
      </c>
      <c r="N47">
        <v>2</v>
      </c>
      <c r="O47" t="s">
        <v>3083</v>
      </c>
      <c r="P47" t="s">
        <v>3082</v>
      </c>
      <c r="Q47" t="s">
        <v>3081</v>
      </c>
      <c r="R47" s="7">
        <v>34669</v>
      </c>
      <c r="S47" s="8">
        <f t="shared" si="0"/>
        <v>1994</v>
      </c>
      <c r="T47" s="8">
        <v>1994</v>
      </c>
      <c r="U47" s="8">
        <f t="shared" si="1"/>
        <v>28</v>
      </c>
      <c r="V47" s="7">
        <v>1994</v>
      </c>
      <c r="W47" t="s">
        <v>2889</v>
      </c>
      <c r="X47" s="2" t="s">
        <v>0</v>
      </c>
      <c r="Y47" s="6" t="e">
        <f t="shared" si="2"/>
        <v>#VALUE!</v>
      </c>
      <c r="AA47">
        <v>134252</v>
      </c>
      <c r="AB47">
        <v>32198</v>
      </c>
      <c r="AD47" t="s">
        <v>2</v>
      </c>
      <c r="AF47" t="s">
        <v>3080</v>
      </c>
      <c r="AH47" t="s">
        <v>3079</v>
      </c>
      <c r="AI47" t="s">
        <v>3078</v>
      </c>
      <c r="AK47" t="s">
        <v>3077</v>
      </c>
      <c r="AL47">
        <v>1</v>
      </c>
      <c r="AM47" s="5">
        <f t="shared" si="3"/>
        <v>3.5714285714285712E-2</v>
      </c>
      <c r="AN47" s="4">
        <f t="shared" si="4"/>
        <v>5.4092064694109373E-5</v>
      </c>
      <c r="AO47" s="3"/>
      <c r="AP47">
        <v>0</v>
      </c>
      <c r="AR47" t="s">
        <v>1</v>
      </c>
      <c r="AT47" s="2" t="s">
        <v>0</v>
      </c>
      <c r="AU47" s="1" t="e">
        <f t="shared" si="5"/>
        <v>#VALUE!</v>
      </c>
      <c r="AV47" s="1" t="e">
        <f t="shared" si="6"/>
        <v>#VALUE!</v>
      </c>
      <c r="AW47" s="1" t="e">
        <f t="shared" si="7"/>
        <v>#VALUE!</v>
      </c>
    </row>
    <row r="48" spans="1:49" x14ac:dyDescent="0.2">
      <c r="A48">
        <v>46</v>
      </c>
      <c r="B48" t="s">
        <v>3076</v>
      </c>
      <c r="F48" t="s">
        <v>3075</v>
      </c>
      <c r="G48" t="s">
        <v>8</v>
      </c>
      <c r="H48" t="s">
        <v>7</v>
      </c>
      <c r="I48" t="s">
        <v>3074</v>
      </c>
      <c r="J48">
        <v>60030821</v>
      </c>
      <c r="K48" t="s">
        <v>3073</v>
      </c>
      <c r="L48" t="s">
        <v>80</v>
      </c>
      <c r="M48" t="s">
        <v>19</v>
      </c>
      <c r="N48">
        <v>2</v>
      </c>
      <c r="O48" t="s">
        <v>3072</v>
      </c>
      <c r="P48" t="s">
        <v>3071</v>
      </c>
      <c r="Q48" t="s">
        <v>3070</v>
      </c>
      <c r="R48" s="7">
        <v>34669</v>
      </c>
      <c r="S48" s="8">
        <f t="shared" si="0"/>
        <v>1994</v>
      </c>
      <c r="T48" s="8">
        <v>1994</v>
      </c>
      <c r="U48" s="8">
        <f t="shared" si="1"/>
        <v>28</v>
      </c>
      <c r="V48" s="7">
        <v>1994</v>
      </c>
      <c r="W48" t="s">
        <v>3069</v>
      </c>
      <c r="X48" s="2" t="s">
        <v>0</v>
      </c>
      <c r="Y48" s="6" t="e">
        <f t="shared" si="2"/>
        <v>#VALUE!</v>
      </c>
      <c r="AA48">
        <v>9248625</v>
      </c>
      <c r="AB48">
        <v>12897</v>
      </c>
      <c r="AD48" t="s">
        <v>2</v>
      </c>
      <c r="AE48">
        <v>12</v>
      </c>
      <c r="AF48" s="10">
        <v>44289</v>
      </c>
      <c r="AH48" t="s">
        <v>24</v>
      </c>
      <c r="AI48" t="s">
        <v>3068</v>
      </c>
      <c r="AK48" t="s">
        <v>3067</v>
      </c>
      <c r="AL48">
        <v>0</v>
      </c>
      <c r="AM48" s="5">
        <f t="shared" si="3"/>
        <v>0</v>
      </c>
      <c r="AN48" s="4">
        <f t="shared" si="4"/>
        <v>0</v>
      </c>
      <c r="AO48" s="3"/>
      <c r="AP48">
        <v>0</v>
      </c>
      <c r="AR48" t="s">
        <v>1</v>
      </c>
      <c r="AT48" s="2" t="s">
        <v>0</v>
      </c>
      <c r="AU48" s="1" t="e">
        <f t="shared" si="5"/>
        <v>#VALUE!</v>
      </c>
      <c r="AV48" s="1" t="e">
        <f t="shared" si="6"/>
        <v>#VALUE!</v>
      </c>
      <c r="AW48" s="1" t="e">
        <f t="shared" si="7"/>
        <v>#VALUE!</v>
      </c>
    </row>
    <row r="49" spans="1:49" x14ac:dyDescent="0.2">
      <c r="A49">
        <v>47</v>
      </c>
      <c r="B49" t="s">
        <v>3066</v>
      </c>
      <c r="C49" t="s">
        <v>3065</v>
      </c>
      <c r="F49" t="s">
        <v>3064</v>
      </c>
      <c r="G49" t="s">
        <v>8</v>
      </c>
      <c r="H49" t="s">
        <v>7</v>
      </c>
      <c r="I49" t="s">
        <v>122</v>
      </c>
      <c r="J49">
        <v>60001439</v>
      </c>
      <c r="K49" t="s">
        <v>104</v>
      </c>
      <c r="L49" t="s">
        <v>103</v>
      </c>
      <c r="M49" t="s">
        <v>19</v>
      </c>
      <c r="N49">
        <v>4</v>
      </c>
      <c r="O49" t="s">
        <v>3063</v>
      </c>
      <c r="P49" t="s">
        <v>3062</v>
      </c>
      <c r="Q49" t="s">
        <v>3061</v>
      </c>
      <c r="R49" s="7">
        <v>34669</v>
      </c>
      <c r="S49" s="8">
        <f t="shared" si="0"/>
        <v>1994</v>
      </c>
      <c r="T49" s="8">
        <v>1994</v>
      </c>
      <c r="U49" s="8">
        <f t="shared" si="1"/>
        <v>28</v>
      </c>
      <c r="V49" s="7">
        <v>1994</v>
      </c>
      <c r="W49" t="s">
        <v>3060</v>
      </c>
      <c r="X49" s="2">
        <v>0.89800000000000002</v>
      </c>
      <c r="Y49" s="6">
        <f t="shared" si="2"/>
        <v>2.3971597127679455E-2</v>
      </c>
      <c r="AA49">
        <v>9641726</v>
      </c>
      <c r="AB49">
        <v>29859</v>
      </c>
      <c r="AD49" t="s">
        <v>2</v>
      </c>
      <c r="AE49">
        <v>3</v>
      </c>
      <c r="AF49">
        <v>4</v>
      </c>
      <c r="AG49">
        <v>9</v>
      </c>
      <c r="AH49" t="s">
        <v>3059</v>
      </c>
      <c r="AI49" t="s">
        <v>3058</v>
      </c>
      <c r="AK49" t="s">
        <v>3057</v>
      </c>
      <c r="AL49">
        <v>14</v>
      </c>
      <c r="AM49" s="5">
        <f t="shared" si="3"/>
        <v>0.5</v>
      </c>
      <c r="AN49" s="4">
        <f t="shared" si="4"/>
        <v>7.572889057175312E-4</v>
      </c>
      <c r="AO49" s="3"/>
      <c r="AP49">
        <v>0</v>
      </c>
      <c r="AR49" t="s">
        <v>1</v>
      </c>
      <c r="AT49" s="2">
        <v>3.585</v>
      </c>
      <c r="AU49" s="1">
        <f t="shared" si="5"/>
        <v>1.7007304661090878</v>
      </c>
      <c r="AV49" s="1">
        <f t="shared" si="6"/>
        <v>1.2364443016698492</v>
      </c>
      <c r="AW49" s="1">
        <f t="shared" si="7"/>
        <v>0.77215813723061077</v>
      </c>
    </row>
    <row r="50" spans="1:49" x14ac:dyDescent="0.2">
      <c r="A50">
        <v>48</v>
      </c>
      <c r="B50" t="s">
        <v>3056</v>
      </c>
      <c r="F50" t="s">
        <v>3055</v>
      </c>
      <c r="G50" t="s">
        <v>8</v>
      </c>
      <c r="H50" t="s">
        <v>7</v>
      </c>
      <c r="I50" t="s">
        <v>3054</v>
      </c>
      <c r="N50">
        <v>1</v>
      </c>
      <c r="O50" t="s">
        <v>3053</v>
      </c>
      <c r="P50">
        <v>56298980100</v>
      </c>
      <c r="R50" s="7">
        <v>34669</v>
      </c>
      <c r="S50" s="8">
        <f t="shared" si="0"/>
        <v>1994</v>
      </c>
      <c r="T50" s="8">
        <v>1994</v>
      </c>
      <c r="U50" s="8">
        <f t="shared" si="1"/>
        <v>28</v>
      </c>
      <c r="V50" s="7">
        <v>34669</v>
      </c>
      <c r="W50" t="s">
        <v>112</v>
      </c>
      <c r="X50" s="2">
        <v>0.10100000000000001</v>
      </c>
      <c r="Y50" s="6">
        <f t="shared" si="2"/>
        <v>2.6961373161421215E-3</v>
      </c>
      <c r="AA50">
        <v>7452993</v>
      </c>
      <c r="AB50">
        <v>18563</v>
      </c>
      <c r="AD50" t="s">
        <v>2</v>
      </c>
      <c r="AE50">
        <v>33</v>
      </c>
      <c r="AF50">
        <v>13</v>
      </c>
      <c r="AI50" t="s">
        <v>3052</v>
      </c>
      <c r="AK50" t="s">
        <v>3051</v>
      </c>
      <c r="AL50">
        <v>5</v>
      </c>
      <c r="AM50" s="5">
        <f t="shared" si="3"/>
        <v>0.17857142857142858</v>
      </c>
      <c r="AN50" s="4">
        <f t="shared" si="4"/>
        <v>2.7046032347054688E-4</v>
      </c>
      <c r="AO50" s="3"/>
      <c r="AP50">
        <v>0</v>
      </c>
      <c r="AR50" t="s">
        <v>1</v>
      </c>
      <c r="AT50" s="2" t="s">
        <v>0</v>
      </c>
      <c r="AU50" s="1">
        <f t="shared" si="5"/>
        <v>0.19684342183406486</v>
      </c>
      <c r="AV50" s="1">
        <f t="shared" si="6"/>
        <v>0.14832988198063343</v>
      </c>
      <c r="AW50" s="1">
        <f t="shared" si="7"/>
        <v>9.9816342127201932E-2</v>
      </c>
    </row>
    <row r="51" spans="1:49" x14ac:dyDescent="0.2">
      <c r="A51">
        <v>49</v>
      </c>
      <c r="B51" t="s">
        <v>3050</v>
      </c>
      <c r="F51" t="s">
        <v>3049</v>
      </c>
      <c r="G51" t="s">
        <v>8</v>
      </c>
      <c r="H51" t="s">
        <v>7</v>
      </c>
      <c r="I51" t="s">
        <v>215</v>
      </c>
      <c r="J51">
        <v>60103907</v>
      </c>
      <c r="K51" t="s">
        <v>117</v>
      </c>
      <c r="L51" t="s">
        <v>116</v>
      </c>
      <c r="M51" t="s">
        <v>53</v>
      </c>
      <c r="N51">
        <v>7</v>
      </c>
      <c r="O51" t="s">
        <v>3048</v>
      </c>
      <c r="P51" t="s">
        <v>3047</v>
      </c>
      <c r="Q51" t="s">
        <v>115</v>
      </c>
      <c r="R51" s="7">
        <v>34669</v>
      </c>
      <c r="S51" s="8">
        <f t="shared" si="0"/>
        <v>1994</v>
      </c>
      <c r="T51" s="8">
        <v>1994</v>
      </c>
      <c r="U51" s="8">
        <f t="shared" si="1"/>
        <v>28</v>
      </c>
      <c r="V51" s="7">
        <v>34669</v>
      </c>
      <c r="W51" t="s">
        <v>119</v>
      </c>
      <c r="X51" s="2">
        <v>0.21099999999999999</v>
      </c>
      <c r="Y51" s="6">
        <f t="shared" si="2"/>
        <v>5.6325244921384904E-3</v>
      </c>
      <c r="AA51">
        <v>9168516</v>
      </c>
      <c r="AB51">
        <v>18936</v>
      </c>
      <c r="AD51" t="s">
        <v>2</v>
      </c>
      <c r="AE51" t="s">
        <v>118</v>
      </c>
      <c r="AF51">
        <v>12</v>
      </c>
      <c r="AH51" t="s">
        <v>3046</v>
      </c>
      <c r="AI51" t="s">
        <v>3045</v>
      </c>
      <c r="AK51" t="s">
        <v>3044</v>
      </c>
      <c r="AL51">
        <v>10</v>
      </c>
      <c r="AM51" s="5">
        <f t="shared" si="3"/>
        <v>0.35714285714285715</v>
      </c>
      <c r="AN51" s="4">
        <f t="shared" si="4"/>
        <v>5.4092064694109376E-4</v>
      </c>
      <c r="AO51" s="3"/>
      <c r="AP51">
        <v>0</v>
      </c>
      <c r="AR51" t="s">
        <v>1</v>
      </c>
      <c r="AT51" s="2">
        <v>0.52500000000000002</v>
      </c>
      <c r="AU51" s="1">
        <f t="shared" si="5"/>
        <v>0.41050433385792706</v>
      </c>
      <c r="AV51" s="1">
        <f t="shared" si="6"/>
        <v>0.30867225695397921</v>
      </c>
      <c r="AW51" s="1">
        <f t="shared" si="7"/>
        <v>0.2068401800500313</v>
      </c>
    </row>
    <row r="52" spans="1:49" x14ac:dyDescent="0.2">
      <c r="A52">
        <v>50</v>
      </c>
      <c r="B52" t="s">
        <v>3043</v>
      </c>
      <c r="C52" t="s">
        <v>3042</v>
      </c>
      <c r="F52" t="s">
        <v>3041</v>
      </c>
      <c r="G52" t="s">
        <v>8</v>
      </c>
      <c r="H52" t="s">
        <v>7</v>
      </c>
      <c r="I52" t="s">
        <v>249</v>
      </c>
      <c r="J52">
        <v>60019656</v>
      </c>
      <c r="K52" t="s">
        <v>248</v>
      </c>
      <c r="L52" t="s">
        <v>13</v>
      </c>
      <c r="M52" t="s">
        <v>4</v>
      </c>
      <c r="N52">
        <v>2</v>
      </c>
      <c r="O52" t="s">
        <v>3040</v>
      </c>
      <c r="P52" t="s">
        <v>3039</v>
      </c>
      <c r="Q52" t="s">
        <v>3038</v>
      </c>
      <c r="R52" s="7">
        <v>34669</v>
      </c>
      <c r="S52" s="8">
        <f t="shared" si="0"/>
        <v>1994</v>
      </c>
      <c r="T52" s="8">
        <v>1994</v>
      </c>
      <c r="U52" s="8">
        <f t="shared" si="1"/>
        <v>28</v>
      </c>
      <c r="V52" s="7">
        <v>34669</v>
      </c>
      <c r="W52" s="11" t="s">
        <v>377</v>
      </c>
      <c r="X52" s="2">
        <v>2.383</v>
      </c>
      <c r="Y52" s="6">
        <f t="shared" si="2"/>
        <v>6.3612824003630442E-2</v>
      </c>
      <c r="AA52">
        <v>13502417</v>
      </c>
      <c r="AB52">
        <v>17416</v>
      </c>
      <c r="AD52" t="s">
        <v>2</v>
      </c>
      <c r="AE52">
        <v>141</v>
      </c>
      <c r="AF52">
        <v>6</v>
      </c>
      <c r="AH52" t="s">
        <v>3037</v>
      </c>
      <c r="AI52" t="s">
        <v>3036</v>
      </c>
      <c r="AK52" t="s">
        <v>3035</v>
      </c>
      <c r="AL52">
        <v>3</v>
      </c>
      <c r="AM52" s="5">
        <f t="shared" si="3"/>
        <v>0.10714285714285714</v>
      </c>
      <c r="AN52" s="4">
        <f t="shared" si="4"/>
        <v>1.6227619408232811E-4</v>
      </c>
      <c r="AO52" s="3"/>
      <c r="AP52">
        <v>0</v>
      </c>
      <c r="AR52" t="s">
        <v>1</v>
      </c>
      <c r="AT52" s="2" t="s">
        <v>0</v>
      </c>
      <c r="AU52" s="1">
        <f t="shared" si="5"/>
        <v>4.4577659660766011</v>
      </c>
      <c r="AV52" s="1">
        <f t="shared" si="6"/>
        <v>3.1887550098856381</v>
      </c>
      <c r="AW52" s="1">
        <f t="shared" si="7"/>
        <v>1.9197440536946762</v>
      </c>
    </row>
    <row r="53" spans="1:49" x14ac:dyDescent="0.2">
      <c r="A53">
        <v>51</v>
      </c>
      <c r="B53" t="s">
        <v>3034</v>
      </c>
      <c r="C53" t="s">
        <v>3033</v>
      </c>
      <c r="F53" t="s">
        <v>3032</v>
      </c>
      <c r="G53" t="s">
        <v>8</v>
      </c>
      <c r="H53" t="s">
        <v>7</v>
      </c>
      <c r="I53" t="s">
        <v>3031</v>
      </c>
      <c r="J53">
        <v>60033387</v>
      </c>
      <c r="K53" t="s">
        <v>384</v>
      </c>
      <c r="L53" t="s">
        <v>54</v>
      </c>
      <c r="M53" t="s">
        <v>4</v>
      </c>
      <c r="N53">
        <v>3</v>
      </c>
      <c r="O53" t="s">
        <v>227</v>
      </c>
      <c r="P53" t="s">
        <v>226</v>
      </c>
      <c r="Q53" t="s">
        <v>383</v>
      </c>
      <c r="R53" s="7">
        <v>34669</v>
      </c>
      <c r="S53" s="8">
        <f t="shared" si="0"/>
        <v>1994</v>
      </c>
      <c r="T53" s="8">
        <v>1994</v>
      </c>
      <c r="U53" s="8">
        <f t="shared" si="1"/>
        <v>28</v>
      </c>
      <c r="V53" s="7">
        <v>34669</v>
      </c>
      <c r="W53" s="11" t="s">
        <v>377</v>
      </c>
      <c r="X53" s="2">
        <v>2.383</v>
      </c>
      <c r="Y53" s="6">
        <f t="shared" si="2"/>
        <v>6.3612824003630442E-2</v>
      </c>
      <c r="AA53">
        <v>13502417</v>
      </c>
      <c r="AB53">
        <v>17416</v>
      </c>
      <c r="AD53" t="s">
        <v>2</v>
      </c>
      <c r="AE53">
        <v>141</v>
      </c>
      <c r="AF53">
        <v>6</v>
      </c>
      <c r="AH53" t="s">
        <v>3030</v>
      </c>
      <c r="AI53" t="s">
        <v>3029</v>
      </c>
      <c r="AK53" t="s">
        <v>3028</v>
      </c>
      <c r="AL53">
        <v>1</v>
      </c>
      <c r="AM53" s="5">
        <f t="shared" si="3"/>
        <v>3.5714285714285712E-2</v>
      </c>
      <c r="AN53" s="4">
        <f t="shared" si="4"/>
        <v>5.4092064694109373E-5</v>
      </c>
      <c r="AO53" s="3"/>
      <c r="AP53">
        <v>0</v>
      </c>
      <c r="AR53" t="s">
        <v>1</v>
      </c>
      <c r="AT53" s="2" t="s">
        <v>0</v>
      </c>
      <c r="AU53" s="1">
        <f t="shared" si="5"/>
        <v>4.454520442194954</v>
      </c>
      <c r="AV53" s="1">
        <f t="shared" si="6"/>
        <v>3.1833458034162274</v>
      </c>
      <c r="AW53" s="1">
        <f t="shared" si="7"/>
        <v>1.9121711646375008</v>
      </c>
    </row>
    <row r="54" spans="1:49" x14ac:dyDescent="0.2">
      <c r="A54">
        <v>52</v>
      </c>
      <c r="B54" t="s">
        <v>3027</v>
      </c>
      <c r="F54" t="s">
        <v>3026</v>
      </c>
      <c r="G54" t="s">
        <v>8</v>
      </c>
      <c r="H54" t="s">
        <v>7</v>
      </c>
      <c r="I54" t="s">
        <v>3025</v>
      </c>
      <c r="J54">
        <v>60069256</v>
      </c>
      <c r="K54" t="s">
        <v>3024</v>
      </c>
      <c r="L54" t="s">
        <v>141</v>
      </c>
      <c r="M54" t="s">
        <v>17</v>
      </c>
      <c r="N54">
        <v>2</v>
      </c>
      <c r="O54" t="s">
        <v>3023</v>
      </c>
      <c r="P54" t="s">
        <v>3022</v>
      </c>
      <c r="Q54" t="s">
        <v>3021</v>
      </c>
      <c r="R54" s="7">
        <v>34669</v>
      </c>
      <c r="S54" s="8">
        <f t="shared" si="0"/>
        <v>1994</v>
      </c>
      <c r="T54" s="8">
        <v>1994</v>
      </c>
      <c r="U54" s="8">
        <f t="shared" si="1"/>
        <v>28</v>
      </c>
      <c r="V54" s="7">
        <v>1994</v>
      </c>
      <c r="W54" t="s">
        <v>3020</v>
      </c>
      <c r="X54" s="2" t="s">
        <v>0</v>
      </c>
      <c r="Y54" s="6" t="e">
        <f t="shared" si="2"/>
        <v>#VALUE!</v>
      </c>
      <c r="AA54">
        <v>7612508</v>
      </c>
      <c r="AB54">
        <v>28513</v>
      </c>
      <c r="AD54" t="s">
        <v>2</v>
      </c>
      <c r="AE54">
        <v>58</v>
      </c>
      <c r="AF54">
        <v>1</v>
      </c>
      <c r="AH54" t="s">
        <v>3019</v>
      </c>
      <c r="AI54" t="s">
        <v>3018</v>
      </c>
      <c r="AK54" t="s">
        <v>3017</v>
      </c>
      <c r="AL54">
        <v>0</v>
      </c>
      <c r="AM54" s="5">
        <f t="shared" si="3"/>
        <v>0</v>
      </c>
      <c r="AN54" s="4">
        <f t="shared" si="4"/>
        <v>0</v>
      </c>
      <c r="AO54" s="3"/>
      <c r="AP54">
        <v>0</v>
      </c>
      <c r="AR54" t="s">
        <v>1</v>
      </c>
      <c r="AT54" s="2" t="s">
        <v>0</v>
      </c>
      <c r="AU54" s="1" t="e">
        <f t="shared" si="5"/>
        <v>#VALUE!</v>
      </c>
      <c r="AV54" s="1" t="e">
        <f t="shared" si="6"/>
        <v>#VALUE!</v>
      </c>
      <c r="AW54" s="1" t="e">
        <f t="shared" si="7"/>
        <v>#VALUE!</v>
      </c>
    </row>
    <row r="55" spans="1:49" x14ac:dyDescent="0.2">
      <c r="A55">
        <v>53</v>
      </c>
      <c r="B55" t="s">
        <v>3016</v>
      </c>
      <c r="C55" t="s">
        <v>3015</v>
      </c>
      <c r="F55" t="s">
        <v>3014</v>
      </c>
      <c r="G55" t="s">
        <v>8</v>
      </c>
      <c r="H55" t="s">
        <v>7</v>
      </c>
      <c r="I55" t="s">
        <v>255</v>
      </c>
      <c r="J55">
        <v>60008524</v>
      </c>
      <c r="K55" t="s">
        <v>254</v>
      </c>
      <c r="L55" t="s">
        <v>253</v>
      </c>
      <c r="M55" t="s">
        <v>4</v>
      </c>
      <c r="N55">
        <v>3</v>
      </c>
      <c r="O55" t="s">
        <v>252</v>
      </c>
      <c r="P55" t="s">
        <v>251</v>
      </c>
      <c r="Q55" t="s">
        <v>250</v>
      </c>
      <c r="R55" s="7">
        <v>34669</v>
      </c>
      <c r="S55" s="8">
        <f t="shared" si="0"/>
        <v>1994</v>
      </c>
      <c r="T55" s="8">
        <v>1994</v>
      </c>
      <c r="U55" s="8">
        <f t="shared" si="1"/>
        <v>28</v>
      </c>
      <c r="V55" s="7">
        <v>34669</v>
      </c>
      <c r="W55" s="11" t="s">
        <v>377</v>
      </c>
      <c r="X55" s="2">
        <v>2.383</v>
      </c>
      <c r="Y55" s="6">
        <f t="shared" si="2"/>
        <v>6.3612824003630442E-2</v>
      </c>
      <c r="AA55">
        <v>13502417</v>
      </c>
      <c r="AB55">
        <v>17416</v>
      </c>
      <c r="AD55" t="s">
        <v>2</v>
      </c>
      <c r="AE55">
        <v>141</v>
      </c>
      <c r="AF55">
        <v>6</v>
      </c>
      <c r="AH55" t="s">
        <v>3013</v>
      </c>
      <c r="AI55" t="s">
        <v>3012</v>
      </c>
      <c r="AK55" t="s">
        <v>3011</v>
      </c>
      <c r="AL55">
        <v>7</v>
      </c>
      <c r="AM55" s="5">
        <f t="shared" si="3"/>
        <v>0.25</v>
      </c>
      <c r="AN55" s="4">
        <f t="shared" si="4"/>
        <v>3.786444528587656E-4</v>
      </c>
      <c r="AO55" s="3"/>
      <c r="AP55">
        <v>0</v>
      </c>
      <c r="AR55" t="s">
        <v>1</v>
      </c>
      <c r="AT55" s="2" t="s">
        <v>0</v>
      </c>
      <c r="AU55" s="1">
        <f t="shared" si="5"/>
        <v>4.4642570138398936</v>
      </c>
      <c r="AV55" s="1">
        <f t="shared" si="6"/>
        <v>3.1995734228244603</v>
      </c>
      <c r="AW55" s="1">
        <f t="shared" si="7"/>
        <v>1.9348898318090268</v>
      </c>
    </row>
    <row r="56" spans="1:49" x14ac:dyDescent="0.2">
      <c r="A56">
        <v>54</v>
      </c>
      <c r="B56" t="s">
        <v>3010</v>
      </c>
      <c r="C56" t="s">
        <v>3009</v>
      </c>
      <c r="F56" t="s">
        <v>3008</v>
      </c>
      <c r="G56" t="s">
        <v>8</v>
      </c>
      <c r="H56" t="s">
        <v>7</v>
      </c>
      <c r="I56" t="s">
        <v>239</v>
      </c>
      <c r="J56">
        <v>122601591</v>
      </c>
      <c r="K56" t="s">
        <v>3007</v>
      </c>
      <c r="M56" t="s">
        <v>33</v>
      </c>
      <c r="N56">
        <v>2</v>
      </c>
      <c r="O56" t="s">
        <v>3006</v>
      </c>
      <c r="P56" t="s">
        <v>3005</v>
      </c>
      <c r="Q56" t="s">
        <v>3004</v>
      </c>
      <c r="R56" s="7">
        <v>34669</v>
      </c>
      <c r="S56" s="8">
        <f t="shared" si="0"/>
        <v>1994</v>
      </c>
      <c r="T56" s="8">
        <v>1994</v>
      </c>
      <c r="U56" s="8">
        <f t="shared" si="1"/>
        <v>28</v>
      </c>
      <c r="V56" s="7">
        <v>34669</v>
      </c>
      <c r="W56" s="11" t="s">
        <v>377</v>
      </c>
      <c r="X56" s="2">
        <v>2.383</v>
      </c>
      <c r="Y56" s="6">
        <f t="shared" si="2"/>
        <v>6.3612824003630442E-2</v>
      </c>
      <c r="AA56">
        <v>13502417</v>
      </c>
      <c r="AB56">
        <v>17416</v>
      </c>
      <c r="AD56" t="s">
        <v>2</v>
      </c>
      <c r="AE56">
        <v>141</v>
      </c>
      <c r="AF56">
        <v>6</v>
      </c>
      <c r="AH56" t="s">
        <v>3003</v>
      </c>
      <c r="AI56" t="s">
        <v>3002</v>
      </c>
      <c r="AK56" t="s">
        <v>3001</v>
      </c>
      <c r="AL56">
        <v>10</v>
      </c>
      <c r="AM56" s="5">
        <f t="shared" si="3"/>
        <v>0.35714285714285715</v>
      </c>
      <c r="AN56" s="4">
        <f t="shared" si="4"/>
        <v>5.4092064694109376E-4</v>
      </c>
      <c r="AO56" s="3"/>
      <c r="AP56">
        <v>0</v>
      </c>
      <c r="AR56" t="s">
        <v>1</v>
      </c>
      <c r="AT56" s="2" t="s">
        <v>0</v>
      </c>
      <c r="AU56" s="1">
        <f t="shared" si="5"/>
        <v>4.4691252996623643</v>
      </c>
      <c r="AV56" s="1">
        <f t="shared" si="6"/>
        <v>3.2076872325285768</v>
      </c>
      <c r="AW56" s="1">
        <f t="shared" si="7"/>
        <v>1.9462491653947898</v>
      </c>
    </row>
    <row r="57" spans="1:49" x14ac:dyDescent="0.2">
      <c r="A57">
        <v>55</v>
      </c>
      <c r="B57" t="s">
        <v>3000</v>
      </c>
      <c r="F57" t="s">
        <v>2999</v>
      </c>
      <c r="G57" t="s">
        <v>8</v>
      </c>
      <c r="H57" t="s">
        <v>7</v>
      </c>
      <c r="I57" t="s">
        <v>595</v>
      </c>
      <c r="N57">
        <v>1</v>
      </c>
      <c r="O57" t="s">
        <v>316</v>
      </c>
      <c r="P57">
        <v>1</v>
      </c>
      <c r="R57" s="7">
        <v>34669</v>
      </c>
      <c r="S57" s="8">
        <f t="shared" si="0"/>
        <v>1994</v>
      </c>
      <c r="T57" s="8">
        <v>1994</v>
      </c>
      <c r="U57" s="8">
        <f t="shared" si="1"/>
        <v>28</v>
      </c>
      <c r="V57" s="7">
        <v>34669</v>
      </c>
      <c r="W57" t="s">
        <v>2998</v>
      </c>
      <c r="X57" s="2" t="s">
        <v>0</v>
      </c>
      <c r="Y57" s="6" t="e">
        <f t="shared" si="2"/>
        <v>#VALUE!</v>
      </c>
      <c r="AA57">
        <v>7480016</v>
      </c>
      <c r="AB57">
        <v>17469</v>
      </c>
      <c r="AD57" t="s">
        <v>2</v>
      </c>
      <c r="AE57">
        <v>11</v>
      </c>
      <c r="AF57">
        <v>12</v>
      </c>
      <c r="AH57" t="s">
        <v>2997</v>
      </c>
      <c r="AI57" t="s">
        <v>2996</v>
      </c>
      <c r="AK57" t="s">
        <v>2995</v>
      </c>
      <c r="AL57">
        <v>0</v>
      </c>
      <c r="AM57" s="5">
        <f t="shared" si="3"/>
        <v>0</v>
      </c>
      <c r="AN57" s="4">
        <f t="shared" si="4"/>
        <v>0</v>
      </c>
      <c r="AO57" s="3"/>
      <c r="AP57">
        <v>0</v>
      </c>
      <c r="AR57" t="s">
        <v>1</v>
      </c>
      <c r="AT57" s="2" t="s">
        <v>0</v>
      </c>
      <c r="AU57" s="1" t="e">
        <f t="shared" si="5"/>
        <v>#VALUE!</v>
      </c>
      <c r="AV57" s="1" t="e">
        <f t="shared" si="6"/>
        <v>#VALUE!</v>
      </c>
      <c r="AW57" s="1" t="e">
        <f t="shared" si="7"/>
        <v>#VALUE!</v>
      </c>
    </row>
    <row r="58" spans="1:49" x14ac:dyDescent="0.2">
      <c r="A58">
        <v>56</v>
      </c>
      <c r="B58" t="s">
        <v>2994</v>
      </c>
      <c r="F58" t="s">
        <v>2993</v>
      </c>
      <c r="G58" t="s">
        <v>8</v>
      </c>
      <c r="H58" t="s">
        <v>7</v>
      </c>
      <c r="I58" t="s">
        <v>2992</v>
      </c>
      <c r="J58">
        <v>60006948</v>
      </c>
      <c r="K58" t="s">
        <v>2991</v>
      </c>
      <c r="L58" t="s">
        <v>2990</v>
      </c>
      <c r="M58" t="s">
        <v>2989</v>
      </c>
      <c r="N58">
        <v>2</v>
      </c>
      <c r="O58" t="s">
        <v>2988</v>
      </c>
      <c r="P58" t="s">
        <v>2987</v>
      </c>
      <c r="Q58" t="s">
        <v>2986</v>
      </c>
      <c r="R58" s="7">
        <v>34669</v>
      </c>
      <c r="S58" s="8">
        <f t="shared" si="0"/>
        <v>1994</v>
      </c>
      <c r="T58" s="8">
        <v>1994</v>
      </c>
      <c r="U58" s="8">
        <f t="shared" si="1"/>
        <v>28</v>
      </c>
      <c r="V58" s="7">
        <v>1994</v>
      </c>
      <c r="W58" t="s">
        <v>2985</v>
      </c>
      <c r="X58" s="2">
        <v>0.17199999999999999</v>
      </c>
      <c r="Y58" s="6">
        <f t="shared" si="2"/>
        <v>4.5914417661034141E-3</v>
      </c>
      <c r="AA58">
        <v>13301365</v>
      </c>
      <c r="AB58">
        <v>26693</v>
      </c>
      <c r="AD58" t="s">
        <v>2</v>
      </c>
      <c r="AE58">
        <v>6</v>
      </c>
      <c r="AF58" s="10">
        <v>44287</v>
      </c>
      <c r="AH58" t="s">
        <v>284</v>
      </c>
      <c r="AI58" t="s">
        <v>2984</v>
      </c>
      <c r="AK58" t="s">
        <v>2983</v>
      </c>
      <c r="AL58">
        <v>3</v>
      </c>
      <c r="AM58" s="5">
        <f t="shared" si="3"/>
        <v>0.10714285714285714</v>
      </c>
      <c r="AN58" s="4">
        <f t="shared" si="4"/>
        <v>1.6227619408232811E-4</v>
      </c>
      <c r="AO58" s="3"/>
      <c r="AP58">
        <v>0</v>
      </c>
      <c r="AR58" t="s">
        <v>1</v>
      </c>
      <c r="AT58" s="2" t="s">
        <v>0</v>
      </c>
      <c r="AU58" s="1">
        <f t="shared" si="5"/>
        <v>0.32626920944970877</v>
      </c>
      <c r="AV58" s="1">
        <f t="shared" si="6"/>
        <v>0.23768589800928711</v>
      </c>
      <c r="AW58" s="1">
        <f t="shared" si="7"/>
        <v>0.14910258656886538</v>
      </c>
    </row>
    <row r="59" spans="1:49" x14ac:dyDescent="0.2">
      <c r="A59">
        <v>57</v>
      </c>
      <c r="B59" t="s">
        <v>2982</v>
      </c>
      <c r="C59" t="s">
        <v>2981</v>
      </c>
      <c r="F59" t="s">
        <v>2980</v>
      </c>
      <c r="G59" t="s">
        <v>8</v>
      </c>
      <c r="H59" t="s">
        <v>7</v>
      </c>
      <c r="I59" t="s">
        <v>2979</v>
      </c>
      <c r="J59">
        <v>60013983</v>
      </c>
      <c r="K59" t="s">
        <v>196</v>
      </c>
      <c r="L59" t="s">
        <v>195</v>
      </c>
      <c r="M59" t="s">
        <v>194</v>
      </c>
      <c r="N59">
        <v>3</v>
      </c>
      <c r="O59" t="s">
        <v>2978</v>
      </c>
      <c r="P59" t="s">
        <v>2977</v>
      </c>
      <c r="Q59" t="s">
        <v>308</v>
      </c>
      <c r="R59" s="7">
        <v>34669</v>
      </c>
      <c r="S59" s="8">
        <f t="shared" si="0"/>
        <v>1994</v>
      </c>
      <c r="T59" s="8">
        <v>1994</v>
      </c>
      <c r="U59" s="8">
        <f t="shared" si="1"/>
        <v>28</v>
      </c>
      <c r="V59" s="7">
        <v>34669</v>
      </c>
      <c r="W59" s="11" t="s">
        <v>377</v>
      </c>
      <c r="X59" s="2">
        <v>2.383</v>
      </c>
      <c r="Y59" s="6">
        <f t="shared" si="2"/>
        <v>6.3612824003630442E-2</v>
      </c>
      <c r="AA59">
        <v>13502417</v>
      </c>
      <c r="AB59">
        <v>17416</v>
      </c>
      <c r="AD59" t="s">
        <v>2</v>
      </c>
      <c r="AE59">
        <v>141</v>
      </c>
      <c r="AF59">
        <v>6</v>
      </c>
      <c r="AH59" t="s">
        <v>225</v>
      </c>
      <c r="AI59" t="s">
        <v>2976</v>
      </c>
      <c r="AK59" t="s">
        <v>2975</v>
      </c>
      <c r="AL59">
        <v>9</v>
      </c>
      <c r="AM59" s="5">
        <f t="shared" si="3"/>
        <v>0.32142857142857145</v>
      </c>
      <c r="AN59" s="4">
        <f t="shared" si="4"/>
        <v>4.8682858224698443E-4</v>
      </c>
      <c r="AO59" s="3"/>
      <c r="AP59">
        <v>0</v>
      </c>
      <c r="AR59" t="s">
        <v>1</v>
      </c>
      <c r="AT59" s="2" t="s">
        <v>0</v>
      </c>
      <c r="AU59" s="1">
        <f t="shared" si="5"/>
        <v>4.4675025377215407</v>
      </c>
      <c r="AV59" s="1">
        <f t="shared" si="6"/>
        <v>3.204982629293871</v>
      </c>
      <c r="AW59" s="1">
        <f t="shared" si="7"/>
        <v>1.9424627208662022</v>
      </c>
    </row>
    <row r="60" spans="1:49" x14ac:dyDescent="0.2">
      <c r="A60">
        <v>58</v>
      </c>
      <c r="B60" t="s">
        <v>2974</v>
      </c>
      <c r="F60" t="s">
        <v>2973</v>
      </c>
      <c r="G60" t="s">
        <v>8</v>
      </c>
      <c r="H60" t="s">
        <v>7</v>
      </c>
      <c r="I60" t="s">
        <v>2972</v>
      </c>
      <c r="J60">
        <v>100386115</v>
      </c>
      <c r="K60" t="s">
        <v>2971</v>
      </c>
      <c r="L60" t="s">
        <v>2970</v>
      </c>
      <c r="M60" t="s">
        <v>10</v>
      </c>
      <c r="N60">
        <v>1</v>
      </c>
      <c r="O60" t="s">
        <v>2969</v>
      </c>
      <c r="P60">
        <v>55687897000</v>
      </c>
      <c r="Q60">
        <v>100386115</v>
      </c>
      <c r="R60" s="7">
        <v>34669</v>
      </c>
      <c r="S60" s="8">
        <f t="shared" si="0"/>
        <v>1994</v>
      </c>
      <c r="T60" s="8">
        <v>1994</v>
      </c>
      <c r="U60" s="8">
        <f t="shared" si="1"/>
        <v>28</v>
      </c>
      <c r="V60" s="7">
        <v>1994</v>
      </c>
      <c r="W60" t="s">
        <v>2968</v>
      </c>
      <c r="X60" s="2" t="s">
        <v>0</v>
      </c>
      <c r="Y60" s="6" t="e">
        <f t="shared" si="2"/>
        <v>#VALUE!</v>
      </c>
      <c r="AA60">
        <v>341223</v>
      </c>
      <c r="AB60">
        <v>39730</v>
      </c>
      <c r="AD60" t="s">
        <v>2</v>
      </c>
      <c r="AF60">
        <v>5</v>
      </c>
      <c r="AH60" t="s">
        <v>2967</v>
      </c>
      <c r="AI60" t="s">
        <v>2966</v>
      </c>
      <c r="AK60" t="s">
        <v>2965</v>
      </c>
      <c r="AL60">
        <v>0</v>
      </c>
      <c r="AM60" s="5">
        <f t="shared" si="3"/>
        <v>0</v>
      </c>
      <c r="AN60" s="4">
        <f t="shared" si="4"/>
        <v>0</v>
      </c>
      <c r="AO60" s="3"/>
      <c r="AP60">
        <v>0</v>
      </c>
      <c r="AR60" t="s">
        <v>1</v>
      </c>
      <c r="AT60" s="2" t="s">
        <v>0</v>
      </c>
      <c r="AU60" s="1" t="e">
        <f t="shared" si="5"/>
        <v>#VALUE!</v>
      </c>
      <c r="AV60" s="1" t="e">
        <f t="shared" si="6"/>
        <v>#VALUE!</v>
      </c>
      <c r="AW60" s="1" t="e">
        <f t="shared" si="7"/>
        <v>#VALUE!</v>
      </c>
    </row>
    <row r="61" spans="1:49" x14ac:dyDescent="0.2">
      <c r="A61">
        <v>59</v>
      </c>
      <c r="B61" t="s">
        <v>2964</v>
      </c>
      <c r="F61" t="s">
        <v>2963</v>
      </c>
      <c r="G61" t="s">
        <v>8</v>
      </c>
      <c r="H61" t="s">
        <v>7</v>
      </c>
      <c r="I61" t="s">
        <v>2962</v>
      </c>
      <c r="N61">
        <v>6</v>
      </c>
      <c r="O61" t="s">
        <v>2961</v>
      </c>
      <c r="P61" t="s">
        <v>2960</v>
      </c>
      <c r="Q61" t="s">
        <v>135</v>
      </c>
      <c r="R61" s="7">
        <v>34669</v>
      </c>
      <c r="S61" s="8">
        <f t="shared" si="0"/>
        <v>1994</v>
      </c>
      <c r="T61" s="8">
        <v>1994</v>
      </c>
      <c r="U61" s="8">
        <f t="shared" si="1"/>
        <v>28</v>
      </c>
      <c r="V61" s="7">
        <v>1994</v>
      </c>
      <c r="W61" t="s">
        <v>2952</v>
      </c>
      <c r="X61" s="2" t="s">
        <v>0</v>
      </c>
      <c r="Y61" s="6" t="e">
        <f t="shared" si="2"/>
        <v>#VALUE!</v>
      </c>
      <c r="AA61">
        <v>959669</v>
      </c>
      <c r="AB61">
        <v>94658</v>
      </c>
      <c r="AD61" t="s">
        <v>2</v>
      </c>
      <c r="AE61">
        <v>24</v>
      </c>
      <c r="AF61" s="10">
        <v>44228</v>
      </c>
      <c r="AH61" t="s">
        <v>2959</v>
      </c>
      <c r="AI61" t="s">
        <v>2958</v>
      </c>
      <c r="AK61" t="s">
        <v>2957</v>
      </c>
      <c r="AL61">
        <v>0</v>
      </c>
      <c r="AM61" s="5">
        <f t="shared" si="3"/>
        <v>0</v>
      </c>
      <c r="AN61" s="4">
        <f t="shared" si="4"/>
        <v>0</v>
      </c>
      <c r="AO61" s="3"/>
      <c r="AP61">
        <v>0</v>
      </c>
      <c r="AR61" t="s">
        <v>1</v>
      </c>
      <c r="AT61" s="2" t="s">
        <v>0</v>
      </c>
      <c r="AU61" s="1" t="e">
        <f t="shared" si="5"/>
        <v>#VALUE!</v>
      </c>
      <c r="AV61" s="1" t="e">
        <f t="shared" si="6"/>
        <v>#VALUE!</v>
      </c>
      <c r="AW61" s="1" t="e">
        <f t="shared" si="7"/>
        <v>#VALUE!</v>
      </c>
    </row>
    <row r="62" spans="1:49" x14ac:dyDescent="0.2">
      <c r="A62">
        <v>60</v>
      </c>
      <c r="B62" t="s">
        <v>2956</v>
      </c>
      <c r="F62" t="s">
        <v>2955</v>
      </c>
      <c r="G62" t="s">
        <v>8</v>
      </c>
      <c r="H62" t="s">
        <v>7</v>
      </c>
      <c r="I62" t="s">
        <v>2954</v>
      </c>
      <c r="N62">
        <v>1</v>
      </c>
      <c r="O62" t="s">
        <v>2953</v>
      </c>
      <c r="P62">
        <v>6507238463</v>
      </c>
      <c r="R62" s="7">
        <v>34669</v>
      </c>
      <c r="S62" s="8">
        <f t="shared" si="0"/>
        <v>1994</v>
      </c>
      <c r="T62" s="8">
        <v>1994</v>
      </c>
      <c r="U62" s="8">
        <f t="shared" si="1"/>
        <v>28</v>
      </c>
      <c r="V62" s="7">
        <v>1994</v>
      </c>
      <c r="W62" t="s">
        <v>2952</v>
      </c>
      <c r="X62" s="2" t="s">
        <v>0</v>
      </c>
      <c r="Y62" s="6" t="e">
        <f t="shared" si="2"/>
        <v>#VALUE!</v>
      </c>
      <c r="AA62">
        <v>959669</v>
      </c>
      <c r="AB62">
        <v>94658</v>
      </c>
      <c r="AD62" t="s">
        <v>2</v>
      </c>
      <c r="AE62">
        <v>24</v>
      </c>
      <c r="AF62" s="10">
        <v>44228</v>
      </c>
      <c r="AH62" t="s">
        <v>2951</v>
      </c>
      <c r="AI62" t="s">
        <v>2950</v>
      </c>
      <c r="AK62" t="s">
        <v>2949</v>
      </c>
      <c r="AL62">
        <v>0</v>
      </c>
      <c r="AM62" s="5">
        <f t="shared" si="3"/>
        <v>0</v>
      </c>
      <c r="AN62" s="4">
        <f t="shared" si="4"/>
        <v>0</v>
      </c>
      <c r="AO62" s="3"/>
      <c r="AP62">
        <v>0</v>
      </c>
      <c r="AR62" t="s">
        <v>1</v>
      </c>
      <c r="AT62" s="2" t="s">
        <v>0</v>
      </c>
      <c r="AU62" s="1" t="e">
        <f t="shared" si="5"/>
        <v>#VALUE!</v>
      </c>
      <c r="AV62" s="1" t="e">
        <f t="shared" si="6"/>
        <v>#VALUE!</v>
      </c>
      <c r="AW62" s="1" t="e">
        <f t="shared" si="7"/>
        <v>#VALUE!</v>
      </c>
    </row>
    <row r="63" spans="1:49" x14ac:dyDescent="0.2">
      <c r="A63">
        <v>61</v>
      </c>
      <c r="B63" t="s">
        <v>2948</v>
      </c>
      <c r="F63" t="s">
        <v>2947</v>
      </c>
      <c r="G63" t="s">
        <v>8</v>
      </c>
      <c r="H63" t="s">
        <v>7</v>
      </c>
      <c r="I63" t="s">
        <v>595</v>
      </c>
      <c r="N63">
        <v>1</v>
      </c>
      <c r="O63" t="s">
        <v>316</v>
      </c>
      <c r="P63">
        <v>1</v>
      </c>
      <c r="R63" s="7">
        <v>34669</v>
      </c>
      <c r="S63" s="8">
        <f t="shared" si="0"/>
        <v>1994</v>
      </c>
      <c r="T63" s="8">
        <v>1994</v>
      </c>
      <c r="U63" s="8">
        <f t="shared" si="1"/>
        <v>28</v>
      </c>
      <c r="V63" s="7">
        <v>1994</v>
      </c>
      <c r="W63" t="s">
        <v>2946</v>
      </c>
      <c r="X63" s="2" t="s">
        <v>0</v>
      </c>
      <c r="Y63" s="6" t="e">
        <f t="shared" si="2"/>
        <v>#VALUE!</v>
      </c>
      <c r="AA63">
        <v>432296</v>
      </c>
      <c r="AB63">
        <v>12040</v>
      </c>
      <c r="AD63" t="s">
        <v>2</v>
      </c>
      <c r="AH63" t="s">
        <v>279</v>
      </c>
      <c r="AI63" t="s">
        <v>2945</v>
      </c>
      <c r="AK63" t="s">
        <v>2944</v>
      </c>
      <c r="AL63">
        <v>0</v>
      </c>
      <c r="AM63" s="5">
        <f t="shared" si="3"/>
        <v>0</v>
      </c>
      <c r="AN63" s="4">
        <f t="shared" si="4"/>
        <v>0</v>
      </c>
      <c r="AO63" s="3"/>
      <c r="AP63">
        <v>0</v>
      </c>
      <c r="AR63" t="s">
        <v>1</v>
      </c>
      <c r="AT63" s="2" t="s">
        <v>0</v>
      </c>
      <c r="AU63" s="1" t="e">
        <f t="shared" si="5"/>
        <v>#VALUE!</v>
      </c>
      <c r="AV63" s="1" t="e">
        <f t="shared" si="6"/>
        <v>#VALUE!</v>
      </c>
      <c r="AW63" s="1" t="e">
        <f t="shared" si="7"/>
        <v>#VALUE!</v>
      </c>
    </row>
    <row r="64" spans="1:49" x14ac:dyDescent="0.2">
      <c r="A64">
        <v>62</v>
      </c>
      <c r="B64" t="s">
        <v>2943</v>
      </c>
      <c r="C64" t="s">
        <v>2942</v>
      </c>
      <c r="E64">
        <v>7807417</v>
      </c>
      <c r="F64" t="s">
        <v>2941</v>
      </c>
      <c r="G64" t="s">
        <v>8</v>
      </c>
      <c r="H64" t="s">
        <v>7</v>
      </c>
      <c r="I64" t="s">
        <v>2940</v>
      </c>
      <c r="J64">
        <v>60004623</v>
      </c>
      <c r="K64" t="s">
        <v>2939</v>
      </c>
      <c r="L64" t="s">
        <v>2938</v>
      </c>
      <c r="M64" t="s">
        <v>140</v>
      </c>
      <c r="N64">
        <v>2</v>
      </c>
      <c r="O64" t="s">
        <v>2937</v>
      </c>
      <c r="P64" t="s">
        <v>2936</v>
      </c>
      <c r="Q64" t="s">
        <v>2935</v>
      </c>
      <c r="R64" s="7">
        <v>34669</v>
      </c>
      <c r="S64" s="8">
        <f t="shared" si="0"/>
        <v>1994</v>
      </c>
      <c r="T64" s="8">
        <v>1994</v>
      </c>
      <c r="U64" s="8">
        <f t="shared" si="1"/>
        <v>28</v>
      </c>
      <c r="V64" s="7">
        <v>34669</v>
      </c>
      <c r="W64" t="s">
        <v>48</v>
      </c>
      <c r="X64" s="2">
        <v>0.8</v>
      </c>
      <c r="Y64" s="6">
        <f t="shared" si="2"/>
        <v>2.1355543098155415E-2</v>
      </c>
      <c r="AA64">
        <v>3407594</v>
      </c>
      <c r="AB64">
        <v>23456</v>
      </c>
      <c r="AC64">
        <v>14321351</v>
      </c>
      <c r="AD64" t="s">
        <v>2</v>
      </c>
      <c r="AE64">
        <v>175</v>
      </c>
      <c r="AF64">
        <v>6</v>
      </c>
      <c r="AH64" t="s">
        <v>2934</v>
      </c>
      <c r="AI64" t="s">
        <v>2933</v>
      </c>
      <c r="AJ64" t="s">
        <v>2932</v>
      </c>
      <c r="AK64" t="s">
        <v>2931</v>
      </c>
      <c r="AL64">
        <v>27</v>
      </c>
      <c r="AM64" s="5">
        <f t="shared" si="3"/>
        <v>0.9642857142857143</v>
      </c>
      <c r="AN64" s="4">
        <f t="shared" si="4"/>
        <v>1.4604857467409532E-3</v>
      </c>
      <c r="AO64" s="3"/>
      <c r="AP64">
        <v>0</v>
      </c>
      <c r="AR64" t="s">
        <v>1</v>
      </c>
      <c r="AT64" s="2" t="s">
        <v>0</v>
      </c>
      <c r="AU64" s="1">
        <f t="shared" si="5"/>
        <v>1.5387025892731074</v>
      </c>
      <c r="AV64" s="1">
        <f t="shared" si="6"/>
        <v>1.1408014422448185</v>
      </c>
      <c r="AW64" s="1">
        <f t="shared" si="7"/>
        <v>0.74290029521652912</v>
      </c>
    </row>
    <row r="65" spans="1:49" x14ac:dyDescent="0.2">
      <c r="A65">
        <v>63</v>
      </c>
      <c r="B65" t="s">
        <v>2930</v>
      </c>
      <c r="F65" t="s">
        <v>2929</v>
      </c>
      <c r="G65" t="s">
        <v>8</v>
      </c>
      <c r="H65" t="s">
        <v>7</v>
      </c>
      <c r="I65" t="s">
        <v>2928</v>
      </c>
      <c r="J65">
        <v>60000635</v>
      </c>
      <c r="K65" t="s">
        <v>2927</v>
      </c>
      <c r="L65" t="s">
        <v>2926</v>
      </c>
      <c r="M65" t="s">
        <v>19</v>
      </c>
      <c r="N65">
        <v>6</v>
      </c>
      <c r="O65" t="s">
        <v>2925</v>
      </c>
      <c r="P65" t="s">
        <v>2924</v>
      </c>
      <c r="Q65" t="s">
        <v>2923</v>
      </c>
      <c r="R65" s="7">
        <v>34669</v>
      </c>
      <c r="S65" s="8">
        <f t="shared" si="0"/>
        <v>1994</v>
      </c>
      <c r="T65" s="8">
        <v>1994</v>
      </c>
      <c r="U65" s="8">
        <f t="shared" si="1"/>
        <v>28</v>
      </c>
      <c r="V65" s="7">
        <v>1994</v>
      </c>
      <c r="W65" t="s">
        <v>2922</v>
      </c>
      <c r="X65" s="2" t="s">
        <v>0</v>
      </c>
      <c r="Y65" s="6" t="e">
        <f t="shared" si="2"/>
        <v>#VALUE!</v>
      </c>
      <c r="AA65">
        <v>8917035</v>
      </c>
      <c r="AB65">
        <v>20939</v>
      </c>
      <c r="AD65" t="s">
        <v>2</v>
      </c>
      <c r="AE65">
        <v>8</v>
      </c>
      <c r="AF65">
        <v>3</v>
      </c>
      <c r="AH65" t="s">
        <v>2921</v>
      </c>
      <c r="AI65" t="s">
        <v>2920</v>
      </c>
      <c r="AJ65" t="s">
        <v>2919</v>
      </c>
      <c r="AK65" t="s">
        <v>2918</v>
      </c>
      <c r="AL65">
        <v>10</v>
      </c>
      <c r="AM65" s="5">
        <f t="shared" si="3"/>
        <v>0.35714285714285715</v>
      </c>
      <c r="AN65" s="4">
        <f t="shared" si="4"/>
        <v>5.4092064694109376E-4</v>
      </c>
      <c r="AO65" s="3"/>
      <c r="AP65">
        <v>0</v>
      </c>
      <c r="AR65" t="s">
        <v>1</v>
      </c>
      <c r="AT65" s="2" t="s">
        <v>0</v>
      </c>
      <c r="AU65" s="1" t="e">
        <f t="shared" si="5"/>
        <v>#VALUE!</v>
      </c>
      <c r="AV65" s="1" t="e">
        <f t="shared" si="6"/>
        <v>#VALUE!</v>
      </c>
      <c r="AW65" s="1" t="e">
        <f t="shared" si="7"/>
        <v>#VALUE!</v>
      </c>
    </row>
    <row r="66" spans="1:49" x14ac:dyDescent="0.2">
      <c r="A66">
        <v>64</v>
      </c>
      <c r="B66" t="s">
        <v>2917</v>
      </c>
      <c r="F66" t="s">
        <v>2916</v>
      </c>
      <c r="G66" t="s">
        <v>8</v>
      </c>
      <c r="H66" t="s">
        <v>7</v>
      </c>
      <c r="I66" t="s">
        <v>2915</v>
      </c>
      <c r="J66">
        <v>100590703</v>
      </c>
      <c r="K66" t="s">
        <v>2914</v>
      </c>
      <c r="L66" t="s">
        <v>2913</v>
      </c>
      <c r="M66" t="s">
        <v>19</v>
      </c>
      <c r="N66">
        <v>2</v>
      </c>
      <c r="O66" t="s">
        <v>2912</v>
      </c>
      <c r="P66" t="s">
        <v>2911</v>
      </c>
      <c r="Q66" t="s">
        <v>2910</v>
      </c>
      <c r="R66" s="7">
        <v>34669</v>
      </c>
      <c r="S66" s="8">
        <f t="shared" ref="S66:S129" si="8">YEAR(R66)</f>
        <v>1994</v>
      </c>
      <c r="T66" s="8">
        <v>1994</v>
      </c>
      <c r="U66" s="8">
        <f t="shared" ref="U66:U129" si="9">2022-T66</f>
        <v>28</v>
      </c>
      <c r="V66" s="7">
        <v>1994</v>
      </c>
      <c r="W66" t="s">
        <v>2889</v>
      </c>
      <c r="X66" s="2" t="s">
        <v>0</v>
      </c>
      <c r="Y66" s="6" t="e">
        <f t="shared" ref="Y66:Y129" si="10">(X66-$Z$4)/($Z$3-$Z$4)</f>
        <v>#VALUE!</v>
      </c>
      <c r="AA66">
        <v>134252</v>
      </c>
      <c r="AB66">
        <v>32198</v>
      </c>
      <c r="AD66" t="s">
        <v>2</v>
      </c>
      <c r="AF66" t="s">
        <v>2888</v>
      </c>
      <c r="AH66" t="s">
        <v>2909</v>
      </c>
      <c r="AI66" t="s">
        <v>2908</v>
      </c>
      <c r="AK66" t="s">
        <v>2907</v>
      </c>
      <c r="AL66">
        <v>0</v>
      </c>
      <c r="AM66" s="5">
        <f t="shared" ref="AM66:AM129" si="11">AL66/U66</f>
        <v>0</v>
      </c>
      <c r="AN66" s="4">
        <f t="shared" ref="AN66:AN129" si="12">(AM66-$AO$4)/($AO$3-$AO$4)</f>
        <v>0</v>
      </c>
      <c r="AO66" s="3"/>
      <c r="AP66">
        <v>0</v>
      </c>
      <c r="AR66" t="s">
        <v>1</v>
      </c>
      <c r="AT66" s="2" t="s">
        <v>0</v>
      </c>
      <c r="AU66" s="1" t="e">
        <f t="shared" ref="AU66:AU129" si="13">(Y66*0.7+AN66*0.3)*100</f>
        <v>#VALUE!</v>
      </c>
      <c r="AV66" s="1" t="e">
        <f t="shared" ref="AV66:AV129" si="14">(Y66*0.5+AN66*0.5)*100</f>
        <v>#VALUE!</v>
      </c>
      <c r="AW66" s="1" t="e">
        <f t="shared" ref="AW66:AW129" si="15">(Y66*0.3+AN66*0.7)*100</f>
        <v>#VALUE!</v>
      </c>
    </row>
    <row r="67" spans="1:49" x14ac:dyDescent="0.2">
      <c r="A67">
        <v>65</v>
      </c>
      <c r="B67" t="s">
        <v>2906</v>
      </c>
      <c r="F67" t="s">
        <v>2905</v>
      </c>
      <c r="G67" t="s">
        <v>8</v>
      </c>
      <c r="H67" t="s">
        <v>7</v>
      </c>
      <c r="I67" t="s">
        <v>2904</v>
      </c>
      <c r="J67">
        <v>60022134</v>
      </c>
      <c r="K67" t="s">
        <v>2903</v>
      </c>
      <c r="L67" t="s">
        <v>2902</v>
      </c>
      <c r="M67" t="s">
        <v>344</v>
      </c>
      <c r="N67">
        <v>3</v>
      </c>
      <c r="O67" t="s">
        <v>2901</v>
      </c>
      <c r="P67" t="s">
        <v>2900</v>
      </c>
      <c r="Q67" t="s">
        <v>2899</v>
      </c>
      <c r="R67" s="7">
        <v>34669</v>
      </c>
      <c r="S67" s="8">
        <f t="shared" si="8"/>
        <v>1994</v>
      </c>
      <c r="T67" s="8">
        <v>1994</v>
      </c>
      <c r="U67" s="8">
        <f t="shared" si="9"/>
        <v>28</v>
      </c>
      <c r="V67" s="7">
        <v>1994</v>
      </c>
      <c r="W67" t="s">
        <v>2898</v>
      </c>
      <c r="X67" s="2" t="s">
        <v>0</v>
      </c>
      <c r="Y67" s="6" t="e">
        <f t="shared" si="10"/>
        <v>#VALUE!</v>
      </c>
      <c r="AA67">
        <v>4926110</v>
      </c>
      <c r="AB67">
        <v>30544</v>
      </c>
      <c r="AD67" t="s">
        <v>2</v>
      </c>
      <c r="AE67">
        <v>38</v>
      </c>
      <c r="AF67">
        <v>1</v>
      </c>
      <c r="AH67" t="s">
        <v>2897</v>
      </c>
      <c r="AI67" t="s">
        <v>2896</v>
      </c>
      <c r="AK67" t="s">
        <v>2895</v>
      </c>
      <c r="AL67">
        <v>1</v>
      </c>
      <c r="AM67" s="5">
        <f t="shared" si="11"/>
        <v>3.5714285714285712E-2</v>
      </c>
      <c r="AN67" s="4">
        <f t="shared" si="12"/>
        <v>5.4092064694109373E-5</v>
      </c>
      <c r="AO67" s="3"/>
      <c r="AP67">
        <v>0</v>
      </c>
      <c r="AR67" t="s">
        <v>1</v>
      </c>
      <c r="AT67" s="2" t="s">
        <v>0</v>
      </c>
      <c r="AU67" s="1" t="e">
        <f t="shared" si="13"/>
        <v>#VALUE!</v>
      </c>
      <c r="AV67" s="1" t="e">
        <f t="shared" si="14"/>
        <v>#VALUE!</v>
      </c>
      <c r="AW67" s="1" t="e">
        <f t="shared" si="15"/>
        <v>#VALUE!</v>
      </c>
    </row>
    <row r="68" spans="1:49" x14ac:dyDescent="0.2">
      <c r="A68">
        <v>66</v>
      </c>
      <c r="B68" t="s">
        <v>2894</v>
      </c>
      <c r="F68" t="s">
        <v>2893</v>
      </c>
      <c r="G68" t="s">
        <v>8</v>
      </c>
      <c r="H68" t="s">
        <v>7</v>
      </c>
      <c r="I68" t="s">
        <v>2892</v>
      </c>
      <c r="J68">
        <v>101092396</v>
      </c>
      <c r="K68" t="s">
        <v>2891</v>
      </c>
      <c r="M68" t="s">
        <v>10</v>
      </c>
      <c r="N68">
        <v>1</v>
      </c>
      <c r="O68" t="s">
        <v>2890</v>
      </c>
      <c r="P68">
        <v>6506453912</v>
      </c>
      <c r="Q68">
        <v>101092396</v>
      </c>
      <c r="R68" s="7">
        <v>34669</v>
      </c>
      <c r="S68" s="8">
        <f t="shared" si="8"/>
        <v>1994</v>
      </c>
      <c r="T68" s="8">
        <v>1994</v>
      </c>
      <c r="U68" s="8">
        <f t="shared" si="9"/>
        <v>28</v>
      </c>
      <c r="V68" s="7">
        <v>1994</v>
      </c>
      <c r="W68" t="s">
        <v>2889</v>
      </c>
      <c r="X68" s="2" t="s">
        <v>0</v>
      </c>
      <c r="Y68" s="6" t="e">
        <f t="shared" si="10"/>
        <v>#VALUE!</v>
      </c>
      <c r="AA68">
        <v>134252</v>
      </c>
      <c r="AB68">
        <v>32198</v>
      </c>
      <c r="AD68" t="s">
        <v>2</v>
      </c>
      <c r="AF68" t="s">
        <v>2888</v>
      </c>
      <c r="AH68" t="s">
        <v>2887</v>
      </c>
      <c r="AI68" t="s">
        <v>2886</v>
      </c>
      <c r="AK68" t="s">
        <v>2885</v>
      </c>
      <c r="AL68">
        <v>0</v>
      </c>
      <c r="AM68" s="5">
        <f t="shared" si="11"/>
        <v>0</v>
      </c>
      <c r="AN68" s="4">
        <f t="shared" si="12"/>
        <v>0</v>
      </c>
      <c r="AO68" s="3"/>
      <c r="AP68">
        <v>0</v>
      </c>
      <c r="AR68" t="s">
        <v>1</v>
      </c>
      <c r="AT68" s="2" t="s">
        <v>0</v>
      </c>
      <c r="AU68" s="1" t="e">
        <f t="shared" si="13"/>
        <v>#VALUE!</v>
      </c>
      <c r="AV68" s="1" t="e">
        <f t="shared" si="14"/>
        <v>#VALUE!</v>
      </c>
      <c r="AW68" s="1" t="e">
        <f t="shared" si="15"/>
        <v>#VALUE!</v>
      </c>
    </row>
    <row r="69" spans="1:49" x14ac:dyDescent="0.2">
      <c r="A69">
        <v>67</v>
      </c>
      <c r="B69" t="s">
        <v>2884</v>
      </c>
      <c r="C69" t="s">
        <v>2883</v>
      </c>
      <c r="F69" t="s">
        <v>2882</v>
      </c>
      <c r="G69" t="s">
        <v>8</v>
      </c>
      <c r="H69" t="s">
        <v>7</v>
      </c>
      <c r="I69" t="s">
        <v>2881</v>
      </c>
      <c r="J69">
        <v>60005722</v>
      </c>
      <c r="K69" t="s">
        <v>1244</v>
      </c>
      <c r="L69" t="s">
        <v>1243</v>
      </c>
      <c r="M69" t="s">
        <v>152</v>
      </c>
      <c r="N69">
        <v>2</v>
      </c>
      <c r="O69" t="s">
        <v>2880</v>
      </c>
      <c r="P69" t="s">
        <v>2879</v>
      </c>
      <c r="Q69" t="s">
        <v>2878</v>
      </c>
      <c r="R69" s="7">
        <v>34669</v>
      </c>
      <c r="S69" s="8">
        <f t="shared" si="8"/>
        <v>1994</v>
      </c>
      <c r="T69" s="8">
        <v>1994</v>
      </c>
      <c r="U69" s="8">
        <f t="shared" si="9"/>
        <v>28</v>
      </c>
      <c r="V69" s="7">
        <v>1994</v>
      </c>
      <c r="W69" t="s">
        <v>247</v>
      </c>
      <c r="X69" s="2">
        <v>1.3280000000000001</v>
      </c>
      <c r="Y69" s="6">
        <f t="shared" si="10"/>
        <v>3.5450201542937994E-2</v>
      </c>
      <c r="AA69">
        <v>7413335</v>
      </c>
      <c r="AB69">
        <v>29251</v>
      </c>
      <c r="AD69" t="s">
        <v>2</v>
      </c>
      <c r="AE69">
        <v>36</v>
      </c>
      <c r="AF69">
        <v>11</v>
      </c>
      <c r="AG69">
        <v>2</v>
      </c>
      <c r="AH69" t="s">
        <v>2877</v>
      </c>
      <c r="AI69" t="s">
        <v>2876</v>
      </c>
      <c r="AK69" t="s">
        <v>2875</v>
      </c>
      <c r="AL69">
        <v>84</v>
      </c>
      <c r="AM69" s="5">
        <f t="shared" si="11"/>
        <v>3</v>
      </c>
      <c r="AN69" s="4">
        <f t="shared" si="12"/>
        <v>4.5437334343051876E-3</v>
      </c>
      <c r="AO69" s="3"/>
      <c r="AP69">
        <v>0</v>
      </c>
      <c r="AR69" t="s">
        <v>1</v>
      </c>
      <c r="AT69" s="2">
        <v>2.4580000000000002</v>
      </c>
      <c r="AU69" s="1">
        <f t="shared" si="13"/>
        <v>2.6178261110348151</v>
      </c>
      <c r="AV69" s="1">
        <f t="shared" si="14"/>
        <v>1.9996967488621591</v>
      </c>
      <c r="AW69" s="1">
        <f t="shared" si="15"/>
        <v>1.3815673866895029</v>
      </c>
    </row>
    <row r="70" spans="1:49" x14ac:dyDescent="0.2">
      <c r="A70">
        <v>68</v>
      </c>
      <c r="B70" t="s">
        <v>2874</v>
      </c>
      <c r="C70" t="s">
        <v>2873</v>
      </c>
      <c r="F70" t="s">
        <v>2872</v>
      </c>
      <c r="G70" t="s">
        <v>8</v>
      </c>
      <c r="H70" t="s">
        <v>7</v>
      </c>
      <c r="I70" t="s">
        <v>2871</v>
      </c>
      <c r="J70">
        <v>60024322</v>
      </c>
      <c r="K70" t="s">
        <v>328</v>
      </c>
      <c r="L70" t="s">
        <v>327</v>
      </c>
      <c r="M70" t="s">
        <v>53</v>
      </c>
      <c r="N70">
        <v>2</v>
      </c>
      <c r="O70" t="s">
        <v>2870</v>
      </c>
      <c r="P70" t="s">
        <v>2869</v>
      </c>
      <c r="Q70" t="s">
        <v>326</v>
      </c>
      <c r="R70" s="7">
        <v>34669</v>
      </c>
      <c r="S70" s="8">
        <f t="shared" si="8"/>
        <v>1994</v>
      </c>
      <c r="T70" s="8">
        <v>1994</v>
      </c>
      <c r="U70" s="8">
        <f t="shared" si="9"/>
        <v>28</v>
      </c>
      <c r="V70" s="7">
        <v>1994</v>
      </c>
      <c r="W70" t="s">
        <v>338</v>
      </c>
      <c r="X70" s="2">
        <v>0.60499999999999998</v>
      </c>
      <c r="Y70" s="6">
        <f t="shared" si="10"/>
        <v>1.6150129467980032E-2</v>
      </c>
      <c r="AA70">
        <v>346748</v>
      </c>
      <c r="AB70">
        <v>15563</v>
      </c>
      <c r="AD70" t="s">
        <v>2</v>
      </c>
      <c r="AE70">
        <v>65</v>
      </c>
      <c r="AF70">
        <v>10</v>
      </c>
      <c r="AH70" t="s">
        <v>2868</v>
      </c>
      <c r="AI70" t="s">
        <v>2867</v>
      </c>
      <c r="AK70" t="s">
        <v>2866</v>
      </c>
      <c r="AL70">
        <v>9</v>
      </c>
      <c r="AM70" s="5">
        <f t="shared" si="11"/>
        <v>0.32142857142857145</v>
      </c>
      <c r="AN70" s="4">
        <f t="shared" si="12"/>
        <v>4.8682858224698443E-4</v>
      </c>
      <c r="AO70" s="3"/>
      <c r="AP70">
        <v>0</v>
      </c>
      <c r="AR70" t="s">
        <v>1</v>
      </c>
      <c r="AT70" s="2">
        <v>1.5229999999999999</v>
      </c>
      <c r="AU70" s="1">
        <f t="shared" si="13"/>
        <v>1.1451139202260117</v>
      </c>
      <c r="AV70" s="1">
        <f t="shared" si="14"/>
        <v>0.83184790251135088</v>
      </c>
      <c r="AW70" s="1">
        <f t="shared" si="15"/>
        <v>0.51858188479668987</v>
      </c>
    </row>
    <row r="71" spans="1:49" x14ac:dyDescent="0.2">
      <c r="A71">
        <v>69</v>
      </c>
      <c r="B71" t="s">
        <v>2865</v>
      </c>
      <c r="C71" t="s">
        <v>2864</v>
      </c>
      <c r="F71" t="s">
        <v>2863</v>
      </c>
      <c r="G71" t="s">
        <v>8</v>
      </c>
      <c r="H71" t="s">
        <v>7</v>
      </c>
      <c r="I71" t="s">
        <v>187</v>
      </c>
      <c r="J71">
        <v>60017293</v>
      </c>
      <c r="K71" t="s">
        <v>186</v>
      </c>
      <c r="L71" t="s">
        <v>185</v>
      </c>
      <c r="M71" t="s">
        <v>52</v>
      </c>
      <c r="N71">
        <v>4</v>
      </c>
      <c r="O71" t="s">
        <v>2862</v>
      </c>
      <c r="P71" t="s">
        <v>2861</v>
      </c>
      <c r="Q71" t="s">
        <v>2860</v>
      </c>
      <c r="R71" s="7">
        <v>34669</v>
      </c>
      <c r="S71" s="8">
        <f t="shared" si="8"/>
        <v>1994</v>
      </c>
      <c r="T71" s="8">
        <v>1994</v>
      </c>
      <c r="U71" s="8">
        <f t="shared" si="9"/>
        <v>28</v>
      </c>
      <c r="V71" s="7">
        <v>1994</v>
      </c>
      <c r="W71" t="s">
        <v>2859</v>
      </c>
      <c r="X71" s="2">
        <v>0.48</v>
      </c>
      <c r="Y71" s="6">
        <f t="shared" si="10"/>
        <v>1.2813325858893249E-2</v>
      </c>
      <c r="AA71">
        <v>9570233</v>
      </c>
      <c r="AB71">
        <v>15526</v>
      </c>
      <c r="AD71" t="s">
        <v>2</v>
      </c>
      <c r="AE71">
        <v>5</v>
      </c>
      <c r="AF71">
        <v>10</v>
      </c>
      <c r="AG71">
        <v>1</v>
      </c>
      <c r="AH71" t="s">
        <v>2858</v>
      </c>
      <c r="AI71" t="s">
        <v>2857</v>
      </c>
      <c r="AK71" t="s">
        <v>2856</v>
      </c>
      <c r="AL71">
        <v>6</v>
      </c>
      <c r="AM71" s="5">
        <f t="shared" si="11"/>
        <v>0.21428571428571427</v>
      </c>
      <c r="AN71" s="4">
        <f t="shared" si="12"/>
        <v>3.2455238816465621E-4</v>
      </c>
      <c r="AO71" s="3"/>
      <c r="AP71">
        <v>0</v>
      </c>
      <c r="AR71" t="s">
        <v>1</v>
      </c>
      <c r="AT71" s="2">
        <v>2.0459999999999998</v>
      </c>
      <c r="AU71" s="1">
        <f t="shared" si="13"/>
        <v>0.90666938176746703</v>
      </c>
      <c r="AV71" s="1">
        <f t="shared" si="14"/>
        <v>0.65689391235289518</v>
      </c>
      <c r="AW71" s="1">
        <f t="shared" si="15"/>
        <v>0.40711844293832339</v>
      </c>
    </row>
    <row r="72" spans="1:49" x14ac:dyDescent="0.2">
      <c r="A72">
        <v>70</v>
      </c>
      <c r="B72" t="s">
        <v>2855</v>
      </c>
      <c r="C72" t="s">
        <v>2854</v>
      </c>
      <c r="F72" t="s">
        <v>2853</v>
      </c>
      <c r="G72" t="s">
        <v>8</v>
      </c>
      <c r="H72" t="s">
        <v>7</v>
      </c>
      <c r="I72" t="s">
        <v>357</v>
      </c>
      <c r="J72">
        <v>60011001</v>
      </c>
      <c r="K72" t="s">
        <v>356</v>
      </c>
      <c r="L72" t="s">
        <v>355</v>
      </c>
      <c r="M72" t="s">
        <v>53</v>
      </c>
      <c r="N72">
        <v>4</v>
      </c>
      <c r="O72" t="s">
        <v>2852</v>
      </c>
      <c r="P72" t="s">
        <v>2851</v>
      </c>
      <c r="Q72" t="s">
        <v>2850</v>
      </c>
      <c r="R72" s="7">
        <v>34669</v>
      </c>
      <c r="S72" s="8">
        <f t="shared" si="8"/>
        <v>1994</v>
      </c>
      <c r="T72" s="8">
        <v>1994</v>
      </c>
      <c r="U72" s="8">
        <f t="shared" si="9"/>
        <v>28</v>
      </c>
      <c r="V72" s="7">
        <v>1994</v>
      </c>
      <c r="W72" t="s">
        <v>2429</v>
      </c>
      <c r="X72" s="2">
        <v>1.774</v>
      </c>
      <c r="Y72" s="6">
        <f t="shared" si="10"/>
        <v>4.7355916820159633E-2</v>
      </c>
      <c r="AA72">
        <v>295515</v>
      </c>
      <c r="AB72">
        <v>29066</v>
      </c>
      <c r="AD72" t="s">
        <v>2</v>
      </c>
      <c r="AE72">
        <v>34</v>
      </c>
      <c r="AF72">
        <v>9</v>
      </c>
      <c r="AG72" t="s">
        <v>2849</v>
      </c>
      <c r="AH72" t="s">
        <v>2848</v>
      </c>
      <c r="AI72" t="s">
        <v>2847</v>
      </c>
      <c r="AK72" t="s">
        <v>2846</v>
      </c>
      <c r="AL72">
        <v>8</v>
      </c>
      <c r="AM72" s="5">
        <f t="shared" si="11"/>
        <v>0.2857142857142857</v>
      </c>
      <c r="AN72" s="4">
        <f t="shared" si="12"/>
        <v>4.3273651755287499E-4</v>
      </c>
      <c r="AO72" s="3"/>
      <c r="AP72">
        <v>0</v>
      </c>
      <c r="AR72" t="s">
        <v>1</v>
      </c>
      <c r="AT72" s="2">
        <v>3.1789999999999998</v>
      </c>
      <c r="AU72" s="1">
        <f t="shared" si="13"/>
        <v>3.3278962729377604</v>
      </c>
      <c r="AV72" s="1">
        <f t="shared" si="14"/>
        <v>2.3894326668856252</v>
      </c>
      <c r="AW72" s="1">
        <f t="shared" si="15"/>
        <v>1.4509690608334902</v>
      </c>
    </row>
    <row r="73" spans="1:49" x14ac:dyDescent="0.2">
      <c r="A73">
        <v>71</v>
      </c>
      <c r="B73" t="s">
        <v>2845</v>
      </c>
      <c r="C73" t="s">
        <v>2844</v>
      </c>
      <c r="F73" t="s">
        <v>2843</v>
      </c>
      <c r="G73" t="s">
        <v>8</v>
      </c>
      <c r="H73" t="s">
        <v>7</v>
      </c>
      <c r="I73" t="s">
        <v>2842</v>
      </c>
      <c r="J73">
        <v>60009731</v>
      </c>
      <c r="K73" t="s">
        <v>2841</v>
      </c>
      <c r="L73" t="s">
        <v>2840</v>
      </c>
      <c r="M73" t="s">
        <v>49</v>
      </c>
      <c r="N73">
        <v>4</v>
      </c>
      <c r="O73" t="s">
        <v>2839</v>
      </c>
      <c r="P73" t="s">
        <v>2838</v>
      </c>
      <c r="Q73" t="s">
        <v>2837</v>
      </c>
      <c r="R73" s="7">
        <v>34669</v>
      </c>
      <c r="S73" s="8">
        <f t="shared" si="8"/>
        <v>1994</v>
      </c>
      <c r="T73" s="8">
        <v>1994</v>
      </c>
      <c r="U73" s="8">
        <f t="shared" si="9"/>
        <v>28</v>
      </c>
      <c r="V73" s="7">
        <v>1994</v>
      </c>
      <c r="W73" t="s">
        <v>2546</v>
      </c>
      <c r="X73" s="2">
        <v>0.69899999999999995</v>
      </c>
      <c r="Y73" s="6">
        <f t="shared" si="10"/>
        <v>1.8659405782013295E-2</v>
      </c>
      <c r="AA73">
        <v>218979</v>
      </c>
      <c r="AB73">
        <v>28132</v>
      </c>
      <c r="AD73" t="s">
        <v>2</v>
      </c>
      <c r="AE73">
        <v>76</v>
      </c>
      <c r="AF73">
        <v>6</v>
      </c>
      <c r="AH73" t="s">
        <v>2836</v>
      </c>
      <c r="AI73" t="s">
        <v>2835</v>
      </c>
      <c r="AK73" t="s">
        <v>2834</v>
      </c>
      <c r="AL73">
        <v>5</v>
      </c>
      <c r="AM73" s="5">
        <f t="shared" si="11"/>
        <v>0.17857142857142858</v>
      </c>
      <c r="AN73" s="4">
        <f t="shared" si="12"/>
        <v>2.7046032347054688E-4</v>
      </c>
      <c r="AO73" s="3"/>
      <c r="AP73">
        <v>0</v>
      </c>
      <c r="AR73" t="s">
        <v>1</v>
      </c>
      <c r="AT73" s="2">
        <v>2.5459999999999998</v>
      </c>
      <c r="AU73" s="1">
        <f t="shared" si="13"/>
        <v>1.3142722144450469</v>
      </c>
      <c r="AV73" s="1">
        <f t="shared" si="14"/>
        <v>0.94649330527419206</v>
      </c>
      <c r="AW73" s="1">
        <f t="shared" si="15"/>
        <v>0.57871439610333708</v>
      </c>
    </row>
    <row r="74" spans="1:49" x14ac:dyDescent="0.2">
      <c r="A74">
        <v>72</v>
      </c>
      <c r="B74" t="s">
        <v>2833</v>
      </c>
      <c r="C74" t="s">
        <v>2832</v>
      </c>
      <c r="F74" t="s">
        <v>2831</v>
      </c>
      <c r="G74" t="s">
        <v>8</v>
      </c>
      <c r="H74" t="s">
        <v>7</v>
      </c>
      <c r="I74" t="s">
        <v>2830</v>
      </c>
      <c r="J74">
        <v>60008950</v>
      </c>
      <c r="K74" t="s">
        <v>2829</v>
      </c>
      <c r="L74" t="s">
        <v>2828</v>
      </c>
      <c r="M74" t="s">
        <v>105</v>
      </c>
      <c r="N74">
        <v>1</v>
      </c>
      <c r="O74" t="s">
        <v>2827</v>
      </c>
      <c r="P74">
        <v>22991143800</v>
      </c>
      <c r="Q74">
        <v>60008950</v>
      </c>
      <c r="R74" s="7">
        <v>34669</v>
      </c>
      <c r="S74" s="8">
        <f t="shared" si="8"/>
        <v>1994</v>
      </c>
      <c r="T74" s="8">
        <v>1994</v>
      </c>
      <c r="U74" s="8">
        <f t="shared" si="9"/>
        <v>28</v>
      </c>
      <c r="V74" s="7">
        <v>1994</v>
      </c>
      <c r="W74" t="s">
        <v>247</v>
      </c>
      <c r="X74" s="2">
        <v>1.3280000000000001</v>
      </c>
      <c r="Y74" s="6">
        <f t="shared" si="10"/>
        <v>3.5450201542937994E-2</v>
      </c>
      <c r="AA74">
        <v>7413335</v>
      </c>
      <c r="AB74">
        <v>29251</v>
      </c>
      <c r="AD74" t="s">
        <v>2</v>
      </c>
      <c r="AE74">
        <v>36</v>
      </c>
      <c r="AF74">
        <v>9</v>
      </c>
      <c r="AG74">
        <v>4</v>
      </c>
      <c r="AH74" t="s">
        <v>2826</v>
      </c>
      <c r="AI74" t="s">
        <v>2825</v>
      </c>
      <c r="AK74" t="s">
        <v>2824</v>
      </c>
      <c r="AL74">
        <v>3</v>
      </c>
      <c r="AM74" s="5">
        <f t="shared" si="11"/>
        <v>0.10714285714285714</v>
      </c>
      <c r="AN74" s="4">
        <f t="shared" si="12"/>
        <v>1.6227619408232811E-4</v>
      </c>
      <c r="AO74" s="3"/>
      <c r="AP74">
        <v>0</v>
      </c>
      <c r="AR74" t="s">
        <v>1</v>
      </c>
      <c r="AT74" s="2">
        <v>2.4580000000000002</v>
      </c>
      <c r="AU74" s="1">
        <f t="shared" si="13"/>
        <v>2.4863823938281291</v>
      </c>
      <c r="AV74" s="1">
        <f t="shared" si="14"/>
        <v>1.7806238868510162</v>
      </c>
      <c r="AW74" s="1">
        <f t="shared" si="15"/>
        <v>1.0748653798739027</v>
      </c>
    </row>
    <row r="75" spans="1:49" x14ac:dyDescent="0.2">
      <c r="A75">
        <v>73</v>
      </c>
      <c r="B75" t="s">
        <v>2823</v>
      </c>
      <c r="C75" t="s">
        <v>2822</v>
      </c>
      <c r="F75" t="s">
        <v>2821</v>
      </c>
      <c r="G75" t="s">
        <v>8</v>
      </c>
      <c r="H75" t="s">
        <v>7</v>
      </c>
      <c r="I75" t="s">
        <v>2820</v>
      </c>
      <c r="J75">
        <v>60013901</v>
      </c>
      <c r="K75" t="s">
        <v>2819</v>
      </c>
      <c r="L75" t="s">
        <v>177</v>
      </c>
      <c r="M75" t="s">
        <v>19</v>
      </c>
      <c r="N75">
        <v>2</v>
      </c>
      <c r="O75" t="s">
        <v>2818</v>
      </c>
      <c r="P75" t="s">
        <v>2817</v>
      </c>
      <c r="Q75" t="s">
        <v>2816</v>
      </c>
      <c r="R75" s="7">
        <v>34669</v>
      </c>
      <c r="S75" s="8">
        <f t="shared" si="8"/>
        <v>1994</v>
      </c>
      <c r="T75" s="8">
        <v>1994</v>
      </c>
      <c r="U75" s="8">
        <f t="shared" si="9"/>
        <v>28</v>
      </c>
      <c r="V75" s="7">
        <v>1994</v>
      </c>
      <c r="W75" t="s">
        <v>247</v>
      </c>
      <c r="X75" s="2">
        <v>1.3280000000000001</v>
      </c>
      <c r="Y75" s="6">
        <f t="shared" si="10"/>
        <v>3.5450201542937994E-2</v>
      </c>
      <c r="AA75">
        <v>7413335</v>
      </c>
      <c r="AB75">
        <v>29251</v>
      </c>
      <c r="AD75" t="s">
        <v>2</v>
      </c>
      <c r="AE75">
        <v>36</v>
      </c>
      <c r="AF75">
        <v>9</v>
      </c>
      <c r="AG75">
        <v>7</v>
      </c>
      <c r="AH75" t="s">
        <v>2815</v>
      </c>
      <c r="AI75" t="s">
        <v>2814</v>
      </c>
      <c r="AK75" t="s">
        <v>2813</v>
      </c>
      <c r="AL75">
        <v>2</v>
      </c>
      <c r="AM75" s="5">
        <f t="shared" si="11"/>
        <v>7.1428571428571425E-2</v>
      </c>
      <c r="AN75" s="4">
        <f t="shared" si="12"/>
        <v>1.0818412938821875E-4</v>
      </c>
      <c r="AO75" s="3"/>
      <c r="AP75">
        <v>0</v>
      </c>
      <c r="AR75" t="s">
        <v>1</v>
      </c>
      <c r="AT75" s="2">
        <v>2.4580000000000002</v>
      </c>
      <c r="AU75" s="1">
        <f t="shared" si="13"/>
        <v>2.4847596318873064</v>
      </c>
      <c r="AV75" s="1">
        <f t="shared" si="14"/>
        <v>1.7779192836163107</v>
      </c>
      <c r="AW75" s="1">
        <f t="shared" si="15"/>
        <v>1.071078935345315</v>
      </c>
    </row>
    <row r="76" spans="1:49" x14ac:dyDescent="0.2">
      <c r="A76">
        <v>74</v>
      </c>
      <c r="B76" t="s">
        <v>2812</v>
      </c>
      <c r="C76" t="s">
        <v>2811</v>
      </c>
      <c r="F76" t="s">
        <v>2810</v>
      </c>
      <c r="G76" t="s">
        <v>8</v>
      </c>
      <c r="H76" t="s">
        <v>7</v>
      </c>
      <c r="I76" t="s">
        <v>2809</v>
      </c>
      <c r="J76">
        <v>60025709</v>
      </c>
      <c r="K76" t="s">
        <v>2808</v>
      </c>
      <c r="L76" t="s">
        <v>192</v>
      </c>
      <c r="M76" t="s">
        <v>105</v>
      </c>
      <c r="N76">
        <v>3</v>
      </c>
      <c r="O76" t="s">
        <v>2807</v>
      </c>
      <c r="P76" t="s">
        <v>2806</v>
      </c>
      <c r="Q76" t="s">
        <v>2805</v>
      </c>
      <c r="R76" s="7">
        <v>34669</v>
      </c>
      <c r="S76" s="8">
        <f t="shared" si="8"/>
        <v>1994</v>
      </c>
      <c r="T76" s="8">
        <v>1994</v>
      </c>
      <c r="U76" s="8">
        <f t="shared" si="9"/>
        <v>28</v>
      </c>
      <c r="V76" s="7">
        <v>1994</v>
      </c>
      <c r="W76" t="s">
        <v>247</v>
      </c>
      <c r="X76" s="2">
        <v>1.3280000000000001</v>
      </c>
      <c r="Y76" s="6">
        <f t="shared" si="10"/>
        <v>3.5450201542937994E-2</v>
      </c>
      <c r="AA76">
        <v>7413335</v>
      </c>
      <c r="AB76">
        <v>29251</v>
      </c>
      <c r="AD76" t="s">
        <v>2</v>
      </c>
      <c r="AE76">
        <v>36</v>
      </c>
      <c r="AF76">
        <v>9</v>
      </c>
      <c r="AG76">
        <v>3</v>
      </c>
      <c r="AH76" t="s">
        <v>2804</v>
      </c>
      <c r="AI76" t="s">
        <v>2803</v>
      </c>
      <c r="AK76" t="s">
        <v>2802</v>
      </c>
      <c r="AL76">
        <v>23</v>
      </c>
      <c r="AM76" s="5">
        <f t="shared" si="11"/>
        <v>0.8214285714285714</v>
      </c>
      <c r="AN76" s="4">
        <f t="shared" si="12"/>
        <v>1.2441174879645155E-3</v>
      </c>
      <c r="AO76" s="3"/>
      <c r="AP76">
        <v>0</v>
      </c>
      <c r="AR76" t="s">
        <v>1</v>
      </c>
      <c r="AT76" s="2">
        <v>2.4580000000000002</v>
      </c>
      <c r="AU76" s="1">
        <f t="shared" si="13"/>
        <v>2.5188376326445954</v>
      </c>
      <c r="AV76" s="1">
        <f t="shared" si="14"/>
        <v>1.8347159515451252</v>
      </c>
      <c r="AW76" s="1">
        <f t="shared" si="15"/>
        <v>1.150594270445656</v>
      </c>
    </row>
    <row r="77" spans="1:49" x14ac:dyDescent="0.2">
      <c r="A77">
        <v>75</v>
      </c>
      <c r="B77" t="s">
        <v>2801</v>
      </c>
      <c r="C77" t="s">
        <v>2800</v>
      </c>
      <c r="F77" t="s">
        <v>2799</v>
      </c>
      <c r="G77" t="s">
        <v>8</v>
      </c>
      <c r="H77" t="s">
        <v>7</v>
      </c>
      <c r="I77" t="s">
        <v>2798</v>
      </c>
      <c r="J77" t="s">
        <v>2797</v>
      </c>
      <c r="K77" t="s">
        <v>2796</v>
      </c>
      <c r="L77" t="s">
        <v>2795</v>
      </c>
      <c r="M77" t="s">
        <v>12</v>
      </c>
      <c r="N77">
        <v>8</v>
      </c>
      <c r="O77" t="s">
        <v>2794</v>
      </c>
      <c r="P77" t="s">
        <v>2793</v>
      </c>
      <c r="Q77" t="s">
        <v>2792</v>
      </c>
      <c r="R77" s="7">
        <v>34669</v>
      </c>
      <c r="S77" s="8">
        <f t="shared" si="8"/>
        <v>1994</v>
      </c>
      <c r="T77" s="8">
        <v>1994</v>
      </c>
      <c r="U77" s="8">
        <f t="shared" si="9"/>
        <v>28</v>
      </c>
      <c r="V77" s="7">
        <v>1994</v>
      </c>
      <c r="W77" t="s">
        <v>2417</v>
      </c>
      <c r="X77" s="2">
        <v>1.1819999999999999</v>
      </c>
      <c r="Y77" s="6">
        <f t="shared" si="10"/>
        <v>3.1552814927524625E-2</v>
      </c>
      <c r="AA77">
        <v>36951</v>
      </c>
      <c r="AB77">
        <v>27030</v>
      </c>
      <c r="AD77" t="s">
        <v>2</v>
      </c>
      <c r="AE77">
        <v>65</v>
      </c>
      <c r="AF77">
        <v>8</v>
      </c>
      <c r="AH77" t="s">
        <v>2791</v>
      </c>
      <c r="AI77" t="s">
        <v>2790</v>
      </c>
      <c r="AK77" t="s">
        <v>2789</v>
      </c>
      <c r="AL77">
        <v>9</v>
      </c>
      <c r="AM77" s="5">
        <f t="shared" si="11"/>
        <v>0.32142857142857145</v>
      </c>
      <c r="AN77" s="4">
        <f t="shared" si="12"/>
        <v>4.8682858224698443E-4</v>
      </c>
      <c r="AO77" s="3"/>
      <c r="AP77">
        <v>0</v>
      </c>
      <c r="AR77" t="s">
        <v>1</v>
      </c>
      <c r="AT77" s="2">
        <v>3.7909999999999999</v>
      </c>
      <c r="AU77" s="1">
        <f t="shared" si="13"/>
        <v>2.2233019023941329</v>
      </c>
      <c r="AV77" s="1">
        <f t="shared" si="14"/>
        <v>1.6019821754885804</v>
      </c>
      <c r="AW77" s="1">
        <f t="shared" si="15"/>
        <v>0.98066244858302765</v>
      </c>
    </row>
    <row r="78" spans="1:49" x14ac:dyDescent="0.2">
      <c r="A78">
        <v>76</v>
      </c>
      <c r="B78" t="s">
        <v>2788</v>
      </c>
      <c r="C78" t="s">
        <v>2787</v>
      </c>
      <c r="F78" t="s">
        <v>2786</v>
      </c>
      <c r="G78" t="s">
        <v>8</v>
      </c>
      <c r="H78" t="s">
        <v>7</v>
      </c>
      <c r="I78" t="s">
        <v>2785</v>
      </c>
      <c r="J78">
        <v>60020828</v>
      </c>
      <c r="K78" t="s">
        <v>2784</v>
      </c>
      <c r="L78" t="s">
        <v>106</v>
      </c>
      <c r="M78" t="s">
        <v>105</v>
      </c>
      <c r="N78">
        <v>2</v>
      </c>
      <c r="O78" t="s">
        <v>2783</v>
      </c>
      <c r="P78" t="s">
        <v>2782</v>
      </c>
      <c r="Q78" t="s">
        <v>2781</v>
      </c>
      <c r="R78" s="7">
        <v>34669</v>
      </c>
      <c r="S78" s="8">
        <f t="shared" si="8"/>
        <v>1994</v>
      </c>
      <c r="T78" s="8">
        <v>1994</v>
      </c>
      <c r="U78" s="8">
        <f t="shared" si="9"/>
        <v>28</v>
      </c>
      <c r="V78" s="7">
        <v>1994</v>
      </c>
      <c r="W78" t="s">
        <v>247</v>
      </c>
      <c r="X78" s="2">
        <v>1.3280000000000001</v>
      </c>
      <c r="Y78" s="6">
        <f t="shared" si="10"/>
        <v>3.5450201542937994E-2</v>
      </c>
      <c r="AA78">
        <v>7413335</v>
      </c>
      <c r="AB78">
        <v>29251</v>
      </c>
      <c r="AD78" t="s">
        <v>2</v>
      </c>
      <c r="AE78">
        <v>36</v>
      </c>
      <c r="AF78">
        <v>7</v>
      </c>
      <c r="AG78">
        <v>7</v>
      </c>
      <c r="AH78" t="s">
        <v>2780</v>
      </c>
      <c r="AI78" t="s">
        <v>2779</v>
      </c>
      <c r="AK78" t="s">
        <v>2778</v>
      </c>
      <c r="AL78">
        <v>1</v>
      </c>
      <c r="AM78" s="5">
        <f t="shared" si="11"/>
        <v>3.5714285714285712E-2</v>
      </c>
      <c r="AN78" s="4">
        <f t="shared" si="12"/>
        <v>5.4092064694109373E-5</v>
      </c>
      <c r="AO78" s="3"/>
      <c r="AP78">
        <v>0</v>
      </c>
      <c r="AR78" t="s">
        <v>1</v>
      </c>
      <c r="AT78" s="2">
        <v>2.4580000000000002</v>
      </c>
      <c r="AU78" s="1">
        <f t="shared" si="13"/>
        <v>2.4831368699464829</v>
      </c>
      <c r="AV78" s="1">
        <f t="shared" si="14"/>
        <v>1.7752146803816051</v>
      </c>
      <c r="AW78" s="1">
        <f t="shared" si="15"/>
        <v>1.0672924908167274</v>
      </c>
    </row>
    <row r="79" spans="1:49" x14ac:dyDescent="0.2">
      <c r="A79">
        <v>77</v>
      </c>
      <c r="B79" t="s">
        <v>2777</v>
      </c>
      <c r="C79" t="s">
        <v>2776</v>
      </c>
      <c r="F79" t="s">
        <v>2775</v>
      </c>
      <c r="G79" t="s">
        <v>8</v>
      </c>
      <c r="H79" t="s">
        <v>7</v>
      </c>
      <c r="I79" t="s">
        <v>2774</v>
      </c>
      <c r="J79">
        <v>60026838</v>
      </c>
      <c r="K79" t="s">
        <v>189</v>
      </c>
      <c r="L79" t="s">
        <v>188</v>
      </c>
      <c r="M79" t="s">
        <v>49</v>
      </c>
      <c r="N79">
        <v>11</v>
      </c>
      <c r="O79" t="s">
        <v>2773</v>
      </c>
      <c r="P79" t="s">
        <v>2772</v>
      </c>
      <c r="Q79" t="s">
        <v>2771</v>
      </c>
      <c r="R79" s="7">
        <v>34669</v>
      </c>
      <c r="S79" s="8">
        <f t="shared" si="8"/>
        <v>1994</v>
      </c>
      <c r="T79" s="8">
        <v>1994</v>
      </c>
      <c r="U79" s="8">
        <f t="shared" si="9"/>
        <v>28</v>
      </c>
      <c r="V79" s="7">
        <v>1994</v>
      </c>
      <c r="W79" t="s">
        <v>2429</v>
      </c>
      <c r="X79" s="2">
        <v>1.774</v>
      </c>
      <c r="Y79" s="6">
        <f t="shared" si="10"/>
        <v>4.7355916820159633E-2</v>
      </c>
      <c r="AA79">
        <v>295515</v>
      </c>
      <c r="AB79">
        <v>29066</v>
      </c>
      <c r="AD79" t="s">
        <v>2</v>
      </c>
      <c r="AE79">
        <v>34</v>
      </c>
      <c r="AF79">
        <v>7</v>
      </c>
      <c r="AG79" t="s">
        <v>2770</v>
      </c>
      <c r="AH79" t="s">
        <v>2769</v>
      </c>
      <c r="AI79" t="s">
        <v>2768</v>
      </c>
      <c r="AK79" t="s">
        <v>2767</v>
      </c>
      <c r="AL79">
        <v>35</v>
      </c>
      <c r="AM79" s="5">
        <f t="shared" si="11"/>
        <v>1.25</v>
      </c>
      <c r="AN79" s="4">
        <f t="shared" si="12"/>
        <v>1.8932222642938281E-3</v>
      </c>
      <c r="AO79" s="3"/>
      <c r="AP79">
        <v>0</v>
      </c>
      <c r="AR79" t="s">
        <v>1</v>
      </c>
      <c r="AT79" s="2">
        <v>3.1789999999999998</v>
      </c>
      <c r="AU79" s="1">
        <f t="shared" si="13"/>
        <v>3.3717108453399889</v>
      </c>
      <c r="AV79" s="1">
        <f t="shared" si="14"/>
        <v>2.4624569542226733</v>
      </c>
      <c r="AW79" s="1">
        <f t="shared" si="15"/>
        <v>1.5532030631053568</v>
      </c>
    </row>
    <row r="80" spans="1:49" x14ac:dyDescent="0.2">
      <c r="A80">
        <v>78</v>
      </c>
      <c r="B80" t="s">
        <v>2766</v>
      </c>
      <c r="C80" t="s">
        <v>2765</v>
      </c>
      <c r="F80" t="s">
        <v>2764</v>
      </c>
      <c r="G80" t="s">
        <v>8</v>
      </c>
      <c r="H80" t="s">
        <v>7</v>
      </c>
      <c r="I80" t="s">
        <v>2763</v>
      </c>
      <c r="J80">
        <v>60022195</v>
      </c>
      <c r="K80" t="s">
        <v>235</v>
      </c>
      <c r="L80" t="s">
        <v>217</v>
      </c>
      <c r="M80" t="s">
        <v>19</v>
      </c>
      <c r="N80">
        <v>3</v>
      </c>
      <c r="O80" t="s">
        <v>2762</v>
      </c>
      <c r="P80" t="s">
        <v>2761</v>
      </c>
      <c r="Q80" t="s">
        <v>2760</v>
      </c>
      <c r="R80" s="7">
        <v>34669</v>
      </c>
      <c r="S80" s="8">
        <f t="shared" si="8"/>
        <v>1994</v>
      </c>
      <c r="T80" s="8">
        <v>1994</v>
      </c>
      <c r="U80" s="8">
        <f t="shared" si="9"/>
        <v>28</v>
      </c>
      <c r="V80" s="7">
        <v>1994</v>
      </c>
      <c r="W80" t="s">
        <v>2417</v>
      </c>
      <c r="X80" s="2">
        <v>1.1819999999999999</v>
      </c>
      <c r="Y80" s="6">
        <f t="shared" si="10"/>
        <v>3.1552814927524625E-2</v>
      </c>
      <c r="AA80">
        <v>36951</v>
      </c>
      <c r="AB80">
        <v>27030</v>
      </c>
      <c r="AD80" t="s">
        <v>2</v>
      </c>
      <c r="AE80">
        <v>64</v>
      </c>
      <c r="AF80">
        <v>24</v>
      </c>
      <c r="AH80" t="s">
        <v>2759</v>
      </c>
      <c r="AI80" t="s">
        <v>2758</v>
      </c>
      <c r="AK80" t="s">
        <v>2757</v>
      </c>
      <c r="AL80">
        <v>42</v>
      </c>
      <c r="AM80" s="5">
        <f t="shared" si="11"/>
        <v>1.5</v>
      </c>
      <c r="AN80" s="4">
        <f t="shared" si="12"/>
        <v>2.2718667171525938E-3</v>
      </c>
      <c r="AO80" s="3"/>
      <c r="AP80">
        <v>0</v>
      </c>
      <c r="AR80" t="s">
        <v>1</v>
      </c>
      <c r="AT80" s="2">
        <v>3.7909999999999999</v>
      </c>
      <c r="AU80" s="1">
        <f t="shared" si="13"/>
        <v>2.2768530464413015</v>
      </c>
      <c r="AV80" s="1">
        <f t="shared" si="14"/>
        <v>1.6912340822338607</v>
      </c>
      <c r="AW80" s="1">
        <f t="shared" si="15"/>
        <v>1.1056151180264202</v>
      </c>
    </row>
    <row r="81" spans="1:49" x14ac:dyDescent="0.2">
      <c r="A81">
        <v>79</v>
      </c>
      <c r="B81" t="s">
        <v>2756</v>
      </c>
      <c r="C81" t="s">
        <v>2755</v>
      </c>
      <c r="F81" t="s">
        <v>2754</v>
      </c>
      <c r="G81" t="s">
        <v>8</v>
      </c>
      <c r="H81" t="s">
        <v>7</v>
      </c>
      <c r="I81" t="s">
        <v>2753</v>
      </c>
      <c r="J81" t="s">
        <v>2752</v>
      </c>
      <c r="K81" t="s">
        <v>2751</v>
      </c>
      <c r="L81" t="s">
        <v>180</v>
      </c>
      <c r="M81" t="s">
        <v>12</v>
      </c>
      <c r="N81">
        <v>3</v>
      </c>
      <c r="O81" t="s">
        <v>2750</v>
      </c>
      <c r="P81" t="s">
        <v>2749</v>
      </c>
      <c r="Q81" t="s">
        <v>2748</v>
      </c>
      <c r="R81" s="7">
        <v>34669</v>
      </c>
      <c r="S81" s="8">
        <f t="shared" si="8"/>
        <v>1994</v>
      </c>
      <c r="T81" s="8">
        <v>1994</v>
      </c>
      <c r="U81" s="8">
        <f t="shared" si="9"/>
        <v>28</v>
      </c>
      <c r="V81" s="7">
        <v>1994</v>
      </c>
      <c r="W81" t="s">
        <v>338</v>
      </c>
      <c r="X81" s="2">
        <v>0.60499999999999998</v>
      </c>
      <c r="Y81" s="6">
        <f t="shared" si="10"/>
        <v>1.6150129467980032E-2</v>
      </c>
      <c r="AA81">
        <v>346748</v>
      </c>
      <c r="AB81">
        <v>15563</v>
      </c>
      <c r="AD81" t="s">
        <v>2</v>
      </c>
      <c r="AE81">
        <v>65</v>
      </c>
      <c r="AF81">
        <v>6</v>
      </c>
      <c r="AH81" t="s">
        <v>2747</v>
      </c>
      <c r="AI81" t="s">
        <v>2746</v>
      </c>
      <c r="AK81" t="s">
        <v>2745</v>
      </c>
      <c r="AL81">
        <v>12</v>
      </c>
      <c r="AM81" s="5">
        <f t="shared" si="11"/>
        <v>0.42857142857142855</v>
      </c>
      <c r="AN81" s="4">
        <f t="shared" si="12"/>
        <v>6.4910477632931242E-4</v>
      </c>
      <c r="AO81" s="3"/>
      <c r="AP81">
        <v>0</v>
      </c>
      <c r="AR81" t="s">
        <v>1</v>
      </c>
      <c r="AT81" s="2">
        <v>1.5229999999999999</v>
      </c>
      <c r="AU81" s="1">
        <f t="shared" si="13"/>
        <v>1.1499822060484814</v>
      </c>
      <c r="AV81" s="1">
        <f t="shared" si="14"/>
        <v>0.83996171221546712</v>
      </c>
      <c r="AW81" s="1">
        <f t="shared" si="15"/>
        <v>0.52994121838245278</v>
      </c>
    </row>
    <row r="82" spans="1:49" x14ac:dyDescent="0.2">
      <c r="A82">
        <v>80</v>
      </c>
      <c r="B82" t="s">
        <v>2744</v>
      </c>
      <c r="C82" t="s">
        <v>2743</v>
      </c>
      <c r="F82" t="s">
        <v>2742</v>
      </c>
      <c r="G82" t="s">
        <v>8</v>
      </c>
      <c r="H82" t="s">
        <v>7</v>
      </c>
      <c r="I82" t="s">
        <v>423</v>
      </c>
      <c r="J82">
        <v>60029241</v>
      </c>
      <c r="K82" t="s">
        <v>126</v>
      </c>
      <c r="L82" t="s">
        <v>125</v>
      </c>
      <c r="M82" t="s">
        <v>19</v>
      </c>
      <c r="N82">
        <v>6</v>
      </c>
      <c r="O82" t="s">
        <v>2741</v>
      </c>
      <c r="P82" t="s">
        <v>419</v>
      </c>
      <c r="Q82" t="s">
        <v>2740</v>
      </c>
      <c r="R82" s="7">
        <v>34669</v>
      </c>
      <c r="S82" s="8">
        <f t="shared" si="8"/>
        <v>1994</v>
      </c>
      <c r="T82" s="8">
        <v>1994</v>
      </c>
      <c r="U82" s="8">
        <f t="shared" si="9"/>
        <v>28</v>
      </c>
      <c r="V82" s="7">
        <v>1994</v>
      </c>
      <c r="W82" t="s">
        <v>2716</v>
      </c>
      <c r="X82" s="2">
        <v>0.71199999999999997</v>
      </c>
      <c r="Y82" s="6">
        <f t="shared" si="10"/>
        <v>1.900643335735832E-2</v>
      </c>
      <c r="AA82">
        <v>2681242</v>
      </c>
      <c r="AB82">
        <v>27191</v>
      </c>
      <c r="AD82" t="s">
        <v>2</v>
      </c>
      <c r="AE82">
        <v>9</v>
      </c>
      <c r="AF82" t="s">
        <v>2739</v>
      </c>
      <c r="AG82">
        <v>35</v>
      </c>
      <c r="AH82" t="s">
        <v>2738</v>
      </c>
      <c r="AI82" t="s">
        <v>2737</v>
      </c>
      <c r="AK82" t="s">
        <v>2736</v>
      </c>
      <c r="AL82">
        <v>2</v>
      </c>
      <c r="AM82" s="5">
        <f t="shared" si="11"/>
        <v>7.1428571428571425E-2</v>
      </c>
      <c r="AN82" s="4">
        <f t="shared" si="12"/>
        <v>1.0818412938821875E-4</v>
      </c>
      <c r="AO82" s="3"/>
      <c r="AP82">
        <v>0</v>
      </c>
      <c r="AR82" t="s">
        <v>1</v>
      </c>
      <c r="AT82" s="2">
        <v>2.3519999999999999</v>
      </c>
      <c r="AU82" s="1">
        <f t="shared" si="13"/>
        <v>1.3336958588967289</v>
      </c>
      <c r="AV82" s="1">
        <f t="shared" si="14"/>
        <v>0.95573087433732695</v>
      </c>
      <c r="AW82" s="1">
        <f t="shared" si="15"/>
        <v>0.57776588977792487</v>
      </c>
    </row>
    <row r="83" spans="1:49" x14ac:dyDescent="0.2">
      <c r="A83">
        <v>81</v>
      </c>
      <c r="B83" t="s">
        <v>2735</v>
      </c>
      <c r="C83" t="s">
        <v>2734</v>
      </c>
      <c r="F83" t="s">
        <v>2733</v>
      </c>
      <c r="G83" t="s">
        <v>8</v>
      </c>
      <c r="H83" t="s">
        <v>7</v>
      </c>
      <c r="I83" t="s">
        <v>2732</v>
      </c>
      <c r="J83" t="s">
        <v>2731</v>
      </c>
      <c r="K83" t="s">
        <v>2730</v>
      </c>
      <c r="L83" t="s">
        <v>2729</v>
      </c>
      <c r="M83" t="s">
        <v>12</v>
      </c>
      <c r="N83">
        <v>5</v>
      </c>
      <c r="O83" t="s">
        <v>2728</v>
      </c>
      <c r="P83" t="s">
        <v>2727</v>
      </c>
      <c r="Q83" t="s">
        <v>2726</v>
      </c>
      <c r="R83" s="7">
        <v>34669</v>
      </c>
      <c r="S83" s="8">
        <f t="shared" si="8"/>
        <v>1994</v>
      </c>
      <c r="T83" s="8">
        <v>1994</v>
      </c>
      <c r="U83" s="8">
        <f t="shared" si="9"/>
        <v>28</v>
      </c>
      <c r="V83" s="7">
        <v>1994</v>
      </c>
      <c r="W83" t="s">
        <v>2417</v>
      </c>
      <c r="X83" s="2">
        <v>1.1819999999999999</v>
      </c>
      <c r="Y83" s="6">
        <f t="shared" si="10"/>
        <v>3.1552814927524625E-2</v>
      </c>
      <c r="AA83">
        <v>36951</v>
      </c>
      <c r="AB83">
        <v>27030</v>
      </c>
      <c r="AD83" t="s">
        <v>2</v>
      </c>
      <c r="AE83">
        <v>64</v>
      </c>
      <c r="AF83">
        <v>16</v>
      </c>
      <c r="AH83" t="s">
        <v>2725</v>
      </c>
      <c r="AI83" t="s">
        <v>2724</v>
      </c>
      <c r="AK83" t="s">
        <v>2723</v>
      </c>
      <c r="AL83">
        <v>6</v>
      </c>
      <c r="AM83" s="5">
        <f t="shared" si="11"/>
        <v>0.21428571428571427</v>
      </c>
      <c r="AN83" s="4">
        <f t="shared" si="12"/>
        <v>3.2455238816465621E-4</v>
      </c>
      <c r="AO83" s="3"/>
      <c r="AP83">
        <v>0</v>
      </c>
      <c r="AR83" t="s">
        <v>1</v>
      </c>
      <c r="AT83" s="2">
        <v>3.7909999999999999</v>
      </c>
      <c r="AU83" s="1">
        <f t="shared" si="13"/>
        <v>2.2184336165716632</v>
      </c>
      <c r="AV83" s="1">
        <f t="shared" si="14"/>
        <v>1.5938683657844641</v>
      </c>
      <c r="AW83" s="1">
        <f t="shared" si="15"/>
        <v>0.96930311499726463</v>
      </c>
    </row>
    <row r="84" spans="1:49" x14ac:dyDescent="0.2">
      <c r="A84">
        <v>82</v>
      </c>
      <c r="B84" t="s">
        <v>2722</v>
      </c>
      <c r="C84" t="s">
        <v>2721</v>
      </c>
      <c r="F84" t="s">
        <v>2720</v>
      </c>
      <c r="G84" t="s">
        <v>8</v>
      </c>
      <c r="H84" t="s">
        <v>7</v>
      </c>
      <c r="I84" t="s">
        <v>2719</v>
      </c>
      <c r="J84">
        <v>60003381</v>
      </c>
      <c r="K84" t="s">
        <v>2718</v>
      </c>
      <c r="L84" t="s">
        <v>116</v>
      </c>
      <c r="M84" t="s">
        <v>53</v>
      </c>
      <c r="N84">
        <v>1</v>
      </c>
      <c r="O84" t="s">
        <v>2717</v>
      </c>
      <c r="P84">
        <v>56172002300</v>
      </c>
      <c r="Q84">
        <v>60003381</v>
      </c>
      <c r="R84" s="7">
        <v>34669</v>
      </c>
      <c r="S84" s="8">
        <f t="shared" si="8"/>
        <v>1994</v>
      </c>
      <c r="T84" s="8">
        <v>1994</v>
      </c>
      <c r="U84" s="8">
        <f t="shared" si="9"/>
        <v>28</v>
      </c>
      <c r="V84" s="7">
        <v>1994</v>
      </c>
      <c r="W84" t="s">
        <v>2716</v>
      </c>
      <c r="X84" s="2">
        <v>0.71199999999999997</v>
      </c>
      <c r="Y84" s="6">
        <f t="shared" si="10"/>
        <v>1.900643335735832E-2</v>
      </c>
      <c r="AA84">
        <v>2681242</v>
      </c>
      <c r="AB84">
        <v>27191</v>
      </c>
      <c r="AD84" t="s">
        <v>2</v>
      </c>
      <c r="AE84">
        <v>9</v>
      </c>
      <c r="AF84">
        <v>4</v>
      </c>
      <c r="AG84">
        <v>6</v>
      </c>
      <c r="AH84" t="s">
        <v>2715</v>
      </c>
      <c r="AI84" t="s">
        <v>2714</v>
      </c>
      <c r="AK84" t="s">
        <v>2713</v>
      </c>
      <c r="AL84">
        <v>15</v>
      </c>
      <c r="AM84" s="5">
        <f t="shared" si="11"/>
        <v>0.5357142857142857</v>
      </c>
      <c r="AN84" s="4">
        <f t="shared" si="12"/>
        <v>8.1138097041164058E-4</v>
      </c>
      <c r="AO84" s="3"/>
      <c r="AP84">
        <v>0</v>
      </c>
      <c r="AR84" t="s">
        <v>1</v>
      </c>
      <c r="AT84" s="2">
        <v>2.3519999999999999</v>
      </c>
      <c r="AU84" s="1">
        <f t="shared" si="13"/>
        <v>1.3547917641274316</v>
      </c>
      <c r="AV84" s="1">
        <f t="shared" si="14"/>
        <v>0.99089071638849802</v>
      </c>
      <c r="AW84" s="1">
        <f t="shared" si="15"/>
        <v>0.6269896686495644</v>
      </c>
    </row>
    <row r="85" spans="1:49" x14ac:dyDescent="0.2">
      <c r="A85">
        <v>83</v>
      </c>
      <c r="B85" t="s">
        <v>2712</v>
      </c>
      <c r="C85" t="s">
        <v>2711</v>
      </c>
      <c r="F85" t="s">
        <v>2710</v>
      </c>
      <c r="G85" t="s">
        <v>8</v>
      </c>
      <c r="H85" t="s">
        <v>7</v>
      </c>
      <c r="I85" t="s">
        <v>2709</v>
      </c>
      <c r="J85">
        <v>60032151</v>
      </c>
      <c r="K85" t="s">
        <v>2708</v>
      </c>
      <c r="L85" t="s">
        <v>2707</v>
      </c>
      <c r="M85" t="s">
        <v>47</v>
      </c>
      <c r="N85">
        <v>2</v>
      </c>
      <c r="O85" t="s">
        <v>2706</v>
      </c>
      <c r="P85" t="s">
        <v>2705</v>
      </c>
      <c r="Q85" t="s">
        <v>2704</v>
      </c>
      <c r="R85" s="7">
        <v>34669</v>
      </c>
      <c r="S85" s="8">
        <f t="shared" si="8"/>
        <v>1994</v>
      </c>
      <c r="T85" s="8">
        <v>1994</v>
      </c>
      <c r="U85" s="8">
        <f t="shared" si="9"/>
        <v>28</v>
      </c>
      <c r="V85" s="7">
        <v>1994</v>
      </c>
      <c r="W85" t="s">
        <v>2429</v>
      </c>
      <c r="X85" s="2">
        <v>1.774</v>
      </c>
      <c r="Y85" s="6">
        <f t="shared" si="10"/>
        <v>4.7355916820159633E-2</v>
      </c>
      <c r="AA85">
        <v>295515</v>
      </c>
      <c r="AB85">
        <v>29066</v>
      </c>
      <c r="AD85" t="s">
        <v>2</v>
      </c>
      <c r="AE85">
        <v>34</v>
      </c>
      <c r="AF85">
        <v>3</v>
      </c>
      <c r="AG85" t="s">
        <v>2703</v>
      </c>
      <c r="AH85" t="s">
        <v>2702</v>
      </c>
      <c r="AI85" t="s">
        <v>2701</v>
      </c>
      <c r="AK85" t="s">
        <v>2700</v>
      </c>
      <c r="AL85">
        <v>3</v>
      </c>
      <c r="AM85" s="5">
        <f t="shared" si="11"/>
        <v>0.10714285714285714</v>
      </c>
      <c r="AN85" s="4">
        <f t="shared" si="12"/>
        <v>1.6227619408232811E-4</v>
      </c>
      <c r="AO85" s="3"/>
      <c r="AP85">
        <v>0</v>
      </c>
      <c r="AR85" t="s">
        <v>1</v>
      </c>
      <c r="AT85" s="2">
        <v>3.1789999999999998</v>
      </c>
      <c r="AU85" s="1">
        <f t="shared" si="13"/>
        <v>3.3197824632336439</v>
      </c>
      <c r="AV85" s="1">
        <f t="shared" si="14"/>
        <v>2.375909650712098</v>
      </c>
      <c r="AW85" s="1">
        <f t="shared" si="15"/>
        <v>1.4320368381905519</v>
      </c>
    </row>
    <row r="86" spans="1:49" x14ac:dyDescent="0.2">
      <c r="A86">
        <v>84</v>
      </c>
      <c r="B86" t="s">
        <v>2699</v>
      </c>
      <c r="C86" t="s">
        <v>2698</v>
      </c>
      <c r="F86" t="s">
        <v>2697</v>
      </c>
      <c r="G86" t="s">
        <v>8</v>
      </c>
      <c r="H86" t="s">
        <v>7</v>
      </c>
      <c r="I86" t="s">
        <v>2696</v>
      </c>
      <c r="J86" t="s">
        <v>2695</v>
      </c>
      <c r="K86" t="s">
        <v>2694</v>
      </c>
      <c r="L86" t="s">
        <v>2693</v>
      </c>
      <c r="M86" t="s">
        <v>12</v>
      </c>
      <c r="N86">
        <v>7</v>
      </c>
      <c r="O86" t="s">
        <v>2692</v>
      </c>
      <c r="P86" t="s">
        <v>2691</v>
      </c>
      <c r="Q86" t="s">
        <v>2690</v>
      </c>
      <c r="R86" s="7">
        <v>34669</v>
      </c>
      <c r="S86" s="8">
        <f t="shared" si="8"/>
        <v>1994</v>
      </c>
      <c r="T86" s="8">
        <v>1994</v>
      </c>
      <c r="U86" s="8">
        <f t="shared" si="9"/>
        <v>28</v>
      </c>
      <c r="V86" s="7">
        <v>1994</v>
      </c>
      <c r="W86" t="s">
        <v>2417</v>
      </c>
      <c r="X86" s="2">
        <v>1.1819999999999999</v>
      </c>
      <c r="Y86" s="6">
        <f t="shared" si="10"/>
        <v>3.1552814927524625E-2</v>
      </c>
      <c r="AA86">
        <v>36951</v>
      </c>
      <c r="AB86">
        <v>27030</v>
      </c>
      <c r="AD86" t="s">
        <v>2</v>
      </c>
      <c r="AE86">
        <v>64</v>
      </c>
      <c r="AF86">
        <v>11</v>
      </c>
      <c r="AH86" t="s">
        <v>2689</v>
      </c>
      <c r="AI86" t="s">
        <v>2688</v>
      </c>
      <c r="AK86" t="s">
        <v>2687</v>
      </c>
      <c r="AL86">
        <v>356</v>
      </c>
      <c r="AM86" s="5">
        <f t="shared" si="11"/>
        <v>12.714285714285714</v>
      </c>
      <c r="AN86" s="4">
        <f t="shared" si="12"/>
        <v>1.9256775031102936E-2</v>
      </c>
      <c r="AO86" s="3"/>
      <c r="AP86">
        <v>0</v>
      </c>
      <c r="AR86" t="s">
        <v>1</v>
      </c>
      <c r="AT86" s="2">
        <v>3.7909999999999999</v>
      </c>
      <c r="AU86" s="1">
        <f t="shared" si="13"/>
        <v>2.7864002958598117</v>
      </c>
      <c r="AV86" s="1">
        <f t="shared" si="14"/>
        <v>2.5404794979313783</v>
      </c>
      <c r="AW86" s="1">
        <f t="shared" si="15"/>
        <v>2.2945587000029444</v>
      </c>
    </row>
    <row r="87" spans="1:49" x14ac:dyDescent="0.2">
      <c r="A87">
        <v>85</v>
      </c>
      <c r="B87" t="s">
        <v>2686</v>
      </c>
      <c r="C87" t="s">
        <v>2685</v>
      </c>
      <c r="F87" t="s">
        <v>2684</v>
      </c>
      <c r="G87" t="s">
        <v>8</v>
      </c>
      <c r="H87" t="s">
        <v>7</v>
      </c>
      <c r="I87" t="s">
        <v>184</v>
      </c>
      <c r="J87">
        <v>60015658</v>
      </c>
      <c r="K87" t="s">
        <v>2683</v>
      </c>
      <c r="L87" t="s">
        <v>2682</v>
      </c>
      <c r="M87" t="s">
        <v>53</v>
      </c>
      <c r="N87">
        <v>8</v>
      </c>
      <c r="O87" t="s">
        <v>2681</v>
      </c>
      <c r="P87" t="s">
        <v>2680</v>
      </c>
      <c r="Q87" t="s">
        <v>2679</v>
      </c>
      <c r="R87" s="7">
        <v>34669</v>
      </c>
      <c r="S87" s="8">
        <f t="shared" si="8"/>
        <v>1994</v>
      </c>
      <c r="T87" s="8">
        <v>1994</v>
      </c>
      <c r="U87" s="8">
        <f t="shared" si="9"/>
        <v>28</v>
      </c>
      <c r="V87" s="7">
        <v>1994</v>
      </c>
      <c r="W87" t="s">
        <v>2429</v>
      </c>
      <c r="X87" s="2">
        <v>1.774</v>
      </c>
      <c r="Y87" s="6">
        <f t="shared" si="10"/>
        <v>4.7355916820159633E-2</v>
      </c>
      <c r="AA87">
        <v>295515</v>
      </c>
      <c r="AB87">
        <v>29066</v>
      </c>
      <c r="AD87" t="s">
        <v>2</v>
      </c>
      <c r="AE87">
        <v>34</v>
      </c>
      <c r="AF87">
        <v>2</v>
      </c>
      <c r="AG87" t="s">
        <v>2678</v>
      </c>
      <c r="AH87" t="s">
        <v>2677</v>
      </c>
      <c r="AI87" t="s">
        <v>2676</v>
      </c>
      <c r="AK87" t="s">
        <v>2675</v>
      </c>
      <c r="AL87">
        <v>13</v>
      </c>
      <c r="AM87" s="5">
        <f t="shared" si="11"/>
        <v>0.4642857142857143</v>
      </c>
      <c r="AN87" s="4">
        <f t="shared" si="12"/>
        <v>7.0319684102342192E-4</v>
      </c>
      <c r="AO87" s="3"/>
      <c r="AP87">
        <v>0</v>
      </c>
      <c r="AR87" t="s">
        <v>1</v>
      </c>
      <c r="AT87" s="2">
        <v>3.1789999999999998</v>
      </c>
      <c r="AU87" s="1">
        <f t="shared" si="13"/>
        <v>3.3360100826418764</v>
      </c>
      <c r="AV87" s="1">
        <f t="shared" si="14"/>
        <v>2.4029556830591527</v>
      </c>
      <c r="AW87" s="1">
        <f t="shared" si="15"/>
        <v>1.4699012834764285</v>
      </c>
    </row>
    <row r="88" spans="1:49" x14ac:dyDescent="0.2">
      <c r="A88">
        <v>86</v>
      </c>
      <c r="B88" t="s">
        <v>2674</v>
      </c>
      <c r="C88" t="s">
        <v>2673</v>
      </c>
      <c r="F88" t="s">
        <v>2672</v>
      </c>
      <c r="G88" t="s">
        <v>8</v>
      </c>
      <c r="H88" t="s">
        <v>7</v>
      </c>
      <c r="I88" t="s">
        <v>2671</v>
      </c>
      <c r="J88">
        <v>60019637</v>
      </c>
      <c r="K88" t="s">
        <v>2670</v>
      </c>
      <c r="L88" t="s">
        <v>274</v>
      </c>
      <c r="M88" t="s">
        <v>52</v>
      </c>
      <c r="N88">
        <v>5</v>
      </c>
      <c r="O88" t="s">
        <v>2669</v>
      </c>
      <c r="P88" t="s">
        <v>2668</v>
      </c>
      <c r="Q88" t="s">
        <v>2667</v>
      </c>
      <c r="R88" s="7">
        <v>34669</v>
      </c>
      <c r="S88" s="8">
        <f t="shared" si="8"/>
        <v>1994</v>
      </c>
      <c r="T88" s="8">
        <v>1994</v>
      </c>
      <c r="U88" s="8">
        <f t="shared" si="9"/>
        <v>28</v>
      </c>
      <c r="V88" s="7">
        <v>1994</v>
      </c>
      <c r="W88" t="s">
        <v>2429</v>
      </c>
      <c r="X88" s="2">
        <v>1.774</v>
      </c>
      <c r="Y88" s="6">
        <f t="shared" si="10"/>
        <v>4.7355916820159633E-2</v>
      </c>
      <c r="AA88">
        <v>295515</v>
      </c>
      <c r="AB88">
        <v>29066</v>
      </c>
      <c r="AD88" t="s">
        <v>2</v>
      </c>
      <c r="AE88">
        <v>34</v>
      </c>
      <c r="AF88">
        <v>2</v>
      </c>
      <c r="AG88" t="s">
        <v>2666</v>
      </c>
      <c r="AH88" t="s">
        <v>2665</v>
      </c>
      <c r="AI88" t="s">
        <v>2664</v>
      </c>
      <c r="AK88" t="s">
        <v>2663</v>
      </c>
      <c r="AL88">
        <v>9</v>
      </c>
      <c r="AM88" s="5">
        <f t="shared" si="11"/>
        <v>0.32142857142857145</v>
      </c>
      <c r="AN88" s="4">
        <f t="shared" si="12"/>
        <v>4.8682858224698443E-4</v>
      </c>
      <c r="AO88" s="3"/>
      <c r="AP88">
        <v>0</v>
      </c>
      <c r="AR88" t="s">
        <v>1</v>
      </c>
      <c r="AT88" s="2">
        <v>3.1789999999999998</v>
      </c>
      <c r="AU88" s="1">
        <f t="shared" si="13"/>
        <v>3.3295190348785835</v>
      </c>
      <c r="AV88" s="1">
        <f t="shared" si="14"/>
        <v>2.3921372701203305</v>
      </c>
      <c r="AW88" s="1">
        <f t="shared" si="15"/>
        <v>1.4547555053620778</v>
      </c>
    </row>
    <row r="89" spans="1:49" x14ac:dyDescent="0.2">
      <c r="A89">
        <v>87</v>
      </c>
      <c r="B89" t="s">
        <v>2662</v>
      </c>
      <c r="C89" t="s">
        <v>2661</v>
      </c>
      <c r="F89" t="s">
        <v>2660</v>
      </c>
      <c r="G89" t="s">
        <v>8</v>
      </c>
      <c r="H89" t="s">
        <v>7</v>
      </c>
      <c r="I89" t="s">
        <v>2659</v>
      </c>
      <c r="J89" t="s">
        <v>2658</v>
      </c>
      <c r="K89" t="s">
        <v>2657</v>
      </c>
      <c r="L89" t="s">
        <v>2656</v>
      </c>
      <c r="M89" t="s">
        <v>12</v>
      </c>
      <c r="N89">
        <v>3</v>
      </c>
      <c r="O89" t="s">
        <v>2655</v>
      </c>
      <c r="P89" t="s">
        <v>2654</v>
      </c>
      <c r="Q89" t="s">
        <v>2653</v>
      </c>
      <c r="R89" s="7">
        <v>34669</v>
      </c>
      <c r="S89" s="8">
        <f t="shared" si="8"/>
        <v>1994</v>
      </c>
      <c r="T89" s="8">
        <v>1994</v>
      </c>
      <c r="U89" s="8">
        <f t="shared" si="9"/>
        <v>28</v>
      </c>
      <c r="V89" s="7">
        <v>34669</v>
      </c>
      <c r="W89" t="s">
        <v>50</v>
      </c>
      <c r="X89" s="2">
        <v>0.85499999999999998</v>
      </c>
      <c r="Y89" s="6">
        <f t="shared" si="10"/>
        <v>2.28237366861536E-2</v>
      </c>
      <c r="AA89">
        <v>980331</v>
      </c>
      <c r="AB89">
        <v>23342</v>
      </c>
      <c r="AC89">
        <v>15731561</v>
      </c>
      <c r="AD89" t="s">
        <v>2</v>
      </c>
      <c r="AE89">
        <v>20</v>
      </c>
      <c r="AF89">
        <v>12</v>
      </c>
      <c r="AH89" t="s">
        <v>2652</v>
      </c>
      <c r="AI89" t="s">
        <v>2651</v>
      </c>
      <c r="AJ89" t="s">
        <v>2650</v>
      </c>
      <c r="AK89" t="s">
        <v>2649</v>
      </c>
      <c r="AL89">
        <v>64</v>
      </c>
      <c r="AM89" s="5">
        <f t="shared" si="11"/>
        <v>2.2857142857142856</v>
      </c>
      <c r="AN89" s="4">
        <f t="shared" si="12"/>
        <v>3.4618921404229999E-3</v>
      </c>
      <c r="AO89" s="3"/>
      <c r="AP89">
        <v>0</v>
      </c>
      <c r="AR89" t="s">
        <v>1</v>
      </c>
      <c r="AT89" s="2">
        <v>2.6259999999999999</v>
      </c>
      <c r="AU89" s="1">
        <f t="shared" si="13"/>
        <v>1.701518332243442</v>
      </c>
      <c r="AV89" s="1">
        <f t="shared" si="14"/>
        <v>1.31428144132883</v>
      </c>
      <c r="AW89" s="1">
        <f t="shared" si="15"/>
        <v>0.92704455041421796</v>
      </c>
    </row>
    <row r="90" spans="1:49" x14ac:dyDescent="0.2">
      <c r="A90">
        <v>88</v>
      </c>
      <c r="B90" t="s">
        <v>2648</v>
      </c>
      <c r="C90" t="s">
        <v>2647</v>
      </c>
      <c r="F90" t="s">
        <v>2646</v>
      </c>
      <c r="G90" t="s">
        <v>8</v>
      </c>
      <c r="H90" t="s">
        <v>7</v>
      </c>
      <c r="I90" t="s">
        <v>2645</v>
      </c>
      <c r="J90">
        <v>60000221</v>
      </c>
      <c r="K90" t="s">
        <v>264</v>
      </c>
      <c r="L90" t="s">
        <v>263</v>
      </c>
      <c r="M90" t="s">
        <v>19</v>
      </c>
      <c r="N90">
        <v>3</v>
      </c>
      <c r="O90" t="s">
        <v>2644</v>
      </c>
      <c r="P90" t="s">
        <v>2643</v>
      </c>
      <c r="Q90" t="s">
        <v>301</v>
      </c>
      <c r="R90" s="7">
        <v>34669</v>
      </c>
      <c r="S90" s="8">
        <f t="shared" si="8"/>
        <v>1994</v>
      </c>
      <c r="T90" s="8">
        <v>1994</v>
      </c>
      <c r="U90" s="8">
        <f t="shared" si="9"/>
        <v>28</v>
      </c>
      <c r="V90" s="7">
        <v>34669</v>
      </c>
      <c r="W90" t="s">
        <v>81</v>
      </c>
      <c r="X90" s="2">
        <v>1.1579999999999999</v>
      </c>
      <c r="Y90" s="6">
        <f t="shared" si="10"/>
        <v>3.0912148634579962E-2</v>
      </c>
      <c r="AA90">
        <v>1668595</v>
      </c>
      <c r="AB90">
        <v>14223</v>
      </c>
      <c r="AC90">
        <v>15735079</v>
      </c>
      <c r="AD90" t="s">
        <v>2</v>
      </c>
      <c r="AE90">
        <v>42</v>
      </c>
      <c r="AF90">
        <v>3</v>
      </c>
      <c r="AH90" t="s">
        <v>1293</v>
      </c>
      <c r="AI90" t="s">
        <v>2642</v>
      </c>
      <c r="AJ90" t="s">
        <v>2641</v>
      </c>
      <c r="AK90" t="s">
        <v>2640</v>
      </c>
      <c r="AL90">
        <v>43</v>
      </c>
      <c r="AM90" s="5">
        <f t="shared" si="11"/>
        <v>1.5357142857142858</v>
      </c>
      <c r="AN90" s="4">
        <f t="shared" si="12"/>
        <v>2.3259587818467032E-3</v>
      </c>
      <c r="AO90" s="3"/>
      <c r="AP90">
        <v>0</v>
      </c>
      <c r="AR90" t="s">
        <v>1</v>
      </c>
      <c r="AT90" s="2">
        <v>3.573</v>
      </c>
      <c r="AU90" s="1">
        <f t="shared" si="13"/>
        <v>2.2336291678759985</v>
      </c>
      <c r="AV90" s="1">
        <f t="shared" si="14"/>
        <v>1.6619053708213334</v>
      </c>
      <c r="AW90" s="1">
        <f t="shared" si="15"/>
        <v>1.090181573766668</v>
      </c>
    </row>
    <row r="91" spans="1:49" x14ac:dyDescent="0.2">
      <c r="A91">
        <v>89</v>
      </c>
      <c r="B91" t="s">
        <v>2639</v>
      </c>
      <c r="C91" t="s">
        <v>2638</v>
      </c>
      <c r="F91" t="s">
        <v>2637</v>
      </c>
      <c r="G91" t="s">
        <v>8</v>
      </c>
      <c r="H91" t="s">
        <v>7</v>
      </c>
      <c r="I91" t="s">
        <v>2636</v>
      </c>
      <c r="J91" t="s">
        <v>2635</v>
      </c>
      <c r="K91" t="s">
        <v>2634</v>
      </c>
      <c r="L91" t="s">
        <v>2633</v>
      </c>
      <c r="M91" t="s">
        <v>2632</v>
      </c>
      <c r="N91">
        <v>4</v>
      </c>
      <c r="O91" t="s">
        <v>2631</v>
      </c>
      <c r="P91" t="s">
        <v>2630</v>
      </c>
      <c r="Q91" t="s">
        <v>2629</v>
      </c>
      <c r="R91" s="7">
        <v>34669</v>
      </c>
      <c r="S91" s="8">
        <f t="shared" si="8"/>
        <v>1994</v>
      </c>
      <c r="T91" s="8">
        <v>1994</v>
      </c>
      <c r="U91" s="8">
        <f t="shared" si="9"/>
        <v>28</v>
      </c>
      <c r="V91" s="7">
        <v>34669</v>
      </c>
      <c r="W91" t="s">
        <v>50</v>
      </c>
      <c r="X91" s="2">
        <v>0.85499999999999998</v>
      </c>
      <c r="Y91" s="6">
        <f t="shared" si="10"/>
        <v>2.28237366861536E-2</v>
      </c>
      <c r="AA91">
        <v>980331</v>
      </c>
      <c r="AB91">
        <v>23342</v>
      </c>
      <c r="AC91">
        <v>15731561</v>
      </c>
      <c r="AD91" t="s">
        <v>2</v>
      </c>
      <c r="AE91">
        <v>20</v>
      </c>
      <c r="AF91">
        <v>12</v>
      </c>
      <c r="AH91" t="s">
        <v>2628</v>
      </c>
      <c r="AI91" t="s">
        <v>2627</v>
      </c>
      <c r="AJ91" t="s">
        <v>2626</v>
      </c>
      <c r="AK91" t="s">
        <v>2625</v>
      </c>
      <c r="AL91">
        <v>37</v>
      </c>
      <c r="AM91" s="5">
        <f t="shared" si="11"/>
        <v>1.3214285714285714</v>
      </c>
      <c r="AN91" s="4">
        <f t="shared" si="12"/>
        <v>2.0014063936820469E-3</v>
      </c>
      <c r="AO91" s="3"/>
      <c r="AP91">
        <v>0</v>
      </c>
      <c r="AR91" t="s">
        <v>1</v>
      </c>
      <c r="AT91" s="2">
        <v>2.6259999999999999</v>
      </c>
      <c r="AU91" s="1">
        <f t="shared" si="13"/>
        <v>1.6577037598412132</v>
      </c>
      <c r="AV91" s="1">
        <f t="shared" si="14"/>
        <v>1.2412571539917823</v>
      </c>
      <c r="AW91" s="1">
        <f t="shared" si="15"/>
        <v>0.82481054814235122</v>
      </c>
    </row>
    <row r="92" spans="1:49" x14ac:dyDescent="0.2">
      <c r="A92">
        <v>90</v>
      </c>
      <c r="B92" t="s">
        <v>2624</v>
      </c>
      <c r="C92" t="s">
        <v>2623</v>
      </c>
      <c r="F92" t="s">
        <v>2622</v>
      </c>
      <c r="G92" t="s">
        <v>8</v>
      </c>
      <c r="H92" t="s">
        <v>7</v>
      </c>
      <c r="I92" t="s">
        <v>2621</v>
      </c>
      <c r="J92" t="s">
        <v>2620</v>
      </c>
      <c r="K92" t="s">
        <v>2619</v>
      </c>
      <c r="L92" t="s">
        <v>2618</v>
      </c>
      <c r="M92" t="s">
        <v>87</v>
      </c>
      <c r="N92">
        <v>4</v>
      </c>
      <c r="O92" t="s">
        <v>2617</v>
      </c>
      <c r="P92" t="s">
        <v>2616</v>
      </c>
      <c r="Q92" t="s">
        <v>2615</v>
      </c>
      <c r="R92" s="7">
        <v>34669</v>
      </c>
      <c r="S92" s="8">
        <f t="shared" si="8"/>
        <v>1994</v>
      </c>
      <c r="T92" s="8">
        <v>1994</v>
      </c>
      <c r="U92" s="8">
        <f t="shared" si="9"/>
        <v>28</v>
      </c>
      <c r="V92" s="7">
        <v>34669</v>
      </c>
      <c r="W92" t="s">
        <v>81</v>
      </c>
      <c r="X92" s="2">
        <v>1.1579999999999999</v>
      </c>
      <c r="Y92" s="6">
        <f t="shared" si="10"/>
        <v>3.0912148634579962E-2</v>
      </c>
      <c r="AA92">
        <v>1668595</v>
      </c>
      <c r="AB92">
        <v>14223</v>
      </c>
      <c r="AC92">
        <v>15735079</v>
      </c>
      <c r="AD92" t="s">
        <v>2</v>
      </c>
      <c r="AE92">
        <v>42</v>
      </c>
      <c r="AF92">
        <v>3</v>
      </c>
      <c r="AH92" t="s">
        <v>2614</v>
      </c>
      <c r="AI92" t="s">
        <v>2613</v>
      </c>
      <c r="AJ92" t="s">
        <v>2612</v>
      </c>
      <c r="AK92" t="s">
        <v>2611</v>
      </c>
      <c r="AL92">
        <v>57</v>
      </c>
      <c r="AM92" s="5">
        <f t="shared" si="11"/>
        <v>2.0357142857142856</v>
      </c>
      <c r="AN92" s="4">
        <f t="shared" si="12"/>
        <v>3.0832476875642342E-3</v>
      </c>
      <c r="AO92" s="3"/>
      <c r="AP92">
        <v>0</v>
      </c>
      <c r="AR92" t="s">
        <v>1</v>
      </c>
      <c r="AT92" s="2">
        <v>3.573</v>
      </c>
      <c r="AU92" s="1">
        <f t="shared" si="13"/>
        <v>2.2563478350475239</v>
      </c>
      <c r="AV92" s="1">
        <f t="shared" si="14"/>
        <v>1.6997698161072099</v>
      </c>
      <c r="AW92" s="1">
        <f t="shared" si="15"/>
        <v>1.1431917971668955</v>
      </c>
    </row>
    <row r="93" spans="1:49" x14ac:dyDescent="0.2">
      <c r="A93">
        <v>91</v>
      </c>
      <c r="B93" t="s">
        <v>2610</v>
      </c>
      <c r="C93" t="s">
        <v>2609</v>
      </c>
      <c r="F93" t="s">
        <v>2608</v>
      </c>
      <c r="G93" t="s">
        <v>8</v>
      </c>
      <c r="H93" t="s">
        <v>7</v>
      </c>
      <c r="I93" t="s">
        <v>2607</v>
      </c>
      <c r="J93">
        <v>60004354</v>
      </c>
      <c r="K93" t="s">
        <v>146</v>
      </c>
      <c r="L93" t="s">
        <v>98</v>
      </c>
      <c r="M93" t="s">
        <v>19</v>
      </c>
      <c r="N93">
        <v>2</v>
      </c>
      <c r="O93" t="s">
        <v>2606</v>
      </c>
      <c r="P93" t="s">
        <v>2605</v>
      </c>
      <c r="Q93" t="s">
        <v>145</v>
      </c>
      <c r="R93" s="7">
        <v>34669</v>
      </c>
      <c r="S93" s="8">
        <f t="shared" si="8"/>
        <v>1994</v>
      </c>
      <c r="T93" s="8">
        <v>1994</v>
      </c>
      <c r="U93" s="8">
        <f t="shared" si="9"/>
        <v>28</v>
      </c>
      <c r="V93" s="7">
        <v>1994</v>
      </c>
      <c r="W93" t="s">
        <v>2604</v>
      </c>
      <c r="X93" s="2">
        <v>0.87</v>
      </c>
      <c r="Y93" s="6">
        <f t="shared" si="10"/>
        <v>2.3224153119244015E-2</v>
      </c>
      <c r="AA93">
        <v>1427873</v>
      </c>
      <c r="AB93">
        <v>29635</v>
      </c>
      <c r="AD93" t="s">
        <v>2</v>
      </c>
      <c r="AE93">
        <v>16</v>
      </c>
      <c r="AF93">
        <v>1</v>
      </c>
      <c r="AH93" t="s">
        <v>2603</v>
      </c>
      <c r="AI93" t="s">
        <v>2602</v>
      </c>
      <c r="AK93" t="s">
        <v>2601</v>
      </c>
      <c r="AL93">
        <v>10</v>
      </c>
      <c r="AM93" s="5">
        <f t="shared" si="11"/>
        <v>0.35714285714285715</v>
      </c>
      <c r="AN93" s="4">
        <f t="shared" si="12"/>
        <v>5.4092064694109376E-4</v>
      </c>
      <c r="AO93" s="3"/>
      <c r="AP93">
        <v>0</v>
      </c>
      <c r="AQ93" t="s">
        <v>2600</v>
      </c>
      <c r="AR93" t="s">
        <v>2599</v>
      </c>
      <c r="AS93" t="s">
        <v>2598</v>
      </c>
      <c r="AT93" s="2">
        <v>2.4550000000000001</v>
      </c>
      <c r="AU93" s="1">
        <f t="shared" si="13"/>
        <v>1.6419183377553139</v>
      </c>
      <c r="AV93" s="1">
        <f t="shared" si="14"/>
        <v>1.1882536883092554</v>
      </c>
      <c r="AW93" s="1">
        <f t="shared" si="15"/>
        <v>0.73458903886319693</v>
      </c>
    </row>
    <row r="94" spans="1:49" x14ac:dyDescent="0.2">
      <c r="A94">
        <v>92</v>
      </c>
      <c r="B94" t="s">
        <v>2597</v>
      </c>
      <c r="F94" t="s">
        <v>2596</v>
      </c>
      <c r="G94" t="s">
        <v>8</v>
      </c>
      <c r="H94" t="s">
        <v>7</v>
      </c>
      <c r="I94" t="s">
        <v>2595</v>
      </c>
      <c r="J94">
        <v>60025038</v>
      </c>
      <c r="K94" t="s">
        <v>260</v>
      </c>
      <c r="L94" t="s">
        <v>259</v>
      </c>
      <c r="M94" t="s">
        <v>19</v>
      </c>
      <c r="N94">
        <v>4</v>
      </c>
      <c r="O94" t="s">
        <v>2594</v>
      </c>
      <c r="P94" t="s">
        <v>2593</v>
      </c>
      <c r="Q94" t="s">
        <v>258</v>
      </c>
      <c r="R94" s="7">
        <v>34669</v>
      </c>
      <c r="S94" s="8">
        <f t="shared" si="8"/>
        <v>1994</v>
      </c>
      <c r="T94" s="8">
        <v>1994</v>
      </c>
      <c r="U94" s="8">
        <f t="shared" si="9"/>
        <v>28</v>
      </c>
      <c r="V94" s="7">
        <v>1994</v>
      </c>
      <c r="W94" t="s">
        <v>59</v>
      </c>
      <c r="X94" s="2">
        <v>1.9750000000000001</v>
      </c>
      <c r="Y94" s="6">
        <f t="shared" si="10"/>
        <v>5.2721497023571186E-2</v>
      </c>
      <c r="AA94">
        <v>320781</v>
      </c>
      <c r="AB94">
        <v>19019</v>
      </c>
      <c r="AD94" t="s">
        <v>2</v>
      </c>
      <c r="AE94">
        <v>35</v>
      </c>
      <c r="AF94">
        <v>3</v>
      </c>
      <c r="AH94" t="s">
        <v>2592</v>
      </c>
      <c r="AI94" t="s">
        <v>2591</v>
      </c>
      <c r="AJ94" t="s">
        <v>2590</v>
      </c>
      <c r="AK94" t="s">
        <v>2589</v>
      </c>
      <c r="AL94">
        <v>11</v>
      </c>
      <c r="AM94" s="5">
        <f t="shared" si="11"/>
        <v>0.39285714285714285</v>
      </c>
      <c r="AN94" s="4">
        <f t="shared" si="12"/>
        <v>5.9501271163520315E-4</v>
      </c>
      <c r="AO94" s="3"/>
      <c r="AP94">
        <v>0</v>
      </c>
      <c r="AQ94" t="s">
        <v>28</v>
      </c>
      <c r="AR94" t="s">
        <v>2588</v>
      </c>
      <c r="AS94" t="s">
        <v>27</v>
      </c>
      <c r="AT94" s="2">
        <v>4.9269999999999996</v>
      </c>
      <c r="AU94" s="1">
        <f t="shared" si="13"/>
        <v>3.7083551729990392</v>
      </c>
      <c r="AV94" s="1">
        <f t="shared" si="14"/>
        <v>2.6658254867603195</v>
      </c>
      <c r="AW94" s="1">
        <f t="shared" si="15"/>
        <v>1.6232958005215996</v>
      </c>
    </row>
    <row r="95" spans="1:49" x14ac:dyDescent="0.2">
      <c r="A95">
        <v>93</v>
      </c>
      <c r="B95" t="s">
        <v>2587</v>
      </c>
      <c r="C95" t="s">
        <v>2586</v>
      </c>
      <c r="E95">
        <v>15551530</v>
      </c>
      <c r="F95" t="s">
        <v>2585</v>
      </c>
      <c r="G95" t="s">
        <v>8</v>
      </c>
      <c r="H95" t="s">
        <v>7</v>
      </c>
      <c r="I95" t="s">
        <v>2584</v>
      </c>
      <c r="J95">
        <v>60007151</v>
      </c>
      <c r="K95" t="s">
        <v>2583</v>
      </c>
      <c r="L95" t="s">
        <v>16</v>
      </c>
      <c r="M95" t="s">
        <v>4</v>
      </c>
      <c r="N95">
        <v>2</v>
      </c>
      <c r="O95" t="s">
        <v>2582</v>
      </c>
      <c r="P95" t="s">
        <v>2581</v>
      </c>
      <c r="Q95" t="s">
        <v>2580</v>
      </c>
      <c r="R95" s="7">
        <v>34669</v>
      </c>
      <c r="S95" s="8">
        <f t="shared" si="8"/>
        <v>1994</v>
      </c>
      <c r="T95" s="8">
        <v>1994</v>
      </c>
      <c r="U95" s="8">
        <f t="shared" si="9"/>
        <v>28</v>
      </c>
      <c r="V95" s="7">
        <v>1994</v>
      </c>
      <c r="W95" t="s">
        <v>2579</v>
      </c>
      <c r="X95" s="2">
        <v>1.3120000000000001</v>
      </c>
      <c r="Y95" s="6">
        <f t="shared" si="10"/>
        <v>3.502309068097488E-2</v>
      </c>
      <c r="AA95">
        <v>319155</v>
      </c>
      <c r="AB95">
        <v>29203</v>
      </c>
      <c r="AD95" t="s">
        <v>2</v>
      </c>
      <c r="AE95">
        <v>39</v>
      </c>
      <c r="AF95">
        <v>10</v>
      </c>
      <c r="AG95">
        <v>3</v>
      </c>
      <c r="AH95" t="s">
        <v>2578</v>
      </c>
      <c r="AI95" t="s">
        <v>2577</v>
      </c>
      <c r="AK95" t="s">
        <v>2576</v>
      </c>
      <c r="AL95">
        <v>234</v>
      </c>
      <c r="AM95" s="5">
        <f t="shared" si="11"/>
        <v>8.3571428571428577</v>
      </c>
      <c r="AN95" s="4">
        <f t="shared" si="12"/>
        <v>1.2657543138421594E-2</v>
      </c>
      <c r="AO95" s="3"/>
      <c r="AP95">
        <v>0</v>
      </c>
      <c r="AR95" t="s">
        <v>1</v>
      </c>
      <c r="AT95" s="2">
        <v>3.609</v>
      </c>
      <c r="AU95" s="1">
        <f t="shared" si="13"/>
        <v>2.8313426418208896</v>
      </c>
      <c r="AV95" s="1">
        <f t="shared" si="14"/>
        <v>2.3840316909698238</v>
      </c>
      <c r="AW95" s="1">
        <f t="shared" si="15"/>
        <v>1.9367207401187581</v>
      </c>
    </row>
    <row r="96" spans="1:49" x14ac:dyDescent="0.2">
      <c r="A96">
        <v>94</v>
      </c>
      <c r="B96" t="s">
        <v>2575</v>
      </c>
      <c r="C96" t="s">
        <v>2574</v>
      </c>
      <c r="F96" t="s">
        <v>2573</v>
      </c>
      <c r="G96" t="s">
        <v>8</v>
      </c>
      <c r="H96" t="s">
        <v>7</v>
      </c>
      <c r="I96" t="s">
        <v>2572</v>
      </c>
      <c r="J96">
        <v>60030162</v>
      </c>
      <c r="K96" t="s">
        <v>1740</v>
      </c>
      <c r="L96" t="s">
        <v>158</v>
      </c>
      <c r="M96" t="s">
        <v>19</v>
      </c>
      <c r="N96">
        <v>4</v>
      </c>
      <c r="O96" t="s">
        <v>2571</v>
      </c>
      <c r="P96" t="s">
        <v>2570</v>
      </c>
      <c r="Q96" t="s">
        <v>2569</v>
      </c>
      <c r="R96" s="7">
        <v>34669</v>
      </c>
      <c r="S96" s="8">
        <f t="shared" si="8"/>
        <v>1994</v>
      </c>
      <c r="T96" s="8">
        <v>1994</v>
      </c>
      <c r="U96" s="8">
        <f t="shared" si="9"/>
        <v>28</v>
      </c>
      <c r="V96" s="7">
        <v>1994</v>
      </c>
      <c r="W96" t="s">
        <v>2417</v>
      </c>
      <c r="X96" s="2">
        <v>1.1819999999999999</v>
      </c>
      <c r="Y96" s="6">
        <f t="shared" si="10"/>
        <v>3.1552814927524625E-2</v>
      </c>
      <c r="AA96">
        <v>36951</v>
      </c>
      <c r="AB96">
        <v>27030</v>
      </c>
      <c r="AD96" t="s">
        <v>2</v>
      </c>
      <c r="AE96">
        <v>64</v>
      </c>
      <c r="AF96">
        <v>2</v>
      </c>
      <c r="AH96" t="s">
        <v>2568</v>
      </c>
      <c r="AI96" t="s">
        <v>2567</v>
      </c>
      <c r="AK96" t="s">
        <v>2566</v>
      </c>
      <c r="AL96">
        <v>123</v>
      </c>
      <c r="AM96" s="5">
        <f t="shared" si="11"/>
        <v>4.3928571428571432</v>
      </c>
      <c r="AN96" s="4">
        <f t="shared" si="12"/>
        <v>6.6533239573754533E-3</v>
      </c>
      <c r="AO96" s="3"/>
      <c r="AP96">
        <v>0</v>
      </c>
      <c r="AR96" t="s">
        <v>1</v>
      </c>
      <c r="AT96" s="2">
        <v>3.7909999999999999</v>
      </c>
      <c r="AU96" s="1">
        <f t="shared" si="13"/>
        <v>2.4082967636479871</v>
      </c>
      <c r="AV96" s="1">
        <f t="shared" si="14"/>
        <v>1.9103069442450038</v>
      </c>
      <c r="AW96" s="1">
        <f t="shared" si="15"/>
        <v>1.4123171248420205</v>
      </c>
    </row>
    <row r="97" spans="1:49" x14ac:dyDescent="0.2">
      <c r="A97">
        <v>95</v>
      </c>
      <c r="B97" t="s">
        <v>2565</v>
      </c>
      <c r="C97" t="s">
        <v>2564</v>
      </c>
      <c r="F97" t="s">
        <v>2563</v>
      </c>
      <c r="G97" t="s">
        <v>8</v>
      </c>
      <c r="H97" t="s">
        <v>7</v>
      </c>
      <c r="I97" t="s">
        <v>2562</v>
      </c>
      <c r="J97">
        <v>60005722</v>
      </c>
      <c r="K97" t="s">
        <v>1244</v>
      </c>
      <c r="L97" t="s">
        <v>1243</v>
      </c>
      <c r="M97" t="s">
        <v>152</v>
      </c>
      <c r="N97">
        <v>5</v>
      </c>
      <c r="O97" t="s">
        <v>2561</v>
      </c>
      <c r="P97" t="s">
        <v>2560</v>
      </c>
      <c r="Q97" t="s">
        <v>2559</v>
      </c>
      <c r="R97" s="7">
        <v>34669</v>
      </c>
      <c r="S97" s="8">
        <f t="shared" si="8"/>
        <v>1994</v>
      </c>
      <c r="T97" s="8">
        <v>1994</v>
      </c>
      <c r="U97" s="8">
        <f t="shared" si="9"/>
        <v>28</v>
      </c>
      <c r="V97" s="7">
        <v>1994</v>
      </c>
      <c r="W97" t="s">
        <v>338</v>
      </c>
      <c r="X97" s="2">
        <v>0.60499999999999998</v>
      </c>
      <c r="Y97" s="6">
        <f t="shared" si="10"/>
        <v>1.6150129467980032E-2</v>
      </c>
      <c r="AA97">
        <v>346748</v>
      </c>
      <c r="AB97">
        <v>15563</v>
      </c>
      <c r="AD97" t="s">
        <v>2</v>
      </c>
      <c r="AE97">
        <v>65</v>
      </c>
      <c r="AF97">
        <v>4</v>
      </c>
      <c r="AH97" t="s">
        <v>325</v>
      </c>
      <c r="AI97" t="s">
        <v>2558</v>
      </c>
      <c r="AK97" t="s">
        <v>2557</v>
      </c>
      <c r="AL97">
        <v>13</v>
      </c>
      <c r="AM97" s="5">
        <f t="shared" si="11"/>
        <v>0.4642857142857143</v>
      </c>
      <c r="AN97" s="4">
        <f t="shared" si="12"/>
        <v>7.0319684102342192E-4</v>
      </c>
      <c r="AO97" s="3"/>
      <c r="AP97">
        <v>0</v>
      </c>
      <c r="AR97" t="s">
        <v>1</v>
      </c>
      <c r="AT97" s="2">
        <v>1.5229999999999999</v>
      </c>
      <c r="AU97" s="1">
        <f t="shared" si="13"/>
        <v>1.1516049679893048</v>
      </c>
      <c r="AV97" s="1">
        <f t="shared" si="14"/>
        <v>0.84266631545017268</v>
      </c>
      <c r="AW97" s="1">
        <f t="shared" si="15"/>
        <v>0.53372766291104057</v>
      </c>
    </row>
    <row r="98" spans="1:49" x14ac:dyDescent="0.2">
      <c r="A98">
        <v>96</v>
      </c>
      <c r="B98" t="s">
        <v>2556</v>
      </c>
      <c r="C98" t="s">
        <v>2555</v>
      </c>
      <c r="F98" t="s">
        <v>2554</v>
      </c>
      <c r="G98" t="s">
        <v>8</v>
      </c>
      <c r="H98" t="s">
        <v>7</v>
      </c>
      <c r="I98" t="s">
        <v>2553</v>
      </c>
      <c r="J98" t="s">
        <v>2552</v>
      </c>
      <c r="K98" t="s">
        <v>2551</v>
      </c>
      <c r="L98" t="s">
        <v>2550</v>
      </c>
      <c r="M98" t="s">
        <v>14</v>
      </c>
      <c r="N98">
        <v>8</v>
      </c>
      <c r="O98" t="s">
        <v>2549</v>
      </c>
      <c r="P98" t="s">
        <v>2548</v>
      </c>
      <c r="Q98" t="s">
        <v>2547</v>
      </c>
      <c r="R98" s="7">
        <v>34669</v>
      </c>
      <c r="S98" s="8">
        <f t="shared" si="8"/>
        <v>1994</v>
      </c>
      <c r="T98" s="8">
        <v>1994</v>
      </c>
      <c r="U98" s="8">
        <f t="shared" si="9"/>
        <v>28</v>
      </c>
      <c r="V98" s="7">
        <v>1994</v>
      </c>
      <c r="W98" t="s">
        <v>2546</v>
      </c>
      <c r="X98" s="2">
        <v>0.69899999999999995</v>
      </c>
      <c r="Y98" s="6">
        <f t="shared" si="10"/>
        <v>1.8659405782013295E-2</v>
      </c>
      <c r="AA98">
        <v>218979</v>
      </c>
      <c r="AB98">
        <v>28132</v>
      </c>
      <c r="AD98" t="s">
        <v>2</v>
      </c>
      <c r="AE98">
        <v>76</v>
      </c>
      <c r="AF98">
        <v>6</v>
      </c>
      <c r="AH98" t="s">
        <v>2545</v>
      </c>
      <c r="AI98" t="s">
        <v>2544</v>
      </c>
      <c r="AK98" t="s">
        <v>2543</v>
      </c>
      <c r="AL98">
        <v>12</v>
      </c>
      <c r="AM98" s="5">
        <f t="shared" si="11"/>
        <v>0.42857142857142855</v>
      </c>
      <c r="AN98" s="4">
        <f t="shared" si="12"/>
        <v>6.4910477632931242E-4</v>
      </c>
      <c r="AO98" s="3"/>
      <c r="AP98">
        <v>0</v>
      </c>
      <c r="AR98" t="s">
        <v>1</v>
      </c>
      <c r="AT98" s="2">
        <v>2.5459999999999998</v>
      </c>
      <c r="AU98" s="1">
        <f t="shared" si="13"/>
        <v>1.3256315480308098</v>
      </c>
      <c r="AV98" s="1">
        <f t="shared" si="14"/>
        <v>0.96542552791713032</v>
      </c>
      <c r="AW98" s="1">
        <f t="shared" si="15"/>
        <v>0.60521950780345068</v>
      </c>
    </row>
    <row r="99" spans="1:49" x14ac:dyDescent="0.2">
      <c r="A99">
        <v>97</v>
      </c>
      <c r="B99" t="s">
        <v>2542</v>
      </c>
      <c r="C99" t="s">
        <v>2541</v>
      </c>
      <c r="F99" t="s">
        <v>2540</v>
      </c>
      <c r="G99" t="s">
        <v>8</v>
      </c>
      <c r="H99" t="s">
        <v>7</v>
      </c>
      <c r="I99" t="s">
        <v>2539</v>
      </c>
      <c r="J99">
        <v>60019160</v>
      </c>
      <c r="K99" t="s">
        <v>2538</v>
      </c>
      <c r="L99" t="s">
        <v>2537</v>
      </c>
      <c r="M99" t="s">
        <v>344</v>
      </c>
      <c r="N99">
        <v>3</v>
      </c>
      <c r="O99" t="s">
        <v>2536</v>
      </c>
      <c r="P99" t="s">
        <v>2535</v>
      </c>
      <c r="Q99" t="s">
        <v>2534</v>
      </c>
      <c r="R99" s="7">
        <v>34669</v>
      </c>
      <c r="S99" s="8">
        <f t="shared" si="8"/>
        <v>1994</v>
      </c>
      <c r="T99" s="8">
        <v>1994</v>
      </c>
      <c r="U99" s="8">
        <f t="shared" si="9"/>
        <v>28</v>
      </c>
      <c r="V99" s="7">
        <v>1994</v>
      </c>
      <c r="W99" t="s">
        <v>2417</v>
      </c>
      <c r="X99" s="2">
        <v>1.1819999999999999</v>
      </c>
      <c r="Y99" s="6">
        <f t="shared" si="10"/>
        <v>3.1552814927524625E-2</v>
      </c>
      <c r="AA99">
        <v>36951</v>
      </c>
      <c r="AB99">
        <v>27030</v>
      </c>
      <c r="AD99" t="s">
        <v>2</v>
      </c>
      <c r="AE99">
        <v>64</v>
      </c>
      <c r="AF99">
        <v>18</v>
      </c>
      <c r="AH99" t="s">
        <v>2533</v>
      </c>
      <c r="AI99" t="s">
        <v>2532</v>
      </c>
      <c r="AK99" t="s">
        <v>2531</v>
      </c>
      <c r="AL99">
        <v>15</v>
      </c>
      <c r="AM99" s="5">
        <f t="shared" si="11"/>
        <v>0.5357142857142857</v>
      </c>
      <c r="AN99" s="4">
        <f t="shared" si="12"/>
        <v>8.1138097041164058E-4</v>
      </c>
      <c r="AO99" s="3"/>
      <c r="AP99">
        <v>0</v>
      </c>
      <c r="AR99" t="s">
        <v>1</v>
      </c>
      <c r="AT99" s="2">
        <v>3.7909999999999999</v>
      </c>
      <c r="AU99" s="1">
        <f t="shared" si="13"/>
        <v>2.2330384740390725</v>
      </c>
      <c r="AV99" s="1">
        <f t="shared" si="14"/>
        <v>1.6182097948968133</v>
      </c>
      <c r="AW99" s="1">
        <f t="shared" si="15"/>
        <v>1.0033811157545536</v>
      </c>
    </row>
    <row r="100" spans="1:49" x14ac:dyDescent="0.2">
      <c r="A100">
        <v>98</v>
      </c>
      <c r="B100" t="s">
        <v>2530</v>
      </c>
      <c r="C100" t="s">
        <v>2529</v>
      </c>
      <c r="F100" t="s">
        <v>2528</v>
      </c>
      <c r="G100" t="s">
        <v>8</v>
      </c>
      <c r="H100" t="s">
        <v>7</v>
      </c>
      <c r="I100" t="s">
        <v>2527</v>
      </c>
      <c r="J100">
        <v>60008134</v>
      </c>
      <c r="K100" t="s">
        <v>369</v>
      </c>
      <c r="L100" t="s">
        <v>11</v>
      </c>
      <c r="M100" t="s">
        <v>10</v>
      </c>
      <c r="N100">
        <v>2</v>
      </c>
      <c r="O100" t="s">
        <v>2526</v>
      </c>
      <c r="P100" t="s">
        <v>2525</v>
      </c>
      <c r="Q100" t="s">
        <v>378</v>
      </c>
      <c r="R100" s="7">
        <v>34669</v>
      </c>
      <c r="S100" s="8">
        <f t="shared" si="8"/>
        <v>1994</v>
      </c>
      <c r="T100" s="8">
        <v>1994</v>
      </c>
      <c r="U100" s="8">
        <f t="shared" si="9"/>
        <v>28</v>
      </c>
      <c r="V100" s="7">
        <v>1994</v>
      </c>
      <c r="W100" t="s">
        <v>338</v>
      </c>
      <c r="X100" s="2">
        <v>0.60499999999999998</v>
      </c>
      <c r="Y100" s="6">
        <f t="shared" si="10"/>
        <v>1.6150129467980032E-2</v>
      </c>
      <c r="AA100">
        <v>346748</v>
      </c>
      <c r="AB100">
        <v>15563</v>
      </c>
      <c r="AD100" t="s">
        <v>2</v>
      </c>
      <c r="AE100">
        <v>65</v>
      </c>
      <c r="AF100">
        <v>2</v>
      </c>
      <c r="AH100" t="s">
        <v>2524</v>
      </c>
      <c r="AI100" t="s">
        <v>2523</v>
      </c>
      <c r="AK100" t="s">
        <v>2522</v>
      </c>
      <c r="AL100">
        <v>9</v>
      </c>
      <c r="AM100" s="5">
        <f t="shared" si="11"/>
        <v>0.32142857142857145</v>
      </c>
      <c r="AN100" s="4">
        <f t="shared" si="12"/>
        <v>4.8682858224698443E-4</v>
      </c>
      <c r="AO100" s="3"/>
      <c r="AP100">
        <v>0</v>
      </c>
      <c r="AR100" t="s">
        <v>1</v>
      </c>
      <c r="AT100" s="2">
        <v>1.5229999999999999</v>
      </c>
      <c r="AU100" s="1">
        <f t="shared" si="13"/>
        <v>1.1451139202260117</v>
      </c>
      <c r="AV100" s="1">
        <f t="shared" si="14"/>
        <v>0.83184790251135088</v>
      </c>
      <c r="AW100" s="1">
        <f t="shared" si="15"/>
        <v>0.51858188479668987</v>
      </c>
    </row>
    <row r="101" spans="1:49" x14ac:dyDescent="0.2">
      <c r="A101">
        <v>99</v>
      </c>
      <c r="B101" t="s">
        <v>2521</v>
      </c>
      <c r="C101" t="s">
        <v>2520</v>
      </c>
      <c r="F101" t="s">
        <v>2519</v>
      </c>
      <c r="G101" t="s">
        <v>8</v>
      </c>
      <c r="H101" t="s">
        <v>7</v>
      </c>
      <c r="I101" t="s">
        <v>2518</v>
      </c>
      <c r="J101">
        <v>60025111</v>
      </c>
      <c r="K101" t="s">
        <v>2517</v>
      </c>
      <c r="L101" t="s">
        <v>2516</v>
      </c>
      <c r="M101" t="s">
        <v>19</v>
      </c>
      <c r="N101">
        <v>2</v>
      </c>
      <c r="O101" t="s">
        <v>2515</v>
      </c>
      <c r="P101" t="s">
        <v>2514</v>
      </c>
      <c r="Q101" t="s">
        <v>2513</v>
      </c>
      <c r="R101" s="7">
        <v>34669</v>
      </c>
      <c r="S101" s="8">
        <f t="shared" si="8"/>
        <v>1994</v>
      </c>
      <c r="T101" s="8">
        <v>1994</v>
      </c>
      <c r="U101" s="8">
        <f t="shared" si="9"/>
        <v>28</v>
      </c>
      <c r="V101" s="7">
        <v>1994</v>
      </c>
      <c r="W101" t="s">
        <v>2512</v>
      </c>
      <c r="X101" s="2">
        <v>0.9</v>
      </c>
      <c r="Y101" s="6">
        <f t="shared" si="10"/>
        <v>2.4024985985424845E-2</v>
      </c>
      <c r="AA101">
        <v>9630252</v>
      </c>
      <c r="AB101">
        <v>29614</v>
      </c>
      <c r="AD101" t="s">
        <v>2</v>
      </c>
      <c r="AE101">
        <v>3</v>
      </c>
      <c r="AF101">
        <v>1</v>
      </c>
      <c r="AG101">
        <v>12</v>
      </c>
      <c r="AH101" t="s">
        <v>2511</v>
      </c>
      <c r="AI101" t="s">
        <v>2510</v>
      </c>
      <c r="AK101" t="s">
        <v>2509</v>
      </c>
      <c r="AL101">
        <v>8</v>
      </c>
      <c r="AM101" s="5">
        <f t="shared" si="11"/>
        <v>0.2857142857142857</v>
      </c>
      <c r="AN101" s="4">
        <f t="shared" si="12"/>
        <v>4.3273651755287499E-4</v>
      </c>
      <c r="AO101" s="3"/>
      <c r="AP101">
        <v>0</v>
      </c>
      <c r="AR101" t="s">
        <v>1</v>
      </c>
      <c r="AT101" s="2" t="s">
        <v>0</v>
      </c>
      <c r="AU101" s="1">
        <f t="shared" si="13"/>
        <v>1.6947311145063253</v>
      </c>
      <c r="AV101" s="1">
        <f t="shared" si="14"/>
        <v>1.2228861251488861</v>
      </c>
      <c r="AW101" s="1">
        <f t="shared" si="15"/>
        <v>0.75104113579144649</v>
      </c>
    </row>
    <row r="102" spans="1:49" x14ac:dyDescent="0.2">
      <c r="A102">
        <v>100</v>
      </c>
      <c r="B102" t="s">
        <v>2508</v>
      </c>
      <c r="C102" t="s">
        <v>2507</v>
      </c>
      <c r="F102" t="s">
        <v>2506</v>
      </c>
      <c r="G102" t="s">
        <v>8</v>
      </c>
      <c r="H102" t="s">
        <v>7</v>
      </c>
      <c r="I102" t="s">
        <v>2505</v>
      </c>
      <c r="J102" t="s">
        <v>2504</v>
      </c>
      <c r="K102" t="s">
        <v>2503</v>
      </c>
      <c r="L102" t="s">
        <v>2502</v>
      </c>
      <c r="M102" t="s">
        <v>12</v>
      </c>
      <c r="N102">
        <v>4</v>
      </c>
      <c r="O102" t="s">
        <v>2501</v>
      </c>
      <c r="P102" t="s">
        <v>2500</v>
      </c>
      <c r="Q102" t="s">
        <v>2499</v>
      </c>
      <c r="R102" s="7">
        <v>34669</v>
      </c>
      <c r="S102" s="8">
        <f t="shared" si="8"/>
        <v>1994</v>
      </c>
      <c r="T102" s="8">
        <v>1994</v>
      </c>
      <c r="U102" s="8">
        <f t="shared" si="9"/>
        <v>28</v>
      </c>
      <c r="V102" s="7">
        <v>1994</v>
      </c>
      <c r="W102" t="s">
        <v>338</v>
      </c>
      <c r="X102" s="2">
        <v>0.60499999999999998</v>
      </c>
      <c r="Y102" s="6">
        <f t="shared" si="10"/>
        <v>1.6150129467980032E-2</v>
      </c>
      <c r="AA102">
        <v>346748</v>
      </c>
      <c r="AB102">
        <v>15563</v>
      </c>
      <c r="AD102" t="s">
        <v>2</v>
      </c>
      <c r="AE102">
        <v>65</v>
      </c>
      <c r="AF102">
        <v>1</v>
      </c>
      <c r="AH102" t="s">
        <v>2498</v>
      </c>
      <c r="AI102" t="s">
        <v>2497</v>
      </c>
      <c r="AK102" t="s">
        <v>2496</v>
      </c>
      <c r="AL102">
        <v>18</v>
      </c>
      <c r="AM102" s="5">
        <f t="shared" si="11"/>
        <v>0.6428571428571429</v>
      </c>
      <c r="AN102" s="4">
        <f t="shared" si="12"/>
        <v>9.7365716449396885E-4</v>
      </c>
      <c r="AO102" s="3"/>
      <c r="AP102">
        <v>0</v>
      </c>
      <c r="AR102" t="s">
        <v>1</v>
      </c>
      <c r="AT102" s="2">
        <v>1.5229999999999999</v>
      </c>
      <c r="AU102" s="1">
        <f t="shared" si="13"/>
        <v>1.1597187776934212</v>
      </c>
      <c r="AV102" s="1">
        <f t="shared" si="14"/>
        <v>0.85618933162370015</v>
      </c>
      <c r="AW102" s="1">
        <f t="shared" si="15"/>
        <v>0.55265988555397882</v>
      </c>
    </row>
    <row r="103" spans="1:49" x14ac:dyDescent="0.2">
      <c r="A103">
        <v>101</v>
      </c>
      <c r="B103" t="s">
        <v>2495</v>
      </c>
      <c r="C103" t="s">
        <v>2494</v>
      </c>
      <c r="F103" t="s">
        <v>2493</v>
      </c>
      <c r="G103" t="s">
        <v>8</v>
      </c>
      <c r="H103" t="s">
        <v>7</v>
      </c>
      <c r="I103" t="s">
        <v>2492</v>
      </c>
      <c r="J103">
        <v>60019983</v>
      </c>
      <c r="K103" t="s">
        <v>230</v>
      </c>
      <c r="L103" t="s">
        <v>229</v>
      </c>
      <c r="M103" t="s">
        <v>53</v>
      </c>
      <c r="N103">
        <v>3</v>
      </c>
      <c r="O103" t="s">
        <v>2491</v>
      </c>
      <c r="P103" t="s">
        <v>2490</v>
      </c>
      <c r="Q103" t="s">
        <v>228</v>
      </c>
      <c r="R103" s="7">
        <v>34669</v>
      </c>
      <c r="S103" s="8">
        <f t="shared" si="8"/>
        <v>1994</v>
      </c>
      <c r="T103" s="8">
        <v>1994</v>
      </c>
      <c r="U103" s="8">
        <f t="shared" si="9"/>
        <v>28</v>
      </c>
      <c r="V103" s="7">
        <v>1994</v>
      </c>
      <c r="W103" t="s">
        <v>2417</v>
      </c>
      <c r="X103" s="2">
        <v>1.1819999999999999</v>
      </c>
      <c r="Y103" s="6">
        <f t="shared" si="10"/>
        <v>3.1552814927524625E-2</v>
      </c>
      <c r="AA103">
        <v>36951</v>
      </c>
      <c r="AB103">
        <v>27030</v>
      </c>
      <c r="AD103" t="s">
        <v>2</v>
      </c>
      <c r="AE103">
        <v>64</v>
      </c>
      <c r="AF103">
        <v>1</v>
      </c>
      <c r="AH103" t="s">
        <v>2489</v>
      </c>
      <c r="AI103" t="s">
        <v>2488</v>
      </c>
      <c r="AK103" t="s">
        <v>2487</v>
      </c>
      <c r="AL103">
        <v>20</v>
      </c>
      <c r="AM103" s="5">
        <f t="shared" si="11"/>
        <v>0.7142857142857143</v>
      </c>
      <c r="AN103" s="4">
        <f t="shared" si="12"/>
        <v>1.0818412938821875E-3</v>
      </c>
      <c r="AO103" s="3"/>
      <c r="AP103">
        <v>0</v>
      </c>
      <c r="AR103" t="s">
        <v>1</v>
      </c>
      <c r="AT103" s="2">
        <v>3.7909999999999999</v>
      </c>
      <c r="AU103" s="1">
        <f t="shared" si="13"/>
        <v>2.241152283743189</v>
      </c>
      <c r="AV103" s="1">
        <f t="shared" si="14"/>
        <v>1.6317328110703406</v>
      </c>
      <c r="AW103" s="1">
        <f t="shared" si="15"/>
        <v>1.0223133383974918</v>
      </c>
    </row>
    <row r="104" spans="1:49" x14ac:dyDescent="0.2">
      <c r="A104">
        <v>102</v>
      </c>
      <c r="B104" t="s">
        <v>2486</v>
      </c>
      <c r="C104" t="s">
        <v>2485</v>
      </c>
      <c r="F104" t="s">
        <v>2484</v>
      </c>
      <c r="G104" t="s">
        <v>8</v>
      </c>
      <c r="H104" t="s">
        <v>7</v>
      </c>
      <c r="I104" t="s">
        <v>2483</v>
      </c>
      <c r="J104">
        <v>60007457</v>
      </c>
      <c r="K104" t="s">
        <v>142</v>
      </c>
      <c r="L104" t="s">
        <v>141</v>
      </c>
      <c r="M104" t="s">
        <v>17</v>
      </c>
      <c r="N104">
        <v>3</v>
      </c>
      <c r="O104" t="s">
        <v>2482</v>
      </c>
      <c r="P104" t="s">
        <v>2481</v>
      </c>
      <c r="Q104" t="s">
        <v>411</v>
      </c>
      <c r="R104" s="7">
        <v>34669</v>
      </c>
      <c r="S104" s="8">
        <f t="shared" si="8"/>
        <v>1994</v>
      </c>
      <c r="T104" s="8">
        <v>1994</v>
      </c>
      <c r="U104" s="8">
        <f t="shared" si="9"/>
        <v>28</v>
      </c>
      <c r="V104" s="7">
        <v>1994</v>
      </c>
      <c r="W104" t="s">
        <v>338</v>
      </c>
      <c r="X104" s="2">
        <v>0.60499999999999998</v>
      </c>
      <c r="Y104" s="6">
        <f t="shared" si="10"/>
        <v>1.6150129467980032E-2</v>
      </c>
      <c r="AA104">
        <v>346748</v>
      </c>
      <c r="AB104">
        <v>15563</v>
      </c>
      <c r="AD104" t="s">
        <v>2</v>
      </c>
      <c r="AE104">
        <v>65</v>
      </c>
      <c r="AF104">
        <v>12</v>
      </c>
      <c r="AH104" t="s">
        <v>2480</v>
      </c>
      <c r="AI104" t="s">
        <v>2479</v>
      </c>
      <c r="AK104" t="s">
        <v>2478</v>
      </c>
      <c r="AL104">
        <v>27</v>
      </c>
      <c r="AM104" s="5">
        <f t="shared" si="11"/>
        <v>0.9642857142857143</v>
      </c>
      <c r="AN104" s="4">
        <f t="shared" si="12"/>
        <v>1.4604857467409532E-3</v>
      </c>
      <c r="AO104" s="3"/>
      <c r="AP104">
        <v>0</v>
      </c>
      <c r="AR104" t="s">
        <v>1</v>
      </c>
      <c r="AT104" s="2">
        <v>1.5229999999999999</v>
      </c>
      <c r="AU104" s="1">
        <f t="shared" si="13"/>
        <v>1.1743236351608308</v>
      </c>
      <c r="AV104" s="1">
        <f t="shared" si="14"/>
        <v>0.8805307607360493</v>
      </c>
      <c r="AW104" s="1">
        <f t="shared" si="15"/>
        <v>0.58673788631126766</v>
      </c>
    </row>
    <row r="105" spans="1:49" x14ac:dyDescent="0.2">
      <c r="A105">
        <v>103</v>
      </c>
      <c r="B105" t="s">
        <v>2477</v>
      </c>
      <c r="C105" t="s">
        <v>2476</v>
      </c>
      <c r="F105" t="s">
        <v>2475</v>
      </c>
      <c r="G105" t="s">
        <v>8</v>
      </c>
      <c r="H105" t="s">
        <v>7</v>
      </c>
      <c r="I105" t="s">
        <v>423</v>
      </c>
      <c r="J105" t="s">
        <v>422</v>
      </c>
      <c r="K105" t="s">
        <v>421</v>
      </c>
      <c r="L105" t="s">
        <v>420</v>
      </c>
      <c r="M105" t="s">
        <v>12</v>
      </c>
      <c r="N105">
        <v>7</v>
      </c>
      <c r="O105" t="s">
        <v>2474</v>
      </c>
      <c r="P105" t="s">
        <v>2473</v>
      </c>
      <c r="Q105" t="s">
        <v>2472</v>
      </c>
      <c r="R105" s="7">
        <v>34669</v>
      </c>
      <c r="S105" s="8">
        <f t="shared" si="8"/>
        <v>1994</v>
      </c>
      <c r="T105" s="8">
        <v>1994</v>
      </c>
      <c r="U105" s="8">
        <f t="shared" si="9"/>
        <v>28</v>
      </c>
      <c r="V105" s="7">
        <v>1994</v>
      </c>
      <c r="W105" t="s">
        <v>2417</v>
      </c>
      <c r="X105" s="2">
        <v>1.1819999999999999</v>
      </c>
      <c r="Y105" s="6">
        <f t="shared" si="10"/>
        <v>3.1552814927524625E-2</v>
      </c>
      <c r="AA105">
        <v>36951</v>
      </c>
      <c r="AB105">
        <v>27030</v>
      </c>
      <c r="AD105" t="s">
        <v>2</v>
      </c>
      <c r="AE105">
        <v>64</v>
      </c>
      <c r="AF105">
        <v>15</v>
      </c>
      <c r="AH105" t="s">
        <v>2471</v>
      </c>
      <c r="AI105" t="s">
        <v>2470</v>
      </c>
      <c r="AK105" t="s">
        <v>2469</v>
      </c>
      <c r="AL105">
        <v>23</v>
      </c>
      <c r="AM105" s="5">
        <f t="shared" si="11"/>
        <v>0.8214285714285714</v>
      </c>
      <c r="AN105" s="4">
        <f t="shared" si="12"/>
        <v>1.2441174879645155E-3</v>
      </c>
      <c r="AO105" s="3"/>
      <c r="AP105">
        <v>0</v>
      </c>
      <c r="AR105" t="s">
        <v>1</v>
      </c>
      <c r="AT105" s="2">
        <v>3.7909999999999999</v>
      </c>
      <c r="AU105" s="1">
        <f t="shared" si="13"/>
        <v>2.2460205695656592</v>
      </c>
      <c r="AV105" s="1">
        <f t="shared" si="14"/>
        <v>1.6398466207744571</v>
      </c>
      <c r="AW105" s="1">
        <f t="shared" si="15"/>
        <v>1.033672671983255</v>
      </c>
    </row>
    <row r="106" spans="1:49" x14ac:dyDescent="0.2">
      <c r="A106">
        <v>104</v>
      </c>
      <c r="B106" t="s">
        <v>2468</v>
      </c>
      <c r="C106" t="s">
        <v>2467</v>
      </c>
      <c r="F106" t="s">
        <v>2466</v>
      </c>
      <c r="G106" t="s">
        <v>8</v>
      </c>
      <c r="H106" t="s">
        <v>7</v>
      </c>
      <c r="I106" t="s">
        <v>1550</v>
      </c>
      <c r="J106">
        <v>60027299</v>
      </c>
      <c r="K106" t="s">
        <v>2465</v>
      </c>
      <c r="L106" t="s">
        <v>1548</v>
      </c>
      <c r="M106" t="s">
        <v>52</v>
      </c>
      <c r="N106">
        <v>2</v>
      </c>
      <c r="O106" t="s">
        <v>2464</v>
      </c>
      <c r="P106" t="s">
        <v>2463</v>
      </c>
      <c r="Q106" t="s">
        <v>2462</v>
      </c>
      <c r="R106" s="7">
        <v>34669</v>
      </c>
      <c r="S106" s="8">
        <f t="shared" si="8"/>
        <v>1994</v>
      </c>
      <c r="T106" s="8">
        <v>1994</v>
      </c>
      <c r="U106" s="8">
        <f t="shared" si="9"/>
        <v>28</v>
      </c>
      <c r="V106" s="7">
        <v>1994</v>
      </c>
      <c r="W106" t="s">
        <v>2461</v>
      </c>
      <c r="X106" s="2">
        <v>0.35699999999999998</v>
      </c>
      <c r="Y106" s="6">
        <f t="shared" si="10"/>
        <v>9.5299111075518531E-3</v>
      </c>
      <c r="AA106">
        <v>913286</v>
      </c>
      <c r="AB106">
        <v>12316</v>
      </c>
      <c r="AC106">
        <v>15602303</v>
      </c>
      <c r="AD106" t="s">
        <v>2</v>
      </c>
      <c r="AE106">
        <v>33</v>
      </c>
      <c r="AF106">
        <v>6</v>
      </c>
      <c r="AH106" t="s">
        <v>2460</v>
      </c>
      <c r="AI106" t="s">
        <v>2459</v>
      </c>
      <c r="AJ106" t="s">
        <v>2458</v>
      </c>
      <c r="AK106" t="s">
        <v>2457</v>
      </c>
      <c r="AL106">
        <v>6</v>
      </c>
      <c r="AM106" s="5">
        <f t="shared" si="11"/>
        <v>0.21428571428571427</v>
      </c>
      <c r="AN106" s="4">
        <f t="shared" si="12"/>
        <v>3.2455238816465621E-4</v>
      </c>
      <c r="AO106" s="3"/>
      <c r="AP106">
        <v>0</v>
      </c>
      <c r="AR106" t="s">
        <v>1</v>
      </c>
      <c r="AT106" s="2">
        <v>1.0840000000000001</v>
      </c>
      <c r="AU106" s="1">
        <f t="shared" si="13"/>
        <v>0.67683034917356932</v>
      </c>
      <c r="AV106" s="1">
        <f t="shared" si="14"/>
        <v>0.49272317478582545</v>
      </c>
      <c r="AW106" s="1">
        <f t="shared" si="15"/>
        <v>0.30861600039808151</v>
      </c>
    </row>
    <row r="107" spans="1:49" x14ac:dyDescent="0.2">
      <c r="A107">
        <v>105</v>
      </c>
      <c r="B107" t="s">
        <v>2456</v>
      </c>
      <c r="C107" t="s">
        <v>2455</v>
      </c>
      <c r="F107" t="s">
        <v>2454</v>
      </c>
      <c r="G107" t="s">
        <v>8</v>
      </c>
      <c r="H107" t="s">
        <v>7</v>
      </c>
      <c r="I107" t="s">
        <v>2453</v>
      </c>
      <c r="J107">
        <v>60104665</v>
      </c>
      <c r="K107" t="s">
        <v>137</v>
      </c>
      <c r="L107" t="s">
        <v>136</v>
      </c>
      <c r="M107" t="s">
        <v>10</v>
      </c>
      <c r="N107">
        <v>4</v>
      </c>
      <c r="O107" t="s">
        <v>2452</v>
      </c>
      <c r="P107" t="s">
        <v>2451</v>
      </c>
      <c r="Q107" t="s">
        <v>2450</v>
      </c>
      <c r="R107" s="7">
        <v>34669</v>
      </c>
      <c r="S107" s="8">
        <f t="shared" si="8"/>
        <v>1994</v>
      </c>
      <c r="T107" s="8">
        <v>1994</v>
      </c>
      <c r="U107" s="8">
        <f t="shared" si="9"/>
        <v>28</v>
      </c>
      <c r="V107" s="7">
        <v>1994</v>
      </c>
      <c r="W107" t="s">
        <v>338</v>
      </c>
      <c r="X107" s="2">
        <v>0.60499999999999998</v>
      </c>
      <c r="Y107" s="6">
        <f t="shared" si="10"/>
        <v>1.6150129467980032E-2</v>
      </c>
      <c r="AA107">
        <v>346748</v>
      </c>
      <c r="AB107">
        <v>15563</v>
      </c>
      <c r="AD107" t="s">
        <v>2</v>
      </c>
      <c r="AE107">
        <v>65</v>
      </c>
      <c r="AF107">
        <v>11</v>
      </c>
      <c r="AH107" t="s">
        <v>2449</v>
      </c>
      <c r="AI107" t="s">
        <v>2448</v>
      </c>
      <c r="AK107" t="s">
        <v>2447</v>
      </c>
      <c r="AL107">
        <v>5</v>
      </c>
      <c r="AM107" s="5">
        <f t="shared" si="11"/>
        <v>0.17857142857142858</v>
      </c>
      <c r="AN107" s="4">
        <f t="shared" si="12"/>
        <v>2.7046032347054688E-4</v>
      </c>
      <c r="AO107" s="3"/>
      <c r="AP107">
        <v>0</v>
      </c>
      <c r="AR107" t="s">
        <v>1</v>
      </c>
      <c r="AT107" s="2">
        <v>1.5229999999999999</v>
      </c>
      <c r="AU107" s="1">
        <f t="shared" si="13"/>
        <v>1.1386228724627185</v>
      </c>
      <c r="AV107" s="1">
        <f t="shared" si="14"/>
        <v>0.82102948957252886</v>
      </c>
      <c r="AW107" s="1">
        <f t="shared" si="15"/>
        <v>0.50343610668233929</v>
      </c>
    </row>
    <row r="108" spans="1:49" x14ac:dyDescent="0.2">
      <c r="A108">
        <v>106</v>
      </c>
      <c r="B108" t="s">
        <v>2446</v>
      </c>
      <c r="C108" t="s">
        <v>2445</v>
      </c>
      <c r="F108" t="s">
        <v>2444</v>
      </c>
      <c r="G108" t="s">
        <v>8</v>
      </c>
      <c r="H108" t="s">
        <v>7</v>
      </c>
      <c r="I108" t="s">
        <v>2443</v>
      </c>
      <c r="J108">
        <v>60005322</v>
      </c>
      <c r="K108" t="s">
        <v>1149</v>
      </c>
      <c r="L108" t="s">
        <v>1148</v>
      </c>
      <c r="M108" t="s">
        <v>49</v>
      </c>
      <c r="N108">
        <v>3</v>
      </c>
      <c r="O108" t="s">
        <v>2442</v>
      </c>
      <c r="P108" t="s">
        <v>2441</v>
      </c>
      <c r="Q108" t="s">
        <v>2440</v>
      </c>
      <c r="R108" s="7">
        <v>34669</v>
      </c>
      <c r="S108" s="8">
        <f t="shared" si="8"/>
        <v>1994</v>
      </c>
      <c r="T108" s="8">
        <v>1994</v>
      </c>
      <c r="U108" s="8">
        <f t="shared" si="9"/>
        <v>28</v>
      </c>
      <c r="V108" s="7">
        <v>1994</v>
      </c>
      <c r="W108" t="s">
        <v>247</v>
      </c>
      <c r="X108" s="2">
        <v>1.3280000000000001</v>
      </c>
      <c r="Y108" s="6">
        <f t="shared" si="10"/>
        <v>3.5450201542937994E-2</v>
      </c>
      <c r="AA108">
        <v>7413335</v>
      </c>
      <c r="AB108">
        <v>29251</v>
      </c>
      <c r="AD108" t="s">
        <v>2</v>
      </c>
      <c r="AE108">
        <v>36</v>
      </c>
      <c r="AF108">
        <v>12</v>
      </c>
      <c r="AG108">
        <v>4</v>
      </c>
      <c r="AH108" t="s">
        <v>2439</v>
      </c>
      <c r="AI108" t="s">
        <v>2438</v>
      </c>
      <c r="AK108" t="s">
        <v>2437</v>
      </c>
      <c r="AL108">
        <v>31</v>
      </c>
      <c r="AM108" s="5">
        <f t="shared" si="11"/>
        <v>1.1071428571428572</v>
      </c>
      <c r="AN108" s="4">
        <f t="shared" si="12"/>
        <v>1.6768540055173908E-3</v>
      </c>
      <c r="AO108" s="3"/>
      <c r="AP108">
        <v>0</v>
      </c>
      <c r="AR108" t="s">
        <v>1</v>
      </c>
      <c r="AT108" s="2">
        <v>2.4580000000000002</v>
      </c>
      <c r="AU108" s="1">
        <f t="shared" si="13"/>
        <v>2.5318197281711816</v>
      </c>
      <c r="AV108" s="1">
        <f t="shared" si="14"/>
        <v>1.8563527774227693</v>
      </c>
      <c r="AW108" s="1">
        <f t="shared" si="15"/>
        <v>1.1808858266743572</v>
      </c>
    </row>
    <row r="109" spans="1:49" x14ac:dyDescent="0.2">
      <c r="A109">
        <v>107</v>
      </c>
      <c r="B109" t="s">
        <v>2436</v>
      </c>
      <c r="C109" t="s">
        <v>2435</v>
      </c>
      <c r="F109" t="s">
        <v>2434</v>
      </c>
      <c r="G109" t="s">
        <v>8</v>
      </c>
      <c r="H109" t="s">
        <v>7</v>
      </c>
      <c r="I109" t="s">
        <v>2433</v>
      </c>
      <c r="J109">
        <v>60025104</v>
      </c>
      <c r="K109" t="s">
        <v>201</v>
      </c>
      <c r="M109" t="s">
        <v>4</v>
      </c>
      <c r="N109">
        <v>2</v>
      </c>
      <c r="O109" t="s">
        <v>2432</v>
      </c>
      <c r="P109" t="s">
        <v>2431</v>
      </c>
      <c r="Q109" t="s">
        <v>2430</v>
      </c>
      <c r="R109" s="7">
        <v>34669</v>
      </c>
      <c r="S109" s="8">
        <f t="shared" si="8"/>
        <v>1994</v>
      </c>
      <c r="T109" s="8">
        <v>1994</v>
      </c>
      <c r="U109" s="8">
        <f t="shared" si="9"/>
        <v>28</v>
      </c>
      <c r="V109" s="7">
        <v>1994</v>
      </c>
      <c r="W109" t="s">
        <v>2429</v>
      </c>
      <c r="X109" s="2">
        <v>1.774</v>
      </c>
      <c r="Y109" s="6">
        <f t="shared" si="10"/>
        <v>4.7355916820159633E-2</v>
      </c>
      <c r="AA109">
        <v>295515</v>
      </c>
      <c r="AB109">
        <v>29066</v>
      </c>
      <c r="AD109" t="s">
        <v>2</v>
      </c>
      <c r="AE109">
        <v>34</v>
      </c>
      <c r="AF109">
        <v>6</v>
      </c>
      <c r="AG109" t="s">
        <v>2428</v>
      </c>
      <c r="AH109" t="s">
        <v>2427</v>
      </c>
      <c r="AI109" t="s">
        <v>2426</v>
      </c>
      <c r="AK109" t="s">
        <v>2425</v>
      </c>
      <c r="AL109">
        <v>5</v>
      </c>
      <c r="AM109" s="5">
        <f t="shared" si="11"/>
        <v>0.17857142857142858</v>
      </c>
      <c r="AN109" s="4">
        <f t="shared" si="12"/>
        <v>2.7046032347054688E-4</v>
      </c>
      <c r="AO109" s="3"/>
      <c r="AP109">
        <v>0</v>
      </c>
      <c r="AR109" t="s">
        <v>1</v>
      </c>
      <c r="AT109" s="2">
        <v>3.1789999999999998</v>
      </c>
      <c r="AU109" s="1">
        <f t="shared" si="13"/>
        <v>3.3230279871152901</v>
      </c>
      <c r="AV109" s="1">
        <f t="shared" si="14"/>
        <v>2.3813188571815092</v>
      </c>
      <c r="AW109" s="1">
        <f t="shared" si="15"/>
        <v>1.4396097272477271</v>
      </c>
    </row>
    <row r="110" spans="1:49" x14ac:dyDescent="0.2">
      <c r="A110">
        <v>108</v>
      </c>
      <c r="B110" t="s">
        <v>2424</v>
      </c>
      <c r="C110" t="s">
        <v>2423</v>
      </c>
      <c r="F110" t="s">
        <v>2422</v>
      </c>
      <c r="G110" t="s">
        <v>8</v>
      </c>
      <c r="H110" t="s">
        <v>7</v>
      </c>
      <c r="I110" t="s">
        <v>2421</v>
      </c>
      <c r="J110">
        <v>60023053</v>
      </c>
      <c r="K110" t="s">
        <v>172</v>
      </c>
      <c r="L110" t="s">
        <v>171</v>
      </c>
      <c r="M110" t="s">
        <v>19</v>
      </c>
      <c r="N110">
        <v>3</v>
      </c>
      <c r="O110" t="s">
        <v>2420</v>
      </c>
      <c r="P110" t="s">
        <v>2419</v>
      </c>
      <c r="Q110" t="s">
        <v>2418</v>
      </c>
      <c r="R110" s="7">
        <v>34669</v>
      </c>
      <c r="S110" s="8">
        <f t="shared" si="8"/>
        <v>1994</v>
      </c>
      <c r="T110" s="8">
        <v>1994</v>
      </c>
      <c r="U110" s="8">
        <f t="shared" si="9"/>
        <v>28</v>
      </c>
      <c r="V110" s="7">
        <v>1994</v>
      </c>
      <c r="W110" t="s">
        <v>2417</v>
      </c>
      <c r="X110" s="2">
        <v>1.1819999999999999</v>
      </c>
      <c r="Y110" s="6">
        <f t="shared" si="10"/>
        <v>3.1552814927524625E-2</v>
      </c>
      <c r="AA110">
        <v>36951</v>
      </c>
      <c r="AB110">
        <v>27030</v>
      </c>
      <c r="AD110" t="s">
        <v>2</v>
      </c>
      <c r="AE110">
        <v>65</v>
      </c>
      <c r="AF110">
        <v>6</v>
      </c>
      <c r="AH110" t="s">
        <v>2416</v>
      </c>
      <c r="AI110" t="s">
        <v>2415</v>
      </c>
      <c r="AK110" t="s">
        <v>2414</v>
      </c>
      <c r="AL110">
        <v>43</v>
      </c>
      <c r="AM110" s="5">
        <f t="shared" si="11"/>
        <v>1.5357142857142858</v>
      </c>
      <c r="AN110" s="4">
        <f t="shared" si="12"/>
        <v>2.3259587818467032E-3</v>
      </c>
      <c r="AO110" s="3"/>
      <c r="AP110">
        <v>0</v>
      </c>
      <c r="AR110" t="s">
        <v>1</v>
      </c>
      <c r="AT110" s="2">
        <v>3.7909999999999999</v>
      </c>
      <c r="AU110" s="1">
        <f t="shared" si="13"/>
        <v>2.2784758083821246</v>
      </c>
      <c r="AV110" s="1">
        <f t="shared" si="14"/>
        <v>1.6939386854685663</v>
      </c>
      <c r="AW110" s="1">
        <f t="shared" si="15"/>
        <v>1.109401562555008</v>
      </c>
    </row>
    <row r="111" spans="1:49" x14ac:dyDescent="0.2">
      <c r="A111">
        <v>109</v>
      </c>
      <c r="B111" t="s">
        <v>2413</v>
      </c>
      <c r="C111" t="s">
        <v>2412</v>
      </c>
      <c r="F111" t="s">
        <v>2411</v>
      </c>
      <c r="G111" t="s">
        <v>8</v>
      </c>
      <c r="H111" t="s">
        <v>7</v>
      </c>
      <c r="I111" t="s">
        <v>2410</v>
      </c>
      <c r="J111">
        <v>60000502</v>
      </c>
      <c r="K111" t="s">
        <v>2409</v>
      </c>
      <c r="L111" t="s">
        <v>265</v>
      </c>
      <c r="M111" t="s">
        <v>86</v>
      </c>
      <c r="N111">
        <v>1</v>
      </c>
      <c r="O111" t="s">
        <v>2408</v>
      </c>
      <c r="P111">
        <v>7006000195</v>
      </c>
      <c r="Q111">
        <v>60000502</v>
      </c>
      <c r="R111" s="7">
        <v>34662</v>
      </c>
      <c r="S111" s="8">
        <f t="shared" si="8"/>
        <v>1994</v>
      </c>
      <c r="T111" s="8">
        <v>1994</v>
      </c>
      <c r="U111" s="8">
        <f t="shared" si="9"/>
        <v>28</v>
      </c>
      <c r="V111" s="7">
        <v>34662</v>
      </c>
      <c r="W111" t="s">
        <v>151</v>
      </c>
      <c r="X111" s="2">
        <v>0.375</v>
      </c>
      <c r="Y111" s="6">
        <f t="shared" si="10"/>
        <v>1.0010410827260351E-2</v>
      </c>
      <c r="AA111">
        <v>135194</v>
      </c>
      <c r="AB111">
        <v>24918</v>
      </c>
      <c r="AD111" t="s">
        <v>2</v>
      </c>
      <c r="AE111">
        <v>30</v>
      </c>
      <c r="AF111">
        <v>25</v>
      </c>
      <c r="AH111" t="s">
        <v>2407</v>
      </c>
      <c r="AI111" t="s">
        <v>2406</v>
      </c>
      <c r="AJ111" t="s">
        <v>2405</v>
      </c>
      <c r="AK111" t="s">
        <v>2404</v>
      </c>
      <c r="AL111">
        <v>4</v>
      </c>
      <c r="AM111" s="5">
        <f t="shared" si="11"/>
        <v>0.14285714285714285</v>
      </c>
      <c r="AN111" s="4">
        <f t="shared" si="12"/>
        <v>2.1636825877643749E-4</v>
      </c>
      <c r="AO111" s="3"/>
      <c r="AP111">
        <v>0</v>
      </c>
      <c r="AR111" t="s">
        <v>1</v>
      </c>
      <c r="AT111" s="2">
        <v>1.3140000000000001</v>
      </c>
      <c r="AU111" s="1">
        <f t="shared" si="13"/>
        <v>0.70721980567151765</v>
      </c>
      <c r="AV111" s="1">
        <f t="shared" si="14"/>
        <v>0.5113389543018394</v>
      </c>
      <c r="AW111" s="1">
        <f t="shared" si="15"/>
        <v>0.31545810293216114</v>
      </c>
    </row>
    <row r="112" spans="1:49" x14ac:dyDescent="0.2">
      <c r="A112">
        <v>110</v>
      </c>
      <c r="B112" t="s">
        <v>2403</v>
      </c>
      <c r="C112" t="s">
        <v>2402</v>
      </c>
      <c r="F112" t="s">
        <v>2401</v>
      </c>
      <c r="G112" t="s">
        <v>8</v>
      </c>
      <c r="H112" t="s">
        <v>7</v>
      </c>
      <c r="I112" t="s">
        <v>297</v>
      </c>
      <c r="J112" t="s">
        <v>2400</v>
      </c>
      <c r="K112" t="s">
        <v>2399</v>
      </c>
      <c r="L112" t="s">
        <v>2398</v>
      </c>
      <c r="M112" t="s">
        <v>12</v>
      </c>
      <c r="N112">
        <v>3</v>
      </c>
      <c r="O112" t="s">
        <v>2397</v>
      </c>
      <c r="P112" t="s">
        <v>2396</v>
      </c>
      <c r="Q112" t="s">
        <v>2395</v>
      </c>
      <c r="R112" s="7">
        <v>34662</v>
      </c>
      <c r="S112" s="8">
        <f t="shared" si="8"/>
        <v>1994</v>
      </c>
      <c r="T112" s="8">
        <v>1994</v>
      </c>
      <c r="U112" s="8">
        <f t="shared" si="9"/>
        <v>28</v>
      </c>
      <c r="V112" s="7">
        <v>34662</v>
      </c>
      <c r="W112" t="s">
        <v>151</v>
      </c>
      <c r="X112" s="2">
        <v>0.375</v>
      </c>
      <c r="Y112" s="6">
        <f t="shared" si="10"/>
        <v>1.0010410827260351E-2</v>
      </c>
      <c r="AA112">
        <v>135194</v>
      </c>
      <c r="AB112">
        <v>24918</v>
      </c>
      <c r="AD112" t="s">
        <v>2</v>
      </c>
      <c r="AE112">
        <v>30</v>
      </c>
      <c r="AF112">
        <v>25</v>
      </c>
      <c r="AH112" t="s">
        <v>2394</v>
      </c>
      <c r="AI112" t="s">
        <v>2393</v>
      </c>
      <c r="AJ112" t="s">
        <v>2392</v>
      </c>
      <c r="AK112" t="s">
        <v>2391</v>
      </c>
      <c r="AL112">
        <v>1</v>
      </c>
      <c r="AM112" s="5">
        <f t="shared" si="11"/>
        <v>3.5714285714285712E-2</v>
      </c>
      <c r="AN112" s="4">
        <f t="shared" si="12"/>
        <v>5.4092064694109373E-5</v>
      </c>
      <c r="AO112" s="3"/>
      <c r="AP112">
        <v>0</v>
      </c>
      <c r="AR112" t="s">
        <v>1</v>
      </c>
      <c r="AT112" s="2">
        <v>1.3140000000000001</v>
      </c>
      <c r="AU112" s="1">
        <f t="shared" si="13"/>
        <v>0.70235151984904787</v>
      </c>
      <c r="AV112" s="1">
        <f t="shared" si="14"/>
        <v>0.50322514459772305</v>
      </c>
      <c r="AW112" s="1">
        <f t="shared" si="15"/>
        <v>0.30409876934639818</v>
      </c>
    </row>
    <row r="113" spans="1:49" x14ac:dyDescent="0.2">
      <c r="A113">
        <v>111</v>
      </c>
      <c r="B113" t="s">
        <v>2390</v>
      </c>
      <c r="C113" t="s">
        <v>2389</v>
      </c>
      <c r="F113" t="s">
        <v>2388</v>
      </c>
      <c r="G113" t="s">
        <v>8</v>
      </c>
      <c r="H113" t="s">
        <v>7</v>
      </c>
      <c r="I113" t="s">
        <v>2387</v>
      </c>
      <c r="J113" t="s">
        <v>2386</v>
      </c>
      <c r="K113" t="s">
        <v>2385</v>
      </c>
      <c r="L113" t="s">
        <v>2384</v>
      </c>
      <c r="M113" t="s">
        <v>12</v>
      </c>
      <c r="N113">
        <v>5</v>
      </c>
      <c r="O113" t="s">
        <v>2383</v>
      </c>
      <c r="P113" t="s">
        <v>2382</v>
      </c>
      <c r="Q113" t="s">
        <v>2381</v>
      </c>
      <c r="R113" s="7">
        <v>34662</v>
      </c>
      <c r="S113" s="8">
        <f t="shared" si="8"/>
        <v>1994</v>
      </c>
      <c r="T113" s="8">
        <v>1994</v>
      </c>
      <c r="U113" s="8">
        <f t="shared" si="9"/>
        <v>28</v>
      </c>
      <c r="V113" s="7">
        <v>34662</v>
      </c>
      <c r="W113" t="s">
        <v>151</v>
      </c>
      <c r="X113" s="2">
        <v>0.375</v>
      </c>
      <c r="Y113" s="6">
        <f t="shared" si="10"/>
        <v>1.0010410827260351E-2</v>
      </c>
      <c r="AA113">
        <v>135194</v>
      </c>
      <c r="AB113">
        <v>24918</v>
      </c>
      <c r="AD113" t="s">
        <v>2</v>
      </c>
      <c r="AE113">
        <v>30</v>
      </c>
      <c r="AF113">
        <v>25</v>
      </c>
      <c r="AH113" t="s">
        <v>2380</v>
      </c>
      <c r="AI113" t="s">
        <v>2379</v>
      </c>
      <c r="AJ113" t="s">
        <v>2378</v>
      </c>
      <c r="AK113" t="s">
        <v>2377</v>
      </c>
      <c r="AL113">
        <v>39</v>
      </c>
      <c r="AM113" s="5">
        <f t="shared" si="11"/>
        <v>1.3928571428571428</v>
      </c>
      <c r="AN113" s="4">
        <f t="shared" si="12"/>
        <v>2.1095905230702656E-3</v>
      </c>
      <c r="AO113" s="3"/>
      <c r="AP113">
        <v>0</v>
      </c>
      <c r="AR113" t="s">
        <v>1</v>
      </c>
      <c r="AT113" s="2">
        <v>1.3140000000000001</v>
      </c>
      <c r="AU113" s="1">
        <f t="shared" si="13"/>
        <v>0.76401647360033254</v>
      </c>
      <c r="AV113" s="1">
        <f t="shared" si="14"/>
        <v>0.6060000675165309</v>
      </c>
      <c r="AW113" s="1">
        <f t="shared" si="15"/>
        <v>0.44798366143272916</v>
      </c>
    </row>
    <row r="114" spans="1:49" x14ac:dyDescent="0.2">
      <c r="A114">
        <v>112</v>
      </c>
      <c r="B114" t="s">
        <v>2376</v>
      </c>
      <c r="C114" t="s">
        <v>2375</v>
      </c>
      <c r="F114" t="s">
        <v>2374</v>
      </c>
      <c r="G114" t="s">
        <v>8</v>
      </c>
      <c r="H114" t="s">
        <v>7</v>
      </c>
      <c r="I114" t="s">
        <v>2373</v>
      </c>
      <c r="J114">
        <v>60001247</v>
      </c>
      <c r="K114" t="s">
        <v>289</v>
      </c>
      <c r="M114" t="s">
        <v>19</v>
      </c>
      <c r="N114">
        <v>1</v>
      </c>
      <c r="O114" t="s">
        <v>2372</v>
      </c>
      <c r="P114">
        <v>7004004036</v>
      </c>
      <c r="Q114">
        <v>60001247</v>
      </c>
      <c r="R114" s="7">
        <v>34662</v>
      </c>
      <c r="S114" s="8">
        <f t="shared" si="8"/>
        <v>1994</v>
      </c>
      <c r="T114" s="8">
        <v>1994</v>
      </c>
      <c r="U114" s="8">
        <f t="shared" si="9"/>
        <v>28</v>
      </c>
      <c r="V114" s="7">
        <v>34662</v>
      </c>
      <c r="W114" t="s">
        <v>151</v>
      </c>
      <c r="X114" s="2">
        <v>0.375</v>
      </c>
      <c r="Y114" s="6">
        <f t="shared" si="10"/>
        <v>1.0010410827260351E-2</v>
      </c>
      <c r="AA114">
        <v>135194</v>
      </c>
      <c r="AB114">
        <v>24918</v>
      </c>
      <c r="AD114" t="s">
        <v>2</v>
      </c>
      <c r="AE114">
        <v>30</v>
      </c>
      <c r="AF114">
        <v>24</v>
      </c>
      <c r="AH114" t="s">
        <v>2371</v>
      </c>
      <c r="AI114" t="s">
        <v>2370</v>
      </c>
      <c r="AJ114" t="s">
        <v>2369</v>
      </c>
      <c r="AK114" t="s">
        <v>2368</v>
      </c>
      <c r="AL114">
        <v>34</v>
      </c>
      <c r="AM114" s="5">
        <f t="shared" si="11"/>
        <v>1.2142857142857142</v>
      </c>
      <c r="AN114" s="4">
        <f t="shared" si="12"/>
        <v>1.8391301995997185E-3</v>
      </c>
      <c r="AO114" s="3"/>
      <c r="AP114">
        <v>0</v>
      </c>
      <c r="AR114" t="s">
        <v>1</v>
      </c>
      <c r="AT114" s="2">
        <v>1.3140000000000001</v>
      </c>
      <c r="AU114" s="1">
        <f t="shared" si="13"/>
        <v>0.75590266389621608</v>
      </c>
      <c r="AV114" s="1">
        <f t="shared" si="14"/>
        <v>0.59247705134300344</v>
      </c>
      <c r="AW114" s="1">
        <f t="shared" si="15"/>
        <v>0.4290514387897908</v>
      </c>
    </row>
    <row r="115" spans="1:49" x14ac:dyDescent="0.2">
      <c r="A115">
        <v>113</v>
      </c>
      <c r="B115" t="s">
        <v>2367</v>
      </c>
      <c r="C115" t="s">
        <v>2366</v>
      </c>
      <c r="D115" t="s">
        <v>2365</v>
      </c>
      <c r="F115" t="s">
        <v>2364</v>
      </c>
      <c r="G115" t="s">
        <v>8</v>
      </c>
      <c r="H115" t="s">
        <v>7</v>
      </c>
      <c r="I115" t="s">
        <v>269</v>
      </c>
      <c r="J115" t="s">
        <v>2363</v>
      </c>
      <c r="K115" t="s">
        <v>2362</v>
      </c>
      <c r="L115" t="s">
        <v>2361</v>
      </c>
      <c r="M115" t="s">
        <v>87</v>
      </c>
      <c r="N115">
        <v>3</v>
      </c>
      <c r="O115" t="s">
        <v>2360</v>
      </c>
      <c r="P115" t="s">
        <v>2359</v>
      </c>
      <c r="Q115" t="s">
        <v>2358</v>
      </c>
      <c r="R115" s="7">
        <v>34655</v>
      </c>
      <c r="S115" s="8">
        <f t="shared" si="8"/>
        <v>1994</v>
      </c>
      <c r="T115" s="8">
        <v>1994</v>
      </c>
      <c r="U115" s="8">
        <f t="shared" si="9"/>
        <v>28</v>
      </c>
      <c r="V115" s="7">
        <v>34655</v>
      </c>
      <c r="W115" t="s">
        <v>2357</v>
      </c>
      <c r="X115" s="2">
        <v>1.3149999999999999</v>
      </c>
      <c r="Y115" s="6">
        <f t="shared" si="10"/>
        <v>3.5103173967592965E-2</v>
      </c>
      <c r="AA115" t="s">
        <v>2356</v>
      </c>
      <c r="AB115">
        <v>13030</v>
      </c>
      <c r="AC115">
        <v>10958568</v>
      </c>
      <c r="AD115" t="s">
        <v>2</v>
      </c>
      <c r="AE115">
        <v>178</v>
      </c>
      <c r="AF115">
        <v>1</v>
      </c>
      <c r="AH115" t="s">
        <v>401</v>
      </c>
      <c r="AI115" t="s">
        <v>2355</v>
      </c>
      <c r="AK115" t="s">
        <v>2354</v>
      </c>
      <c r="AL115">
        <v>23</v>
      </c>
      <c r="AM115" s="5">
        <f t="shared" si="11"/>
        <v>0.8214285714285714</v>
      </c>
      <c r="AN115" s="4">
        <f t="shared" si="12"/>
        <v>1.2441174879645155E-3</v>
      </c>
      <c r="AO115" s="3"/>
      <c r="AP115">
        <v>0</v>
      </c>
      <c r="AR115" t="s">
        <v>1</v>
      </c>
      <c r="AT115" s="2">
        <v>3.6549999999999998</v>
      </c>
      <c r="AU115" s="1">
        <f t="shared" si="13"/>
        <v>2.4945457023704432</v>
      </c>
      <c r="AV115" s="1">
        <f t="shared" si="14"/>
        <v>1.8173645727778742</v>
      </c>
      <c r="AW115" s="1">
        <f t="shared" si="15"/>
        <v>1.1401834431853048</v>
      </c>
    </row>
    <row r="116" spans="1:49" x14ac:dyDescent="0.2">
      <c r="A116">
        <v>114</v>
      </c>
      <c r="B116" t="s">
        <v>2353</v>
      </c>
      <c r="C116" t="s">
        <v>45</v>
      </c>
      <c r="D116">
        <v>378109794903379</v>
      </c>
      <c r="F116" t="s">
        <v>2352</v>
      </c>
      <c r="G116" t="s">
        <v>8</v>
      </c>
      <c r="H116" t="s">
        <v>7</v>
      </c>
      <c r="I116" t="s">
        <v>44</v>
      </c>
      <c r="J116" t="s">
        <v>43</v>
      </c>
      <c r="K116" t="s">
        <v>42</v>
      </c>
      <c r="L116" t="s">
        <v>41</v>
      </c>
      <c r="M116" t="s">
        <v>40</v>
      </c>
      <c r="N116">
        <v>5</v>
      </c>
      <c r="O116" t="s">
        <v>39</v>
      </c>
      <c r="P116" t="s">
        <v>38</v>
      </c>
      <c r="Q116" t="s">
        <v>37</v>
      </c>
      <c r="R116" s="7">
        <v>34653</v>
      </c>
      <c r="S116" s="8">
        <f t="shared" si="8"/>
        <v>1994</v>
      </c>
      <c r="T116" s="8">
        <v>1994</v>
      </c>
      <c r="U116" s="8">
        <f t="shared" si="9"/>
        <v>28</v>
      </c>
      <c r="V116" s="7">
        <v>34653</v>
      </c>
      <c r="W116" t="s">
        <v>36</v>
      </c>
      <c r="X116" s="2">
        <v>0.89900000000000002</v>
      </c>
      <c r="Y116" s="6">
        <f t="shared" si="10"/>
        <v>2.399829155655215E-2</v>
      </c>
      <c r="AA116">
        <v>3781097</v>
      </c>
      <c r="AB116">
        <v>19706</v>
      </c>
      <c r="AC116">
        <v>15746968</v>
      </c>
      <c r="AD116" t="s">
        <v>2</v>
      </c>
      <c r="AE116">
        <v>124</v>
      </c>
      <c r="AF116">
        <v>1</v>
      </c>
      <c r="AH116" t="s">
        <v>35</v>
      </c>
      <c r="AI116" t="s">
        <v>2351</v>
      </c>
      <c r="AJ116" t="s">
        <v>2350</v>
      </c>
      <c r="AK116" t="s">
        <v>2349</v>
      </c>
      <c r="AL116">
        <v>0</v>
      </c>
      <c r="AM116" s="5">
        <f t="shared" si="11"/>
        <v>0</v>
      </c>
      <c r="AN116" s="4">
        <f t="shared" si="12"/>
        <v>0</v>
      </c>
      <c r="AO116" s="3"/>
      <c r="AP116">
        <v>1</v>
      </c>
      <c r="AQ116" t="s">
        <v>78</v>
      </c>
      <c r="AR116" t="s">
        <v>1</v>
      </c>
      <c r="AS116" t="s">
        <v>2348</v>
      </c>
      <c r="AT116" s="2">
        <v>2.742</v>
      </c>
      <c r="AU116" s="1">
        <f t="shared" si="13"/>
        <v>1.6798804089586501</v>
      </c>
      <c r="AV116" s="1">
        <f t="shared" si="14"/>
        <v>1.1999145778276075</v>
      </c>
      <c r="AW116" s="1">
        <f t="shared" si="15"/>
        <v>0.71994874669656439</v>
      </c>
    </row>
    <row r="117" spans="1:49" x14ac:dyDescent="0.2">
      <c r="A117">
        <v>115</v>
      </c>
      <c r="B117" t="s">
        <v>2347</v>
      </c>
      <c r="C117" t="s">
        <v>2346</v>
      </c>
      <c r="F117" t="s">
        <v>2345</v>
      </c>
      <c r="G117" t="s">
        <v>8</v>
      </c>
      <c r="H117" t="s">
        <v>7</v>
      </c>
      <c r="I117" t="s">
        <v>2344</v>
      </c>
      <c r="J117" t="s">
        <v>2343</v>
      </c>
      <c r="K117" t="s">
        <v>2342</v>
      </c>
      <c r="L117" t="s">
        <v>2341</v>
      </c>
      <c r="M117" t="s">
        <v>12</v>
      </c>
      <c r="N117">
        <v>1</v>
      </c>
      <c r="O117" t="s">
        <v>2340</v>
      </c>
      <c r="P117">
        <v>16494177400</v>
      </c>
      <c r="Q117" t="s">
        <v>2339</v>
      </c>
      <c r="R117" s="7">
        <v>34652</v>
      </c>
      <c r="S117" s="8">
        <f t="shared" si="8"/>
        <v>1994</v>
      </c>
      <c r="T117" s="8">
        <v>1994</v>
      </c>
      <c r="U117" s="8">
        <f t="shared" si="9"/>
        <v>28</v>
      </c>
      <c r="V117" s="7">
        <v>34652</v>
      </c>
      <c r="W117" t="s">
        <v>2338</v>
      </c>
      <c r="X117" s="2">
        <v>0.85699999999999998</v>
      </c>
      <c r="Y117" s="6">
        <f t="shared" si="10"/>
        <v>2.287712554389899E-2</v>
      </c>
      <c r="AA117">
        <v>223727</v>
      </c>
      <c r="AB117">
        <v>28570</v>
      </c>
      <c r="AC117">
        <v>13616463</v>
      </c>
      <c r="AD117" t="s">
        <v>2</v>
      </c>
      <c r="AE117">
        <v>27</v>
      </c>
      <c r="AF117">
        <v>11</v>
      </c>
      <c r="AH117" t="s">
        <v>2337</v>
      </c>
      <c r="AI117" t="s">
        <v>2336</v>
      </c>
      <c r="AK117" t="s">
        <v>2335</v>
      </c>
      <c r="AL117">
        <v>1</v>
      </c>
      <c r="AM117" s="5">
        <f t="shared" si="11"/>
        <v>3.5714285714285712E-2</v>
      </c>
      <c r="AN117" s="4">
        <f t="shared" si="12"/>
        <v>5.4092064694109373E-5</v>
      </c>
      <c r="AO117" s="3"/>
      <c r="AP117">
        <v>0</v>
      </c>
      <c r="AR117" t="s">
        <v>1</v>
      </c>
      <c r="AT117" s="2" t="s">
        <v>0</v>
      </c>
      <c r="AU117" s="1">
        <f t="shared" si="13"/>
        <v>1.6030215500137526</v>
      </c>
      <c r="AV117" s="1">
        <f t="shared" si="14"/>
        <v>1.146560880429655</v>
      </c>
      <c r="AW117" s="1">
        <f t="shared" si="15"/>
        <v>0.69010021084555728</v>
      </c>
    </row>
    <row r="118" spans="1:49" x14ac:dyDescent="0.2">
      <c r="A118">
        <v>116</v>
      </c>
      <c r="B118" t="s">
        <v>2334</v>
      </c>
      <c r="C118" t="s">
        <v>2333</v>
      </c>
      <c r="F118" t="s">
        <v>2332</v>
      </c>
      <c r="G118" t="s">
        <v>8</v>
      </c>
      <c r="H118" t="s">
        <v>7</v>
      </c>
      <c r="I118" t="s">
        <v>2331</v>
      </c>
      <c r="J118" t="s">
        <v>2330</v>
      </c>
      <c r="K118" t="s">
        <v>2329</v>
      </c>
      <c r="L118" t="s">
        <v>2328</v>
      </c>
      <c r="M118" t="s">
        <v>2327</v>
      </c>
      <c r="N118">
        <v>3</v>
      </c>
      <c r="O118" t="s">
        <v>2326</v>
      </c>
      <c r="P118" t="s">
        <v>2325</v>
      </c>
      <c r="Q118" t="s">
        <v>2324</v>
      </c>
      <c r="R118" s="7">
        <v>34648</v>
      </c>
      <c r="S118" s="8">
        <f t="shared" si="8"/>
        <v>1994</v>
      </c>
      <c r="T118" s="8">
        <v>1994</v>
      </c>
      <c r="U118" s="8">
        <f t="shared" si="9"/>
        <v>28</v>
      </c>
      <c r="V118" s="7">
        <v>34648</v>
      </c>
      <c r="W118" t="s">
        <v>431</v>
      </c>
      <c r="X118" s="2">
        <v>2.3759999999999999</v>
      </c>
      <c r="Y118" s="6">
        <f t="shared" si="10"/>
        <v>6.3425963001521576E-2</v>
      </c>
      <c r="AA118" t="s">
        <v>430</v>
      </c>
      <c r="AB118">
        <v>26765</v>
      </c>
      <c r="AC118">
        <v>15384357</v>
      </c>
      <c r="AD118" t="s">
        <v>2</v>
      </c>
      <c r="AE118">
        <v>435</v>
      </c>
      <c r="AF118">
        <v>2</v>
      </c>
      <c r="AH118" t="s">
        <v>2323</v>
      </c>
      <c r="AI118" t="s">
        <v>2322</v>
      </c>
      <c r="AJ118" t="s">
        <v>2321</v>
      </c>
      <c r="AK118" t="s">
        <v>2320</v>
      </c>
      <c r="AL118">
        <v>51</v>
      </c>
      <c r="AM118" s="5">
        <f t="shared" si="11"/>
        <v>1.8214285714285714</v>
      </c>
      <c r="AN118" s="4">
        <f t="shared" si="12"/>
        <v>2.7586952993995779E-3</v>
      </c>
      <c r="AO118" s="3"/>
      <c r="AP118">
        <v>0</v>
      </c>
      <c r="AR118" t="s">
        <v>1</v>
      </c>
      <c r="AT118" s="2">
        <v>5.8739999999999997</v>
      </c>
      <c r="AU118" s="1">
        <f t="shared" si="13"/>
        <v>4.5225782690884975</v>
      </c>
      <c r="AV118" s="1">
        <f t="shared" si="14"/>
        <v>3.3092329150460578</v>
      </c>
      <c r="AW118" s="1">
        <f t="shared" si="15"/>
        <v>2.0958875610036176</v>
      </c>
    </row>
    <row r="119" spans="1:49" x14ac:dyDescent="0.2">
      <c r="A119">
        <v>117</v>
      </c>
      <c r="B119" t="s">
        <v>2319</v>
      </c>
      <c r="C119" t="s">
        <v>2318</v>
      </c>
      <c r="F119" t="s">
        <v>2317</v>
      </c>
      <c r="G119" t="s">
        <v>8</v>
      </c>
      <c r="H119" t="s">
        <v>7</v>
      </c>
      <c r="I119" t="s">
        <v>2316</v>
      </c>
      <c r="J119" t="s">
        <v>2315</v>
      </c>
      <c r="K119" t="s">
        <v>2314</v>
      </c>
      <c r="L119" t="s">
        <v>2313</v>
      </c>
      <c r="M119" t="s">
        <v>397</v>
      </c>
      <c r="N119">
        <v>4</v>
      </c>
      <c r="O119" t="s">
        <v>2312</v>
      </c>
      <c r="P119" t="s">
        <v>2311</v>
      </c>
      <c r="Q119" t="s">
        <v>2310</v>
      </c>
      <c r="R119" s="7">
        <v>34639</v>
      </c>
      <c r="S119" s="8">
        <f t="shared" si="8"/>
        <v>1994</v>
      </c>
      <c r="T119" s="8">
        <v>1994</v>
      </c>
      <c r="U119" s="8">
        <f t="shared" si="9"/>
        <v>28</v>
      </c>
      <c r="V119" s="7">
        <v>34639</v>
      </c>
      <c r="W119" t="s">
        <v>408</v>
      </c>
      <c r="X119" s="2" t="s">
        <v>0</v>
      </c>
      <c r="Y119" s="6" t="e">
        <f t="shared" si="10"/>
        <v>#VALUE!</v>
      </c>
      <c r="AA119">
        <v>3905551</v>
      </c>
      <c r="AB119">
        <v>15400155600</v>
      </c>
      <c r="AD119" t="s">
        <v>2</v>
      </c>
      <c r="AE119">
        <v>17</v>
      </c>
      <c r="AF119">
        <v>6</v>
      </c>
      <c r="AH119" t="s">
        <v>2309</v>
      </c>
      <c r="AI119" t="s">
        <v>2308</v>
      </c>
      <c r="AJ119" t="s">
        <v>2307</v>
      </c>
      <c r="AK119" t="s">
        <v>2306</v>
      </c>
      <c r="AL119">
        <v>16</v>
      </c>
      <c r="AM119" s="5">
        <f t="shared" si="11"/>
        <v>0.5714285714285714</v>
      </c>
      <c r="AN119" s="4">
        <f t="shared" si="12"/>
        <v>8.6547303510574997E-4</v>
      </c>
      <c r="AO119" s="3"/>
      <c r="AP119">
        <v>0</v>
      </c>
      <c r="AR119" t="s">
        <v>1</v>
      </c>
      <c r="AT119" s="2" t="s">
        <v>0</v>
      </c>
      <c r="AU119" s="1" t="e">
        <f t="shared" si="13"/>
        <v>#VALUE!</v>
      </c>
      <c r="AV119" s="1" t="e">
        <f t="shared" si="14"/>
        <v>#VALUE!</v>
      </c>
      <c r="AW119" s="1" t="e">
        <f t="shared" si="15"/>
        <v>#VALUE!</v>
      </c>
    </row>
    <row r="120" spans="1:49" x14ac:dyDescent="0.2">
      <c r="A120">
        <v>118</v>
      </c>
      <c r="B120" t="s">
        <v>2305</v>
      </c>
      <c r="C120" t="s">
        <v>2304</v>
      </c>
      <c r="F120" t="s">
        <v>2303</v>
      </c>
      <c r="G120" t="s">
        <v>8</v>
      </c>
      <c r="H120" t="s">
        <v>7</v>
      </c>
      <c r="I120" t="s">
        <v>2302</v>
      </c>
      <c r="N120">
        <v>5</v>
      </c>
      <c r="O120" t="s">
        <v>2301</v>
      </c>
      <c r="P120" t="s">
        <v>2300</v>
      </c>
      <c r="Q120" t="s">
        <v>134</v>
      </c>
      <c r="R120" s="7">
        <v>34639</v>
      </c>
      <c r="S120" s="8">
        <f t="shared" si="8"/>
        <v>1994</v>
      </c>
      <c r="T120" s="8">
        <v>1994</v>
      </c>
      <c r="U120" s="8">
        <f t="shared" si="9"/>
        <v>28</v>
      </c>
      <c r="V120" s="7">
        <v>34639</v>
      </c>
      <c r="W120" t="s">
        <v>390</v>
      </c>
      <c r="X120" s="2">
        <v>0.318</v>
      </c>
      <c r="Y120" s="6">
        <f t="shared" si="10"/>
        <v>8.4888283815167786E-3</v>
      </c>
      <c r="AA120">
        <v>338443</v>
      </c>
      <c r="AB120">
        <v>27160</v>
      </c>
      <c r="AC120">
        <v>15739120</v>
      </c>
      <c r="AD120" t="s">
        <v>2</v>
      </c>
      <c r="AE120">
        <v>37</v>
      </c>
      <c r="AF120">
        <v>11</v>
      </c>
      <c r="AH120" t="s">
        <v>2299</v>
      </c>
      <c r="AI120" t="s">
        <v>2298</v>
      </c>
      <c r="AK120" t="s">
        <v>2297</v>
      </c>
      <c r="AL120">
        <v>0</v>
      </c>
      <c r="AM120" s="5">
        <f t="shared" si="11"/>
        <v>0</v>
      </c>
      <c r="AN120" s="4">
        <f t="shared" si="12"/>
        <v>0</v>
      </c>
      <c r="AO120" s="3"/>
      <c r="AP120">
        <v>0</v>
      </c>
      <c r="AR120" t="s">
        <v>1</v>
      </c>
      <c r="AT120" s="2">
        <v>0.77</v>
      </c>
      <c r="AU120" s="1">
        <f t="shared" si="13"/>
        <v>0.59421798670617454</v>
      </c>
      <c r="AV120" s="1">
        <f t="shared" si="14"/>
        <v>0.42444141907583893</v>
      </c>
      <c r="AW120" s="1">
        <f t="shared" si="15"/>
        <v>0.25466485144550338</v>
      </c>
    </row>
    <row r="121" spans="1:49" x14ac:dyDescent="0.2">
      <c r="A121">
        <v>119</v>
      </c>
      <c r="B121" t="s">
        <v>2296</v>
      </c>
      <c r="F121" t="s">
        <v>2295</v>
      </c>
      <c r="G121" t="s">
        <v>8</v>
      </c>
      <c r="H121" t="s">
        <v>7</v>
      </c>
      <c r="I121" t="s">
        <v>2294</v>
      </c>
      <c r="J121">
        <v>100311184</v>
      </c>
      <c r="K121" t="s">
        <v>2293</v>
      </c>
      <c r="L121" t="s">
        <v>2292</v>
      </c>
      <c r="M121" t="s">
        <v>53</v>
      </c>
      <c r="N121">
        <v>1</v>
      </c>
      <c r="O121" t="s">
        <v>2291</v>
      </c>
      <c r="P121">
        <v>7202855094</v>
      </c>
      <c r="Q121">
        <v>100311184</v>
      </c>
      <c r="R121" s="7">
        <v>34639</v>
      </c>
      <c r="S121" s="8">
        <f t="shared" si="8"/>
        <v>1994</v>
      </c>
      <c r="T121" s="8">
        <v>1994</v>
      </c>
      <c r="U121" s="8">
        <f t="shared" si="9"/>
        <v>28</v>
      </c>
      <c r="V121" s="7">
        <v>34639</v>
      </c>
      <c r="W121" t="s">
        <v>2290</v>
      </c>
      <c r="X121" s="2">
        <v>0.25700000000000001</v>
      </c>
      <c r="Y121" s="6">
        <f t="shared" si="10"/>
        <v>6.8604682202824275E-3</v>
      </c>
      <c r="AA121">
        <v>5493811</v>
      </c>
      <c r="AB121">
        <v>29565</v>
      </c>
      <c r="AD121" t="s">
        <v>2</v>
      </c>
      <c r="AE121">
        <v>37</v>
      </c>
      <c r="AF121">
        <v>117</v>
      </c>
      <c r="AH121" t="s">
        <v>2289</v>
      </c>
      <c r="AI121" t="s">
        <v>2288</v>
      </c>
      <c r="AK121" t="s">
        <v>2287</v>
      </c>
      <c r="AL121">
        <v>0</v>
      </c>
      <c r="AM121" s="5">
        <f t="shared" si="11"/>
        <v>0</v>
      </c>
      <c r="AN121" s="4">
        <f t="shared" si="12"/>
        <v>0</v>
      </c>
      <c r="AO121" s="3"/>
      <c r="AP121">
        <v>0</v>
      </c>
      <c r="AR121" t="s">
        <v>1</v>
      </c>
      <c r="AT121" s="2">
        <v>0.88200000000000001</v>
      </c>
      <c r="AU121" s="1">
        <f t="shared" si="13"/>
        <v>0.48023277541976983</v>
      </c>
      <c r="AV121" s="1">
        <f t="shared" si="14"/>
        <v>0.34302341101412137</v>
      </c>
      <c r="AW121" s="1">
        <f t="shared" si="15"/>
        <v>0.2058140466084728</v>
      </c>
    </row>
    <row r="122" spans="1:49" x14ac:dyDescent="0.2">
      <c r="A122">
        <v>120</v>
      </c>
      <c r="B122" t="s">
        <v>2286</v>
      </c>
      <c r="C122" t="s">
        <v>2285</v>
      </c>
      <c r="F122" t="s">
        <v>2284</v>
      </c>
      <c r="G122" t="s">
        <v>8</v>
      </c>
      <c r="H122" t="s">
        <v>7</v>
      </c>
      <c r="I122" t="s">
        <v>2283</v>
      </c>
      <c r="J122">
        <v>60008134</v>
      </c>
      <c r="K122" t="s">
        <v>369</v>
      </c>
      <c r="L122" t="s">
        <v>11</v>
      </c>
      <c r="M122" t="s">
        <v>10</v>
      </c>
      <c r="N122">
        <v>3</v>
      </c>
      <c r="O122" t="s">
        <v>2282</v>
      </c>
      <c r="P122" t="s">
        <v>2281</v>
      </c>
      <c r="Q122" t="s">
        <v>2280</v>
      </c>
      <c r="R122" s="7">
        <v>34639</v>
      </c>
      <c r="S122" s="8">
        <f t="shared" si="8"/>
        <v>1994</v>
      </c>
      <c r="T122" s="8">
        <v>1994</v>
      </c>
      <c r="U122" s="8">
        <f t="shared" si="9"/>
        <v>28</v>
      </c>
      <c r="V122" s="7">
        <v>34639</v>
      </c>
      <c r="W122" t="s">
        <v>403</v>
      </c>
      <c r="X122" s="2">
        <v>0.33800000000000002</v>
      </c>
      <c r="Y122" s="6">
        <f t="shared" si="10"/>
        <v>9.0227169589706634E-3</v>
      </c>
      <c r="AA122">
        <v>34347</v>
      </c>
      <c r="AB122">
        <v>17722</v>
      </c>
      <c r="AC122">
        <v>19589395</v>
      </c>
      <c r="AD122" t="s">
        <v>2</v>
      </c>
      <c r="AE122">
        <v>49</v>
      </c>
      <c r="AF122" s="10">
        <v>44541</v>
      </c>
      <c r="AH122" t="s">
        <v>2279</v>
      </c>
      <c r="AI122" t="s">
        <v>2278</v>
      </c>
      <c r="AJ122" t="s">
        <v>2277</v>
      </c>
      <c r="AK122" t="s">
        <v>2276</v>
      </c>
      <c r="AL122">
        <v>0</v>
      </c>
      <c r="AM122" s="5">
        <f t="shared" si="11"/>
        <v>0</v>
      </c>
      <c r="AN122" s="4">
        <f t="shared" si="12"/>
        <v>0</v>
      </c>
      <c r="AO122" s="3"/>
      <c r="AP122">
        <v>0</v>
      </c>
      <c r="AR122" t="s">
        <v>1</v>
      </c>
      <c r="AT122" s="2" t="s">
        <v>0</v>
      </c>
      <c r="AU122" s="1">
        <f t="shared" si="13"/>
        <v>0.63159018712794635</v>
      </c>
      <c r="AV122" s="1">
        <f t="shared" si="14"/>
        <v>0.45113584794853318</v>
      </c>
      <c r="AW122" s="1">
        <f t="shared" si="15"/>
        <v>0.27068150876911989</v>
      </c>
    </row>
    <row r="123" spans="1:49" x14ac:dyDescent="0.2">
      <c r="A123">
        <v>121</v>
      </c>
      <c r="B123" t="s">
        <v>2275</v>
      </c>
      <c r="C123" t="s">
        <v>2274</v>
      </c>
      <c r="F123" t="s">
        <v>2273</v>
      </c>
      <c r="G123" t="s">
        <v>8</v>
      </c>
      <c r="H123" t="s">
        <v>7</v>
      </c>
      <c r="I123" t="s">
        <v>2272</v>
      </c>
      <c r="J123">
        <v>60032653</v>
      </c>
      <c r="K123" t="s">
        <v>2271</v>
      </c>
      <c r="L123" t="s">
        <v>2270</v>
      </c>
      <c r="M123" t="s">
        <v>10</v>
      </c>
      <c r="N123">
        <v>2</v>
      </c>
      <c r="O123" t="s">
        <v>2269</v>
      </c>
      <c r="P123" t="s">
        <v>2268</v>
      </c>
      <c r="Q123" t="s">
        <v>2267</v>
      </c>
      <c r="R123" s="7">
        <v>34639</v>
      </c>
      <c r="S123" s="8">
        <f t="shared" si="8"/>
        <v>1994</v>
      </c>
      <c r="T123" s="8">
        <v>1994</v>
      </c>
      <c r="U123" s="8">
        <f t="shared" si="9"/>
        <v>28</v>
      </c>
      <c r="V123" s="7">
        <v>34639</v>
      </c>
      <c r="W123" t="s">
        <v>403</v>
      </c>
      <c r="X123" s="2">
        <v>0.33800000000000002</v>
      </c>
      <c r="Y123" s="6">
        <f t="shared" si="10"/>
        <v>9.0227169589706634E-3</v>
      </c>
      <c r="AA123">
        <v>34347</v>
      </c>
      <c r="AB123">
        <v>17722</v>
      </c>
      <c r="AC123">
        <v>19589395</v>
      </c>
      <c r="AD123" t="s">
        <v>2</v>
      </c>
      <c r="AE123">
        <v>49</v>
      </c>
      <c r="AF123" s="10">
        <v>44541</v>
      </c>
      <c r="AH123" t="s">
        <v>2266</v>
      </c>
      <c r="AI123" t="s">
        <v>2265</v>
      </c>
      <c r="AJ123" t="s">
        <v>2264</v>
      </c>
      <c r="AK123" t="s">
        <v>2263</v>
      </c>
      <c r="AL123">
        <v>0</v>
      </c>
      <c r="AM123" s="5">
        <f t="shared" si="11"/>
        <v>0</v>
      </c>
      <c r="AN123" s="4">
        <f t="shared" si="12"/>
        <v>0</v>
      </c>
      <c r="AO123" s="3"/>
      <c r="AP123">
        <v>0</v>
      </c>
      <c r="AR123" t="s">
        <v>1</v>
      </c>
      <c r="AT123" s="2" t="s">
        <v>0</v>
      </c>
      <c r="AU123" s="1">
        <f t="shared" si="13"/>
        <v>0.63159018712794635</v>
      </c>
      <c r="AV123" s="1">
        <f t="shared" si="14"/>
        <v>0.45113584794853318</v>
      </c>
      <c r="AW123" s="1">
        <f t="shared" si="15"/>
        <v>0.27068150876911989</v>
      </c>
    </row>
    <row r="124" spans="1:49" x14ac:dyDescent="0.2">
      <c r="A124">
        <v>122</v>
      </c>
      <c r="B124" t="s">
        <v>2262</v>
      </c>
      <c r="C124" t="s">
        <v>2261</v>
      </c>
      <c r="F124" t="s">
        <v>2260</v>
      </c>
      <c r="G124" t="s">
        <v>8</v>
      </c>
      <c r="H124" t="s">
        <v>7</v>
      </c>
      <c r="I124" t="s">
        <v>404</v>
      </c>
      <c r="J124">
        <v>60008447</v>
      </c>
      <c r="K124" t="s">
        <v>331</v>
      </c>
      <c r="L124" t="s">
        <v>330</v>
      </c>
      <c r="M124" t="s">
        <v>10</v>
      </c>
      <c r="N124">
        <v>2</v>
      </c>
      <c r="O124" t="s">
        <v>2259</v>
      </c>
      <c r="P124" t="s">
        <v>2258</v>
      </c>
      <c r="Q124" t="s">
        <v>2257</v>
      </c>
      <c r="R124" s="7">
        <v>34639</v>
      </c>
      <c r="S124" s="8">
        <f t="shared" si="8"/>
        <v>1994</v>
      </c>
      <c r="T124" s="8">
        <v>1994</v>
      </c>
      <c r="U124" s="8">
        <f t="shared" si="9"/>
        <v>28</v>
      </c>
      <c r="V124" s="7">
        <v>34639</v>
      </c>
      <c r="W124" t="s">
        <v>403</v>
      </c>
      <c r="X124" s="2">
        <v>0.33800000000000002</v>
      </c>
      <c r="Y124" s="6">
        <f t="shared" si="10"/>
        <v>9.0227169589706634E-3</v>
      </c>
      <c r="AA124">
        <v>34347</v>
      </c>
      <c r="AB124">
        <v>17722</v>
      </c>
      <c r="AC124">
        <v>19589395</v>
      </c>
      <c r="AD124" t="s">
        <v>2</v>
      </c>
      <c r="AE124">
        <v>49</v>
      </c>
      <c r="AF124" s="10">
        <v>44541</v>
      </c>
      <c r="AH124" t="s">
        <v>2256</v>
      </c>
      <c r="AI124" t="s">
        <v>2255</v>
      </c>
      <c r="AJ124" t="s">
        <v>2254</v>
      </c>
      <c r="AK124" t="s">
        <v>2253</v>
      </c>
      <c r="AL124">
        <v>1</v>
      </c>
      <c r="AM124" s="5">
        <f t="shared" si="11"/>
        <v>3.5714285714285712E-2</v>
      </c>
      <c r="AN124" s="4">
        <f t="shared" si="12"/>
        <v>5.4092064694109373E-5</v>
      </c>
      <c r="AO124" s="3"/>
      <c r="AP124">
        <v>0</v>
      </c>
      <c r="AR124" t="s">
        <v>1</v>
      </c>
      <c r="AT124" s="2" t="s">
        <v>0</v>
      </c>
      <c r="AU124" s="1">
        <f t="shared" si="13"/>
        <v>0.63321294906876968</v>
      </c>
      <c r="AV124" s="1">
        <f t="shared" si="14"/>
        <v>0.45384045118323868</v>
      </c>
      <c r="AW124" s="1">
        <f t="shared" si="15"/>
        <v>0.27446795329770757</v>
      </c>
    </row>
    <row r="125" spans="1:49" x14ac:dyDescent="0.2">
      <c r="A125">
        <v>123</v>
      </c>
      <c r="B125" t="s">
        <v>2252</v>
      </c>
      <c r="F125" t="s">
        <v>2251</v>
      </c>
      <c r="G125" t="s">
        <v>8</v>
      </c>
      <c r="H125" t="s">
        <v>7</v>
      </c>
      <c r="I125" t="s">
        <v>2250</v>
      </c>
      <c r="J125">
        <v>60101699</v>
      </c>
      <c r="K125" t="s">
        <v>218</v>
      </c>
      <c r="L125" t="s">
        <v>116</v>
      </c>
      <c r="M125" t="s">
        <v>53</v>
      </c>
      <c r="N125">
        <v>3</v>
      </c>
      <c r="O125" t="s">
        <v>2249</v>
      </c>
      <c r="P125" t="s">
        <v>2248</v>
      </c>
      <c r="Q125" t="s">
        <v>429</v>
      </c>
      <c r="R125" s="7">
        <v>34639</v>
      </c>
      <c r="S125" s="8">
        <f t="shared" si="8"/>
        <v>1994</v>
      </c>
      <c r="T125" s="8">
        <v>1994</v>
      </c>
      <c r="U125" s="8">
        <f t="shared" si="9"/>
        <v>28</v>
      </c>
      <c r="V125" s="7">
        <v>34639</v>
      </c>
      <c r="W125" t="s">
        <v>400</v>
      </c>
      <c r="X125" s="2">
        <v>0.182</v>
      </c>
      <c r="Y125" s="6">
        <f t="shared" si="10"/>
        <v>4.8583860548303574E-3</v>
      </c>
      <c r="AA125">
        <v>9168524</v>
      </c>
      <c r="AB125">
        <v>26075</v>
      </c>
      <c r="AD125" t="s">
        <v>2</v>
      </c>
      <c r="AE125" t="s">
        <v>399</v>
      </c>
      <c r="AF125">
        <v>11</v>
      </c>
      <c r="AH125" t="s">
        <v>2247</v>
      </c>
      <c r="AI125" t="s">
        <v>2246</v>
      </c>
      <c r="AK125" t="s">
        <v>2245</v>
      </c>
      <c r="AL125">
        <v>2</v>
      </c>
      <c r="AM125" s="5">
        <f t="shared" si="11"/>
        <v>7.1428571428571425E-2</v>
      </c>
      <c r="AN125" s="4">
        <f t="shared" si="12"/>
        <v>1.0818412938821875E-4</v>
      </c>
      <c r="AO125" s="3"/>
      <c r="AP125">
        <v>0</v>
      </c>
      <c r="AR125" t="s">
        <v>1</v>
      </c>
      <c r="AT125" s="2">
        <v>0.35199999999999998</v>
      </c>
      <c r="AU125" s="1">
        <f t="shared" si="13"/>
        <v>0.34333254771977156</v>
      </c>
      <c r="AV125" s="1">
        <f t="shared" si="14"/>
        <v>0.24832850921092881</v>
      </c>
      <c r="AW125" s="1">
        <f t="shared" si="15"/>
        <v>0.15332447070208602</v>
      </c>
    </row>
    <row r="126" spans="1:49" x14ac:dyDescent="0.2">
      <c r="A126">
        <v>124</v>
      </c>
      <c r="B126" t="s">
        <v>2244</v>
      </c>
      <c r="F126" t="s">
        <v>2243</v>
      </c>
      <c r="G126" t="s">
        <v>8</v>
      </c>
      <c r="H126" t="s">
        <v>7</v>
      </c>
      <c r="I126" t="s">
        <v>2242</v>
      </c>
      <c r="J126">
        <v>60032407</v>
      </c>
      <c r="K126" t="s">
        <v>2241</v>
      </c>
      <c r="L126" t="s">
        <v>2240</v>
      </c>
      <c r="M126" t="s">
        <v>53</v>
      </c>
      <c r="N126">
        <v>1</v>
      </c>
      <c r="O126" t="s">
        <v>2239</v>
      </c>
      <c r="P126">
        <v>7203027902</v>
      </c>
      <c r="Q126">
        <v>60032407</v>
      </c>
      <c r="R126" s="7">
        <v>34639</v>
      </c>
      <c r="S126" s="8">
        <f t="shared" si="8"/>
        <v>1994</v>
      </c>
      <c r="T126" s="8">
        <v>1994</v>
      </c>
      <c r="U126" s="8">
        <f t="shared" si="9"/>
        <v>28</v>
      </c>
      <c r="V126" s="7">
        <v>34639</v>
      </c>
      <c r="W126" t="s">
        <v>400</v>
      </c>
      <c r="X126" s="2">
        <v>0.182</v>
      </c>
      <c r="Y126" s="6">
        <f t="shared" si="10"/>
        <v>4.8583860548303574E-3</v>
      </c>
      <c r="AA126">
        <v>9168524</v>
      </c>
      <c r="AB126">
        <v>26075</v>
      </c>
      <c r="AD126" t="s">
        <v>2</v>
      </c>
      <c r="AE126" t="s">
        <v>399</v>
      </c>
      <c r="AF126">
        <v>11</v>
      </c>
      <c r="AH126" t="s">
        <v>2238</v>
      </c>
      <c r="AI126" t="s">
        <v>2237</v>
      </c>
      <c r="AK126" t="s">
        <v>2236</v>
      </c>
      <c r="AL126">
        <v>5</v>
      </c>
      <c r="AM126" s="5">
        <f t="shared" si="11"/>
        <v>0.17857142857142858</v>
      </c>
      <c r="AN126" s="4">
        <f t="shared" si="12"/>
        <v>2.7046032347054688E-4</v>
      </c>
      <c r="AO126" s="3"/>
      <c r="AP126">
        <v>0</v>
      </c>
      <c r="AR126" t="s">
        <v>1</v>
      </c>
      <c r="AT126" s="2">
        <v>0.35199999999999998</v>
      </c>
      <c r="AU126" s="1">
        <f t="shared" si="13"/>
        <v>0.34820083354224141</v>
      </c>
      <c r="AV126" s="1">
        <f t="shared" si="14"/>
        <v>0.25644231891504521</v>
      </c>
      <c r="AW126" s="1">
        <f t="shared" si="15"/>
        <v>0.16468380428784901</v>
      </c>
    </row>
    <row r="127" spans="1:49" x14ac:dyDescent="0.2">
      <c r="A127">
        <v>125</v>
      </c>
      <c r="B127" t="s">
        <v>2235</v>
      </c>
      <c r="C127" t="s">
        <v>2234</v>
      </c>
      <c r="F127" t="s">
        <v>2233</v>
      </c>
      <c r="G127" t="s">
        <v>8</v>
      </c>
      <c r="H127" t="s">
        <v>7</v>
      </c>
      <c r="I127" t="s">
        <v>2232</v>
      </c>
      <c r="J127">
        <v>60001881</v>
      </c>
      <c r="K127" t="s">
        <v>267</v>
      </c>
      <c r="L127" t="s">
        <v>266</v>
      </c>
      <c r="M127" t="s">
        <v>4</v>
      </c>
      <c r="N127">
        <v>3</v>
      </c>
      <c r="O127" t="s">
        <v>2231</v>
      </c>
      <c r="P127" t="s">
        <v>2230</v>
      </c>
      <c r="Q127" t="s">
        <v>425</v>
      </c>
      <c r="R127" s="7">
        <v>34639</v>
      </c>
      <c r="S127" s="8">
        <f t="shared" si="8"/>
        <v>1994</v>
      </c>
      <c r="T127" s="8">
        <v>1994</v>
      </c>
      <c r="U127" s="8">
        <f t="shared" si="9"/>
        <v>28</v>
      </c>
      <c r="V127" s="7">
        <v>34639</v>
      </c>
      <c r="W127" s="11" t="s">
        <v>573</v>
      </c>
      <c r="X127" s="2">
        <v>2.383</v>
      </c>
      <c r="Y127" s="6">
        <f t="shared" si="10"/>
        <v>6.3612824003630442E-2</v>
      </c>
      <c r="AA127">
        <v>13502344</v>
      </c>
      <c r="AB127">
        <v>17419</v>
      </c>
      <c r="AD127" t="s">
        <v>2</v>
      </c>
      <c r="AE127">
        <v>141</v>
      </c>
      <c r="AF127">
        <v>6</v>
      </c>
      <c r="AH127" t="s">
        <v>2229</v>
      </c>
      <c r="AI127" t="s">
        <v>2228</v>
      </c>
      <c r="AK127" t="s">
        <v>2227</v>
      </c>
      <c r="AL127">
        <v>22</v>
      </c>
      <c r="AM127" s="5">
        <f t="shared" si="11"/>
        <v>0.7857142857142857</v>
      </c>
      <c r="AN127" s="4">
        <f t="shared" si="12"/>
        <v>1.1900254232704063E-3</v>
      </c>
      <c r="AO127" s="3"/>
      <c r="AP127">
        <v>0</v>
      </c>
      <c r="AR127" t="s">
        <v>1</v>
      </c>
      <c r="AT127" s="2" t="s">
        <v>0</v>
      </c>
      <c r="AU127" s="1">
        <f t="shared" si="13"/>
        <v>4.4885984429522425</v>
      </c>
      <c r="AV127" s="1">
        <f t="shared" si="14"/>
        <v>3.2401424713450422</v>
      </c>
      <c r="AW127" s="1">
        <f t="shared" si="15"/>
        <v>1.9916864997378416</v>
      </c>
    </row>
    <row r="128" spans="1:49" x14ac:dyDescent="0.2">
      <c r="A128">
        <v>126</v>
      </c>
      <c r="B128" t="s">
        <v>2226</v>
      </c>
      <c r="F128" t="s">
        <v>2225</v>
      </c>
      <c r="G128" t="s">
        <v>8</v>
      </c>
      <c r="H128" t="s">
        <v>7</v>
      </c>
      <c r="I128" t="s">
        <v>2224</v>
      </c>
      <c r="J128">
        <v>60028673</v>
      </c>
      <c r="K128" t="s">
        <v>2223</v>
      </c>
      <c r="L128" t="s">
        <v>385</v>
      </c>
      <c r="M128" t="s">
        <v>49</v>
      </c>
      <c r="N128">
        <v>1</v>
      </c>
      <c r="O128" t="s">
        <v>2222</v>
      </c>
      <c r="P128">
        <v>7401786749</v>
      </c>
      <c r="Q128">
        <v>60028673</v>
      </c>
      <c r="R128" s="7">
        <v>34639</v>
      </c>
      <c r="S128" s="8">
        <f t="shared" si="8"/>
        <v>1994</v>
      </c>
      <c r="T128" s="8">
        <v>1994</v>
      </c>
      <c r="U128" s="8">
        <f t="shared" si="9"/>
        <v>28</v>
      </c>
      <c r="V128" s="7">
        <v>34639</v>
      </c>
      <c r="W128" t="s">
        <v>2221</v>
      </c>
      <c r="X128" s="2" t="s">
        <v>0</v>
      </c>
      <c r="Y128" s="6" t="e">
        <f t="shared" si="10"/>
        <v>#VALUE!</v>
      </c>
      <c r="AA128">
        <v>3444880</v>
      </c>
      <c r="AB128">
        <v>38773</v>
      </c>
      <c r="AD128" t="s">
        <v>2</v>
      </c>
      <c r="AE128">
        <v>17</v>
      </c>
      <c r="AF128">
        <v>6</v>
      </c>
      <c r="AH128" s="10">
        <v>44508</v>
      </c>
      <c r="AI128" t="s">
        <v>2220</v>
      </c>
      <c r="AK128" t="s">
        <v>2219</v>
      </c>
      <c r="AL128">
        <v>0</v>
      </c>
      <c r="AM128" s="5">
        <f t="shared" si="11"/>
        <v>0</v>
      </c>
      <c r="AN128" s="4">
        <f t="shared" si="12"/>
        <v>0</v>
      </c>
      <c r="AO128" s="3"/>
      <c r="AP128">
        <v>0</v>
      </c>
      <c r="AR128" t="s">
        <v>1</v>
      </c>
      <c r="AT128" s="2" t="s">
        <v>0</v>
      </c>
      <c r="AU128" s="1" t="e">
        <f t="shared" si="13"/>
        <v>#VALUE!</v>
      </c>
      <c r="AV128" s="1" t="e">
        <f t="shared" si="14"/>
        <v>#VALUE!</v>
      </c>
      <c r="AW128" s="1" t="e">
        <f t="shared" si="15"/>
        <v>#VALUE!</v>
      </c>
    </row>
    <row r="129" spans="1:49" x14ac:dyDescent="0.2">
      <c r="A129">
        <v>127</v>
      </c>
      <c r="B129" t="s">
        <v>2218</v>
      </c>
      <c r="F129" t="s">
        <v>2217</v>
      </c>
      <c r="G129" t="s">
        <v>8</v>
      </c>
      <c r="H129" t="s">
        <v>7</v>
      </c>
      <c r="I129" t="s">
        <v>2216</v>
      </c>
      <c r="J129">
        <v>60014652</v>
      </c>
      <c r="K129" t="s">
        <v>311</v>
      </c>
      <c r="L129" t="s">
        <v>310</v>
      </c>
      <c r="M129" t="s">
        <v>53</v>
      </c>
      <c r="N129">
        <v>2</v>
      </c>
      <c r="O129" t="s">
        <v>2215</v>
      </c>
      <c r="P129" t="s">
        <v>2214</v>
      </c>
      <c r="Q129" t="s">
        <v>2213</v>
      </c>
      <c r="R129" s="7">
        <v>34639</v>
      </c>
      <c r="S129" s="8">
        <f t="shared" si="8"/>
        <v>1994</v>
      </c>
      <c r="T129" s="8">
        <v>1994</v>
      </c>
      <c r="U129" s="8">
        <f t="shared" si="9"/>
        <v>28</v>
      </c>
      <c r="V129" s="7">
        <v>34639</v>
      </c>
      <c r="W129" t="s">
        <v>400</v>
      </c>
      <c r="X129" s="2">
        <v>0.182</v>
      </c>
      <c r="Y129" s="6">
        <f t="shared" si="10"/>
        <v>4.8583860548303574E-3</v>
      </c>
      <c r="AA129">
        <v>9168524</v>
      </c>
      <c r="AB129">
        <v>26075</v>
      </c>
      <c r="AD129" t="s">
        <v>2</v>
      </c>
      <c r="AE129" t="s">
        <v>399</v>
      </c>
      <c r="AF129">
        <v>11</v>
      </c>
      <c r="AH129" t="s">
        <v>2212</v>
      </c>
      <c r="AI129" t="s">
        <v>2211</v>
      </c>
      <c r="AK129" t="s">
        <v>2210</v>
      </c>
      <c r="AL129">
        <v>0</v>
      </c>
      <c r="AM129" s="5">
        <f t="shared" si="11"/>
        <v>0</v>
      </c>
      <c r="AN129" s="4">
        <f t="shared" si="12"/>
        <v>0</v>
      </c>
      <c r="AO129" s="3"/>
      <c r="AP129">
        <v>0</v>
      </c>
      <c r="AR129" t="s">
        <v>1</v>
      </c>
      <c r="AT129" s="2">
        <v>0.35199999999999998</v>
      </c>
      <c r="AU129" s="1">
        <f t="shared" si="13"/>
        <v>0.340087023838125</v>
      </c>
      <c r="AV129" s="1">
        <f t="shared" si="14"/>
        <v>0.24291930274151788</v>
      </c>
      <c r="AW129" s="1">
        <f t="shared" si="15"/>
        <v>0.14575158164491073</v>
      </c>
    </row>
    <row r="130" spans="1:49" x14ac:dyDescent="0.2">
      <c r="A130">
        <v>128</v>
      </c>
      <c r="B130" t="s">
        <v>2209</v>
      </c>
      <c r="F130" t="s">
        <v>2208</v>
      </c>
      <c r="G130" t="s">
        <v>8</v>
      </c>
      <c r="H130" t="s">
        <v>7</v>
      </c>
      <c r="I130" t="s">
        <v>2207</v>
      </c>
      <c r="J130">
        <v>100488917</v>
      </c>
      <c r="K130" t="s">
        <v>2206</v>
      </c>
      <c r="L130" t="s">
        <v>2205</v>
      </c>
      <c r="M130" t="s">
        <v>53</v>
      </c>
      <c r="N130">
        <v>4</v>
      </c>
      <c r="O130" t="s">
        <v>2204</v>
      </c>
      <c r="P130" t="s">
        <v>2203</v>
      </c>
      <c r="Q130" t="s">
        <v>2202</v>
      </c>
      <c r="R130" s="7">
        <v>34639</v>
      </c>
      <c r="S130" s="8">
        <f t="shared" ref="S130:S193" si="16">YEAR(R130)</f>
        <v>1994</v>
      </c>
      <c r="T130" s="8">
        <v>1994</v>
      </c>
      <c r="U130" s="8">
        <f t="shared" ref="U130:U193" si="17">2022-T130</f>
        <v>28</v>
      </c>
      <c r="V130" s="7">
        <v>34639</v>
      </c>
      <c r="W130" t="s">
        <v>114</v>
      </c>
      <c r="X130" s="2">
        <v>0.188</v>
      </c>
      <c r="Y130" s="6">
        <f t="shared" ref="Y130:Y193" si="18">(X130-$Z$4)/($Z$3-$Z$4)</f>
        <v>5.0185526280665223E-3</v>
      </c>
      <c r="AA130">
        <v>9168508</v>
      </c>
      <c r="AB130">
        <v>26076</v>
      </c>
      <c r="AD130" t="s">
        <v>2</v>
      </c>
      <c r="AE130" t="s">
        <v>113</v>
      </c>
      <c r="AF130">
        <v>11</v>
      </c>
      <c r="AH130" t="s">
        <v>2201</v>
      </c>
      <c r="AI130" t="s">
        <v>2200</v>
      </c>
      <c r="AK130" t="s">
        <v>2199</v>
      </c>
      <c r="AL130">
        <v>1</v>
      </c>
      <c r="AM130" s="5">
        <f t="shared" ref="AM130:AM193" si="19">AL130/U130</f>
        <v>3.5714285714285712E-2</v>
      </c>
      <c r="AN130" s="4">
        <f t="shared" ref="AN130:AN193" si="20">(AM130-$AO$4)/($AO$3-$AO$4)</f>
        <v>5.4092064694109373E-5</v>
      </c>
      <c r="AO130" s="3"/>
      <c r="AP130">
        <v>0</v>
      </c>
      <c r="AR130" t="s">
        <v>1</v>
      </c>
      <c r="AT130" s="2" t="s">
        <v>0</v>
      </c>
      <c r="AU130" s="1">
        <f t="shared" ref="AU130:AU193" si="21">(Y130*0.7+AN130*0.3)*100</f>
        <v>0.3529214459054798</v>
      </c>
      <c r="AV130" s="1">
        <f t="shared" ref="AV130:AV193" si="22">(Y130*0.5+AN130*0.5)*100</f>
        <v>0.25363223463803158</v>
      </c>
      <c r="AW130" s="1">
        <f t="shared" ref="AW130:AW193" si="23">(Y130*0.3+AN130*0.7)*100</f>
        <v>0.15434302337058334</v>
      </c>
    </row>
    <row r="131" spans="1:49" x14ac:dyDescent="0.2">
      <c r="A131">
        <v>129</v>
      </c>
      <c r="B131" t="s">
        <v>2198</v>
      </c>
      <c r="F131" t="s">
        <v>2197</v>
      </c>
      <c r="G131" t="s">
        <v>8</v>
      </c>
      <c r="H131" t="s">
        <v>7</v>
      </c>
      <c r="I131" t="s">
        <v>2196</v>
      </c>
      <c r="J131">
        <v>60015916</v>
      </c>
      <c r="K131" t="s">
        <v>2195</v>
      </c>
      <c r="L131" t="s">
        <v>177</v>
      </c>
      <c r="M131" t="s">
        <v>19</v>
      </c>
      <c r="N131">
        <v>1</v>
      </c>
      <c r="O131" t="s">
        <v>2194</v>
      </c>
      <c r="P131">
        <v>7103011340</v>
      </c>
      <c r="Q131">
        <v>60015916</v>
      </c>
      <c r="R131" s="7">
        <v>34639</v>
      </c>
      <c r="S131" s="8">
        <f t="shared" si="16"/>
        <v>1994</v>
      </c>
      <c r="T131" s="8">
        <v>1994</v>
      </c>
      <c r="U131" s="8">
        <f t="shared" si="17"/>
        <v>28</v>
      </c>
      <c r="V131" s="7">
        <v>34639</v>
      </c>
      <c r="W131" t="s">
        <v>112</v>
      </c>
      <c r="X131" s="2">
        <v>0.10100000000000001</v>
      </c>
      <c r="Y131" s="6">
        <f t="shared" si="18"/>
        <v>2.6961373161421215E-3</v>
      </c>
      <c r="AA131">
        <v>7452993</v>
      </c>
      <c r="AB131">
        <v>18563</v>
      </c>
      <c r="AD131" t="s">
        <v>2</v>
      </c>
      <c r="AE131">
        <v>33</v>
      </c>
      <c r="AF131">
        <v>11</v>
      </c>
      <c r="AI131" t="s">
        <v>2193</v>
      </c>
      <c r="AK131" t="s">
        <v>2192</v>
      </c>
      <c r="AL131">
        <v>0</v>
      </c>
      <c r="AM131" s="5">
        <f t="shared" si="19"/>
        <v>0</v>
      </c>
      <c r="AN131" s="4">
        <f t="shared" si="20"/>
        <v>0</v>
      </c>
      <c r="AO131" s="3"/>
      <c r="AP131">
        <v>0</v>
      </c>
      <c r="AR131" t="s">
        <v>1</v>
      </c>
      <c r="AT131" s="2" t="s">
        <v>0</v>
      </c>
      <c r="AU131" s="1">
        <f t="shared" si="21"/>
        <v>0.18872961212994849</v>
      </c>
      <c r="AV131" s="1">
        <f t="shared" si="22"/>
        <v>0.13480686580710607</v>
      </c>
      <c r="AW131" s="1">
        <f t="shared" si="23"/>
        <v>8.0884119484263647E-2</v>
      </c>
    </row>
    <row r="132" spans="1:49" x14ac:dyDescent="0.2">
      <c r="A132">
        <v>130</v>
      </c>
      <c r="B132" t="s">
        <v>2191</v>
      </c>
      <c r="F132" t="s">
        <v>2190</v>
      </c>
      <c r="G132" t="s">
        <v>8</v>
      </c>
      <c r="H132" t="s">
        <v>7</v>
      </c>
      <c r="I132" t="s">
        <v>2189</v>
      </c>
      <c r="J132">
        <v>60020547</v>
      </c>
      <c r="K132" t="s">
        <v>162</v>
      </c>
      <c r="L132" t="s">
        <v>161</v>
      </c>
      <c r="M132" t="s">
        <v>19</v>
      </c>
      <c r="N132">
        <v>4</v>
      </c>
      <c r="O132" t="s">
        <v>2188</v>
      </c>
      <c r="P132" t="s">
        <v>2187</v>
      </c>
      <c r="Q132" t="s">
        <v>894</v>
      </c>
      <c r="R132" s="7">
        <v>34639</v>
      </c>
      <c r="S132" s="8">
        <f t="shared" si="16"/>
        <v>1994</v>
      </c>
      <c r="T132" s="8">
        <v>1994</v>
      </c>
      <c r="U132" s="8">
        <f t="shared" si="17"/>
        <v>28</v>
      </c>
      <c r="V132" s="7">
        <v>34639</v>
      </c>
      <c r="W132" t="s">
        <v>204</v>
      </c>
      <c r="X132" s="2">
        <v>0.39600000000000002</v>
      </c>
      <c r="Y132" s="6">
        <f t="shared" si="18"/>
        <v>1.0570993833586931E-2</v>
      </c>
      <c r="AA132">
        <v>8858985</v>
      </c>
      <c r="AB132">
        <v>25993</v>
      </c>
      <c r="AD132" t="s">
        <v>2</v>
      </c>
      <c r="AE132">
        <v>9</v>
      </c>
      <c r="AF132">
        <v>11</v>
      </c>
      <c r="AH132" t="s">
        <v>2186</v>
      </c>
      <c r="AI132" t="s">
        <v>2185</v>
      </c>
      <c r="AK132" t="s">
        <v>2184</v>
      </c>
      <c r="AL132">
        <v>5</v>
      </c>
      <c r="AM132" s="5">
        <f t="shared" si="19"/>
        <v>0.17857142857142858</v>
      </c>
      <c r="AN132" s="4">
        <f t="shared" si="20"/>
        <v>2.7046032347054688E-4</v>
      </c>
      <c r="AO132" s="3"/>
      <c r="AP132">
        <v>0</v>
      </c>
      <c r="AR132" t="s">
        <v>1</v>
      </c>
      <c r="AT132" s="2" t="s">
        <v>0</v>
      </c>
      <c r="AU132" s="1">
        <f t="shared" si="21"/>
        <v>0.74808337805520153</v>
      </c>
      <c r="AV132" s="1">
        <f t="shared" si="22"/>
        <v>0.54207270785287398</v>
      </c>
      <c r="AW132" s="1">
        <f t="shared" si="23"/>
        <v>0.33606203765054615</v>
      </c>
    </row>
    <row r="133" spans="1:49" x14ac:dyDescent="0.2">
      <c r="A133">
        <v>131</v>
      </c>
      <c r="B133" t="s">
        <v>2183</v>
      </c>
      <c r="F133" t="s">
        <v>2182</v>
      </c>
      <c r="G133" t="s">
        <v>8</v>
      </c>
      <c r="H133" t="s">
        <v>7</v>
      </c>
      <c r="I133" t="s">
        <v>2181</v>
      </c>
      <c r="J133">
        <v>60008107</v>
      </c>
      <c r="K133" t="s">
        <v>2180</v>
      </c>
      <c r="L133" t="s">
        <v>2179</v>
      </c>
      <c r="M133" t="s">
        <v>53</v>
      </c>
      <c r="N133">
        <v>4</v>
      </c>
      <c r="O133" t="s">
        <v>2178</v>
      </c>
      <c r="P133" t="s">
        <v>2177</v>
      </c>
      <c r="Q133" t="s">
        <v>2176</v>
      </c>
      <c r="R133" s="7">
        <v>34639</v>
      </c>
      <c r="S133" s="8">
        <f t="shared" si="16"/>
        <v>1994</v>
      </c>
      <c r="T133" s="8">
        <v>1994</v>
      </c>
      <c r="U133" s="8">
        <f t="shared" si="17"/>
        <v>28</v>
      </c>
      <c r="V133" s="7">
        <v>34639</v>
      </c>
      <c r="W133" t="s">
        <v>114</v>
      </c>
      <c r="X133" s="2">
        <v>0.188</v>
      </c>
      <c r="Y133" s="6">
        <f t="shared" si="18"/>
        <v>5.0185526280665223E-3</v>
      </c>
      <c r="AA133">
        <v>9168508</v>
      </c>
      <c r="AB133">
        <v>26076</v>
      </c>
      <c r="AD133" t="s">
        <v>2</v>
      </c>
      <c r="AE133" t="s">
        <v>113</v>
      </c>
      <c r="AF133">
        <v>11</v>
      </c>
      <c r="AH133" t="s">
        <v>2175</v>
      </c>
      <c r="AI133" t="s">
        <v>2174</v>
      </c>
      <c r="AK133" t="s">
        <v>2173</v>
      </c>
      <c r="AL133">
        <v>0</v>
      </c>
      <c r="AM133" s="5">
        <f t="shared" si="19"/>
        <v>0</v>
      </c>
      <c r="AN133" s="4">
        <f t="shared" si="20"/>
        <v>0</v>
      </c>
      <c r="AO133" s="3"/>
      <c r="AP133">
        <v>0</v>
      </c>
      <c r="AR133" t="s">
        <v>1</v>
      </c>
      <c r="AT133" s="2" t="s">
        <v>0</v>
      </c>
      <c r="AU133" s="1">
        <f t="shared" si="21"/>
        <v>0.35129868396465652</v>
      </c>
      <c r="AV133" s="1">
        <f t="shared" si="22"/>
        <v>0.25092763140332613</v>
      </c>
      <c r="AW133" s="1">
        <f t="shared" si="23"/>
        <v>0.15055657884199566</v>
      </c>
    </row>
    <row r="134" spans="1:49" x14ac:dyDescent="0.2">
      <c r="A134">
        <v>132</v>
      </c>
      <c r="B134" t="s">
        <v>2172</v>
      </c>
      <c r="C134" t="s">
        <v>2171</v>
      </c>
      <c r="F134" t="s">
        <v>2170</v>
      </c>
      <c r="G134" t="s">
        <v>8</v>
      </c>
      <c r="H134" t="s">
        <v>7</v>
      </c>
      <c r="I134" t="s">
        <v>2169</v>
      </c>
      <c r="J134">
        <v>60005244</v>
      </c>
      <c r="K134" t="s">
        <v>2168</v>
      </c>
      <c r="L134" t="s">
        <v>348</v>
      </c>
      <c r="M134" t="s">
        <v>33</v>
      </c>
      <c r="N134">
        <v>2</v>
      </c>
      <c r="O134" t="s">
        <v>2167</v>
      </c>
      <c r="P134" t="s">
        <v>2166</v>
      </c>
      <c r="Q134" t="s">
        <v>2165</v>
      </c>
      <c r="R134" s="7">
        <v>34639</v>
      </c>
      <c r="S134" s="8">
        <f t="shared" si="16"/>
        <v>1994</v>
      </c>
      <c r="T134" s="8">
        <v>1994</v>
      </c>
      <c r="U134" s="8">
        <f t="shared" si="17"/>
        <v>28</v>
      </c>
      <c r="V134" s="7">
        <v>34639</v>
      </c>
      <c r="W134" t="s">
        <v>32</v>
      </c>
      <c r="X134" s="2">
        <v>0.61499999999999999</v>
      </c>
      <c r="Y134" s="6">
        <f t="shared" si="18"/>
        <v>1.6417073756706976E-2</v>
      </c>
      <c r="AA134">
        <v>1959271</v>
      </c>
      <c r="AB134">
        <v>12141</v>
      </c>
      <c r="AC134">
        <v>15729559</v>
      </c>
      <c r="AD134" t="s">
        <v>2</v>
      </c>
      <c r="AE134">
        <v>15</v>
      </c>
      <c r="AF134">
        <v>11</v>
      </c>
      <c r="AH134" t="s">
        <v>2164</v>
      </c>
      <c r="AI134" t="s">
        <v>2163</v>
      </c>
      <c r="AK134" t="s">
        <v>2162</v>
      </c>
      <c r="AL134">
        <v>0</v>
      </c>
      <c r="AM134" s="5">
        <f t="shared" si="19"/>
        <v>0</v>
      </c>
      <c r="AN134" s="4">
        <f t="shared" si="20"/>
        <v>0</v>
      </c>
      <c r="AO134" s="3"/>
      <c r="AP134">
        <v>0</v>
      </c>
      <c r="AR134" t="s">
        <v>1</v>
      </c>
      <c r="AT134" s="2" t="s">
        <v>0</v>
      </c>
      <c r="AU134" s="1">
        <f t="shared" si="21"/>
        <v>1.1491951629694881</v>
      </c>
      <c r="AV134" s="1">
        <f t="shared" si="22"/>
        <v>0.82085368783534873</v>
      </c>
      <c r="AW134" s="1">
        <f t="shared" si="23"/>
        <v>0.49251221270120926</v>
      </c>
    </row>
    <row r="135" spans="1:49" x14ac:dyDescent="0.2">
      <c r="A135">
        <v>133</v>
      </c>
      <c r="B135" t="s">
        <v>2161</v>
      </c>
      <c r="C135" t="s">
        <v>2160</v>
      </c>
      <c r="F135" t="s">
        <v>2159</v>
      </c>
      <c r="G135" t="s">
        <v>8</v>
      </c>
      <c r="H135" t="s">
        <v>7</v>
      </c>
      <c r="I135" t="s">
        <v>2158</v>
      </c>
      <c r="J135" t="s">
        <v>2157</v>
      </c>
      <c r="K135" t="s">
        <v>2156</v>
      </c>
      <c r="L135" t="s">
        <v>2155</v>
      </c>
      <c r="M135" t="s">
        <v>23</v>
      </c>
      <c r="N135">
        <v>5</v>
      </c>
      <c r="O135" t="s">
        <v>2154</v>
      </c>
      <c r="P135" t="s">
        <v>2153</v>
      </c>
      <c r="Q135" t="s">
        <v>2152</v>
      </c>
      <c r="R135" s="7">
        <v>34639</v>
      </c>
      <c r="S135" s="8">
        <f t="shared" si="16"/>
        <v>1994</v>
      </c>
      <c r="T135" s="8">
        <v>1994</v>
      </c>
      <c r="U135" s="8">
        <f t="shared" si="17"/>
        <v>28</v>
      </c>
      <c r="V135" s="7">
        <v>34639</v>
      </c>
      <c r="W135" t="s">
        <v>32</v>
      </c>
      <c r="X135" s="2">
        <v>0.61499999999999999</v>
      </c>
      <c r="Y135" s="6">
        <f t="shared" si="18"/>
        <v>1.6417073756706976E-2</v>
      </c>
      <c r="AA135">
        <v>1959271</v>
      </c>
      <c r="AB135">
        <v>12141</v>
      </c>
      <c r="AC135">
        <v>15729559</v>
      </c>
      <c r="AD135" t="s">
        <v>2</v>
      </c>
      <c r="AE135">
        <v>15</v>
      </c>
      <c r="AF135">
        <v>11</v>
      </c>
      <c r="AH135" t="s">
        <v>2151</v>
      </c>
      <c r="AI135" t="s">
        <v>2150</v>
      </c>
      <c r="AK135" t="s">
        <v>2149</v>
      </c>
      <c r="AL135">
        <v>3</v>
      </c>
      <c r="AM135" s="5">
        <f t="shared" si="19"/>
        <v>0.10714285714285714</v>
      </c>
      <c r="AN135" s="4">
        <f t="shared" si="20"/>
        <v>1.6227619408232811E-4</v>
      </c>
      <c r="AO135" s="3"/>
      <c r="AP135">
        <v>0</v>
      </c>
      <c r="AR135" t="s">
        <v>1</v>
      </c>
      <c r="AT135" s="2" t="s">
        <v>0</v>
      </c>
      <c r="AU135" s="1">
        <f t="shared" si="21"/>
        <v>1.1540634487919581</v>
      </c>
      <c r="AV135" s="1">
        <f t="shared" si="22"/>
        <v>0.8289674975394653</v>
      </c>
      <c r="AW135" s="1">
        <f t="shared" si="23"/>
        <v>0.50387154628697217</v>
      </c>
    </row>
    <row r="136" spans="1:49" x14ac:dyDescent="0.2">
      <c r="A136">
        <v>134</v>
      </c>
      <c r="B136" t="s">
        <v>2148</v>
      </c>
      <c r="C136" t="s">
        <v>2147</v>
      </c>
      <c r="F136" t="s">
        <v>2146</v>
      </c>
      <c r="G136" t="s">
        <v>8</v>
      </c>
      <c r="H136" t="s">
        <v>7</v>
      </c>
      <c r="I136" t="s">
        <v>55</v>
      </c>
      <c r="J136" t="s">
        <v>2145</v>
      </c>
      <c r="K136" t="s">
        <v>2144</v>
      </c>
      <c r="L136" t="s">
        <v>2143</v>
      </c>
      <c r="M136" t="s">
        <v>261</v>
      </c>
      <c r="N136">
        <v>3</v>
      </c>
      <c r="O136" t="s">
        <v>2142</v>
      </c>
      <c r="P136" t="s">
        <v>2141</v>
      </c>
      <c r="Q136" t="s">
        <v>2140</v>
      </c>
      <c r="R136" s="7">
        <v>34639</v>
      </c>
      <c r="S136" s="8">
        <f t="shared" si="16"/>
        <v>1994</v>
      </c>
      <c r="T136" s="8">
        <v>1994</v>
      </c>
      <c r="U136" s="8">
        <f t="shared" si="17"/>
        <v>28</v>
      </c>
      <c r="V136" s="7">
        <v>34639</v>
      </c>
      <c r="W136" t="s">
        <v>81</v>
      </c>
      <c r="X136" s="2">
        <v>1.1579999999999999</v>
      </c>
      <c r="Y136" s="6">
        <f t="shared" si="18"/>
        <v>3.0912148634579962E-2</v>
      </c>
      <c r="AA136">
        <v>1668595</v>
      </c>
      <c r="AB136">
        <v>14223</v>
      </c>
      <c r="AC136">
        <v>15735079</v>
      </c>
      <c r="AD136" t="s">
        <v>2</v>
      </c>
      <c r="AE136">
        <v>42</v>
      </c>
      <c r="AF136">
        <v>2</v>
      </c>
      <c r="AH136" t="s">
        <v>2139</v>
      </c>
      <c r="AI136" t="s">
        <v>2138</v>
      </c>
      <c r="AJ136" t="s">
        <v>2137</v>
      </c>
      <c r="AK136" t="s">
        <v>2136</v>
      </c>
      <c r="AL136">
        <v>12</v>
      </c>
      <c r="AM136" s="5">
        <f t="shared" si="19"/>
        <v>0.42857142857142855</v>
      </c>
      <c r="AN136" s="4">
        <f t="shared" si="20"/>
        <v>6.4910477632931242E-4</v>
      </c>
      <c r="AO136" s="3"/>
      <c r="AP136">
        <v>0</v>
      </c>
      <c r="AR136" t="s">
        <v>1</v>
      </c>
      <c r="AT136" s="2">
        <v>3.573</v>
      </c>
      <c r="AU136" s="1">
        <f t="shared" si="21"/>
        <v>2.1833235477104767</v>
      </c>
      <c r="AV136" s="1">
        <f t="shared" si="22"/>
        <v>1.5780626705454639</v>
      </c>
      <c r="AW136" s="1">
        <f t="shared" si="23"/>
        <v>0.97280179338045081</v>
      </c>
    </row>
    <row r="137" spans="1:49" x14ac:dyDescent="0.2">
      <c r="A137">
        <v>135</v>
      </c>
      <c r="B137" t="s">
        <v>2135</v>
      </c>
      <c r="C137" t="s">
        <v>2134</v>
      </c>
      <c r="F137" t="s">
        <v>2133</v>
      </c>
      <c r="G137" t="s">
        <v>8</v>
      </c>
      <c r="H137" t="s">
        <v>7</v>
      </c>
      <c r="I137" t="s">
        <v>2132</v>
      </c>
      <c r="J137" t="s">
        <v>2131</v>
      </c>
      <c r="K137" t="s">
        <v>2130</v>
      </c>
      <c r="L137" t="s">
        <v>2129</v>
      </c>
      <c r="M137" t="s">
        <v>76</v>
      </c>
      <c r="N137">
        <v>5</v>
      </c>
      <c r="O137" t="s">
        <v>2128</v>
      </c>
      <c r="P137" t="s">
        <v>2127</v>
      </c>
      <c r="Q137" t="s">
        <v>2126</v>
      </c>
      <c r="R137" s="7">
        <v>34639</v>
      </c>
      <c r="S137" s="8">
        <f t="shared" si="16"/>
        <v>1994</v>
      </c>
      <c r="T137" s="8">
        <v>1994</v>
      </c>
      <c r="U137" s="8">
        <f t="shared" si="17"/>
        <v>28</v>
      </c>
      <c r="V137" s="7">
        <v>34639</v>
      </c>
      <c r="W137" t="s">
        <v>81</v>
      </c>
      <c r="X137" s="2">
        <v>1.1579999999999999</v>
      </c>
      <c r="Y137" s="6">
        <f t="shared" si="18"/>
        <v>3.0912148634579962E-2</v>
      </c>
      <c r="AA137">
        <v>1668595</v>
      </c>
      <c r="AB137">
        <v>14223</v>
      </c>
      <c r="AC137">
        <v>15735079</v>
      </c>
      <c r="AD137" t="s">
        <v>2</v>
      </c>
      <c r="AE137">
        <v>42</v>
      </c>
      <c r="AF137">
        <v>2</v>
      </c>
      <c r="AH137" t="s">
        <v>2125</v>
      </c>
      <c r="AI137" t="s">
        <v>2124</v>
      </c>
      <c r="AJ137" t="s">
        <v>2123</v>
      </c>
      <c r="AK137" t="s">
        <v>2122</v>
      </c>
      <c r="AL137">
        <v>19</v>
      </c>
      <c r="AM137" s="5">
        <f t="shared" si="19"/>
        <v>0.6785714285714286</v>
      </c>
      <c r="AN137" s="4">
        <f t="shared" si="20"/>
        <v>1.0277492291880781E-3</v>
      </c>
      <c r="AO137" s="3"/>
      <c r="AP137">
        <v>0</v>
      </c>
      <c r="AR137" t="s">
        <v>1</v>
      </c>
      <c r="AT137" s="2">
        <v>3.573</v>
      </c>
      <c r="AU137" s="1">
        <f t="shared" si="21"/>
        <v>2.1946828812962393</v>
      </c>
      <c r="AV137" s="1">
        <f t="shared" si="22"/>
        <v>1.5969948931884019</v>
      </c>
      <c r="AW137" s="1">
        <f t="shared" si="23"/>
        <v>0.9993069050805643</v>
      </c>
    </row>
    <row r="138" spans="1:49" x14ac:dyDescent="0.2">
      <c r="A138">
        <v>136</v>
      </c>
      <c r="B138" t="s">
        <v>2121</v>
      </c>
      <c r="C138" t="s">
        <v>2120</v>
      </c>
      <c r="F138" t="s">
        <v>2119</v>
      </c>
      <c r="G138" t="s">
        <v>8</v>
      </c>
      <c r="H138" t="s">
        <v>7</v>
      </c>
      <c r="I138" t="s">
        <v>2118</v>
      </c>
      <c r="J138">
        <v>60007566</v>
      </c>
      <c r="K138" t="s">
        <v>350</v>
      </c>
      <c r="L138" t="s">
        <v>349</v>
      </c>
      <c r="M138" t="s">
        <v>19</v>
      </c>
      <c r="N138">
        <v>2</v>
      </c>
      <c r="O138" t="s">
        <v>2117</v>
      </c>
      <c r="P138" t="s">
        <v>2116</v>
      </c>
      <c r="Q138" t="s">
        <v>2115</v>
      </c>
      <c r="R138" s="7">
        <v>34639</v>
      </c>
      <c r="S138" s="8">
        <f t="shared" si="16"/>
        <v>1994</v>
      </c>
      <c r="T138" s="8">
        <v>1994</v>
      </c>
      <c r="U138" s="8">
        <f t="shared" si="17"/>
        <v>28</v>
      </c>
      <c r="V138" s="7">
        <v>34639</v>
      </c>
      <c r="W138" t="s">
        <v>2114</v>
      </c>
      <c r="X138" s="2">
        <v>0.93</v>
      </c>
      <c r="Y138" s="6">
        <f t="shared" si="18"/>
        <v>2.4825818851605671E-2</v>
      </c>
      <c r="AA138">
        <v>253162</v>
      </c>
      <c r="AB138">
        <v>12165</v>
      </c>
      <c r="AC138">
        <v>14321793</v>
      </c>
      <c r="AD138" t="s">
        <v>2</v>
      </c>
      <c r="AE138">
        <v>120</v>
      </c>
      <c r="AF138">
        <v>4</v>
      </c>
      <c r="AH138" t="s">
        <v>2113</v>
      </c>
      <c r="AI138" t="s">
        <v>2112</v>
      </c>
      <c r="AK138" t="s">
        <v>2111</v>
      </c>
      <c r="AL138">
        <v>51</v>
      </c>
      <c r="AM138" s="5">
        <f t="shared" si="19"/>
        <v>1.8214285714285714</v>
      </c>
      <c r="AN138" s="4">
        <f t="shared" si="20"/>
        <v>2.7586952993995779E-3</v>
      </c>
      <c r="AO138" s="3"/>
      <c r="AP138">
        <v>0</v>
      </c>
      <c r="AR138" t="s">
        <v>1</v>
      </c>
      <c r="AT138" s="2">
        <v>2.573</v>
      </c>
      <c r="AU138" s="1">
        <f t="shared" si="21"/>
        <v>1.8205681785943844</v>
      </c>
      <c r="AV138" s="1">
        <f t="shared" si="22"/>
        <v>1.3792257075502623</v>
      </c>
      <c r="AW138" s="1">
        <f t="shared" si="23"/>
        <v>0.93788323650614047</v>
      </c>
    </row>
    <row r="139" spans="1:49" x14ac:dyDescent="0.2">
      <c r="A139">
        <v>137</v>
      </c>
      <c r="B139" t="s">
        <v>2110</v>
      </c>
      <c r="C139" t="s">
        <v>2109</v>
      </c>
      <c r="D139">
        <v>5272894900248</v>
      </c>
      <c r="F139" t="s">
        <v>2108</v>
      </c>
      <c r="G139" t="s">
        <v>8</v>
      </c>
      <c r="H139" t="s">
        <v>7</v>
      </c>
      <c r="I139" t="s">
        <v>2107</v>
      </c>
      <c r="J139" t="s">
        <v>2106</v>
      </c>
      <c r="K139" t="s">
        <v>2105</v>
      </c>
      <c r="L139" t="s">
        <v>2104</v>
      </c>
      <c r="M139" t="s">
        <v>183</v>
      </c>
      <c r="N139">
        <v>7</v>
      </c>
      <c r="O139" t="s">
        <v>2103</v>
      </c>
      <c r="P139" t="s">
        <v>2102</v>
      </c>
      <c r="Q139" t="s">
        <v>2101</v>
      </c>
      <c r="R139" s="7">
        <v>34639</v>
      </c>
      <c r="S139" s="8">
        <f t="shared" si="16"/>
        <v>1994</v>
      </c>
      <c r="T139" s="8">
        <v>1994</v>
      </c>
      <c r="U139" s="8">
        <f t="shared" si="17"/>
        <v>28</v>
      </c>
      <c r="V139" s="7">
        <v>34639</v>
      </c>
      <c r="W139" t="s">
        <v>371</v>
      </c>
      <c r="X139" s="2">
        <v>1.59</v>
      </c>
      <c r="Y139" s="6">
        <f t="shared" si="18"/>
        <v>4.2444141907583888E-2</v>
      </c>
      <c r="AA139">
        <v>52728</v>
      </c>
      <c r="AB139">
        <v>16791</v>
      </c>
      <c r="AD139" t="s">
        <v>2</v>
      </c>
      <c r="AE139">
        <v>1188</v>
      </c>
      <c r="AF139" s="10">
        <v>44228</v>
      </c>
      <c r="AH139" t="s">
        <v>46</v>
      </c>
      <c r="AI139" t="s">
        <v>2100</v>
      </c>
      <c r="AJ139" t="s">
        <v>2099</v>
      </c>
      <c r="AK139" t="s">
        <v>2098</v>
      </c>
      <c r="AL139">
        <v>110</v>
      </c>
      <c r="AM139" s="5">
        <f t="shared" si="19"/>
        <v>3.9285714285714284</v>
      </c>
      <c r="AN139" s="4">
        <f t="shared" si="20"/>
        <v>5.9501271163520308E-3</v>
      </c>
      <c r="AO139" s="3"/>
      <c r="AP139">
        <v>0</v>
      </c>
      <c r="AQ139" t="s">
        <v>165</v>
      </c>
      <c r="AR139" t="s">
        <v>1</v>
      </c>
      <c r="AS139" t="s">
        <v>164</v>
      </c>
      <c r="AT139" s="2" t="s">
        <v>0</v>
      </c>
      <c r="AU139" s="1">
        <f t="shared" si="21"/>
        <v>3.1495937470214326</v>
      </c>
      <c r="AV139" s="1">
        <f t="shared" si="22"/>
        <v>2.4197134511967962</v>
      </c>
      <c r="AW139" s="1">
        <f t="shared" si="23"/>
        <v>1.6898331553721584</v>
      </c>
    </row>
    <row r="140" spans="1:49" x14ac:dyDescent="0.2">
      <c r="A140">
        <v>138</v>
      </c>
      <c r="B140" t="s">
        <v>2097</v>
      </c>
      <c r="E140">
        <v>7720559</v>
      </c>
      <c r="F140" t="s">
        <v>2096</v>
      </c>
      <c r="G140" t="s">
        <v>8</v>
      </c>
      <c r="H140" t="s">
        <v>7</v>
      </c>
      <c r="I140" t="s">
        <v>2095</v>
      </c>
      <c r="J140" t="s">
        <v>2094</v>
      </c>
      <c r="K140" t="s">
        <v>2093</v>
      </c>
      <c r="L140" t="s">
        <v>2092</v>
      </c>
      <c r="M140" t="s">
        <v>2091</v>
      </c>
      <c r="N140">
        <v>3</v>
      </c>
      <c r="O140" t="s">
        <v>2090</v>
      </c>
      <c r="P140" t="s">
        <v>2089</v>
      </c>
      <c r="Q140" t="s">
        <v>2088</v>
      </c>
      <c r="R140" s="7">
        <v>34639</v>
      </c>
      <c r="S140" s="8">
        <f t="shared" si="16"/>
        <v>1994</v>
      </c>
      <c r="T140" s="8">
        <v>1994</v>
      </c>
      <c r="U140" s="8">
        <f t="shared" si="17"/>
        <v>28</v>
      </c>
      <c r="V140" s="7">
        <v>34639</v>
      </c>
      <c r="W140" t="s">
        <v>143</v>
      </c>
      <c r="X140" s="2">
        <v>0.15</v>
      </c>
      <c r="Y140" s="6">
        <f t="shared" si="18"/>
        <v>4.0041643309041402E-3</v>
      </c>
      <c r="AA140">
        <v>9501991</v>
      </c>
      <c r="AB140">
        <v>14531</v>
      </c>
      <c r="AD140" t="s">
        <v>2</v>
      </c>
      <c r="AE140">
        <v>120</v>
      </c>
      <c r="AF140">
        <v>11</v>
      </c>
      <c r="AH140" t="s">
        <v>2087</v>
      </c>
      <c r="AI140" t="s">
        <v>2086</v>
      </c>
      <c r="AJ140" t="s">
        <v>2085</v>
      </c>
      <c r="AK140" t="s">
        <v>2084</v>
      </c>
      <c r="AL140">
        <v>81</v>
      </c>
      <c r="AM140" s="5">
        <f t="shared" si="19"/>
        <v>2.8928571428571428</v>
      </c>
      <c r="AN140" s="4">
        <f t="shared" si="20"/>
        <v>4.381457240222859E-3</v>
      </c>
      <c r="AO140" s="3"/>
      <c r="AP140">
        <v>0</v>
      </c>
      <c r="AR140" t="s">
        <v>1</v>
      </c>
      <c r="AT140" s="2">
        <v>6.8680000000000003</v>
      </c>
      <c r="AU140" s="1">
        <f t="shared" si="21"/>
        <v>0.41173522036997562</v>
      </c>
      <c r="AV140" s="1">
        <f t="shared" si="22"/>
        <v>0.41928107855634994</v>
      </c>
      <c r="AW140" s="1">
        <f t="shared" si="23"/>
        <v>0.42682693674272432</v>
      </c>
    </row>
    <row r="141" spans="1:49" x14ac:dyDescent="0.2">
      <c r="A141">
        <v>139</v>
      </c>
      <c r="B141" t="s">
        <v>2083</v>
      </c>
      <c r="C141" t="s">
        <v>2082</v>
      </c>
      <c r="D141" t="s">
        <v>2081</v>
      </c>
      <c r="F141" t="s">
        <v>2080</v>
      </c>
      <c r="G141" t="s">
        <v>8</v>
      </c>
      <c r="H141" t="s">
        <v>7</v>
      </c>
      <c r="I141" t="s">
        <v>2079</v>
      </c>
      <c r="J141">
        <v>60008088</v>
      </c>
      <c r="K141" t="s">
        <v>343</v>
      </c>
      <c r="L141" t="s">
        <v>342</v>
      </c>
      <c r="M141" t="s">
        <v>341</v>
      </c>
      <c r="N141">
        <v>2</v>
      </c>
      <c r="O141" t="s">
        <v>2078</v>
      </c>
      <c r="P141" t="s">
        <v>2077</v>
      </c>
      <c r="Q141" t="s">
        <v>2076</v>
      </c>
      <c r="R141" s="7">
        <v>34632</v>
      </c>
      <c r="S141" s="8">
        <f t="shared" si="16"/>
        <v>1994</v>
      </c>
      <c r="T141" s="8">
        <v>1994</v>
      </c>
      <c r="U141" s="8">
        <f t="shared" si="17"/>
        <v>28</v>
      </c>
      <c r="V141" s="7">
        <v>34632</v>
      </c>
      <c r="W141" t="s">
        <v>424</v>
      </c>
      <c r="X141" s="2" t="s">
        <v>0</v>
      </c>
      <c r="Y141" s="6" t="e">
        <f t="shared" si="18"/>
        <v>#VALUE!</v>
      </c>
      <c r="AA141">
        <v>10106030</v>
      </c>
      <c r="AB141">
        <v>26966</v>
      </c>
      <c r="AD141" t="s">
        <v>2</v>
      </c>
      <c r="AE141">
        <v>83</v>
      </c>
      <c r="AF141">
        <v>3</v>
      </c>
      <c r="AH141" t="s">
        <v>102</v>
      </c>
      <c r="AI141" t="s">
        <v>2075</v>
      </c>
      <c r="AK141" t="s">
        <v>2074</v>
      </c>
      <c r="AL141">
        <v>86</v>
      </c>
      <c r="AM141" s="5">
        <f t="shared" si="19"/>
        <v>3.0714285714285716</v>
      </c>
      <c r="AN141" s="4">
        <f t="shared" si="20"/>
        <v>4.6519175636934064E-3</v>
      </c>
      <c r="AO141" s="3"/>
      <c r="AP141">
        <v>0</v>
      </c>
      <c r="AQ141" t="s">
        <v>2073</v>
      </c>
      <c r="AR141" t="s">
        <v>1</v>
      </c>
      <c r="AS141" t="s">
        <v>2072</v>
      </c>
      <c r="AT141" s="2" t="s">
        <v>0</v>
      </c>
      <c r="AU141" s="1" t="e">
        <f t="shared" si="21"/>
        <v>#VALUE!</v>
      </c>
      <c r="AV141" s="1" t="e">
        <f t="shared" si="22"/>
        <v>#VALUE!</v>
      </c>
      <c r="AW141" s="1" t="e">
        <f t="shared" si="23"/>
        <v>#VALUE!</v>
      </c>
    </row>
    <row r="142" spans="1:49" x14ac:dyDescent="0.2">
      <c r="A142">
        <v>140</v>
      </c>
      <c r="B142" t="s">
        <v>2071</v>
      </c>
      <c r="C142" t="s">
        <v>2070</v>
      </c>
      <c r="D142" t="s">
        <v>2069</v>
      </c>
      <c r="E142">
        <v>7926041</v>
      </c>
      <c r="F142" t="s">
        <v>2068</v>
      </c>
      <c r="G142" t="s">
        <v>8</v>
      </c>
      <c r="H142" t="s">
        <v>7</v>
      </c>
      <c r="I142" t="s">
        <v>2067</v>
      </c>
      <c r="J142">
        <v>60008134</v>
      </c>
      <c r="K142" t="s">
        <v>369</v>
      </c>
      <c r="L142" t="s">
        <v>11</v>
      </c>
      <c r="M142" t="s">
        <v>10</v>
      </c>
      <c r="N142">
        <v>2</v>
      </c>
      <c r="O142" t="s">
        <v>2066</v>
      </c>
      <c r="P142" t="s">
        <v>2065</v>
      </c>
      <c r="Q142" t="s">
        <v>378</v>
      </c>
      <c r="R142" s="7">
        <v>34624</v>
      </c>
      <c r="S142" s="8">
        <f t="shared" si="16"/>
        <v>1994</v>
      </c>
      <c r="T142" s="8">
        <v>1994</v>
      </c>
      <c r="U142" s="8">
        <f t="shared" si="17"/>
        <v>28</v>
      </c>
      <c r="V142" s="7">
        <v>34624</v>
      </c>
      <c r="W142" t="s">
        <v>396</v>
      </c>
      <c r="X142" s="2">
        <v>1.593</v>
      </c>
      <c r="Y142" s="6">
        <f t="shared" si="18"/>
        <v>4.2524225194201973E-2</v>
      </c>
      <c r="AA142">
        <v>145793</v>
      </c>
      <c r="AB142">
        <v>17481</v>
      </c>
      <c r="AD142" t="s">
        <v>2</v>
      </c>
      <c r="AE142">
        <v>353</v>
      </c>
      <c r="AF142">
        <v>2</v>
      </c>
      <c r="AH142" t="s">
        <v>412</v>
      </c>
      <c r="AI142" t="s">
        <v>2064</v>
      </c>
      <c r="AJ142" t="s">
        <v>2063</v>
      </c>
      <c r="AK142" t="s">
        <v>2062</v>
      </c>
      <c r="AL142">
        <v>17</v>
      </c>
      <c r="AM142" s="5">
        <f t="shared" si="19"/>
        <v>0.6071428571428571</v>
      </c>
      <c r="AN142" s="4">
        <f t="shared" si="20"/>
        <v>9.1956509979985925E-4</v>
      </c>
      <c r="AO142" s="3"/>
      <c r="AP142">
        <v>0</v>
      </c>
      <c r="AQ142" t="s">
        <v>2061</v>
      </c>
      <c r="AR142" t="s">
        <v>1</v>
      </c>
      <c r="AS142" t="s">
        <v>2060</v>
      </c>
      <c r="AT142" s="2">
        <v>4.1239999999999997</v>
      </c>
      <c r="AU142" s="1">
        <f t="shared" si="21"/>
        <v>3.0042827165881336</v>
      </c>
      <c r="AV142" s="1">
        <f t="shared" si="22"/>
        <v>2.1721895147000918</v>
      </c>
      <c r="AW142" s="1">
        <f t="shared" si="23"/>
        <v>1.3400963128120493</v>
      </c>
    </row>
    <row r="143" spans="1:49" x14ac:dyDescent="0.2">
      <c r="A143">
        <v>141</v>
      </c>
      <c r="B143" t="s">
        <v>2059</v>
      </c>
      <c r="C143" t="s">
        <v>2058</v>
      </c>
      <c r="F143" t="s">
        <v>2057</v>
      </c>
      <c r="G143" t="s">
        <v>8</v>
      </c>
      <c r="H143" t="s">
        <v>7</v>
      </c>
      <c r="I143" t="s">
        <v>2056</v>
      </c>
      <c r="J143">
        <v>60014313</v>
      </c>
      <c r="K143" t="s">
        <v>286</v>
      </c>
      <c r="L143" t="s">
        <v>285</v>
      </c>
      <c r="M143" t="s">
        <v>19</v>
      </c>
      <c r="N143">
        <v>2</v>
      </c>
      <c r="O143" t="s">
        <v>2055</v>
      </c>
      <c r="P143" t="s">
        <v>2054</v>
      </c>
      <c r="Q143" t="s">
        <v>321</v>
      </c>
      <c r="R143" s="7">
        <v>34620</v>
      </c>
      <c r="S143" s="8">
        <f t="shared" si="16"/>
        <v>1994</v>
      </c>
      <c r="T143" s="8">
        <v>1994</v>
      </c>
      <c r="U143" s="8">
        <f t="shared" si="17"/>
        <v>28</v>
      </c>
      <c r="V143" s="7">
        <v>34620</v>
      </c>
      <c r="W143" t="s">
        <v>151</v>
      </c>
      <c r="X143" s="2">
        <v>0.375</v>
      </c>
      <c r="Y143" s="6">
        <f t="shared" si="18"/>
        <v>1.0010410827260351E-2</v>
      </c>
      <c r="AA143">
        <v>135194</v>
      </c>
      <c r="AB143">
        <v>24918</v>
      </c>
      <c r="AD143" t="s">
        <v>2</v>
      </c>
      <c r="AE143">
        <v>30</v>
      </c>
      <c r="AF143">
        <v>23</v>
      </c>
      <c r="AH143" t="s">
        <v>2053</v>
      </c>
      <c r="AI143" t="s">
        <v>2052</v>
      </c>
      <c r="AJ143" t="s">
        <v>2051</v>
      </c>
      <c r="AK143" t="s">
        <v>2050</v>
      </c>
      <c r="AL143">
        <v>9</v>
      </c>
      <c r="AM143" s="5">
        <f t="shared" si="19"/>
        <v>0.32142857142857145</v>
      </c>
      <c r="AN143" s="4">
        <f t="shared" si="20"/>
        <v>4.8682858224698443E-4</v>
      </c>
      <c r="AO143" s="3"/>
      <c r="AP143">
        <v>0</v>
      </c>
      <c r="AR143" t="s">
        <v>1</v>
      </c>
      <c r="AT143" s="2">
        <v>1.3140000000000001</v>
      </c>
      <c r="AU143" s="1">
        <f t="shared" si="21"/>
        <v>0.71533361537563411</v>
      </c>
      <c r="AV143" s="1">
        <f t="shared" si="22"/>
        <v>0.52486197047536676</v>
      </c>
      <c r="AW143" s="1">
        <f t="shared" si="23"/>
        <v>0.3343903255750994</v>
      </c>
    </row>
    <row r="144" spans="1:49" x14ac:dyDescent="0.2">
      <c r="A144">
        <v>142</v>
      </c>
      <c r="B144" t="s">
        <v>2049</v>
      </c>
      <c r="C144" t="s">
        <v>2048</v>
      </c>
      <c r="F144" t="s">
        <v>2047</v>
      </c>
      <c r="G144" t="s">
        <v>8</v>
      </c>
      <c r="H144" t="s">
        <v>7</v>
      </c>
      <c r="I144" t="s">
        <v>2046</v>
      </c>
      <c r="J144">
        <v>60001359</v>
      </c>
      <c r="K144" t="s">
        <v>293</v>
      </c>
      <c r="L144" t="s">
        <v>292</v>
      </c>
      <c r="M144" t="s">
        <v>4</v>
      </c>
      <c r="N144">
        <v>2</v>
      </c>
      <c r="O144" t="s">
        <v>2045</v>
      </c>
      <c r="P144" t="s">
        <v>2044</v>
      </c>
      <c r="Q144" t="s">
        <v>291</v>
      </c>
      <c r="R144" s="7">
        <v>34620</v>
      </c>
      <c r="S144" s="8">
        <f t="shared" si="16"/>
        <v>1994</v>
      </c>
      <c r="T144" s="8">
        <v>1994</v>
      </c>
      <c r="U144" s="8">
        <f t="shared" si="17"/>
        <v>28</v>
      </c>
      <c r="V144" s="7">
        <v>34620</v>
      </c>
      <c r="W144" t="s">
        <v>151</v>
      </c>
      <c r="X144" s="2">
        <v>0.375</v>
      </c>
      <c r="Y144" s="6">
        <f t="shared" si="18"/>
        <v>1.0010410827260351E-2</v>
      </c>
      <c r="AA144">
        <v>135194</v>
      </c>
      <c r="AB144">
        <v>24918</v>
      </c>
      <c r="AD144" t="s">
        <v>2</v>
      </c>
      <c r="AE144">
        <v>30</v>
      </c>
      <c r="AF144">
        <v>23</v>
      </c>
      <c r="AH144" t="s">
        <v>2043</v>
      </c>
      <c r="AI144" t="s">
        <v>2042</v>
      </c>
      <c r="AJ144" t="s">
        <v>2041</v>
      </c>
      <c r="AK144" t="s">
        <v>2040</v>
      </c>
      <c r="AL144">
        <v>48</v>
      </c>
      <c r="AM144" s="5">
        <f t="shared" si="19"/>
        <v>1.7142857142857142</v>
      </c>
      <c r="AN144" s="4">
        <f t="shared" si="20"/>
        <v>2.5964191053172497E-3</v>
      </c>
      <c r="AO144" s="3"/>
      <c r="AP144">
        <v>0</v>
      </c>
      <c r="AR144" t="s">
        <v>1</v>
      </c>
      <c r="AT144" s="2">
        <v>1.3140000000000001</v>
      </c>
      <c r="AU144" s="1">
        <f t="shared" si="21"/>
        <v>0.77862133106774201</v>
      </c>
      <c r="AV144" s="1">
        <f t="shared" si="22"/>
        <v>0.63034149662888006</v>
      </c>
      <c r="AW144" s="1">
        <f t="shared" si="23"/>
        <v>0.48206166219001795</v>
      </c>
    </row>
    <row r="145" spans="1:49" x14ac:dyDescent="0.2">
      <c r="A145">
        <v>143</v>
      </c>
      <c r="B145" t="s">
        <v>2039</v>
      </c>
      <c r="C145" t="s">
        <v>2038</v>
      </c>
      <c r="F145" t="s">
        <v>2037</v>
      </c>
      <c r="G145" t="s">
        <v>8</v>
      </c>
      <c r="H145" t="s">
        <v>7</v>
      </c>
      <c r="I145" t="s">
        <v>75</v>
      </c>
      <c r="J145" t="s">
        <v>74</v>
      </c>
      <c r="K145" t="s">
        <v>73</v>
      </c>
      <c r="L145" t="s">
        <v>72</v>
      </c>
      <c r="M145" t="s">
        <v>23</v>
      </c>
      <c r="N145">
        <v>4</v>
      </c>
      <c r="O145" t="s">
        <v>2036</v>
      </c>
      <c r="P145" t="s">
        <v>2035</v>
      </c>
      <c r="Q145" t="s">
        <v>2034</v>
      </c>
      <c r="R145" s="7">
        <v>34620</v>
      </c>
      <c r="S145" s="8">
        <f t="shared" si="16"/>
        <v>1994</v>
      </c>
      <c r="T145" s="8">
        <v>1994</v>
      </c>
      <c r="U145" s="8">
        <f t="shared" si="17"/>
        <v>28</v>
      </c>
      <c r="V145" s="7">
        <v>34620</v>
      </c>
      <c r="W145" t="s">
        <v>151</v>
      </c>
      <c r="X145" s="2">
        <v>0.375</v>
      </c>
      <c r="Y145" s="6">
        <f t="shared" si="18"/>
        <v>1.0010410827260351E-2</v>
      </c>
      <c r="AA145">
        <v>135194</v>
      </c>
      <c r="AB145">
        <v>24918</v>
      </c>
      <c r="AD145" t="s">
        <v>2</v>
      </c>
      <c r="AE145">
        <v>30</v>
      </c>
      <c r="AF145">
        <v>21</v>
      </c>
      <c r="AH145" t="s">
        <v>2033</v>
      </c>
      <c r="AI145" t="s">
        <v>2032</v>
      </c>
      <c r="AJ145" t="s">
        <v>2031</v>
      </c>
      <c r="AK145" t="s">
        <v>2030</v>
      </c>
      <c r="AL145">
        <v>34</v>
      </c>
      <c r="AM145" s="5">
        <f t="shared" si="19"/>
        <v>1.2142857142857142</v>
      </c>
      <c r="AN145" s="4">
        <f t="shared" si="20"/>
        <v>1.8391301995997185E-3</v>
      </c>
      <c r="AO145" s="3"/>
      <c r="AP145">
        <v>0</v>
      </c>
      <c r="AR145" t="s">
        <v>1</v>
      </c>
      <c r="AT145" s="2">
        <v>1.3140000000000001</v>
      </c>
      <c r="AU145" s="1">
        <f t="shared" si="21"/>
        <v>0.75590266389621608</v>
      </c>
      <c r="AV145" s="1">
        <f t="shared" si="22"/>
        <v>0.59247705134300344</v>
      </c>
      <c r="AW145" s="1">
        <f t="shared" si="23"/>
        <v>0.4290514387897908</v>
      </c>
    </row>
    <row r="146" spans="1:49" x14ac:dyDescent="0.2">
      <c r="A146">
        <v>144</v>
      </c>
      <c r="B146" t="s">
        <v>2029</v>
      </c>
      <c r="C146" t="s">
        <v>2028</v>
      </c>
      <c r="F146" t="s">
        <v>2027</v>
      </c>
      <c r="G146" t="s">
        <v>8</v>
      </c>
      <c r="H146" t="s">
        <v>7</v>
      </c>
      <c r="I146" t="s">
        <v>2026</v>
      </c>
      <c r="J146">
        <v>60028263</v>
      </c>
      <c r="K146" t="s">
        <v>2025</v>
      </c>
      <c r="L146" t="s">
        <v>2024</v>
      </c>
      <c r="M146" t="s">
        <v>53</v>
      </c>
      <c r="N146">
        <v>3</v>
      </c>
      <c r="O146" t="s">
        <v>2023</v>
      </c>
      <c r="P146" t="s">
        <v>2022</v>
      </c>
      <c r="Q146" t="s">
        <v>2021</v>
      </c>
      <c r="R146" s="7">
        <v>34620</v>
      </c>
      <c r="S146" s="8">
        <f t="shared" si="16"/>
        <v>1994</v>
      </c>
      <c r="T146" s="8">
        <v>1994</v>
      </c>
      <c r="U146" s="8">
        <f t="shared" si="17"/>
        <v>28</v>
      </c>
      <c r="V146" s="7">
        <v>34620</v>
      </c>
      <c r="W146" t="s">
        <v>151</v>
      </c>
      <c r="X146" s="2">
        <v>0.375</v>
      </c>
      <c r="Y146" s="6">
        <f t="shared" si="18"/>
        <v>1.0010410827260351E-2</v>
      </c>
      <c r="AA146">
        <v>135194</v>
      </c>
      <c r="AB146">
        <v>24918</v>
      </c>
      <c r="AD146" t="s">
        <v>2</v>
      </c>
      <c r="AE146">
        <v>30</v>
      </c>
      <c r="AF146">
        <v>22</v>
      </c>
      <c r="AH146" t="s">
        <v>2020</v>
      </c>
      <c r="AI146" t="s">
        <v>2019</v>
      </c>
      <c r="AJ146" t="s">
        <v>2018</v>
      </c>
      <c r="AK146" t="s">
        <v>2017</v>
      </c>
      <c r="AL146">
        <v>86</v>
      </c>
      <c r="AM146" s="5">
        <f t="shared" si="19"/>
        <v>3.0714285714285716</v>
      </c>
      <c r="AN146" s="4">
        <f t="shared" si="20"/>
        <v>4.6519175636934064E-3</v>
      </c>
      <c r="AO146" s="3"/>
      <c r="AP146">
        <v>0</v>
      </c>
      <c r="AR146" t="s">
        <v>1</v>
      </c>
      <c r="AT146" s="2">
        <v>1.3140000000000001</v>
      </c>
      <c r="AU146" s="1">
        <f t="shared" si="21"/>
        <v>0.8402862848190269</v>
      </c>
      <c r="AV146" s="1">
        <f t="shared" si="22"/>
        <v>0.73311641954768791</v>
      </c>
      <c r="AW146" s="1">
        <f t="shared" si="23"/>
        <v>0.62594655427634893</v>
      </c>
    </row>
    <row r="147" spans="1:49" x14ac:dyDescent="0.2">
      <c r="A147">
        <v>145</v>
      </c>
      <c r="B147" t="s">
        <v>2016</v>
      </c>
      <c r="C147" t="s">
        <v>2015</v>
      </c>
      <c r="F147" t="s">
        <v>2014</v>
      </c>
      <c r="G147" t="s">
        <v>8</v>
      </c>
      <c r="H147" t="s">
        <v>7</v>
      </c>
      <c r="I147" t="s">
        <v>2013</v>
      </c>
      <c r="J147">
        <v>60008524</v>
      </c>
      <c r="K147" t="s">
        <v>254</v>
      </c>
      <c r="L147" t="s">
        <v>253</v>
      </c>
      <c r="M147" t="s">
        <v>4</v>
      </c>
      <c r="N147">
        <v>2</v>
      </c>
      <c r="O147" t="s">
        <v>2012</v>
      </c>
      <c r="P147" t="s">
        <v>2011</v>
      </c>
      <c r="Q147" t="s">
        <v>275</v>
      </c>
      <c r="R147" s="7">
        <v>34620</v>
      </c>
      <c r="S147" s="8">
        <f t="shared" si="16"/>
        <v>1994</v>
      </c>
      <c r="T147" s="8">
        <v>1994</v>
      </c>
      <c r="U147" s="8">
        <f t="shared" si="17"/>
        <v>28</v>
      </c>
      <c r="V147" s="7">
        <v>34620</v>
      </c>
      <c r="W147" t="s">
        <v>151</v>
      </c>
      <c r="X147" s="2">
        <v>0.375</v>
      </c>
      <c r="Y147" s="6">
        <f t="shared" si="18"/>
        <v>1.0010410827260351E-2</v>
      </c>
      <c r="AA147">
        <v>135194</v>
      </c>
      <c r="AB147">
        <v>24918</v>
      </c>
      <c r="AD147" t="s">
        <v>2</v>
      </c>
      <c r="AE147">
        <v>30</v>
      </c>
      <c r="AF147">
        <v>22</v>
      </c>
      <c r="AH147" t="s">
        <v>2010</v>
      </c>
      <c r="AI147" t="s">
        <v>2009</v>
      </c>
      <c r="AJ147" t="s">
        <v>2008</v>
      </c>
      <c r="AK147" t="s">
        <v>2007</v>
      </c>
      <c r="AL147">
        <v>10</v>
      </c>
      <c r="AM147" s="5">
        <f t="shared" si="19"/>
        <v>0.35714285714285715</v>
      </c>
      <c r="AN147" s="4">
        <f t="shared" si="20"/>
        <v>5.4092064694109376E-4</v>
      </c>
      <c r="AO147" s="3"/>
      <c r="AP147">
        <v>0</v>
      </c>
      <c r="AR147" t="s">
        <v>1</v>
      </c>
      <c r="AT147" s="2">
        <v>1.3140000000000001</v>
      </c>
      <c r="AU147" s="1">
        <f t="shared" si="21"/>
        <v>0.71695637731645734</v>
      </c>
      <c r="AV147" s="1">
        <f t="shared" si="22"/>
        <v>0.52756657371007221</v>
      </c>
      <c r="AW147" s="1">
        <f t="shared" si="23"/>
        <v>0.33817677010368707</v>
      </c>
    </row>
    <row r="148" spans="1:49" x14ac:dyDescent="0.2">
      <c r="A148">
        <v>146</v>
      </c>
      <c r="B148" t="s">
        <v>2006</v>
      </c>
      <c r="C148" t="s">
        <v>2005</v>
      </c>
      <c r="F148" t="s">
        <v>2004</v>
      </c>
      <c r="G148" t="s">
        <v>8</v>
      </c>
      <c r="H148" t="s">
        <v>7</v>
      </c>
      <c r="I148" t="s">
        <v>2003</v>
      </c>
      <c r="J148">
        <v>60011846</v>
      </c>
      <c r="K148" t="s">
        <v>2002</v>
      </c>
      <c r="L148" t="s">
        <v>2001</v>
      </c>
      <c r="M148" t="s">
        <v>53</v>
      </c>
      <c r="N148">
        <v>3</v>
      </c>
      <c r="O148" t="s">
        <v>2000</v>
      </c>
      <c r="P148" t="s">
        <v>1999</v>
      </c>
      <c r="Q148" t="s">
        <v>1998</v>
      </c>
      <c r="R148" s="7">
        <v>34620</v>
      </c>
      <c r="S148" s="8">
        <f t="shared" si="16"/>
        <v>1994</v>
      </c>
      <c r="T148" s="8">
        <v>1994</v>
      </c>
      <c r="U148" s="8">
        <f t="shared" si="17"/>
        <v>28</v>
      </c>
      <c r="V148" s="7">
        <v>34620</v>
      </c>
      <c r="W148" t="s">
        <v>151</v>
      </c>
      <c r="X148" s="2">
        <v>0.375</v>
      </c>
      <c r="Y148" s="6">
        <f t="shared" si="18"/>
        <v>1.0010410827260351E-2</v>
      </c>
      <c r="AA148">
        <v>135194</v>
      </c>
      <c r="AB148">
        <v>24918</v>
      </c>
      <c r="AD148" t="s">
        <v>2</v>
      </c>
      <c r="AE148">
        <v>30</v>
      </c>
      <c r="AF148">
        <v>22</v>
      </c>
      <c r="AH148" t="s">
        <v>1997</v>
      </c>
      <c r="AI148" t="s">
        <v>1996</v>
      </c>
      <c r="AJ148" t="s">
        <v>1995</v>
      </c>
      <c r="AK148" t="s">
        <v>1994</v>
      </c>
      <c r="AL148">
        <v>4</v>
      </c>
      <c r="AM148" s="5">
        <f t="shared" si="19"/>
        <v>0.14285714285714285</v>
      </c>
      <c r="AN148" s="4">
        <f t="shared" si="20"/>
        <v>2.1636825877643749E-4</v>
      </c>
      <c r="AO148" s="3"/>
      <c r="AP148">
        <v>0</v>
      </c>
      <c r="AR148" t="s">
        <v>1</v>
      </c>
      <c r="AT148" s="2">
        <v>1.3140000000000001</v>
      </c>
      <c r="AU148" s="1">
        <f t="shared" si="21"/>
        <v>0.70721980567151765</v>
      </c>
      <c r="AV148" s="1">
        <f t="shared" si="22"/>
        <v>0.5113389543018394</v>
      </c>
      <c r="AW148" s="1">
        <f t="shared" si="23"/>
        <v>0.31545810293216114</v>
      </c>
    </row>
    <row r="149" spans="1:49" x14ac:dyDescent="0.2">
      <c r="A149">
        <v>147</v>
      </c>
      <c r="B149" t="s">
        <v>1993</v>
      </c>
      <c r="C149" t="s">
        <v>1992</v>
      </c>
      <c r="F149" t="s">
        <v>1991</v>
      </c>
      <c r="G149" t="s">
        <v>8</v>
      </c>
      <c r="H149" t="s">
        <v>7</v>
      </c>
      <c r="I149" t="s">
        <v>1990</v>
      </c>
      <c r="J149">
        <v>60000891</v>
      </c>
      <c r="K149" t="s">
        <v>1989</v>
      </c>
      <c r="L149" t="s">
        <v>1988</v>
      </c>
      <c r="M149" t="s">
        <v>4</v>
      </c>
      <c r="N149">
        <v>2</v>
      </c>
      <c r="O149" t="s">
        <v>1987</v>
      </c>
      <c r="P149" t="s">
        <v>1986</v>
      </c>
      <c r="Q149" t="s">
        <v>1985</v>
      </c>
      <c r="R149" s="7">
        <v>34620</v>
      </c>
      <c r="S149" s="8">
        <f t="shared" si="16"/>
        <v>1994</v>
      </c>
      <c r="T149" s="8">
        <v>1994</v>
      </c>
      <c r="U149" s="8">
        <f t="shared" si="17"/>
        <v>28</v>
      </c>
      <c r="V149" s="7">
        <v>34620</v>
      </c>
      <c r="W149" t="s">
        <v>151</v>
      </c>
      <c r="X149" s="2">
        <v>0.375</v>
      </c>
      <c r="Y149" s="6">
        <f t="shared" si="18"/>
        <v>1.0010410827260351E-2</v>
      </c>
      <c r="AA149">
        <v>135194</v>
      </c>
      <c r="AB149">
        <v>24918</v>
      </c>
      <c r="AD149" t="s">
        <v>2</v>
      </c>
      <c r="AE149">
        <v>30</v>
      </c>
      <c r="AF149">
        <v>22</v>
      </c>
      <c r="AH149" t="s">
        <v>1984</v>
      </c>
      <c r="AI149" t="s">
        <v>1983</v>
      </c>
      <c r="AJ149" t="s">
        <v>1162</v>
      </c>
      <c r="AK149" t="s">
        <v>1982</v>
      </c>
      <c r="AL149">
        <v>18</v>
      </c>
      <c r="AM149" s="5">
        <f t="shared" si="19"/>
        <v>0.6428571428571429</v>
      </c>
      <c r="AN149" s="4">
        <f t="shared" si="20"/>
        <v>9.7365716449396885E-4</v>
      </c>
      <c r="AO149" s="3"/>
      <c r="AP149">
        <v>0</v>
      </c>
      <c r="AR149" t="s">
        <v>1</v>
      </c>
      <c r="AT149" s="2">
        <v>1.3140000000000001</v>
      </c>
      <c r="AU149" s="1">
        <f t="shared" si="21"/>
        <v>0.7299384728430437</v>
      </c>
      <c r="AV149" s="1">
        <f t="shared" si="22"/>
        <v>0.54920339958771602</v>
      </c>
      <c r="AW149" s="1">
        <f t="shared" si="23"/>
        <v>0.36846832633238835</v>
      </c>
    </row>
    <row r="150" spans="1:49" x14ac:dyDescent="0.2">
      <c r="A150">
        <v>148</v>
      </c>
      <c r="B150" t="s">
        <v>1981</v>
      </c>
      <c r="C150" t="s">
        <v>1980</v>
      </c>
      <c r="F150" t="s">
        <v>1979</v>
      </c>
      <c r="G150" t="s">
        <v>8</v>
      </c>
      <c r="H150" t="s">
        <v>7</v>
      </c>
      <c r="I150" t="s">
        <v>813</v>
      </c>
      <c r="J150">
        <v>60008524</v>
      </c>
      <c r="K150" t="s">
        <v>254</v>
      </c>
      <c r="L150" t="s">
        <v>253</v>
      </c>
      <c r="M150" t="s">
        <v>4</v>
      </c>
      <c r="N150">
        <v>2</v>
      </c>
      <c r="O150" t="s">
        <v>812</v>
      </c>
      <c r="P150" t="s">
        <v>811</v>
      </c>
      <c r="Q150" t="s">
        <v>275</v>
      </c>
      <c r="R150" s="7">
        <v>34620</v>
      </c>
      <c r="S150" s="8">
        <f t="shared" si="16"/>
        <v>1994</v>
      </c>
      <c r="T150" s="8">
        <v>1994</v>
      </c>
      <c r="U150" s="8">
        <f t="shared" si="17"/>
        <v>28</v>
      </c>
      <c r="V150" s="7">
        <v>34620</v>
      </c>
      <c r="W150" t="s">
        <v>151</v>
      </c>
      <c r="X150" s="2">
        <v>0.375</v>
      </c>
      <c r="Y150" s="6">
        <f t="shared" si="18"/>
        <v>1.0010410827260351E-2</v>
      </c>
      <c r="AA150">
        <v>135194</v>
      </c>
      <c r="AB150">
        <v>24918</v>
      </c>
      <c r="AD150" t="s">
        <v>2</v>
      </c>
      <c r="AE150">
        <v>30</v>
      </c>
      <c r="AF150">
        <v>22</v>
      </c>
      <c r="AH150" t="s">
        <v>1978</v>
      </c>
      <c r="AI150" t="s">
        <v>1977</v>
      </c>
      <c r="AJ150" t="s">
        <v>1976</v>
      </c>
      <c r="AK150" t="s">
        <v>1975</v>
      </c>
      <c r="AL150">
        <v>0</v>
      </c>
      <c r="AM150" s="5">
        <f t="shared" si="19"/>
        <v>0</v>
      </c>
      <c r="AN150" s="4">
        <f t="shared" si="20"/>
        <v>0</v>
      </c>
      <c r="AO150" s="3"/>
      <c r="AP150">
        <v>0</v>
      </c>
      <c r="AR150" t="s">
        <v>1</v>
      </c>
      <c r="AT150" s="2">
        <v>1.3140000000000001</v>
      </c>
      <c r="AU150" s="1">
        <f t="shared" si="21"/>
        <v>0.70072875790822453</v>
      </c>
      <c r="AV150" s="1">
        <f t="shared" si="22"/>
        <v>0.5005205413630176</v>
      </c>
      <c r="AW150" s="1">
        <f t="shared" si="23"/>
        <v>0.30031232481781051</v>
      </c>
    </row>
    <row r="151" spans="1:49" x14ac:dyDescent="0.2">
      <c r="A151">
        <v>149</v>
      </c>
      <c r="B151" t="s">
        <v>1974</v>
      </c>
      <c r="C151" t="s">
        <v>1973</v>
      </c>
      <c r="F151" t="s">
        <v>1972</v>
      </c>
      <c r="G151" t="s">
        <v>8</v>
      </c>
      <c r="H151" t="s">
        <v>7</v>
      </c>
      <c r="I151" t="s">
        <v>1971</v>
      </c>
      <c r="J151">
        <v>60009289</v>
      </c>
      <c r="K151" t="s">
        <v>1970</v>
      </c>
      <c r="L151" t="s">
        <v>1969</v>
      </c>
      <c r="M151" t="s">
        <v>19</v>
      </c>
      <c r="N151">
        <v>5</v>
      </c>
      <c r="O151" t="s">
        <v>1968</v>
      </c>
      <c r="P151" t="s">
        <v>1967</v>
      </c>
      <c r="Q151" t="s">
        <v>1966</v>
      </c>
      <c r="R151" s="7">
        <v>34620</v>
      </c>
      <c r="S151" s="8">
        <f t="shared" si="16"/>
        <v>1994</v>
      </c>
      <c r="T151" s="8">
        <v>1994</v>
      </c>
      <c r="U151" s="8">
        <f t="shared" si="17"/>
        <v>28</v>
      </c>
      <c r="V151" s="7">
        <v>34620</v>
      </c>
      <c r="W151" t="s">
        <v>151</v>
      </c>
      <c r="X151" s="2">
        <v>0.375</v>
      </c>
      <c r="Y151" s="6">
        <f t="shared" si="18"/>
        <v>1.0010410827260351E-2</v>
      </c>
      <c r="AA151">
        <v>135194</v>
      </c>
      <c r="AB151">
        <v>24918</v>
      </c>
      <c r="AD151" t="s">
        <v>2</v>
      </c>
      <c r="AE151">
        <v>30</v>
      </c>
      <c r="AF151">
        <v>22</v>
      </c>
      <c r="AH151" t="s">
        <v>1965</v>
      </c>
      <c r="AI151" t="s">
        <v>1964</v>
      </c>
      <c r="AJ151" t="s">
        <v>1963</v>
      </c>
      <c r="AK151" t="s">
        <v>1962</v>
      </c>
      <c r="AL151">
        <v>33</v>
      </c>
      <c r="AM151" s="5">
        <f t="shared" si="19"/>
        <v>1.1785714285714286</v>
      </c>
      <c r="AN151" s="4">
        <f t="shared" si="20"/>
        <v>1.7850381349056093E-3</v>
      </c>
      <c r="AO151" s="3"/>
      <c r="AP151">
        <v>0</v>
      </c>
      <c r="AR151" t="s">
        <v>1</v>
      </c>
      <c r="AT151" s="2">
        <v>1.3140000000000001</v>
      </c>
      <c r="AU151" s="1">
        <f t="shared" si="21"/>
        <v>0.75427990195539285</v>
      </c>
      <c r="AV151" s="1">
        <f t="shared" si="22"/>
        <v>0.5897724481082981</v>
      </c>
      <c r="AW151" s="1">
        <f t="shared" si="23"/>
        <v>0.42526499426120318</v>
      </c>
    </row>
    <row r="152" spans="1:49" x14ac:dyDescent="0.2">
      <c r="A152">
        <v>150</v>
      </c>
      <c r="B152" t="s">
        <v>1961</v>
      </c>
      <c r="C152" t="s">
        <v>1960</v>
      </c>
      <c r="F152" t="s">
        <v>1959</v>
      </c>
      <c r="G152" t="s">
        <v>8</v>
      </c>
      <c r="H152" t="s">
        <v>7</v>
      </c>
      <c r="I152" t="s">
        <v>1958</v>
      </c>
      <c r="J152">
        <v>60020650</v>
      </c>
      <c r="K152" t="s">
        <v>176</v>
      </c>
      <c r="L152" t="s">
        <v>175</v>
      </c>
      <c r="M152" t="s">
        <v>4</v>
      </c>
      <c r="N152">
        <v>3</v>
      </c>
      <c r="O152" t="s">
        <v>1957</v>
      </c>
      <c r="P152" t="s">
        <v>1956</v>
      </c>
      <c r="Q152" t="s">
        <v>290</v>
      </c>
      <c r="R152" s="7">
        <v>34620</v>
      </c>
      <c r="S152" s="8">
        <f t="shared" si="16"/>
        <v>1994</v>
      </c>
      <c r="T152" s="8">
        <v>1994</v>
      </c>
      <c r="U152" s="8">
        <f t="shared" si="17"/>
        <v>28</v>
      </c>
      <c r="V152" s="7">
        <v>34620</v>
      </c>
      <c r="W152" t="s">
        <v>151</v>
      </c>
      <c r="X152" s="2">
        <v>0.375</v>
      </c>
      <c r="Y152" s="6">
        <f t="shared" si="18"/>
        <v>1.0010410827260351E-2</v>
      </c>
      <c r="AA152">
        <v>135194</v>
      </c>
      <c r="AB152">
        <v>24918</v>
      </c>
      <c r="AD152" t="s">
        <v>2</v>
      </c>
      <c r="AE152">
        <v>30</v>
      </c>
      <c r="AF152">
        <v>22</v>
      </c>
      <c r="AH152" t="s">
        <v>1955</v>
      </c>
      <c r="AI152" t="s">
        <v>1954</v>
      </c>
      <c r="AJ152" t="s">
        <v>1953</v>
      </c>
      <c r="AK152" t="s">
        <v>1952</v>
      </c>
      <c r="AL152">
        <v>4</v>
      </c>
      <c r="AM152" s="5">
        <f t="shared" si="19"/>
        <v>0.14285714285714285</v>
      </c>
      <c r="AN152" s="4">
        <f t="shared" si="20"/>
        <v>2.1636825877643749E-4</v>
      </c>
      <c r="AO152" s="3"/>
      <c r="AP152">
        <v>0</v>
      </c>
      <c r="AR152" t="s">
        <v>1</v>
      </c>
      <c r="AT152" s="2">
        <v>1.3140000000000001</v>
      </c>
      <c r="AU152" s="1">
        <f t="shared" si="21"/>
        <v>0.70721980567151765</v>
      </c>
      <c r="AV152" s="1">
        <f t="shared" si="22"/>
        <v>0.5113389543018394</v>
      </c>
      <c r="AW152" s="1">
        <f t="shared" si="23"/>
        <v>0.31545810293216114</v>
      </c>
    </row>
    <row r="153" spans="1:49" x14ac:dyDescent="0.2">
      <c r="A153">
        <v>151</v>
      </c>
      <c r="B153" t="s">
        <v>1951</v>
      </c>
      <c r="C153" t="s">
        <v>1950</v>
      </c>
      <c r="F153" t="s">
        <v>1949</v>
      </c>
      <c r="G153" t="s">
        <v>8</v>
      </c>
      <c r="H153" t="s">
        <v>7</v>
      </c>
      <c r="I153" t="s">
        <v>1948</v>
      </c>
      <c r="J153">
        <v>60018163</v>
      </c>
      <c r="K153" t="s">
        <v>450</v>
      </c>
      <c r="L153" t="s">
        <v>101</v>
      </c>
      <c r="M153" t="s">
        <v>100</v>
      </c>
      <c r="N153">
        <v>3</v>
      </c>
      <c r="O153" t="s">
        <v>1947</v>
      </c>
      <c r="P153" t="s">
        <v>1946</v>
      </c>
      <c r="Q153" t="s">
        <v>1945</v>
      </c>
      <c r="R153" s="7">
        <v>34620</v>
      </c>
      <c r="S153" s="8">
        <f t="shared" si="16"/>
        <v>1994</v>
      </c>
      <c r="T153" s="8">
        <v>1994</v>
      </c>
      <c r="U153" s="8">
        <f t="shared" si="17"/>
        <v>28</v>
      </c>
      <c r="V153" s="7">
        <v>34620</v>
      </c>
      <c r="W153" t="s">
        <v>151</v>
      </c>
      <c r="X153" s="2">
        <v>0.375</v>
      </c>
      <c r="Y153" s="6">
        <f t="shared" si="18"/>
        <v>1.0010410827260351E-2</v>
      </c>
      <c r="AA153">
        <v>135194</v>
      </c>
      <c r="AB153">
        <v>24918</v>
      </c>
      <c r="AD153" t="s">
        <v>2</v>
      </c>
      <c r="AE153">
        <v>30</v>
      </c>
      <c r="AF153">
        <v>22</v>
      </c>
      <c r="AH153" t="s">
        <v>1944</v>
      </c>
      <c r="AI153" t="s">
        <v>1943</v>
      </c>
      <c r="AJ153" t="s">
        <v>1942</v>
      </c>
      <c r="AK153" t="s">
        <v>1941</v>
      </c>
      <c r="AL153">
        <v>36</v>
      </c>
      <c r="AM153" s="5">
        <f t="shared" si="19"/>
        <v>1.2857142857142858</v>
      </c>
      <c r="AN153" s="4">
        <f t="shared" si="20"/>
        <v>1.9473143289879377E-3</v>
      </c>
      <c r="AO153" s="3"/>
      <c r="AP153">
        <v>0</v>
      </c>
      <c r="AR153" t="s">
        <v>1</v>
      </c>
      <c r="AT153" s="2">
        <v>1.3140000000000001</v>
      </c>
      <c r="AU153" s="1">
        <f t="shared" si="21"/>
        <v>0.75914818777786275</v>
      </c>
      <c r="AV153" s="1">
        <f t="shared" si="22"/>
        <v>0.59788625781241445</v>
      </c>
      <c r="AW153" s="1">
        <f t="shared" si="23"/>
        <v>0.43662432784696609</v>
      </c>
    </row>
    <row r="154" spans="1:49" x14ac:dyDescent="0.2">
      <c r="A154">
        <v>152</v>
      </c>
      <c r="B154" t="s">
        <v>1940</v>
      </c>
      <c r="C154" t="s">
        <v>1939</v>
      </c>
      <c r="F154" t="s">
        <v>1938</v>
      </c>
      <c r="G154" t="s">
        <v>8</v>
      </c>
      <c r="H154" t="s">
        <v>7</v>
      </c>
      <c r="I154" t="s">
        <v>1937</v>
      </c>
      <c r="J154">
        <v>60026717</v>
      </c>
      <c r="K154" t="s">
        <v>332</v>
      </c>
      <c r="L154" t="s">
        <v>51</v>
      </c>
      <c r="M154" t="s">
        <v>19</v>
      </c>
      <c r="N154">
        <v>1</v>
      </c>
      <c r="O154" t="s">
        <v>1936</v>
      </c>
      <c r="P154">
        <v>7202166511</v>
      </c>
      <c r="Q154">
        <v>60026717</v>
      </c>
      <c r="R154" s="7">
        <v>34620</v>
      </c>
      <c r="S154" s="8">
        <f t="shared" si="16"/>
        <v>1994</v>
      </c>
      <c r="T154" s="8">
        <v>1994</v>
      </c>
      <c r="U154" s="8">
        <f t="shared" si="17"/>
        <v>28</v>
      </c>
      <c r="V154" s="7">
        <v>34620</v>
      </c>
      <c r="W154" t="s">
        <v>151</v>
      </c>
      <c r="X154" s="2">
        <v>0.375</v>
      </c>
      <c r="Y154" s="6">
        <f t="shared" si="18"/>
        <v>1.0010410827260351E-2</v>
      </c>
      <c r="AA154">
        <v>135194</v>
      </c>
      <c r="AB154">
        <v>24918</v>
      </c>
      <c r="AD154" t="s">
        <v>2</v>
      </c>
      <c r="AE154">
        <v>30</v>
      </c>
      <c r="AF154">
        <v>8</v>
      </c>
      <c r="AH154" t="s">
        <v>1935</v>
      </c>
      <c r="AI154" t="s">
        <v>1934</v>
      </c>
      <c r="AJ154" t="s">
        <v>1933</v>
      </c>
      <c r="AK154" t="s">
        <v>1932</v>
      </c>
      <c r="AL154">
        <v>4</v>
      </c>
      <c r="AM154" s="5">
        <f t="shared" si="19"/>
        <v>0.14285714285714285</v>
      </c>
      <c r="AN154" s="4">
        <f t="shared" si="20"/>
        <v>2.1636825877643749E-4</v>
      </c>
      <c r="AO154" s="3"/>
      <c r="AP154">
        <v>0</v>
      </c>
      <c r="AR154" t="s">
        <v>1</v>
      </c>
      <c r="AT154" s="2">
        <v>1.3140000000000001</v>
      </c>
      <c r="AU154" s="1">
        <f t="shared" si="21"/>
        <v>0.70721980567151765</v>
      </c>
      <c r="AV154" s="1">
        <f t="shared" si="22"/>
        <v>0.5113389543018394</v>
      </c>
      <c r="AW154" s="1">
        <f t="shared" si="23"/>
        <v>0.31545810293216114</v>
      </c>
    </row>
    <row r="155" spans="1:49" x14ac:dyDescent="0.2">
      <c r="A155">
        <v>153</v>
      </c>
      <c r="B155" t="s">
        <v>1931</v>
      </c>
      <c r="C155" t="s">
        <v>1930</v>
      </c>
      <c r="F155" t="s">
        <v>1929</v>
      </c>
      <c r="G155" t="s">
        <v>8</v>
      </c>
      <c r="H155" t="s">
        <v>7</v>
      </c>
      <c r="I155" t="s">
        <v>1928</v>
      </c>
      <c r="J155">
        <v>60020621</v>
      </c>
      <c r="K155" t="s">
        <v>296</v>
      </c>
      <c r="L155" t="s">
        <v>295</v>
      </c>
      <c r="M155" t="s">
        <v>49</v>
      </c>
      <c r="N155">
        <v>1</v>
      </c>
      <c r="O155" t="s">
        <v>1927</v>
      </c>
      <c r="P155">
        <v>7006178696</v>
      </c>
      <c r="Q155">
        <v>60020621</v>
      </c>
      <c r="R155" s="7">
        <v>34620</v>
      </c>
      <c r="S155" s="8">
        <f t="shared" si="16"/>
        <v>1994</v>
      </c>
      <c r="T155" s="8">
        <v>1994</v>
      </c>
      <c r="U155" s="8">
        <f t="shared" si="17"/>
        <v>28</v>
      </c>
      <c r="V155" s="7">
        <v>34620</v>
      </c>
      <c r="W155" t="s">
        <v>151</v>
      </c>
      <c r="X155" s="2">
        <v>0.375</v>
      </c>
      <c r="Y155" s="6">
        <f t="shared" si="18"/>
        <v>1.0010410827260351E-2</v>
      </c>
      <c r="AA155">
        <v>135194</v>
      </c>
      <c r="AB155">
        <v>24918</v>
      </c>
      <c r="AD155" t="s">
        <v>2</v>
      </c>
      <c r="AE155">
        <v>30</v>
      </c>
      <c r="AF155">
        <v>8</v>
      </c>
      <c r="AH155" t="s">
        <v>1926</v>
      </c>
      <c r="AI155" t="s">
        <v>1925</v>
      </c>
      <c r="AJ155" t="s">
        <v>1924</v>
      </c>
      <c r="AK155" t="s">
        <v>1923</v>
      </c>
      <c r="AL155">
        <v>6</v>
      </c>
      <c r="AM155" s="5">
        <f t="shared" si="19"/>
        <v>0.21428571428571427</v>
      </c>
      <c r="AN155" s="4">
        <f t="shared" si="20"/>
        <v>3.2455238816465621E-4</v>
      </c>
      <c r="AO155" s="3"/>
      <c r="AP155">
        <v>0</v>
      </c>
      <c r="AR155" t="s">
        <v>1</v>
      </c>
      <c r="AT155" s="2">
        <v>1.3140000000000001</v>
      </c>
      <c r="AU155" s="1">
        <f t="shared" si="21"/>
        <v>0.71046532955316422</v>
      </c>
      <c r="AV155" s="1">
        <f t="shared" si="22"/>
        <v>0.5167481607712503</v>
      </c>
      <c r="AW155" s="1">
        <f t="shared" si="23"/>
        <v>0.32303099198933644</v>
      </c>
    </row>
    <row r="156" spans="1:49" x14ac:dyDescent="0.2">
      <c r="A156">
        <v>154</v>
      </c>
      <c r="B156" t="s">
        <v>1922</v>
      </c>
      <c r="C156" t="s">
        <v>1921</v>
      </c>
      <c r="F156" t="s">
        <v>1920</v>
      </c>
      <c r="G156" t="s">
        <v>8</v>
      </c>
      <c r="H156" t="s">
        <v>7</v>
      </c>
      <c r="I156" t="s">
        <v>442</v>
      </c>
      <c r="J156">
        <v>60009697</v>
      </c>
      <c r="K156" t="s">
        <v>234</v>
      </c>
      <c r="L156" t="s">
        <v>233</v>
      </c>
      <c r="M156" t="s">
        <v>47</v>
      </c>
      <c r="N156">
        <v>2</v>
      </c>
      <c r="O156" t="s">
        <v>441</v>
      </c>
      <c r="P156" t="s">
        <v>440</v>
      </c>
      <c r="Q156" t="s">
        <v>232</v>
      </c>
      <c r="R156" s="7">
        <v>34620</v>
      </c>
      <c r="S156" s="8">
        <f t="shared" si="16"/>
        <v>1994</v>
      </c>
      <c r="T156" s="8">
        <v>1994</v>
      </c>
      <c r="U156" s="8">
        <f t="shared" si="17"/>
        <v>28</v>
      </c>
      <c r="V156" s="7">
        <v>34620</v>
      </c>
      <c r="W156" t="s">
        <v>151</v>
      </c>
      <c r="X156" s="2">
        <v>0.375</v>
      </c>
      <c r="Y156" s="6">
        <f t="shared" si="18"/>
        <v>1.0010410827260351E-2</v>
      </c>
      <c r="AA156">
        <v>135194</v>
      </c>
      <c r="AB156">
        <v>24918</v>
      </c>
      <c r="AD156" t="s">
        <v>2</v>
      </c>
      <c r="AE156">
        <v>30</v>
      </c>
      <c r="AF156">
        <v>8</v>
      </c>
      <c r="AH156" t="s">
        <v>1919</v>
      </c>
      <c r="AI156" t="s">
        <v>1918</v>
      </c>
      <c r="AJ156" t="s">
        <v>1917</v>
      </c>
      <c r="AK156" t="s">
        <v>1916</v>
      </c>
      <c r="AL156">
        <v>2</v>
      </c>
      <c r="AM156" s="5">
        <f t="shared" si="19"/>
        <v>7.1428571428571425E-2</v>
      </c>
      <c r="AN156" s="4">
        <f t="shared" si="20"/>
        <v>1.0818412938821875E-4</v>
      </c>
      <c r="AO156" s="3"/>
      <c r="AP156">
        <v>0</v>
      </c>
      <c r="AR156" t="s">
        <v>1</v>
      </c>
      <c r="AT156" s="2">
        <v>1.3140000000000001</v>
      </c>
      <c r="AU156" s="1">
        <f t="shared" si="21"/>
        <v>0.70397428178987109</v>
      </c>
      <c r="AV156" s="1">
        <f t="shared" si="22"/>
        <v>0.5059297478324285</v>
      </c>
      <c r="AW156" s="1">
        <f t="shared" si="23"/>
        <v>0.30788521387498585</v>
      </c>
    </row>
    <row r="157" spans="1:49" x14ac:dyDescent="0.2">
      <c r="A157">
        <v>155</v>
      </c>
      <c r="B157" t="s">
        <v>1915</v>
      </c>
      <c r="C157" t="s">
        <v>1914</v>
      </c>
      <c r="F157" t="s">
        <v>1913</v>
      </c>
      <c r="G157" t="s">
        <v>8</v>
      </c>
      <c r="H157" t="s">
        <v>7</v>
      </c>
      <c r="I157" t="s">
        <v>1912</v>
      </c>
      <c r="J157" t="s">
        <v>1911</v>
      </c>
      <c r="K157" t="s">
        <v>1910</v>
      </c>
      <c r="L157" t="s">
        <v>1909</v>
      </c>
      <c r="M157" t="s">
        <v>1908</v>
      </c>
      <c r="N157">
        <v>4</v>
      </c>
      <c r="O157" t="s">
        <v>1907</v>
      </c>
      <c r="P157" t="s">
        <v>1906</v>
      </c>
      <c r="Q157" t="s">
        <v>1905</v>
      </c>
      <c r="R157" s="7">
        <v>34620</v>
      </c>
      <c r="S157" s="8">
        <f t="shared" si="16"/>
        <v>1994</v>
      </c>
      <c r="T157" s="8">
        <v>1994</v>
      </c>
      <c r="U157" s="8">
        <f t="shared" si="17"/>
        <v>28</v>
      </c>
      <c r="V157" s="7">
        <v>34620</v>
      </c>
      <c r="W157" t="s">
        <v>151</v>
      </c>
      <c r="X157" s="2">
        <v>0.375</v>
      </c>
      <c r="Y157" s="6">
        <f t="shared" si="18"/>
        <v>1.0010410827260351E-2</v>
      </c>
      <c r="AA157">
        <v>135194</v>
      </c>
      <c r="AB157">
        <v>24918</v>
      </c>
      <c r="AD157" t="s">
        <v>2</v>
      </c>
      <c r="AE157">
        <v>30</v>
      </c>
      <c r="AF157">
        <v>8</v>
      </c>
      <c r="AH157" t="s">
        <v>1904</v>
      </c>
      <c r="AI157" t="s">
        <v>1903</v>
      </c>
      <c r="AJ157" t="s">
        <v>1902</v>
      </c>
      <c r="AK157" t="s">
        <v>1901</v>
      </c>
      <c r="AL157">
        <v>4</v>
      </c>
      <c r="AM157" s="5">
        <f t="shared" si="19"/>
        <v>0.14285714285714285</v>
      </c>
      <c r="AN157" s="4">
        <f t="shared" si="20"/>
        <v>2.1636825877643749E-4</v>
      </c>
      <c r="AO157" s="3"/>
      <c r="AP157">
        <v>0</v>
      </c>
      <c r="AR157" t="s">
        <v>1</v>
      </c>
      <c r="AT157" s="2">
        <v>1.3140000000000001</v>
      </c>
      <c r="AU157" s="1">
        <f t="shared" si="21"/>
        <v>0.70721980567151765</v>
      </c>
      <c r="AV157" s="1">
        <f t="shared" si="22"/>
        <v>0.5113389543018394</v>
      </c>
      <c r="AW157" s="1">
        <f t="shared" si="23"/>
        <v>0.31545810293216114</v>
      </c>
    </row>
    <row r="158" spans="1:49" x14ac:dyDescent="0.2">
      <c r="A158">
        <v>156</v>
      </c>
      <c r="B158" t="s">
        <v>1900</v>
      </c>
      <c r="C158" t="s">
        <v>1899</v>
      </c>
      <c r="F158" t="s">
        <v>1898</v>
      </c>
      <c r="G158" t="s">
        <v>8</v>
      </c>
      <c r="H158" t="s">
        <v>7</v>
      </c>
      <c r="I158" t="s">
        <v>1897</v>
      </c>
      <c r="J158" t="s">
        <v>1896</v>
      </c>
      <c r="K158" t="s">
        <v>1895</v>
      </c>
      <c r="L158" t="s">
        <v>1894</v>
      </c>
      <c r="M158" t="s">
        <v>1893</v>
      </c>
      <c r="N158">
        <v>6</v>
      </c>
      <c r="O158" t="s">
        <v>1892</v>
      </c>
      <c r="P158" t="s">
        <v>1891</v>
      </c>
      <c r="Q158" t="s">
        <v>1890</v>
      </c>
      <c r="R158" s="7">
        <v>34620</v>
      </c>
      <c r="S158" s="8">
        <f t="shared" si="16"/>
        <v>1994</v>
      </c>
      <c r="T158" s="8">
        <v>1994</v>
      </c>
      <c r="U158" s="8">
        <f t="shared" si="17"/>
        <v>28</v>
      </c>
      <c r="V158" s="7">
        <v>34620</v>
      </c>
      <c r="W158" t="s">
        <v>151</v>
      </c>
      <c r="X158" s="2">
        <v>0.375</v>
      </c>
      <c r="Y158" s="6">
        <f t="shared" si="18"/>
        <v>1.0010410827260351E-2</v>
      </c>
      <c r="AA158">
        <v>135194</v>
      </c>
      <c r="AB158">
        <v>24918</v>
      </c>
      <c r="AD158" t="s">
        <v>2</v>
      </c>
      <c r="AE158">
        <v>30</v>
      </c>
      <c r="AF158">
        <v>7</v>
      </c>
      <c r="AH158" t="s">
        <v>287</v>
      </c>
      <c r="AI158" t="s">
        <v>1889</v>
      </c>
      <c r="AJ158" t="s">
        <v>1888</v>
      </c>
      <c r="AK158" t="s">
        <v>1887</v>
      </c>
      <c r="AL158">
        <v>4</v>
      </c>
      <c r="AM158" s="5">
        <f t="shared" si="19"/>
        <v>0.14285714285714285</v>
      </c>
      <c r="AN158" s="4">
        <f t="shared" si="20"/>
        <v>2.1636825877643749E-4</v>
      </c>
      <c r="AO158" s="3"/>
      <c r="AP158">
        <v>0</v>
      </c>
      <c r="AR158" t="s">
        <v>1</v>
      </c>
      <c r="AT158" s="2">
        <v>1.3140000000000001</v>
      </c>
      <c r="AU158" s="1">
        <f t="shared" si="21"/>
        <v>0.70721980567151765</v>
      </c>
      <c r="AV158" s="1">
        <f t="shared" si="22"/>
        <v>0.5113389543018394</v>
      </c>
      <c r="AW158" s="1">
        <f t="shared" si="23"/>
        <v>0.31545810293216114</v>
      </c>
    </row>
    <row r="159" spans="1:49" x14ac:dyDescent="0.2">
      <c r="A159">
        <v>157</v>
      </c>
      <c r="B159" t="s">
        <v>1886</v>
      </c>
      <c r="C159" t="s">
        <v>1885</v>
      </c>
      <c r="F159" t="s">
        <v>1884</v>
      </c>
      <c r="G159" t="s">
        <v>8</v>
      </c>
      <c r="H159" t="s">
        <v>7</v>
      </c>
      <c r="I159" t="s">
        <v>1883</v>
      </c>
      <c r="J159">
        <v>60012370</v>
      </c>
      <c r="K159" t="s">
        <v>244</v>
      </c>
      <c r="L159" t="s">
        <v>243</v>
      </c>
      <c r="M159" t="s">
        <v>159</v>
      </c>
      <c r="N159">
        <v>3</v>
      </c>
      <c r="O159" t="s">
        <v>1882</v>
      </c>
      <c r="P159" t="s">
        <v>1881</v>
      </c>
      <c r="Q159" t="s">
        <v>1880</v>
      </c>
      <c r="R159" s="7">
        <v>34620</v>
      </c>
      <c r="S159" s="8">
        <f t="shared" si="16"/>
        <v>1994</v>
      </c>
      <c r="T159" s="8">
        <v>1994</v>
      </c>
      <c r="U159" s="8">
        <f t="shared" si="17"/>
        <v>28</v>
      </c>
      <c r="V159" s="7">
        <v>34620</v>
      </c>
      <c r="W159" t="s">
        <v>151</v>
      </c>
      <c r="X159" s="2">
        <v>0.375</v>
      </c>
      <c r="Y159" s="6">
        <f t="shared" si="18"/>
        <v>1.0010410827260351E-2</v>
      </c>
      <c r="AA159">
        <v>135194</v>
      </c>
      <c r="AB159">
        <v>24918</v>
      </c>
      <c r="AD159" t="s">
        <v>2</v>
      </c>
      <c r="AE159">
        <v>30</v>
      </c>
      <c r="AF159">
        <v>7</v>
      </c>
      <c r="AH159" t="s">
        <v>1879</v>
      </c>
      <c r="AI159" t="s">
        <v>1878</v>
      </c>
      <c r="AJ159" t="s">
        <v>1877</v>
      </c>
      <c r="AK159" t="s">
        <v>1876</v>
      </c>
      <c r="AL159">
        <v>23</v>
      </c>
      <c r="AM159" s="5">
        <f t="shared" si="19"/>
        <v>0.8214285714285714</v>
      </c>
      <c r="AN159" s="4">
        <f t="shared" si="20"/>
        <v>1.2441174879645155E-3</v>
      </c>
      <c r="AO159" s="3"/>
      <c r="AP159">
        <v>0</v>
      </c>
      <c r="AR159" t="s">
        <v>1</v>
      </c>
      <c r="AT159" s="2">
        <v>1.3140000000000001</v>
      </c>
      <c r="AU159" s="1">
        <f t="shared" si="21"/>
        <v>0.73805228254716004</v>
      </c>
      <c r="AV159" s="1">
        <f t="shared" si="22"/>
        <v>0.56272641576124338</v>
      </c>
      <c r="AW159" s="1">
        <f t="shared" si="23"/>
        <v>0.38740054897532661</v>
      </c>
    </row>
    <row r="160" spans="1:49" x14ac:dyDescent="0.2">
      <c r="A160">
        <v>158</v>
      </c>
      <c r="B160" t="s">
        <v>1875</v>
      </c>
      <c r="E160">
        <v>7929163</v>
      </c>
      <c r="F160" t="s">
        <v>1874</v>
      </c>
      <c r="G160" t="s">
        <v>8</v>
      </c>
      <c r="H160" t="s">
        <v>7</v>
      </c>
      <c r="I160" t="s">
        <v>1873</v>
      </c>
      <c r="J160" t="s">
        <v>1872</v>
      </c>
      <c r="K160" t="s">
        <v>1871</v>
      </c>
      <c r="L160" t="s">
        <v>1870</v>
      </c>
      <c r="M160" t="s">
        <v>202</v>
      </c>
      <c r="N160">
        <v>2</v>
      </c>
      <c r="O160" t="s">
        <v>1869</v>
      </c>
      <c r="P160" t="s">
        <v>1868</v>
      </c>
      <c r="Q160" t="s">
        <v>1867</v>
      </c>
      <c r="R160" s="7">
        <v>34614</v>
      </c>
      <c r="S160" s="8">
        <f t="shared" si="16"/>
        <v>1994</v>
      </c>
      <c r="T160" s="8">
        <v>1994</v>
      </c>
      <c r="U160" s="8">
        <f t="shared" si="17"/>
        <v>28</v>
      </c>
      <c r="V160" s="7">
        <v>34614</v>
      </c>
      <c r="W160" t="s">
        <v>95</v>
      </c>
      <c r="X160" s="2">
        <v>2.3610000000000002</v>
      </c>
      <c r="Y160" s="6">
        <f t="shared" si="18"/>
        <v>6.3025546568431179E-2</v>
      </c>
      <c r="AA160">
        <v>219258</v>
      </c>
      <c r="AB160">
        <v>17592</v>
      </c>
      <c r="AD160" t="s">
        <v>2</v>
      </c>
      <c r="AE160">
        <v>269</v>
      </c>
      <c r="AF160">
        <v>40</v>
      </c>
      <c r="AH160" t="s">
        <v>1866</v>
      </c>
      <c r="AI160" t="s">
        <v>1865</v>
      </c>
      <c r="AK160" t="s">
        <v>1864</v>
      </c>
      <c r="AL160">
        <v>23</v>
      </c>
      <c r="AM160" s="5">
        <f t="shared" si="19"/>
        <v>0.8214285714285714</v>
      </c>
      <c r="AN160" s="4">
        <f t="shared" si="20"/>
        <v>1.2441174879645155E-3</v>
      </c>
      <c r="AO160" s="3"/>
      <c r="AP160">
        <v>0</v>
      </c>
      <c r="AQ160" t="s">
        <v>61</v>
      </c>
      <c r="AR160" t="s">
        <v>1863</v>
      </c>
      <c r="AS160" t="s">
        <v>60</v>
      </c>
      <c r="AT160" s="2">
        <v>5.157</v>
      </c>
      <c r="AU160" s="1">
        <f t="shared" si="21"/>
        <v>4.4491117844291175</v>
      </c>
      <c r="AV160" s="1">
        <f t="shared" si="22"/>
        <v>3.2134832028197851</v>
      </c>
      <c r="AW160" s="1">
        <f t="shared" si="23"/>
        <v>1.9778546212104513</v>
      </c>
    </row>
    <row r="161" spans="1:49" x14ac:dyDescent="0.2">
      <c r="A161">
        <v>159</v>
      </c>
      <c r="B161" t="s">
        <v>1862</v>
      </c>
      <c r="C161" t="s">
        <v>1861</v>
      </c>
      <c r="D161" t="s">
        <v>1860</v>
      </c>
      <c r="E161">
        <v>7925984</v>
      </c>
      <c r="F161" t="s">
        <v>1859</v>
      </c>
      <c r="G161" t="s">
        <v>8</v>
      </c>
      <c r="H161" t="s">
        <v>7</v>
      </c>
      <c r="I161" t="s">
        <v>1858</v>
      </c>
      <c r="J161">
        <v>60000745</v>
      </c>
      <c r="K161" t="s">
        <v>273</v>
      </c>
      <c r="L161" t="s">
        <v>272</v>
      </c>
      <c r="M161" t="s">
        <v>19</v>
      </c>
      <c r="N161">
        <v>2</v>
      </c>
      <c r="O161" t="s">
        <v>1857</v>
      </c>
      <c r="P161" t="s">
        <v>1856</v>
      </c>
      <c r="Q161" t="s">
        <v>336</v>
      </c>
      <c r="R161" s="7">
        <v>34610</v>
      </c>
      <c r="S161" s="8">
        <f t="shared" si="16"/>
        <v>1994</v>
      </c>
      <c r="T161" s="8">
        <v>1994</v>
      </c>
      <c r="U161" s="8">
        <f t="shared" si="17"/>
        <v>28</v>
      </c>
      <c r="V161" s="7">
        <v>34610</v>
      </c>
      <c r="W161" t="s">
        <v>396</v>
      </c>
      <c r="X161" s="2">
        <v>1.593</v>
      </c>
      <c r="Y161" s="6">
        <f t="shared" si="18"/>
        <v>4.2524225194201973E-2</v>
      </c>
      <c r="AA161">
        <v>145793</v>
      </c>
      <c r="AB161">
        <v>17481</v>
      </c>
      <c r="AD161" t="s">
        <v>2</v>
      </c>
      <c r="AE161">
        <v>352</v>
      </c>
      <c r="AF161">
        <v>3</v>
      </c>
      <c r="AH161" t="s">
        <v>160</v>
      </c>
      <c r="AI161" t="s">
        <v>1855</v>
      </c>
      <c r="AJ161" t="s">
        <v>1854</v>
      </c>
      <c r="AK161" t="s">
        <v>1853</v>
      </c>
      <c r="AL161">
        <v>124</v>
      </c>
      <c r="AM161" s="5">
        <f t="shared" si="19"/>
        <v>4.4285714285714288</v>
      </c>
      <c r="AN161" s="4">
        <f t="shared" si="20"/>
        <v>6.7074160220695631E-3</v>
      </c>
      <c r="AO161" s="3"/>
      <c r="AP161">
        <v>1</v>
      </c>
      <c r="AR161" t="s">
        <v>1</v>
      </c>
      <c r="AT161" s="2">
        <v>4.1239999999999997</v>
      </c>
      <c r="AU161" s="1">
        <f t="shared" si="21"/>
        <v>3.1779182442562246</v>
      </c>
      <c r="AV161" s="1">
        <f t="shared" si="22"/>
        <v>2.4615820608135768</v>
      </c>
      <c r="AW161" s="1">
        <f t="shared" si="23"/>
        <v>1.7452458773709285</v>
      </c>
    </row>
    <row r="162" spans="1:49" x14ac:dyDescent="0.2">
      <c r="A162">
        <v>160</v>
      </c>
      <c r="B162" t="s">
        <v>1852</v>
      </c>
      <c r="C162" t="s">
        <v>1851</v>
      </c>
      <c r="F162" t="s">
        <v>1850</v>
      </c>
      <c r="G162" t="s">
        <v>8</v>
      </c>
      <c r="H162" t="s">
        <v>7</v>
      </c>
      <c r="I162" t="s">
        <v>1849</v>
      </c>
      <c r="J162">
        <v>60010421</v>
      </c>
      <c r="K162" t="s">
        <v>410</v>
      </c>
      <c r="L162" t="s">
        <v>294</v>
      </c>
      <c r="M162" t="s">
        <v>33</v>
      </c>
      <c r="N162">
        <v>2</v>
      </c>
      <c r="O162" t="s">
        <v>1848</v>
      </c>
      <c r="P162" t="s">
        <v>1847</v>
      </c>
      <c r="Q162" t="s">
        <v>409</v>
      </c>
      <c r="R162" s="7">
        <v>34608</v>
      </c>
      <c r="S162" s="8">
        <f t="shared" si="16"/>
        <v>1994</v>
      </c>
      <c r="T162" s="8">
        <v>1994</v>
      </c>
      <c r="U162" s="8">
        <f t="shared" si="17"/>
        <v>28</v>
      </c>
      <c r="V162" s="7">
        <v>34608</v>
      </c>
      <c r="W162" t="s">
        <v>347</v>
      </c>
      <c r="X162" s="2">
        <v>0.11700000000000001</v>
      </c>
      <c r="Y162" s="6">
        <f t="shared" si="18"/>
        <v>3.1232481781052297E-3</v>
      </c>
      <c r="AA162">
        <v>2179822</v>
      </c>
      <c r="AB162">
        <v>5300152612</v>
      </c>
      <c r="AC162">
        <v>19930615</v>
      </c>
      <c r="AD162" t="s">
        <v>2</v>
      </c>
      <c r="AE162">
        <v>11</v>
      </c>
      <c r="AF162">
        <v>4</v>
      </c>
      <c r="AH162" t="s">
        <v>1846</v>
      </c>
      <c r="AI162" t="s">
        <v>1845</v>
      </c>
      <c r="AJ162" t="s">
        <v>1844</v>
      </c>
      <c r="AK162" t="s">
        <v>1843</v>
      </c>
      <c r="AL162">
        <v>2</v>
      </c>
      <c r="AM162" s="5">
        <f t="shared" si="19"/>
        <v>7.1428571428571425E-2</v>
      </c>
      <c r="AN162" s="4">
        <f t="shared" si="20"/>
        <v>1.0818412938821875E-4</v>
      </c>
      <c r="AO162" s="3"/>
      <c r="AP162">
        <v>0</v>
      </c>
      <c r="AR162" t="s">
        <v>1</v>
      </c>
      <c r="AT162" s="2" t="s">
        <v>0</v>
      </c>
      <c r="AU162" s="1">
        <f t="shared" si="21"/>
        <v>0.22187289634901264</v>
      </c>
      <c r="AV162" s="1">
        <f t="shared" si="22"/>
        <v>0.16157161537467243</v>
      </c>
      <c r="AW162" s="1">
        <f t="shared" si="23"/>
        <v>0.10127033440033222</v>
      </c>
    </row>
    <row r="163" spans="1:49" x14ac:dyDescent="0.2">
      <c r="A163">
        <v>161</v>
      </c>
      <c r="B163" t="s">
        <v>1842</v>
      </c>
      <c r="C163" t="s">
        <v>1841</v>
      </c>
      <c r="F163" t="s">
        <v>1840</v>
      </c>
      <c r="G163" t="s">
        <v>8</v>
      </c>
      <c r="H163" t="s">
        <v>7</v>
      </c>
      <c r="I163" t="s">
        <v>1839</v>
      </c>
      <c r="J163">
        <v>60025578</v>
      </c>
      <c r="K163" t="s">
        <v>241</v>
      </c>
      <c r="L163" t="s">
        <v>34</v>
      </c>
      <c r="M163" t="s">
        <v>33</v>
      </c>
      <c r="N163">
        <v>3</v>
      </c>
      <c r="O163" t="s">
        <v>1838</v>
      </c>
      <c r="P163" t="s">
        <v>1837</v>
      </c>
      <c r="Q163" t="s">
        <v>1836</v>
      </c>
      <c r="R163" s="7">
        <v>34608</v>
      </c>
      <c r="S163" s="8">
        <f t="shared" si="16"/>
        <v>1994</v>
      </c>
      <c r="T163" s="8">
        <v>1994</v>
      </c>
      <c r="U163" s="8">
        <f t="shared" si="17"/>
        <v>28</v>
      </c>
      <c r="V163" s="7">
        <v>34608</v>
      </c>
      <c r="W163" t="s">
        <v>347</v>
      </c>
      <c r="X163" s="2">
        <v>0.11700000000000001</v>
      </c>
      <c r="Y163" s="6">
        <f t="shared" si="18"/>
        <v>3.1232481781052297E-3</v>
      </c>
      <c r="AA163">
        <v>2179822</v>
      </c>
      <c r="AB163">
        <v>5300152612</v>
      </c>
      <c r="AC163">
        <v>19930615</v>
      </c>
      <c r="AD163" t="s">
        <v>2</v>
      </c>
      <c r="AE163">
        <v>11</v>
      </c>
      <c r="AF163">
        <v>4</v>
      </c>
      <c r="AH163" t="s">
        <v>434</v>
      </c>
      <c r="AI163" t="s">
        <v>1835</v>
      </c>
      <c r="AJ163" t="s">
        <v>1834</v>
      </c>
      <c r="AK163" t="s">
        <v>1833</v>
      </c>
      <c r="AL163">
        <v>0</v>
      </c>
      <c r="AM163" s="5">
        <f t="shared" si="19"/>
        <v>0</v>
      </c>
      <c r="AN163" s="4">
        <f t="shared" si="20"/>
        <v>0</v>
      </c>
      <c r="AO163" s="3"/>
      <c r="AP163">
        <v>0</v>
      </c>
      <c r="AR163" t="s">
        <v>1</v>
      </c>
      <c r="AT163" s="2" t="s">
        <v>0</v>
      </c>
      <c r="AU163" s="1">
        <f t="shared" si="21"/>
        <v>0.21862737246736608</v>
      </c>
      <c r="AV163" s="1">
        <f t="shared" si="22"/>
        <v>0.15616240890526148</v>
      </c>
      <c r="AW163" s="1">
        <f t="shared" si="23"/>
        <v>9.3697445343156896E-2</v>
      </c>
    </row>
    <row r="164" spans="1:49" x14ac:dyDescent="0.2">
      <c r="A164">
        <v>162</v>
      </c>
      <c r="B164" t="s">
        <v>1832</v>
      </c>
      <c r="C164" t="s">
        <v>1831</v>
      </c>
      <c r="F164" t="s">
        <v>1830</v>
      </c>
      <c r="G164" t="s">
        <v>8</v>
      </c>
      <c r="H164" t="s">
        <v>7</v>
      </c>
      <c r="I164" t="s">
        <v>1063</v>
      </c>
      <c r="J164">
        <v>60009658</v>
      </c>
      <c r="K164" t="s">
        <v>155</v>
      </c>
      <c r="L164" t="s">
        <v>154</v>
      </c>
      <c r="M164" t="s">
        <v>4</v>
      </c>
      <c r="N164">
        <v>2</v>
      </c>
      <c r="O164" t="s">
        <v>1829</v>
      </c>
      <c r="P164" t="s">
        <v>1828</v>
      </c>
      <c r="Q164" t="s">
        <v>427</v>
      </c>
      <c r="R164" s="7">
        <v>34608</v>
      </c>
      <c r="S164" s="8">
        <f t="shared" si="16"/>
        <v>1994</v>
      </c>
      <c r="T164" s="8">
        <v>1994</v>
      </c>
      <c r="U164" s="8">
        <f t="shared" si="17"/>
        <v>28</v>
      </c>
      <c r="V164" s="7">
        <v>34608</v>
      </c>
      <c r="W164" s="11" t="s">
        <v>377</v>
      </c>
      <c r="X164" s="2">
        <v>2.383</v>
      </c>
      <c r="Y164" s="6">
        <f t="shared" si="18"/>
        <v>6.3612824003630442E-2</v>
      </c>
      <c r="AA164">
        <v>13502417</v>
      </c>
      <c r="AB164">
        <v>17416</v>
      </c>
      <c r="AD164" t="s">
        <v>2</v>
      </c>
      <c r="AE164">
        <v>141</v>
      </c>
      <c r="AF164">
        <v>5</v>
      </c>
      <c r="AH164" t="s">
        <v>1827</v>
      </c>
      <c r="AI164" t="s">
        <v>1826</v>
      </c>
      <c r="AK164" t="s">
        <v>1825</v>
      </c>
      <c r="AL164">
        <v>10</v>
      </c>
      <c r="AM164" s="5">
        <f t="shared" si="19"/>
        <v>0.35714285714285715</v>
      </c>
      <c r="AN164" s="4">
        <f t="shared" si="20"/>
        <v>5.4092064694109376E-4</v>
      </c>
      <c r="AO164" s="3"/>
      <c r="AP164">
        <v>0</v>
      </c>
      <c r="AR164" t="s">
        <v>1</v>
      </c>
      <c r="AT164" s="2" t="s">
        <v>0</v>
      </c>
      <c r="AU164" s="1">
        <f t="shared" si="21"/>
        <v>4.4691252996623643</v>
      </c>
      <c r="AV164" s="1">
        <f t="shared" si="22"/>
        <v>3.2076872325285768</v>
      </c>
      <c r="AW164" s="1">
        <f t="shared" si="23"/>
        <v>1.9462491653947898</v>
      </c>
    </row>
    <row r="165" spans="1:49" x14ac:dyDescent="0.2">
      <c r="A165">
        <v>163</v>
      </c>
      <c r="B165" t="s">
        <v>1824</v>
      </c>
      <c r="C165" t="s">
        <v>1823</v>
      </c>
      <c r="F165" t="s">
        <v>1822</v>
      </c>
      <c r="G165" t="s">
        <v>8</v>
      </c>
      <c r="H165" t="s">
        <v>7</v>
      </c>
      <c r="I165" t="s">
        <v>1821</v>
      </c>
      <c r="J165">
        <v>60031004</v>
      </c>
      <c r="K165" t="s">
        <v>304</v>
      </c>
      <c r="L165" t="s">
        <v>303</v>
      </c>
      <c r="M165" t="s">
        <v>105</v>
      </c>
      <c r="N165">
        <v>2</v>
      </c>
      <c r="O165" t="s">
        <v>1820</v>
      </c>
      <c r="P165" t="s">
        <v>1819</v>
      </c>
      <c r="Q165" t="s">
        <v>302</v>
      </c>
      <c r="R165" s="7">
        <v>34608</v>
      </c>
      <c r="S165" s="8">
        <f t="shared" si="16"/>
        <v>1994</v>
      </c>
      <c r="T165" s="8">
        <v>1994</v>
      </c>
      <c r="U165" s="8">
        <f t="shared" si="17"/>
        <v>28</v>
      </c>
      <c r="V165" s="7">
        <v>34608</v>
      </c>
      <c r="W165" s="11" t="s">
        <v>377</v>
      </c>
      <c r="X165" s="2">
        <v>2.383</v>
      </c>
      <c r="Y165" s="6">
        <f t="shared" si="18"/>
        <v>6.3612824003630442E-2</v>
      </c>
      <c r="AA165">
        <v>13502417</v>
      </c>
      <c r="AB165">
        <v>17416</v>
      </c>
      <c r="AD165" t="s">
        <v>2</v>
      </c>
      <c r="AE165">
        <v>141</v>
      </c>
      <c r="AF165">
        <v>5</v>
      </c>
      <c r="AH165" t="s">
        <v>1818</v>
      </c>
      <c r="AI165" t="s">
        <v>1817</v>
      </c>
      <c r="AK165" t="s">
        <v>1816</v>
      </c>
      <c r="AL165">
        <v>35</v>
      </c>
      <c r="AM165" s="5">
        <f t="shared" si="19"/>
        <v>1.25</v>
      </c>
      <c r="AN165" s="4">
        <f t="shared" si="20"/>
        <v>1.8932222642938281E-3</v>
      </c>
      <c r="AO165" s="3"/>
      <c r="AP165">
        <v>0</v>
      </c>
      <c r="AR165" t="s">
        <v>1</v>
      </c>
      <c r="AT165" s="2" t="s">
        <v>0</v>
      </c>
      <c r="AU165" s="1">
        <f t="shared" si="21"/>
        <v>4.5096943481829461</v>
      </c>
      <c r="AV165" s="1">
        <f t="shared" si="22"/>
        <v>3.2753023133962134</v>
      </c>
      <c r="AW165" s="1">
        <f t="shared" si="23"/>
        <v>2.0409102786094815</v>
      </c>
    </row>
    <row r="166" spans="1:49" x14ac:dyDescent="0.2">
      <c r="A166">
        <v>164</v>
      </c>
      <c r="B166" t="s">
        <v>1815</v>
      </c>
      <c r="C166" t="s">
        <v>1814</v>
      </c>
      <c r="F166" t="s">
        <v>1813</v>
      </c>
      <c r="G166" t="s">
        <v>8</v>
      </c>
      <c r="H166" t="s">
        <v>7</v>
      </c>
      <c r="I166" t="s">
        <v>335</v>
      </c>
      <c r="J166">
        <v>60013983</v>
      </c>
      <c r="K166" t="s">
        <v>196</v>
      </c>
      <c r="L166" t="s">
        <v>195</v>
      </c>
      <c r="M166" t="s">
        <v>194</v>
      </c>
      <c r="N166">
        <v>2</v>
      </c>
      <c r="O166" t="s">
        <v>334</v>
      </c>
      <c r="P166" t="s">
        <v>333</v>
      </c>
      <c r="Q166" t="s">
        <v>193</v>
      </c>
      <c r="R166" s="7">
        <v>34608</v>
      </c>
      <c r="S166" s="8">
        <f t="shared" si="16"/>
        <v>1994</v>
      </c>
      <c r="T166" s="8">
        <v>1994</v>
      </c>
      <c r="U166" s="8">
        <f t="shared" si="17"/>
        <v>28</v>
      </c>
      <c r="V166" s="7">
        <v>34608</v>
      </c>
      <c r="W166" s="11" t="s">
        <v>377</v>
      </c>
      <c r="X166" s="2">
        <v>2.383</v>
      </c>
      <c r="Y166" s="6">
        <f t="shared" si="18"/>
        <v>6.3612824003630442E-2</v>
      </c>
      <c r="AA166">
        <v>13502417</v>
      </c>
      <c r="AB166">
        <v>17416</v>
      </c>
      <c r="AD166" t="s">
        <v>2</v>
      </c>
      <c r="AE166">
        <v>141</v>
      </c>
      <c r="AF166">
        <v>5</v>
      </c>
      <c r="AH166" t="s">
        <v>1812</v>
      </c>
      <c r="AI166" t="s">
        <v>1811</v>
      </c>
      <c r="AK166" t="s">
        <v>1810</v>
      </c>
      <c r="AL166">
        <v>7</v>
      </c>
      <c r="AM166" s="5">
        <f t="shared" si="19"/>
        <v>0.25</v>
      </c>
      <c r="AN166" s="4">
        <f t="shared" si="20"/>
        <v>3.786444528587656E-4</v>
      </c>
      <c r="AO166" s="3"/>
      <c r="AP166">
        <v>0</v>
      </c>
      <c r="AR166" t="s">
        <v>1</v>
      </c>
      <c r="AT166" s="2" t="s">
        <v>0</v>
      </c>
      <c r="AU166" s="1">
        <f t="shared" si="21"/>
        <v>4.4642570138398936</v>
      </c>
      <c r="AV166" s="1">
        <f t="shared" si="22"/>
        <v>3.1995734228244603</v>
      </c>
      <c r="AW166" s="1">
        <f t="shared" si="23"/>
        <v>1.9348898318090268</v>
      </c>
    </row>
    <row r="167" spans="1:49" x14ac:dyDescent="0.2">
      <c r="A167">
        <v>165</v>
      </c>
      <c r="B167" t="s">
        <v>1809</v>
      </c>
      <c r="C167" t="s">
        <v>1808</v>
      </c>
      <c r="F167" t="s">
        <v>1807</v>
      </c>
      <c r="G167" t="s">
        <v>8</v>
      </c>
      <c r="H167" t="s">
        <v>7</v>
      </c>
      <c r="I167" t="s">
        <v>1806</v>
      </c>
      <c r="J167">
        <v>60005686</v>
      </c>
      <c r="K167" t="s">
        <v>1805</v>
      </c>
      <c r="L167" t="s">
        <v>1804</v>
      </c>
      <c r="M167" t="s">
        <v>20</v>
      </c>
      <c r="N167">
        <v>2</v>
      </c>
      <c r="O167" t="s">
        <v>1803</v>
      </c>
      <c r="P167" t="s">
        <v>1802</v>
      </c>
      <c r="Q167" t="s">
        <v>1801</v>
      </c>
      <c r="R167" s="7">
        <v>34608</v>
      </c>
      <c r="S167" s="8">
        <f t="shared" si="16"/>
        <v>1994</v>
      </c>
      <c r="T167" s="8">
        <v>1994</v>
      </c>
      <c r="U167" s="8">
        <f t="shared" si="17"/>
        <v>28</v>
      </c>
      <c r="V167" s="7">
        <v>34608</v>
      </c>
      <c r="W167" s="11" t="s">
        <v>377</v>
      </c>
      <c r="X167" s="2">
        <v>2.383</v>
      </c>
      <c r="Y167" s="6">
        <f t="shared" si="18"/>
        <v>6.3612824003630442E-2</v>
      </c>
      <c r="AA167">
        <v>13502417</v>
      </c>
      <c r="AB167">
        <v>17416</v>
      </c>
      <c r="AD167" t="s">
        <v>2</v>
      </c>
      <c r="AE167">
        <v>141</v>
      </c>
      <c r="AF167">
        <v>5</v>
      </c>
      <c r="AH167" t="s">
        <v>1800</v>
      </c>
      <c r="AI167" t="s">
        <v>1799</v>
      </c>
      <c r="AK167" t="s">
        <v>1798</v>
      </c>
      <c r="AL167">
        <v>31</v>
      </c>
      <c r="AM167" s="5">
        <f t="shared" si="19"/>
        <v>1.1071428571428572</v>
      </c>
      <c r="AN167" s="4">
        <f t="shared" si="20"/>
        <v>1.6768540055173908E-3</v>
      </c>
      <c r="AO167" s="3"/>
      <c r="AP167">
        <v>0</v>
      </c>
      <c r="AR167" t="s">
        <v>1</v>
      </c>
      <c r="AT167" s="2" t="s">
        <v>0</v>
      </c>
      <c r="AU167" s="1">
        <f t="shared" si="21"/>
        <v>4.5032033004196528</v>
      </c>
      <c r="AV167" s="1">
        <f t="shared" si="22"/>
        <v>3.264483900457392</v>
      </c>
      <c r="AW167" s="1">
        <f t="shared" si="23"/>
        <v>2.0257645004951303</v>
      </c>
    </row>
    <row r="168" spans="1:49" x14ac:dyDescent="0.2">
      <c r="A168">
        <v>166</v>
      </c>
      <c r="B168" t="s">
        <v>1797</v>
      </c>
      <c r="C168" t="s">
        <v>1796</v>
      </c>
      <c r="F168" t="s">
        <v>1795</v>
      </c>
      <c r="G168" t="s">
        <v>8</v>
      </c>
      <c r="H168" t="s">
        <v>7</v>
      </c>
      <c r="I168" t="s">
        <v>337</v>
      </c>
      <c r="J168">
        <v>60022109</v>
      </c>
      <c r="K168" t="s">
        <v>167</v>
      </c>
      <c r="L168" t="s">
        <v>54</v>
      </c>
      <c r="M168" t="s">
        <v>4</v>
      </c>
      <c r="N168">
        <v>2</v>
      </c>
      <c r="O168" t="s">
        <v>1794</v>
      </c>
      <c r="P168" t="s">
        <v>1793</v>
      </c>
      <c r="Q168" t="s">
        <v>1189</v>
      </c>
      <c r="R168" s="7">
        <v>34608</v>
      </c>
      <c r="S168" s="8">
        <f t="shared" si="16"/>
        <v>1994</v>
      </c>
      <c r="T168" s="8">
        <v>1994</v>
      </c>
      <c r="U168" s="8">
        <f t="shared" si="17"/>
        <v>28</v>
      </c>
      <c r="V168" s="7">
        <v>34608</v>
      </c>
      <c r="W168" s="11" t="s">
        <v>377</v>
      </c>
      <c r="X168" s="2">
        <v>2.383</v>
      </c>
      <c r="Y168" s="6">
        <f t="shared" si="18"/>
        <v>6.3612824003630442E-2</v>
      </c>
      <c r="AA168">
        <v>13502417</v>
      </c>
      <c r="AB168">
        <v>17416</v>
      </c>
      <c r="AD168" t="s">
        <v>2</v>
      </c>
      <c r="AE168">
        <v>141</v>
      </c>
      <c r="AF168">
        <v>5</v>
      </c>
      <c r="AH168" t="s">
        <v>1792</v>
      </c>
      <c r="AI168" t="s">
        <v>1791</v>
      </c>
      <c r="AK168" t="s">
        <v>1790</v>
      </c>
      <c r="AL168">
        <v>9</v>
      </c>
      <c r="AM168" s="5">
        <f t="shared" si="19"/>
        <v>0.32142857142857145</v>
      </c>
      <c r="AN168" s="4">
        <f t="shared" si="20"/>
        <v>4.8682858224698443E-4</v>
      </c>
      <c r="AO168" s="3"/>
      <c r="AP168">
        <v>0</v>
      </c>
      <c r="AR168" t="s">
        <v>1</v>
      </c>
      <c r="AT168" s="2" t="s">
        <v>0</v>
      </c>
      <c r="AU168" s="1">
        <f t="shared" si="21"/>
        <v>4.4675025377215407</v>
      </c>
      <c r="AV168" s="1">
        <f t="shared" si="22"/>
        <v>3.204982629293871</v>
      </c>
      <c r="AW168" s="1">
        <f t="shared" si="23"/>
        <v>1.9424627208662022</v>
      </c>
    </row>
    <row r="169" spans="1:49" x14ac:dyDescent="0.2">
      <c r="A169">
        <v>167</v>
      </c>
      <c r="B169" t="s">
        <v>1789</v>
      </c>
      <c r="C169" t="s">
        <v>1788</v>
      </c>
      <c r="F169" t="s">
        <v>1787</v>
      </c>
      <c r="G169" t="s">
        <v>8</v>
      </c>
      <c r="H169" t="s">
        <v>7</v>
      </c>
      <c r="I169" t="s">
        <v>315</v>
      </c>
      <c r="J169">
        <v>60029738</v>
      </c>
      <c r="K169" t="s">
        <v>157</v>
      </c>
      <c r="L169" t="s">
        <v>156</v>
      </c>
      <c r="M169" t="s">
        <v>4</v>
      </c>
      <c r="N169">
        <v>2</v>
      </c>
      <c r="O169" t="s">
        <v>314</v>
      </c>
      <c r="P169" t="s">
        <v>313</v>
      </c>
      <c r="Q169" t="s">
        <v>312</v>
      </c>
      <c r="R169" s="7">
        <v>34608</v>
      </c>
      <c r="S169" s="8">
        <f t="shared" si="16"/>
        <v>1994</v>
      </c>
      <c r="T169" s="8">
        <v>1994</v>
      </c>
      <c r="U169" s="8">
        <f t="shared" si="17"/>
        <v>28</v>
      </c>
      <c r="V169" s="7">
        <v>34608</v>
      </c>
      <c r="W169" s="11" t="s">
        <v>377</v>
      </c>
      <c r="X169" s="2">
        <v>2.383</v>
      </c>
      <c r="Y169" s="6">
        <f t="shared" si="18"/>
        <v>6.3612824003630442E-2</v>
      </c>
      <c r="AA169">
        <v>13502417</v>
      </c>
      <c r="AB169">
        <v>17416</v>
      </c>
      <c r="AD169" t="s">
        <v>2</v>
      </c>
      <c r="AE169">
        <v>141</v>
      </c>
      <c r="AF169">
        <v>5</v>
      </c>
      <c r="AH169" t="s">
        <v>1786</v>
      </c>
      <c r="AI169" t="s">
        <v>1785</v>
      </c>
      <c r="AK169" t="s">
        <v>1784</v>
      </c>
      <c r="AL169">
        <v>5</v>
      </c>
      <c r="AM169" s="5">
        <f t="shared" si="19"/>
        <v>0.17857142857142858</v>
      </c>
      <c r="AN169" s="4">
        <f t="shared" si="20"/>
        <v>2.7046032347054688E-4</v>
      </c>
      <c r="AO169" s="3"/>
      <c r="AP169">
        <v>0</v>
      </c>
      <c r="AR169" t="s">
        <v>1</v>
      </c>
      <c r="AT169" s="2" t="s">
        <v>0</v>
      </c>
      <c r="AU169" s="1">
        <f t="shared" si="21"/>
        <v>4.4610114899582474</v>
      </c>
      <c r="AV169" s="1">
        <f t="shared" si="22"/>
        <v>3.1941642163550492</v>
      </c>
      <c r="AW169" s="1">
        <f t="shared" si="23"/>
        <v>1.9273169427518517</v>
      </c>
    </row>
    <row r="170" spans="1:49" x14ac:dyDescent="0.2">
      <c r="A170">
        <v>168</v>
      </c>
      <c r="B170" t="s">
        <v>1783</v>
      </c>
      <c r="F170" t="s">
        <v>1782</v>
      </c>
      <c r="G170" t="s">
        <v>8</v>
      </c>
      <c r="H170" t="s">
        <v>7</v>
      </c>
      <c r="I170" t="s">
        <v>1781</v>
      </c>
      <c r="J170">
        <v>60088533</v>
      </c>
      <c r="K170" t="s">
        <v>386</v>
      </c>
      <c r="L170" t="s">
        <v>385</v>
      </c>
      <c r="M170" t="s">
        <v>49</v>
      </c>
      <c r="N170">
        <v>2</v>
      </c>
      <c r="O170" t="s">
        <v>1780</v>
      </c>
      <c r="P170" t="s">
        <v>1779</v>
      </c>
      <c r="Q170" t="s">
        <v>1778</v>
      </c>
      <c r="R170" s="7">
        <v>34608</v>
      </c>
      <c r="S170" s="8">
        <f t="shared" si="16"/>
        <v>1994</v>
      </c>
      <c r="T170" s="8">
        <v>1994</v>
      </c>
      <c r="U170" s="8">
        <f t="shared" si="17"/>
        <v>28</v>
      </c>
      <c r="V170" s="7">
        <v>34608</v>
      </c>
      <c r="W170" t="s">
        <v>1777</v>
      </c>
      <c r="X170" s="2" t="s">
        <v>0</v>
      </c>
      <c r="Y170" s="6" t="e">
        <f t="shared" si="18"/>
        <v>#VALUE!</v>
      </c>
      <c r="AA170" t="s">
        <v>1776</v>
      </c>
      <c r="AB170">
        <v>26720</v>
      </c>
      <c r="AD170" t="s">
        <v>2</v>
      </c>
      <c r="AI170" t="s">
        <v>1775</v>
      </c>
      <c r="AK170" t="s">
        <v>1774</v>
      </c>
      <c r="AL170">
        <v>1</v>
      </c>
      <c r="AM170" s="5">
        <f t="shared" si="19"/>
        <v>3.5714285714285712E-2</v>
      </c>
      <c r="AN170" s="4">
        <f t="shared" si="20"/>
        <v>5.4092064694109373E-5</v>
      </c>
      <c r="AO170" s="3"/>
      <c r="AP170">
        <v>0</v>
      </c>
      <c r="AR170" t="s">
        <v>1</v>
      </c>
      <c r="AT170" s="2" t="s">
        <v>0</v>
      </c>
      <c r="AU170" s="1" t="e">
        <f t="shared" si="21"/>
        <v>#VALUE!</v>
      </c>
      <c r="AV170" s="1" t="e">
        <f t="shared" si="22"/>
        <v>#VALUE!</v>
      </c>
      <c r="AW170" s="1" t="e">
        <f t="shared" si="23"/>
        <v>#VALUE!</v>
      </c>
    </row>
    <row r="171" spans="1:49" x14ac:dyDescent="0.2">
      <c r="A171">
        <v>169</v>
      </c>
      <c r="B171" t="s">
        <v>1773</v>
      </c>
      <c r="F171" t="s">
        <v>1772</v>
      </c>
      <c r="G171" t="s">
        <v>8</v>
      </c>
      <c r="H171" t="s">
        <v>7</v>
      </c>
      <c r="I171" t="s">
        <v>1771</v>
      </c>
      <c r="J171">
        <v>60009824</v>
      </c>
      <c r="K171" t="s">
        <v>1770</v>
      </c>
      <c r="L171" t="s">
        <v>116</v>
      </c>
      <c r="M171" t="s">
        <v>53</v>
      </c>
      <c r="N171">
        <v>3</v>
      </c>
      <c r="O171" t="s">
        <v>1769</v>
      </c>
      <c r="P171" t="s">
        <v>1768</v>
      </c>
      <c r="Q171" t="s">
        <v>1767</v>
      </c>
      <c r="R171" s="7">
        <v>34608</v>
      </c>
      <c r="S171" s="8">
        <f t="shared" si="16"/>
        <v>1994</v>
      </c>
      <c r="T171" s="8">
        <v>1994</v>
      </c>
      <c r="U171" s="8">
        <f t="shared" si="17"/>
        <v>28</v>
      </c>
      <c r="V171" s="7">
        <v>34608</v>
      </c>
      <c r="W171" t="s">
        <v>119</v>
      </c>
      <c r="X171" s="2">
        <v>0.21099999999999999</v>
      </c>
      <c r="Y171" s="6">
        <f t="shared" si="18"/>
        <v>5.6325244921384904E-3</v>
      </c>
      <c r="AA171">
        <v>9168516</v>
      </c>
      <c r="AB171">
        <v>18936</v>
      </c>
      <c r="AD171" t="s">
        <v>2</v>
      </c>
      <c r="AE171" t="s">
        <v>118</v>
      </c>
      <c r="AF171">
        <v>10</v>
      </c>
      <c r="AH171" t="s">
        <v>1766</v>
      </c>
      <c r="AI171" t="s">
        <v>1765</v>
      </c>
      <c r="AK171" t="s">
        <v>1764</v>
      </c>
      <c r="AL171">
        <v>7</v>
      </c>
      <c r="AM171" s="5">
        <f t="shared" si="19"/>
        <v>0.25</v>
      </c>
      <c r="AN171" s="4">
        <f t="shared" si="20"/>
        <v>3.786444528587656E-4</v>
      </c>
      <c r="AO171" s="3"/>
      <c r="AP171">
        <v>0</v>
      </c>
      <c r="AR171" t="s">
        <v>1</v>
      </c>
      <c r="AT171" s="2">
        <v>0.52500000000000002</v>
      </c>
      <c r="AU171" s="1">
        <f t="shared" si="21"/>
        <v>0.40563604803545722</v>
      </c>
      <c r="AV171" s="1">
        <f t="shared" si="22"/>
        <v>0.3005584472498628</v>
      </c>
      <c r="AW171" s="1">
        <f t="shared" si="23"/>
        <v>0.1954808464642683</v>
      </c>
    </row>
    <row r="172" spans="1:49" x14ac:dyDescent="0.2">
      <c r="A172">
        <v>170</v>
      </c>
      <c r="B172" t="s">
        <v>1763</v>
      </c>
      <c r="F172" t="s">
        <v>1762</v>
      </c>
      <c r="G172" t="s">
        <v>8</v>
      </c>
      <c r="H172" t="s">
        <v>7</v>
      </c>
      <c r="I172" t="s">
        <v>1761</v>
      </c>
      <c r="J172">
        <v>60118791</v>
      </c>
      <c r="K172" t="s">
        <v>1760</v>
      </c>
      <c r="L172" t="s">
        <v>439</v>
      </c>
      <c r="M172" t="s">
        <v>4</v>
      </c>
      <c r="N172">
        <v>1</v>
      </c>
      <c r="O172" t="s">
        <v>1759</v>
      </c>
      <c r="P172">
        <v>7202043375</v>
      </c>
      <c r="Q172">
        <v>60118791</v>
      </c>
      <c r="R172" s="7">
        <v>34608</v>
      </c>
      <c r="S172" s="8">
        <f t="shared" si="16"/>
        <v>1994</v>
      </c>
      <c r="T172" s="8">
        <v>1994</v>
      </c>
      <c r="U172" s="8">
        <f t="shared" si="17"/>
        <v>28</v>
      </c>
      <c r="V172" s="7">
        <v>34608</v>
      </c>
      <c r="W172" t="s">
        <v>1758</v>
      </c>
      <c r="X172" s="2" t="s">
        <v>0</v>
      </c>
      <c r="Y172" s="6" t="e">
        <f t="shared" si="18"/>
        <v>#VALUE!</v>
      </c>
      <c r="AA172">
        <v>3088448</v>
      </c>
      <c r="AB172">
        <v>28685</v>
      </c>
      <c r="AD172" t="s">
        <v>2</v>
      </c>
      <c r="AH172">
        <v>42</v>
      </c>
      <c r="AI172" t="s">
        <v>1757</v>
      </c>
      <c r="AK172" t="s">
        <v>1756</v>
      </c>
      <c r="AL172">
        <v>0</v>
      </c>
      <c r="AM172" s="5">
        <f t="shared" si="19"/>
        <v>0</v>
      </c>
      <c r="AN172" s="4">
        <f t="shared" si="20"/>
        <v>0</v>
      </c>
      <c r="AO172" s="3"/>
      <c r="AP172">
        <v>0</v>
      </c>
      <c r="AR172" t="s">
        <v>1</v>
      </c>
      <c r="AT172" s="2" t="s">
        <v>0</v>
      </c>
      <c r="AU172" s="1" t="e">
        <f t="shared" si="21"/>
        <v>#VALUE!</v>
      </c>
      <c r="AV172" s="1" t="e">
        <f t="shared" si="22"/>
        <v>#VALUE!</v>
      </c>
      <c r="AW172" s="1" t="e">
        <f t="shared" si="23"/>
        <v>#VALUE!</v>
      </c>
    </row>
    <row r="173" spans="1:49" x14ac:dyDescent="0.2">
      <c r="A173">
        <v>171</v>
      </c>
      <c r="B173" t="s">
        <v>1755</v>
      </c>
      <c r="F173" t="s">
        <v>1754</v>
      </c>
      <c r="G173" t="s">
        <v>8</v>
      </c>
      <c r="H173" t="s">
        <v>7</v>
      </c>
      <c r="I173" t="s">
        <v>1753</v>
      </c>
      <c r="N173">
        <v>1</v>
      </c>
      <c r="O173" t="s">
        <v>1752</v>
      </c>
      <c r="P173">
        <v>7202428860</v>
      </c>
      <c r="R173" s="7">
        <v>34608</v>
      </c>
      <c r="S173" s="8">
        <f t="shared" si="16"/>
        <v>1994</v>
      </c>
      <c r="T173" s="8">
        <v>1994</v>
      </c>
      <c r="U173" s="8">
        <f t="shared" si="17"/>
        <v>28</v>
      </c>
      <c r="V173" s="7">
        <v>34608</v>
      </c>
      <c r="W173" t="s">
        <v>1751</v>
      </c>
      <c r="X173" s="2" t="s">
        <v>0</v>
      </c>
      <c r="Y173" s="6" t="e">
        <f t="shared" si="18"/>
        <v>#VALUE!</v>
      </c>
      <c r="AA173" t="s">
        <v>1750</v>
      </c>
      <c r="AB173">
        <v>90046</v>
      </c>
      <c r="AD173" t="s">
        <v>2</v>
      </c>
      <c r="AE173">
        <v>14</v>
      </c>
      <c r="AF173" t="s">
        <v>1749</v>
      </c>
      <c r="AI173" t="s">
        <v>1748</v>
      </c>
      <c r="AK173" t="s">
        <v>1747</v>
      </c>
      <c r="AL173">
        <v>0</v>
      </c>
      <c r="AM173" s="5">
        <f t="shared" si="19"/>
        <v>0</v>
      </c>
      <c r="AN173" s="4">
        <f t="shared" si="20"/>
        <v>0</v>
      </c>
      <c r="AO173" s="3"/>
      <c r="AP173">
        <v>0</v>
      </c>
      <c r="AR173" t="s">
        <v>1</v>
      </c>
      <c r="AT173" s="2" t="s">
        <v>0</v>
      </c>
      <c r="AU173" s="1" t="e">
        <f t="shared" si="21"/>
        <v>#VALUE!</v>
      </c>
      <c r="AV173" s="1" t="e">
        <f t="shared" si="22"/>
        <v>#VALUE!</v>
      </c>
      <c r="AW173" s="1" t="e">
        <f t="shared" si="23"/>
        <v>#VALUE!</v>
      </c>
    </row>
    <row r="174" spans="1:49" x14ac:dyDescent="0.2">
      <c r="A174">
        <v>172</v>
      </c>
      <c r="B174" t="s">
        <v>1746</v>
      </c>
      <c r="F174" t="s">
        <v>358</v>
      </c>
      <c r="G174" t="s">
        <v>8</v>
      </c>
      <c r="H174" t="s">
        <v>7</v>
      </c>
      <c r="I174" t="s">
        <v>357</v>
      </c>
      <c r="J174">
        <v>60011001</v>
      </c>
      <c r="K174" t="s">
        <v>356</v>
      </c>
      <c r="L174" t="s">
        <v>355</v>
      </c>
      <c r="M174" t="s">
        <v>53</v>
      </c>
      <c r="N174">
        <v>2</v>
      </c>
      <c r="O174" t="s">
        <v>354</v>
      </c>
      <c r="P174" t="s">
        <v>353</v>
      </c>
      <c r="Q174" t="s">
        <v>352</v>
      </c>
      <c r="R174" s="7">
        <v>34608</v>
      </c>
      <c r="S174" s="8">
        <f t="shared" si="16"/>
        <v>1994</v>
      </c>
      <c r="T174" s="8">
        <v>1994</v>
      </c>
      <c r="U174" s="8">
        <f t="shared" si="17"/>
        <v>28</v>
      </c>
      <c r="V174" s="7">
        <v>34608</v>
      </c>
      <c r="W174" t="s">
        <v>426</v>
      </c>
      <c r="X174" s="2">
        <v>0.48699999999999999</v>
      </c>
      <c r="Y174" s="6">
        <f t="shared" si="18"/>
        <v>1.3000186861002109E-2</v>
      </c>
      <c r="AA174">
        <v>214922</v>
      </c>
      <c r="AB174">
        <v>130262</v>
      </c>
      <c r="AD174" t="s">
        <v>2</v>
      </c>
      <c r="AE174">
        <v>33</v>
      </c>
      <c r="AF174">
        <v>10</v>
      </c>
      <c r="AH174" t="s">
        <v>1745</v>
      </c>
      <c r="AI174" t="s">
        <v>1744</v>
      </c>
      <c r="AK174" t="s">
        <v>351</v>
      </c>
      <c r="AL174">
        <v>21</v>
      </c>
      <c r="AM174" s="5">
        <f t="shared" si="19"/>
        <v>0.75</v>
      </c>
      <c r="AN174" s="4">
        <f t="shared" si="20"/>
        <v>1.1359333585762969E-3</v>
      </c>
      <c r="AO174" s="3"/>
      <c r="AP174">
        <v>0</v>
      </c>
      <c r="AR174" t="s">
        <v>1</v>
      </c>
      <c r="AT174" s="2" t="s">
        <v>0</v>
      </c>
      <c r="AU174" s="1">
        <f t="shared" si="21"/>
        <v>0.94409108102743655</v>
      </c>
      <c r="AV174" s="1">
        <f t="shared" si="22"/>
        <v>0.70680601097892026</v>
      </c>
      <c r="AW174" s="1">
        <f t="shared" si="23"/>
        <v>0.46952094093040397</v>
      </c>
    </row>
    <row r="175" spans="1:49" x14ac:dyDescent="0.2">
      <c r="A175">
        <v>173</v>
      </c>
      <c r="B175" t="s">
        <v>1743</v>
      </c>
      <c r="F175" t="s">
        <v>1742</v>
      </c>
      <c r="G175" t="s">
        <v>8</v>
      </c>
      <c r="H175" t="s">
        <v>7</v>
      </c>
      <c r="I175" t="s">
        <v>1741</v>
      </c>
      <c r="J175">
        <v>60030162</v>
      </c>
      <c r="K175" t="s">
        <v>1740</v>
      </c>
      <c r="L175" t="s">
        <v>158</v>
      </c>
      <c r="M175" t="s">
        <v>19</v>
      </c>
      <c r="N175">
        <v>2</v>
      </c>
      <c r="O175" t="s">
        <v>1739</v>
      </c>
      <c r="P175" t="s">
        <v>1738</v>
      </c>
      <c r="Q175" t="s">
        <v>1737</v>
      </c>
      <c r="R175" s="7">
        <v>34608</v>
      </c>
      <c r="S175" s="8">
        <f t="shared" si="16"/>
        <v>1994</v>
      </c>
      <c r="T175" s="8">
        <v>1994</v>
      </c>
      <c r="U175" s="8">
        <f t="shared" si="17"/>
        <v>28</v>
      </c>
      <c r="V175" s="7">
        <v>34608</v>
      </c>
      <c r="W175" t="s">
        <v>205</v>
      </c>
      <c r="X175" s="2">
        <v>0.46</v>
      </c>
      <c r="Y175" s="6">
        <f t="shared" si="18"/>
        <v>1.2279437281439364E-2</v>
      </c>
      <c r="AA175">
        <v>933813</v>
      </c>
      <c r="AB175">
        <v>28031</v>
      </c>
      <c r="AD175" t="s">
        <v>2</v>
      </c>
      <c r="AE175">
        <v>22</v>
      </c>
      <c r="AF175">
        <v>5</v>
      </c>
      <c r="AH175" t="s">
        <v>1736</v>
      </c>
      <c r="AI175" t="s">
        <v>1735</v>
      </c>
      <c r="AK175" t="s">
        <v>1734</v>
      </c>
      <c r="AL175">
        <v>0</v>
      </c>
      <c r="AM175" s="5">
        <f t="shared" si="19"/>
        <v>0</v>
      </c>
      <c r="AN175" s="4">
        <f t="shared" si="20"/>
        <v>0</v>
      </c>
      <c r="AO175" s="3"/>
      <c r="AP175">
        <v>0</v>
      </c>
      <c r="AR175" t="s">
        <v>1</v>
      </c>
      <c r="AT175" s="2">
        <v>1.222</v>
      </c>
      <c r="AU175" s="1">
        <f t="shared" si="21"/>
        <v>0.85956060970075532</v>
      </c>
      <c r="AV175" s="1">
        <f t="shared" si="22"/>
        <v>0.61397186407196824</v>
      </c>
      <c r="AW175" s="1">
        <f t="shared" si="23"/>
        <v>0.36838311844318089</v>
      </c>
    </row>
    <row r="176" spans="1:49" x14ac:dyDescent="0.2">
      <c r="A176">
        <v>174</v>
      </c>
      <c r="B176" t="s">
        <v>1733</v>
      </c>
      <c r="F176" t="s">
        <v>1732</v>
      </c>
      <c r="G176" t="s">
        <v>8</v>
      </c>
      <c r="H176" t="s">
        <v>7</v>
      </c>
      <c r="I176" t="s">
        <v>1731</v>
      </c>
      <c r="J176">
        <v>100563118</v>
      </c>
      <c r="K176" t="s">
        <v>1730</v>
      </c>
      <c r="L176" t="s">
        <v>185</v>
      </c>
      <c r="M176" t="s">
        <v>52</v>
      </c>
      <c r="N176">
        <v>5</v>
      </c>
      <c r="O176" t="s">
        <v>1729</v>
      </c>
      <c r="P176" t="s">
        <v>1728</v>
      </c>
      <c r="Q176" t="s">
        <v>1727</v>
      </c>
      <c r="R176" s="7">
        <v>34608</v>
      </c>
      <c r="S176" s="8">
        <f t="shared" si="16"/>
        <v>1994</v>
      </c>
      <c r="T176" s="8">
        <v>1994</v>
      </c>
      <c r="U176" s="8">
        <f t="shared" si="17"/>
        <v>28</v>
      </c>
      <c r="V176" s="7">
        <v>34608</v>
      </c>
      <c r="W176" t="s">
        <v>119</v>
      </c>
      <c r="X176" s="2">
        <v>0.21099999999999999</v>
      </c>
      <c r="Y176" s="6">
        <f t="shared" si="18"/>
        <v>5.6325244921384904E-3</v>
      </c>
      <c r="AA176">
        <v>9168516</v>
      </c>
      <c r="AB176">
        <v>18936</v>
      </c>
      <c r="AD176" t="s">
        <v>2</v>
      </c>
      <c r="AE176" t="s">
        <v>118</v>
      </c>
      <c r="AF176">
        <v>10</v>
      </c>
      <c r="AH176" t="s">
        <v>1726</v>
      </c>
      <c r="AI176" t="s">
        <v>1725</v>
      </c>
      <c r="AK176" t="s">
        <v>1724</v>
      </c>
      <c r="AL176">
        <v>7</v>
      </c>
      <c r="AM176" s="5">
        <f t="shared" si="19"/>
        <v>0.25</v>
      </c>
      <c r="AN176" s="4">
        <f t="shared" si="20"/>
        <v>3.786444528587656E-4</v>
      </c>
      <c r="AO176" s="3"/>
      <c r="AP176">
        <v>0</v>
      </c>
      <c r="AR176" t="s">
        <v>1</v>
      </c>
      <c r="AT176" s="2">
        <v>0.52500000000000002</v>
      </c>
      <c r="AU176" s="1">
        <f t="shared" si="21"/>
        <v>0.40563604803545722</v>
      </c>
      <c r="AV176" s="1">
        <f t="shared" si="22"/>
        <v>0.3005584472498628</v>
      </c>
      <c r="AW176" s="1">
        <f t="shared" si="23"/>
        <v>0.1954808464642683</v>
      </c>
    </row>
    <row r="177" spans="1:49" x14ac:dyDescent="0.2">
      <c r="A177">
        <v>175</v>
      </c>
      <c r="B177" t="s">
        <v>1723</v>
      </c>
      <c r="F177" t="s">
        <v>364</v>
      </c>
      <c r="G177" t="s">
        <v>8</v>
      </c>
      <c r="H177" t="s">
        <v>7</v>
      </c>
      <c r="I177" t="s">
        <v>363</v>
      </c>
      <c r="J177">
        <v>60007951</v>
      </c>
      <c r="K177" t="s">
        <v>362</v>
      </c>
      <c r="L177" t="s">
        <v>361</v>
      </c>
      <c r="M177" t="s">
        <v>53</v>
      </c>
      <c r="N177">
        <v>1</v>
      </c>
      <c r="O177" t="s">
        <v>360</v>
      </c>
      <c r="P177">
        <v>55477125100</v>
      </c>
      <c r="Q177">
        <v>60007951</v>
      </c>
      <c r="R177" s="7">
        <v>34608</v>
      </c>
      <c r="S177" s="8">
        <f t="shared" si="16"/>
        <v>1994</v>
      </c>
      <c r="T177" s="8">
        <v>1994</v>
      </c>
      <c r="U177" s="8">
        <f t="shared" si="17"/>
        <v>28</v>
      </c>
      <c r="V177" s="7">
        <v>34608</v>
      </c>
      <c r="W177" t="s">
        <v>426</v>
      </c>
      <c r="X177" s="2">
        <v>0.48699999999999999</v>
      </c>
      <c r="Y177" s="6">
        <f t="shared" si="18"/>
        <v>1.3000186861002109E-2</v>
      </c>
      <c r="AA177">
        <v>214922</v>
      </c>
      <c r="AB177">
        <v>130262</v>
      </c>
      <c r="AD177" t="s">
        <v>2</v>
      </c>
      <c r="AE177">
        <v>33</v>
      </c>
      <c r="AF177">
        <v>10</v>
      </c>
      <c r="AH177" t="s">
        <v>1722</v>
      </c>
      <c r="AI177" t="s">
        <v>1721</v>
      </c>
      <c r="AK177" t="s">
        <v>359</v>
      </c>
      <c r="AL177">
        <v>165</v>
      </c>
      <c r="AM177" s="5">
        <f t="shared" si="19"/>
        <v>5.8928571428571432</v>
      </c>
      <c r="AN177" s="4">
        <f t="shared" si="20"/>
        <v>8.9251906745280475E-3</v>
      </c>
      <c r="AO177" s="3"/>
      <c r="AP177">
        <v>0</v>
      </c>
      <c r="AR177" t="s">
        <v>1</v>
      </c>
      <c r="AT177" s="2" t="s">
        <v>0</v>
      </c>
      <c r="AU177" s="1">
        <f t="shared" si="21"/>
        <v>1.177768800505989</v>
      </c>
      <c r="AV177" s="1">
        <f t="shared" si="22"/>
        <v>1.0962688767765079</v>
      </c>
      <c r="AW177" s="1">
        <f t="shared" si="23"/>
        <v>1.0147689530470267</v>
      </c>
    </row>
    <row r="178" spans="1:49" x14ac:dyDescent="0.2">
      <c r="A178">
        <v>176</v>
      </c>
      <c r="B178" t="s">
        <v>1720</v>
      </c>
      <c r="C178" t="s">
        <v>1719</v>
      </c>
      <c r="F178" t="s">
        <v>1718</v>
      </c>
      <c r="G178" t="s">
        <v>8</v>
      </c>
      <c r="H178" t="s">
        <v>7</v>
      </c>
      <c r="I178" t="s">
        <v>1717</v>
      </c>
      <c r="J178">
        <v>60002149</v>
      </c>
      <c r="K178" t="s">
        <v>1716</v>
      </c>
      <c r="L178" t="s">
        <v>277</v>
      </c>
      <c r="M178" t="s">
        <v>47</v>
      </c>
      <c r="N178">
        <v>2</v>
      </c>
      <c r="O178" t="s">
        <v>1715</v>
      </c>
      <c r="P178" t="s">
        <v>1714</v>
      </c>
      <c r="Q178" t="s">
        <v>1713</v>
      </c>
      <c r="R178" s="7">
        <v>34608</v>
      </c>
      <c r="S178" s="8">
        <f t="shared" si="16"/>
        <v>1994</v>
      </c>
      <c r="T178" s="8">
        <v>1994</v>
      </c>
      <c r="U178" s="8">
        <f t="shared" si="17"/>
        <v>28</v>
      </c>
      <c r="V178" s="7">
        <v>34608</v>
      </c>
      <c r="W178" s="11" t="s">
        <v>379</v>
      </c>
      <c r="X178" s="2">
        <v>2.383</v>
      </c>
      <c r="Y178" s="6">
        <f t="shared" si="18"/>
        <v>6.3612824003630442E-2</v>
      </c>
      <c r="AA178">
        <v>13502395</v>
      </c>
      <c r="AB178">
        <v>17418</v>
      </c>
      <c r="AD178" t="s">
        <v>2</v>
      </c>
      <c r="AE178">
        <v>141</v>
      </c>
      <c r="AF178">
        <v>5</v>
      </c>
      <c r="AH178" t="s">
        <v>242</v>
      </c>
      <c r="AI178" t="s">
        <v>1712</v>
      </c>
      <c r="AK178" t="s">
        <v>1711</v>
      </c>
      <c r="AL178">
        <v>16</v>
      </c>
      <c r="AM178" s="5">
        <f t="shared" si="19"/>
        <v>0.5714285714285714</v>
      </c>
      <c r="AN178" s="4">
        <f t="shared" si="20"/>
        <v>8.6547303510574997E-4</v>
      </c>
      <c r="AO178" s="3"/>
      <c r="AP178">
        <v>0</v>
      </c>
      <c r="AR178" t="s">
        <v>1</v>
      </c>
      <c r="AT178" s="2" t="s">
        <v>0</v>
      </c>
      <c r="AU178" s="1">
        <f t="shared" si="21"/>
        <v>4.478861871307303</v>
      </c>
      <c r="AV178" s="1">
        <f t="shared" si="22"/>
        <v>3.2239148519368093</v>
      </c>
      <c r="AW178" s="1">
        <f t="shared" si="23"/>
        <v>1.9689678325663158</v>
      </c>
    </row>
    <row r="179" spans="1:49" x14ac:dyDescent="0.2">
      <c r="A179">
        <v>177</v>
      </c>
      <c r="B179" t="s">
        <v>1710</v>
      </c>
      <c r="C179" t="s">
        <v>1709</v>
      </c>
      <c r="F179" t="s">
        <v>1708</v>
      </c>
      <c r="G179" t="s">
        <v>8</v>
      </c>
      <c r="H179" t="s">
        <v>7</v>
      </c>
      <c r="I179" t="s">
        <v>1707</v>
      </c>
      <c r="J179">
        <v>60012564</v>
      </c>
      <c r="K179" t="s">
        <v>223</v>
      </c>
      <c r="L179" t="s">
        <v>222</v>
      </c>
      <c r="M179" t="s">
        <v>19</v>
      </c>
      <c r="N179">
        <v>2</v>
      </c>
      <c r="O179" t="s">
        <v>1706</v>
      </c>
      <c r="P179" t="s">
        <v>1705</v>
      </c>
      <c r="Q179" t="s">
        <v>1704</v>
      </c>
      <c r="R179" s="7">
        <v>34608</v>
      </c>
      <c r="S179" s="8">
        <f t="shared" si="16"/>
        <v>1994</v>
      </c>
      <c r="T179" s="8">
        <v>1994</v>
      </c>
      <c r="U179" s="8">
        <f t="shared" si="17"/>
        <v>28</v>
      </c>
      <c r="V179" s="7">
        <v>34608</v>
      </c>
      <c r="W179" s="11" t="s">
        <v>379</v>
      </c>
      <c r="X179" s="2">
        <v>2.383</v>
      </c>
      <c r="Y179" s="6">
        <f t="shared" si="18"/>
        <v>6.3612824003630442E-2</v>
      </c>
      <c r="AA179">
        <v>13502395</v>
      </c>
      <c r="AB179">
        <v>17418</v>
      </c>
      <c r="AD179" t="s">
        <v>2</v>
      </c>
      <c r="AE179">
        <v>141</v>
      </c>
      <c r="AF179">
        <v>5</v>
      </c>
      <c r="AH179" t="s">
        <v>1703</v>
      </c>
      <c r="AI179" t="s">
        <v>1702</v>
      </c>
      <c r="AK179" t="s">
        <v>1701</v>
      </c>
      <c r="AL179">
        <v>1</v>
      </c>
      <c r="AM179" s="5">
        <f t="shared" si="19"/>
        <v>3.5714285714285712E-2</v>
      </c>
      <c r="AN179" s="4">
        <f t="shared" si="20"/>
        <v>5.4092064694109373E-5</v>
      </c>
      <c r="AO179" s="3"/>
      <c r="AP179">
        <v>0</v>
      </c>
      <c r="AR179" t="s">
        <v>1</v>
      </c>
      <c r="AT179" s="2" t="s">
        <v>0</v>
      </c>
      <c r="AU179" s="1">
        <f t="shared" si="21"/>
        <v>4.454520442194954</v>
      </c>
      <c r="AV179" s="1">
        <f t="shared" si="22"/>
        <v>3.1833458034162274</v>
      </c>
      <c r="AW179" s="1">
        <f t="shared" si="23"/>
        <v>1.9121711646375008</v>
      </c>
    </row>
    <row r="180" spans="1:49" x14ac:dyDescent="0.2">
      <c r="A180">
        <v>178</v>
      </c>
      <c r="B180" t="s">
        <v>1700</v>
      </c>
      <c r="C180" t="s">
        <v>1699</v>
      </c>
      <c r="F180" t="s">
        <v>1698</v>
      </c>
      <c r="G180" t="s">
        <v>8</v>
      </c>
      <c r="H180" t="s">
        <v>7</v>
      </c>
      <c r="I180" t="s">
        <v>1697</v>
      </c>
      <c r="J180" t="s">
        <v>1696</v>
      </c>
      <c r="K180" t="s">
        <v>1695</v>
      </c>
      <c r="L180" t="s">
        <v>1694</v>
      </c>
      <c r="M180" t="s">
        <v>21</v>
      </c>
      <c r="N180">
        <v>4</v>
      </c>
      <c r="O180" t="s">
        <v>1693</v>
      </c>
      <c r="P180" t="s">
        <v>1692</v>
      </c>
      <c r="Q180" t="s">
        <v>1691</v>
      </c>
      <c r="R180" s="7">
        <v>34608</v>
      </c>
      <c r="S180" s="8">
        <f t="shared" si="16"/>
        <v>1994</v>
      </c>
      <c r="T180" s="8">
        <v>1994</v>
      </c>
      <c r="U180" s="8">
        <f t="shared" si="17"/>
        <v>28</v>
      </c>
      <c r="V180" s="7">
        <v>34608</v>
      </c>
      <c r="W180" t="s">
        <v>32</v>
      </c>
      <c r="X180" s="2">
        <v>0.61499999999999999</v>
      </c>
      <c r="Y180" s="6">
        <f t="shared" si="18"/>
        <v>1.6417073756706976E-2</v>
      </c>
      <c r="AA180">
        <v>1959271</v>
      </c>
      <c r="AB180">
        <v>12141</v>
      </c>
      <c r="AC180">
        <v>15729559</v>
      </c>
      <c r="AD180" t="s">
        <v>2</v>
      </c>
      <c r="AE180">
        <v>15</v>
      </c>
      <c r="AF180">
        <v>10</v>
      </c>
      <c r="AH180" t="s">
        <v>1690</v>
      </c>
      <c r="AI180" t="s">
        <v>1689</v>
      </c>
      <c r="AK180" t="s">
        <v>1688</v>
      </c>
      <c r="AL180">
        <v>0</v>
      </c>
      <c r="AM180" s="5">
        <f t="shared" si="19"/>
        <v>0</v>
      </c>
      <c r="AN180" s="4">
        <f t="shared" si="20"/>
        <v>0</v>
      </c>
      <c r="AO180" s="3"/>
      <c r="AP180">
        <v>0</v>
      </c>
      <c r="AR180" t="s">
        <v>1</v>
      </c>
      <c r="AT180" s="2" t="s">
        <v>0</v>
      </c>
      <c r="AU180" s="1">
        <f t="shared" si="21"/>
        <v>1.1491951629694881</v>
      </c>
      <c r="AV180" s="1">
        <f t="shared" si="22"/>
        <v>0.82085368783534873</v>
      </c>
      <c r="AW180" s="1">
        <f t="shared" si="23"/>
        <v>0.49251221270120926</v>
      </c>
    </row>
    <row r="181" spans="1:49" x14ac:dyDescent="0.2">
      <c r="A181">
        <v>179</v>
      </c>
      <c r="B181" t="s">
        <v>1687</v>
      </c>
      <c r="C181" t="s">
        <v>1686</v>
      </c>
      <c r="F181" t="s">
        <v>1685</v>
      </c>
      <c r="G181" t="s">
        <v>8</v>
      </c>
      <c r="H181" t="s">
        <v>7</v>
      </c>
      <c r="I181" t="s">
        <v>1684</v>
      </c>
      <c r="J181" t="s">
        <v>1683</v>
      </c>
      <c r="K181" t="s">
        <v>1682</v>
      </c>
      <c r="L181" t="s">
        <v>1681</v>
      </c>
      <c r="M181" t="s">
        <v>12</v>
      </c>
      <c r="N181">
        <v>7</v>
      </c>
      <c r="O181" t="s">
        <v>1680</v>
      </c>
      <c r="P181" t="s">
        <v>1679</v>
      </c>
      <c r="Q181" t="s">
        <v>1678</v>
      </c>
      <c r="R181" s="7">
        <v>34608</v>
      </c>
      <c r="S181" s="8">
        <f t="shared" si="16"/>
        <v>1994</v>
      </c>
      <c r="T181" s="8">
        <v>1994</v>
      </c>
      <c r="U181" s="8">
        <f t="shared" si="17"/>
        <v>28</v>
      </c>
      <c r="V181" s="7">
        <v>34608</v>
      </c>
      <c r="W181" t="s">
        <v>81</v>
      </c>
      <c r="X181" s="2">
        <v>1.1579999999999999</v>
      </c>
      <c r="Y181" s="6">
        <f t="shared" si="18"/>
        <v>3.0912148634579962E-2</v>
      </c>
      <c r="AA181">
        <v>1668595</v>
      </c>
      <c r="AB181">
        <v>14223</v>
      </c>
      <c r="AC181">
        <v>15735079</v>
      </c>
      <c r="AD181" t="s">
        <v>2</v>
      </c>
      <c r="AE181">
        <v>42</v>
      </c>
      <c r="AF181">
        <v>1</v>
      </c>
      <c r="AH181" t="s">
        <v>1677</v>
      </c>
      <c r="AI181" t="s">
        <v>1676</v>
      </c>
      <c r="AJ181" t="s">
        <v>1675</v>
      </c>
      <c r="AK181" t="s">
        <v>1674</v>
      </c>
      <c r="AL181">
        <v>67</v>
      </c>
      <c r="AM181" s="5">
        <f t="shared" si="19"/>
        <v>2.3928571428571428</v>
      </c>
      <c r="AN181" s="4">
        <f t="shared" si="20"/>
        <v>3.624168334505328E-3</v>
      </c>
      <c r="AO181" s="3"/>
      <c r="AP181">
        <v>0</v>
      </c>
      <c r="AR181" t="s">
        <v>1</v>
      </c>
      <c r="AT181" s="2">
        <v>3.573</v>
      </c>
      <c r="AU181" s="1">
        <f t="shared" si="21"/>
        <v>2.2725754544557568</v>
      </c>
      <c r="AV181" s="1">
        <f t="shared" si="22"/>
        <v>1.7268158484542644</v>
      </c>
      <c r="AW181" s="1">
        <f t="shared" si="23"/>
        <v>1.181056242452772</v>
      </c>
    </row>
    <row r="182" spans="1:49" x14ac:dyDescent="0.2">
      <c r="A182">
        <v>180</v>
      </c>
      <c r="B182" t="s">
        <v>1673</v>
      </c>
      <c r="C182" t="s">
        <v>1672</v>
      </c>
      <c r="F182" t="s">
        <v>1671</v>
      </c>
      <c r="G182" t="s">
        <v>8</v>
      </c>
      <c r="H182" t="s">
        <v>7</v>
      </c>
      <c r="I182" t="s">
        <v>1670</v>
      </c>
      <c r="J182">
        <v>60001359</v>
      </c>
      <c r="K182" t="s">
        <v>293</v>
      </c>
      <c r="L182" t="s">
        <v>292</v>
      </c>
      <c r="M182" t="s">
        <v>4</v>
      </c>
      <c r="N182">
        <v>3</v>
      </c>
      <c r="O182" t="s">
        <v>1669</v>
      </c>
      <c r="P182" t="s">
        <v>1668</v>
      </c>
      <c r="Q182" t="s">
        <v>1667</v>
      </c>
      <c r="R182" s="7">
        <v>34608</v>
      </c>
      <c r="S182" s="8">
        <f t="shared" si="16"/>
        <v>1994</v>
      </c>
      <c r="T182" s="8">
        <v>1994</v>
      </c>
      <c r="U182" s="8">
        <f t="shared" si="17"/>
        <v>28</v>
      </c>
      <c r="V182" s="7">
        <v>34608</v>
      </c>
      <c r="W182" t="s">
        <v>81</v>
      </c>
      <c r="X182" s="2">
        <v>1.1579999999999999</v>
      </c>
      <c r="Y182" s="6">
        <f t="shared" si="18"/>
        <v>3.0912148634579962E-2</v>
      </c>
      <c r="AA182">
        <v>1668595</v>
      </c>
      <c r="AB182">
        <v>14223</v>
      </c>
      <c r="AC182">
        <v>15735079</v>
      </c>
      <c r="AD182" t="s">
        <v>2</v>
      </c>
      <c r="AE182">
        <v>42</v>
      </c>
      <c r="AF182">
        <v>1</v>
      </c>
      <c r="AH182" t="s">
        <v>1666</v>
      </c>
      <c r="AI182" t="s">
        <v>1665</v>
      </c>
      <c r="AJ182" t="s">
        <v>1664</v>
      </c>
      <c r="AK182" t="s">
        <v>1663</v>
      </c>
      <c r="AL182">
        <v>18</v>
      </c>
      <c r="AM182" s="5">
        <f t="shared" si="19"/>
        <v>0.6428571428571429</v>
      </c>
      <c r="AN182" s="4">
        <f t="shared" si="20"/>
        <v>9.7365716449396885E-4</v>
      </c>
      <c r="AO182" s="3"/>
      <c r="AP182">
        <v>0</v>
      </c>
      <c r="AR182" t="s">
        <v>1</v>
      </c>
      <c r="AT182" s="2">
        <v>3.573</v>
      </c>
      <c r="AU182" s="1">
        <f t="shared" si="21"/>
        <v>2.1930601193554162</v>
      </c>
      <c r="AV182" s="1">
        <f t="shared" si="22"/>
        <v>1.5942902899536964</v>
      </c>
      <c r="AW182" s="1">
        <f t="shared" si="23"/>
        <v>0.99552046055197663</v>
      </c>
    </row>
    <row r="183" spans="1:49" x14ac:dyDescent="0.2">
      <c r="A183">
        <v>181</v>
      </c>
      <c r="B183" t="s">
        <v>1662</v>
      </c>
      <c r="C183" t="s">
        <v>1661</v>
      </c>
      <c r="F183" t="s">
        <v>1660</v>
      </c>
      <c r="G183" t="s">
        <v>8</v>
      </c>
      <c r="H183" t="s">
        <v>7</v>
      </c>
      <c r="I183" t="s">
        <v>1659</v>
      </c>
      <c r="J183">
        <v>60021331</v>
      </c>
      <c r="K183" t="s">
        <v>1658</v>
      </c>
      <c r="L183" t="s">
        <v>141</v>
      </c>
      <c r="M183" t="s">
        <v>17</v>
      </c>
      <c r="N183">
        <v>2</v>
      </c>
      <c r="O183" t="s">
        <v>1657</v>
      </c>
      <c r="P183" t="s">
        <v>1656</v>
      </c>
      <c r="Q183" t="s">
        <v>1655</v>
      </c>
      <c r="R183" s="7">
        <v>34608</v>
      </c>
      <c r="S183" s="8">
        <f t="shared" si="16"/>
        <v>1994</v>
      </c>
      <c r="T183" s="8">
        <v>1994</v>
      </c>
      <c r="U183" s="8">
        <f t="shared" si="17"/>
        <v>28</v>
      </c>
      <c r="V183" s="7">
        <v>34608</v>
      </c>
      <c r="W183" t="s">
        <v>81</v>
      </c>
      <c r="X183" s="2">
        <v>1.1579999999999999</v>
      </c>
      <c r="Y183" s="6">
        <f t="shared" si="18"/>
        <v>3.0912148634579962E-2</v>
      </c>
      <c r="AA183">
        <v>1668595</v>
      </c>
      <c r="AB183">
        <v>14223</v>
      </c>
      <c r="AC183">
        <v>15735079</v>
      </c>
      <c r="AD183" t="s">
        <v>2</v>
      </c>
      <c r="AE183">
        <v>42</v>
      </c>
      <c r="AF183">
        <v>1</v>
      </c>
      <c r="AH183" s="9">
        <v>42248</v>
      </c>
      <c r="AI183" t="s">
        <v>1654</v>
      </c>
      <c r="AJ183" t="s">
        <v>1653</v>
      </c>
      <c r="AK183" t="s">
        <v>1652</v>
      </c>
      <c r="AL183">
        <v>43</v>
      </c>
      <c r="AM183" s="5">
        <f t="shared" si="19"/>
        <v>1.5357142857142858</v>
      </c>
      <c r="AN183" s="4">
        <f t="shared" si="20"/>
        <v>2.3259587818467032E-3</v>
      </c>
      <c r="AO183" s="3"/>
      <c r="AP183">
        <v>0</v>
      </c>
      <c r="AR183" t="s">
        <v>1</v>
      </c>
      <c r="AT183" s="2">
        <v>3.573</v>
      </c>
      <c r="AU183" s="1">
        <f t="shared" si="21"/>
        <v>2.2336291678759985</v>
      </c>
      <c r="AV183" s="1">
        <f t="shared" si="22"/>
        <v>1.6619053708213334</v>
      </c>
      <c r="AW183" s="1">
        <f t="shared" si="23"/>
        <v>1.090181573766668</v>
      </c>
    </row>
    <row r="184" spans="1:49" x14ac:dyDescent="0.2">
      <c r="A184">
        <v>182</v>
      </c>
      <c r="B184" t="s">
        <v>1651</v>
      </c>
      <c r="C184" t="s">
        <v>1650</v>
      </c>
      <c r="E184">
        <v>7918492</v>
      </c>
      <c r="F184" t="s">
        <v>1649</v>
      </c>
      <c r="G184" t="s">
        <v>8</v>
      </c>
      <c r="H184" t="s">
        <v>7</v>
      </c>
      <c r="I184" t="s">
        <v>1648</v>
      </c>
      <c r="J184">
        <v>60022890</v>
      </c>
      <c r="K184" t="s">
        <v>1647</v>
      </c>
      <c r="L184" t="s">
        <v>144</v>
      </c>
      <c r="M184" t="s">
        <v>19</v>
      </c>
      <c r="N184">
        <v>2</v>
      </c>
      <c r="O184" t="s">
        <v>1646</v>
      </c>
      <c r="P184" t="s">
        <v>1645</v>
      </c>
      <c r="Q184" t="s">
        <v>1644</v>
      </c>
      <c r="R184" s="7">
        <v>34608</v>
      </c>
      <c r="S184" s="8">
        <f t="shared" si="16"/>
        <v>1994</v>
      </c>
      <c r="T184" s="8">
        <v>1994</v>
      </c>
      <c r="U184" s="8">
        <f t="shared" si="17"/>
        <v>28</v>
      </c>
      <c r="V184" s="7">
        <v>34608</v>
      </c>
      <c r="W184" t="s">
        <v>372</v>
      </c>
      <c r="X184" s="2">
        <v>1.43</v>
      </c>
      <c r="Y184" s="6">
        <f t="shared" si="18"/>
        <v>3.8173033287952803E-2</v>
      </c>
      <c r="AA184">
        <v>62960</v>
      </c>
      <c r="AB184">
        <v>16867</v>
      </c>
      <c r="AC184">
        <v>15204995</v>
      </c>
      <c r="AD184" t="s">
        <v>2</v>
      </c>
      <c r="AE184">
        <v>33</v>
      </c>
      <c r="AF184">
        <v>42</v>
      </c>
      <c r="AH184" t="s">
        <v>1643</v>
      </c>
      <c r="AI184" t="s">
        <v>1642</v>
      </c>
      <c r="AK184" t="s">
        <v>1641</v>
      </c>
      <c r="AL184">
        <v>8</v>
      </c>
      <c r="AM184" s="5">
        <f t="shared" si="19"/>
        <v>0.2857142857142857</v>
      </c>
      <c r="AN184" s="4">
        <f t="shared" si="20"/>
        <v>4.3273651755287499E-4</v>
      </c>
      <c r="AO184" s="3"/>
      <c r="AP184">
        <v>0</v>
      </c>
      <c r="AQ184" t="s">
        <v>61</v>
      </c>
      <c r="AR184" t="s">
        <v>1640</v>
      </c>
      <c r="AS184" t="s">
        <v>60</v>
      </c>
      <c r="AT184" s="2">
        <v>3.1619999999999999</v>
      </c>
      <c r="AU184" s="1">
        <f t="shared" si="21"/>
        <v>2.6850944256832823</v>
      </c>
      <c r="AV184" s="1">
        <f t="shared" si="22"/>
        <v>1.9302884902752837</v>
      </c>
      <c r="AW184" s="1">
        <f t="shared" si="23"/>
        <v>1.1754825548672854</v>
      </c>
    </row>
    <row r="185" spans="1:49" x14ac:dyDescent="0.2">
      <c r="A185">
        <v>183</v>
      </c>
      <c r="B185" t="s">
        <v>1639</v>
      </c>
      <c r="C185" t="s">
        <v>1638</v>
      </c>
      <c r="E185">
        <v>7881173</v>
      </c>
      <c r="F185" t="s">
        <v>1637</v>
      </c>
      <c r="G185" t="s">
        <v>8</v>
      </c>
      <c r="H185" t="s">
        <v>7</v>
      </c>
      <c r="I185" t="s">
        <v>1636</v>
      </c>
      <c r="J185" t="s">
        <v>1635</v>
      </c>
      <c r="K185" t="s">
        <v>1634</v>
      </c>
      <c r="L185" t="s">
        <v>1633</v>
      </c>
      <c r="M185" t="s">
        <v>1632</v>
      </c>
      <c r="N185">
        <v>9</v>
      </c>
      <c r="O185" t="s">
        <v>1631</v>
      </c>
      <c r="P185" t="s">
        <v>1630</v>
      </c>
      <c r="Q185" t="s">
        <v>1629</v>
      </c>
      <c r="R185" s="7">
        <v>34608</v>
      </c>
      <c r="S185" s="8">
        <f t="shared" si="16"/>
        <v>1994</v>
      </c>
      <c r="T185" s="8">
        <v>1994</v>
      </c>
      <c r="U185" s="8">
        <f t="shared" si="17"/>
        <v>28</v>
      </c>
      <c r="V185" s="7">
        <v>34608</v>
      </c>
      <c r="W185" t="s">
        <v>1613</v>
      </c>
      <c r="X185" s="2">
        <v>1.7569999999999999</v>
      </c>
      <c r="Y185" s="6">
        <f t="shared" si="18"/>
        <v>4.6902111529323831E-2</v>
      </c>
      <c r="AA185">
        <v>9596658</v>
      </c>
      <c r="AB185">
        <v>17511</v>
      </c>
      <c r="AD185" t="s">
        <v>2</v>
      </c>
      <c r="AE185">
        <v>4</v>
      </c>
      <c r="AF185">
        <v>5</v>
      </c>
      <c r="AH185" t="s">
        <v>1628</v>
      </c>
      <c r="AI185" t="s">
        <v>1627</v>
      </c>
      <c r="AJ185" t="s">
        <v>1626</v>
      </c>
      <c r="AK185" t="s">
        <v>1625</v>
      </c>
      <c r="AL185">
        <v>108</v>
      </c>
      <c r="AM185" s="5">
        <f t="shared" si="19"/>
        <v>3.8571428571428572</v>
      </c>
      <c r="AN185" s="4">
        <f t="shared" si="20"/>
        <v>5.8419429869638129E-3</v>
      </c>
      <c r="AO185" s="3"/>
      <c r="AP185">
        <v>0</v>
      </c>
      <c r="AQ185" t="s">
        <v>28</v>
      </c>
      <c r="AR185" t="s">
        <v>1624</v>
      </c>
      <c r="AS185" t="s">
        <v>27</v>
      </c>
      <c r="AT185" s="2">
        <v>4.3129999999999997</v>
      </c>
      <c r="AU185" s="1">
        <f t="shared" si="21"/>
        <v>3.4584060966615824</v>
      </c>
      <c r="AV185" s="1">
        <f t="shared" si="22"/>
        <v>2.6372027258143822</v>
      </c>
      <c r="AW185" s="1">
        <f t="shared" si="23"/>
        <v>1.8159993549671818</v>
      </c>
    </row>
    <row r="186" spans="1:49" x14ac:dyDescent="0.2">
      <c r="A186">
        <v>184</v>
      </c>
      <c r="B186" t="s">
        <v>1623</v>
      </c>
      <c r="C186" t="s">
        <v>1622</v>
      </c>
      <c r="E186">
        <v>7881170</v>
      </c>
      <c r="F186" t="s">
        <v>1621</v>
      </c>
      <c r="G186" t="s">
        <v>8</v>
      </c>
      <c r="H186" t="s">
        <v>7</v>
      </c>
      <c r="I186" t="s">
        <v>1620</v>
      </c>
      <c r="J186" t="s">
        <v>1619</v>
      </c>
      <c r="K186" t="s">
        <v>1618</v>
      </c>
      <c r="L186" t="s">
        <v>1617</v>
      </c>
      <c r="M186" t="s">
        <v>12</v>
      </c>
      <c r="N186">
        <v>5</v>
      </c>
      <c r="O186" t="s">
        <v>1616</v>
      </c>
      <c r="P186" t="s">
        <v>1615</v>
      </c>
      <c r="Q186" t="s">
        <v>1614</v>
      </c>
      <c r="R186" s="7">
        <v>34608</v>
      </c>
      <c r="S186" s="8">
        <f t="shared" si="16"/>
        <v>1994</v>
      </c>
      <c r="T186" s="8">
        <v>1994</v>
      </c>
      <c r="U186" s="8">
        <f t="shared" si="17"/>
        <v>28</v>
      </c>
      <c r="V186" s="7">
        <v>34608</v>
      </c>
      <c r="W186" t="s">
        <v>1613</v>
      </c>
      <c r="X186" s="2">
        <v>1.7569999999999999</v>
      </c>
      <c r="Y186" s="6">
        <f t="shared" si="18"/>
        <v>4.6902111529323831E-2</v>
      </c>
      <c r="AA186">
        <v>9596658</v>
      </c>
      <c r="AB186">
        <v>17511</v>
      </c>
      <c r="AD186" t="s">
        <v>2</v>
      </c>
      <c r="AE186">
        <v>4</v>
      </c>
      <c r="AF186">
        <v>5</v>
      </c>
      <c r="AH186" t="s">
        <v>1612</v>
      </c>
      <c r="AI186" t="s">
        <v>1611</v>
      </c>
      <c r="AJ186" t="s">
        <v>1610</v>
      </c>
      <c r="AK186" t="s">
        <v>1609</v>
      </c>
      <c r="AL186">
        <v>34</v>
      </c>
      <c r="AM186" s="5">
        <f t="shared" si="19"/>
        <v>1.2142857142857142</v>
      </c>
      <c r="AN186" s="4">
        <f t="shared" si="20"/>
        <v>1.8391301995997185E-3</v>
      </c>
      <c r="AO186" s="3"/>
      <c r="AP186">
        <v>0</v>
      </c>
      <c r="AQ186" t="s">
        <v>90</v>
      </c>
      <c r="AR186" t="s">
        <v>1608</v>
      </c>
      <c r="AS186" t="s">
        <v>89</v>
      </c>
      <c r="AT186" s="2">
        <v>4.3129999999999997</v>
      </c>
      <c r="AU186" s="1">
        <f t="shared" si="21"/>
        <v>3.3383217130406595</v>
      </c>
      <c r="AV186" s="1">
        <f t="shared" si="22"/>
        <v>2.4370620864461774</v>
      </c>
      <c r="AW186" s="1">
        <f t="shared" si="23"/>
        <v>1.5358024598516951</v>
      </c>
    </row>
    <row r="187" spans="1:49" x14ac:dyDescent="0.2">
      <c r="A187">
        <v>185</v>
      </c>
      <c r="B187" t="s">
        <v>1607</v>
      </c>
      <c r="C187" t="s">
        <v>1606</v>
      </c>
      <c r="F187" t="s">
        <v>1605</v>
      </c>
      <c r="G187" t="s">
        <v>8</v>
      </c>
      <c r="H187" t="s">
        <v>7</v>
      </c>
      <c r="I187" t="s">
        <v>1604</v>
      </c>
      <c r="J187">
        <v>60003122</v>
      </c>
      <c r="K187" t="s">
        <v>1603</v>
      </c>
      <c r="L187" t="s">
        <v>305</v>
      </c>
      <c r="M187" t="s">
        <v>47</v>
      </c>
      <c r="N187">
        <v>1</v>
      </c>
      <c r="O187" t="s">
        <v>1602</v>
      </c>
      <c r="P187">
        <v>7102344649</v>
      </c>
      <c r="Q187">
        <v>60003122</v>
      </c>
      <c r="R187" s="7">
        <v>34608</v>
      </c>
      <c r="S187" s="8">
        <f t="shared" si="16"/>
        <v>1994</v>
      </c>
      <c r="T187" s="8">
        <v>1994</v>
      </c>
      <c r="U187" s="8">
        <f t="shared" si="17"/>
        <v>28</v>
      </c>
      <c r="V187" s="7">
        <v>34608</v>
      </c>
      <c r="W187" t="s">
        <v>62</v>
      </c>
      <c r="X187" s="2">
        <v>0.28799999999999998</v>
      </c>
      <c r="Y187" s="6">
        <f t="shared" si="18"/>
        <v>7.6879955153359488E-3</v>
      </c>
      <c r="AA187">
        <v>10689605</v>
      </c>
      <c r="AB187">
        <v>19515</v>
      </c>
      <c r="AC187">
        <v>15728129</v>
      </c>
      <c r="AD187" t="s">
        <v>2</v>
      </c>
      <c r="AE187">
        <v>1</v>
      </c>
      <c r="AF187">
        <v>4</v>
      </c>
      <c r="AH187" t="s">
        <v>1601</v>
      </c>
      <c r="AI187" t="s">
        <v>1600</v>
      </c>
      <c r="AJ187" t="s">
        <v>1599</v>
      </c>
      <c r="AK187" t="s">
        <v>1598</v>
      </c>
      <c r="AL187">
        <v>12</v>
      </c>
      <c r="AM187" s="5">
        <f t="shared" si="19"/>
        <v>0.42857142857142855</v>
      </c>
      <c r="AN187" s="4">
        <f t="shared" si="20"/>
        <v>6.4910477632931242E-4</v>
      </c>
      <c r="AO187" s="3"/>
      <c r="AP187">
        <v>0</v>
      </c>
      <c r="AR187" t="s">
        <v>1</v>
      </c>
      <c r="AT187" s="2" t="s">
        <v>0</v>
      </c>
      <c r="AU187" s="1">
        <f t="shared" si="21"/>
        <v>0.55763282936339575</v>
      </c>
      <c r="AV187" s="1">
        <f t="shared" si="22"/>
        <v>0.41685501458326307</v>
      </c>
      <c r="AW187" s="1">
        <f t="shared" si="23"/>
        <v>0.27607719980313028</v>
      </c>
    </row>
    <row r="188" spans="1:49" x14ac:dyDescent="0.2">
      <c r="A188">
        <v>186</v>
      </c>
      <c r="B188" t="s">
        <v>1597</v>
      </c>
      <c r="C188" t="s">
        <v>1596</v>
      </c>
      <c r="D188" t="s">
        <v>1595</v>
      </c>
      <c r="F188" t="s">
        <v>1594</v>
      </c>
      <c r="G188" t="s">
        <v>8</v>
      </c>
      <c r="H188" t="s">
        <v>7</v>
      </c>
      <c r="I188" t="s">
        <v>1593</v>
      </c>
      <c r="J188" t="s">
        <v>1592</v>
      </c>
      <c r="K188" t="s">
        <v>1591</v>
      </c>
      <c r="L188" t="s">
        <v>1590</v>
      </c>
      <c r="M188" t="s">
        <v>25</v>
      </c>
      <c r="N188">
        <v>5</v>
      </c>
      <c r="O188" t="s">
        <v>1589</v>
      </c>
      <c r="P188" t="s">
        <v>1588</v>
      </c>
      <c r="Q188" t="s">
        <v>1587</v>
      </c>
      <c r="R188" s="7">
        <v>34604</v>
      </c>
      <c r="S188" s="8">
        <f t="shared" si="16"/>
        <v>1994</v>
      </c>
      <c r="T188" s="8">
        <v>1994</v>
      </c>
      <c r="U188" s="8">
        <f t="shared" si="17"/>
        <v>28</v>
      </c>
      <c r="V188" s="7">
        <v>34604</v>
      </c>
      <c r="W188" t="s">
        <v>371</v>
      </c>
      <c r="X188" s="2">
        <v>1.59</v>
      </c>
      <c r="Y188" s="6">
        <f t="shared" si="18"/>
        <v>4.2444141907583888E-2</v>
      </c>
      <c r="AA188">
        <v>52728</v>
      </c>
      <c r="AB188">
        <v>16791</v>
      </c>
      <c r="AD188" t="s">
        <v>2</v>
      </c>
      <c r="AE188">
        <v>1187</v>
      </c>
      <c r="AF188">
        <v>3</v>
      </c>
      <c r="AH188" t="s">
        <v>1586</v>
      </c>
      <c r="AI188" t="s">
        <v>1585</v>
      </c>
      <c r="AJ188" t="s">
        <v>1584</v>
      </c>
      <c r="AK188" t="s">
        <v>1583</v>
      </c>
      <c r="AL188">
        <v>35</v>
      </c>
      <c r="AM188" s="5">
        <f t="shared" si="19"/>
        <v>1.25</v>
      </c>
      <c r="AN188" s="4">
        <f t="shared" si="20"/>
        <v>1.8932222642938281E-3</v>
      </c>
      <c r="AO188" s="3"/>
      <c r="AP188">
        <v>0</v>
      </c>
      <c r="AQ188" t="s">
        <v>58</v>
      </c>
      <c r="AR188" t="s">
        <v>1582</v>
      </c>
      <c r="AS188" t="s">
        <v>57</v>
      </c>
      <c r="AT188" s="2" t="s">
        <v>0</v>
      </c>
      <c r="AU188" s="1">
        <f t="shared" si="21"/>
        <v>3.027886601459687</v>
      </c>
      <c r="AV188" s="1">
        <f t="shared" si="22"/>
        <v>2.216868208593886</v>
      </c>
      <c r="AW188" s="1">
        <f t="shared" si="23"/>
        <v>1.4058498157280845</v>
      </c>
    </row>
    <row r="189" spans="1:49" x14ac:dyDescent="0.2">
      <c r="A189">
        <v>187</v>
      </c>
      <c r="B189" t="s">
        <v>1581</v>
      </c>
      <c r="C189" t="s">
        <v>1580</v>
      </c>
      <c r="D189" t="s">
        <v>1579</v>
      </c>
      <c r="F189" t="s">
        <v>1578</v>
      </c>
      <c r="G189" t="s">
        <v>8</v>
      </c>
      <c r="H189" t="s">
        <v>7</v>
      </c>
      <c r="I189" t="s">
        <v>1577</v>
      </c>
      <c r="J189" t="s">
        <v>1576</v>
      </c>
      <c r="K189" t="s">
        <v>1575</v>
      </c>
      <c r="L189" t="s">
        <v>1574</v>
      </c>
      <c r="M189" t="s">
        <v>261</v>
      </c>
      <c r="N189">
        <v>3</v>
      </c>
      <c r="O189" t="s">
        <v>1573</v>
      </c>
      <c r="P189" t="s">
        <v>1572</v>
      </c>
      <c r="Q189" t="s">
        <v>1571</v>
      </c>
      <c r="R189" s="7">
        <v>34604</v>
      </c>
      <c r="S189" s="8">
        <f t="shared" si="16"/>
        <v>1994</v>
      </c>
      <c r="T189" s="8">
        <v>1994</v>
      </c>
      <c r="U189" s="8">
        <f t="shared" si="17"/>
        <v>28</v>
      </c>
      <c r="V189" s="7">
        <v>34604</v>
      </c>
      <c r="W189" t="s">
        <v>371</v>
      </c>
      <c r="X189" s="2">
        <v>1.59</v>
      </c>
      <c r="Y189" s="6">
        <f t="shared" si="18"/>
        <v>4.2444141907583888E-2</v>
      </c>
      <c r="AA189">
        <v>52728</v>
      </c>
      <c r="AB189">
        <v>16791</v>
      </c>
      <c r="AD189" t="s">
        <v>2</v>
      </c>
      <c r="AE189">
        <v>1187</v>
      </c>
      <c r="AF189">
        <v>3</v>
      </c>
      <c r="AH189" t="s">
        <v>1570</v>
      </c>
      <c r="AI189" t="s">
        <v>1569</v>
      </c>
      <c r="AJ189" t="s">
        <v>1568</v>
      </c>
      <c r="AK189" t="s">
        <v>1567</v>
      </c>
      <c r="AL189">
        <v>16</v>
      </c>
      <c r="AM189" s="5">
        <f t="shared" si="19"/>
        <v>0.5714285714285714</v>
      </c>
      <c r="AN189" s="4">
        <f t="shared" si="20"/>
        <v>8.6547303510574997E-4</v>
      </c>
      <c r="AO189" s="3"/>
      <c r="AP189">
        <v>0</v>
      </c>
      <c r="AR189" t="s">
        <v>1</v>
      </c>
      <c r="AT189" s="2" t="s">
        <v>0</v>
      </c>
      <c r="AU189" s="1">
        <f t="shared" si="21"/>
        <v>2.9970541245840443</v>
      </c>
      <c r="AV189" s="1">
        <f t="shared" si="22"/>
        <v>2.1654807471344819</v>
      </c>
      <c r="AW189" s="1">
        <f t="shared" si="23"/>
        <v>1.3339073696849189</v>
      </c>
    </row>
    <row r="190" spans="1:49" x14ac:dyDescent="0.2">
      <c r="A190">
        <v>188</v>
      </c>
      <c r="B190" t="s">
        <v>1566</v>
      </c>
      <c r="C190" t="s">
        <v>1565</v>
      </c>
      <c r="F190" t="s">
        <v>1564</v>
      </c>
      <c r="G190" t="s">
        <v>8</v>
      </c>
      <c r="H190" t="s">
        <v>7</v>
      </c>
      <c r="I190" t="s">
        <v>123</v>
      </c>
      <c r="J190" t="s">
        <v>1563</v>
      </c>
      <c r="K190" t="s">
        <v>1562</v>
      </c>
      <c r="L190" t="s">
        <v>1561</v>
      </c>
      <c r="M190" t="s">
        <v>12</v>
      </c>
      <c r="N190">
        <v>4</v>
      </c>
      <c r="O190" t="s">
        <v>1560</v>
      </c>
      <c r="P190" t="s">
        <v>1559</v>
      </c>
      <c r="Q190" t="s">
        <v>1558</v>
      </c>
      <c r="R190" s="7">
        <v>34597</v>
      </c>
      <c r="S190" s="8">
        <f t="shared" si="16"/>
        <v>1994</v>
      </c>
      <c r="T190" s="8">
        <v>1994</v>
      </c>
      <c r="U190" s="8">
        <f t="shared" si="17"/>
        <v>28</v>
      </c>
      <c r="V190" s="7">
        <v>34597</v>
      </c>
      <c r="W190" t="s">
        <v>431</v>
      </c>
      <c r="X190" s="2">
        <v>2.3759999999999999</v>
      </c>
      <c r="Y190" s="6">
        <f t="shared" si="18"/>
        <v>6.3425963001521576E-2</v>
      </c>
      <c r="AA190" t="s">
        <v>430</v>
      </c>
      <c r="AB190">
        <v>26765</v>
      </c>
      <c r="AC190">
        <v>15384357</v>
      </c>
      <c r="AD190" t="s">
        <v>2</v>
      </c>
      <c r="AE190">
        <v>433</v>
      </c>
      <c r="AF190">
        <v>1</v>
      </c>
      <c r="AH190" t="s">
        <v>1557</v>
      </c>
      <c r="AI190" t="s">
        <v>1556</v>
      </c>
      <c r="AJ190" t="s">
        <v>1555</v>
      </c>
      <c r="AK190" t="s">
        <v>1554</v>
      </c>
      <c r="AL190">
        <v>33</v>
      </c>
      <c r="AM190" s="5">
        <f t="shared" si="19"/>
        <v>1.1785714285714286</v>
      </c>
      <c r="AN190" s="4">
        <f t="shared" si="20"/>
        <v>1.7850381349056093E-3</v>
      </c>
      <c r="AO190" s="3"/>
      <c r="AP190">
        <v>0</v>
      </c>
      <c r="AR190" t="s">
        <v>1</v>
      </c>
      <c r="AT190" s="2">
        <v>5.8739999999999997</v>
      </c>
      <c r="AU190" s="1">
        <f t="shared" si="21"/>
        <v>4.4933685541536779</v>
      </c>
      <c r="AV190" s="1">
        <f t="shared" si="22"/>
        <v>3.260550056821359</v>
      </c>
      <c r="AW190" s="1">
        <f t="shared" si="23"/>
        <v>2.0277315594890402</v>
      </c>
    </row>
    <row r="191" spans="1:49" x14ac:dyDescent="0.2">
      <c r="A191">
        <v>189</v>
      </c>
      <c r="B191" t="s">
        <v>1553</v>
      </c>
      <c r="C191" t="s">
        <v>1552</v>
      </c>
      <c r="F191" t="s">
        <v>1551</v>
      </c>
      <c r="G191" t="s">
        <v>8</v>
      </c>
      <c r="H191" t="s">
        <v>7</v>
      </c>
      <c r="I191" t="s">
        <v>1550</v>
      </c>
      <c r="J191">
        <v>116881851</v>
      </c>
      <c r="K191" t="s">
        <v>1549</v>
      </c>
      <c r="L191" t="s">
        <v>1548</v>
      </c>
      <c r="M191" t="s">
        <v>52</v>
      </c>
      <c r="N191">
        <v>3</v>
      </c>
      <c r="O191" t="s">
        <v>1547</v>
      </c>
      <c r="P191" t="s">
        <v>1546</v>
      </c>
      <c r="Q191" t="s">
        <v>1545</v>
      </c>
      <c r="R191" s="7">
        <v>34587</v>
      </c>
      <c r="S191" s="8">
        <f t="shared" si="16"/>
        <v>1994</v>
      </c>
      <c r="T191" s="8">
        <v>1994</v>
      </c>
      <c r="U191" s="8">
        <f t="shared" si="17"/>
        <v>28</v>
      </c>
      <c r="V191" s="7">
        <v>34587</v>
      </c>
      <c r="W191" t="s">
        <v>449</v>
      </c>
      <c r="X191" s="2">
        <v>0.66800000000000004</v>
      </c>
      <c r="Y191" s="6">
        <f t="shared" si="18"/>
        <v>1.7831878486959774E-2</v>
      </c>
      <c r="AA191" t="s">
        <v>448</v>
      </c>
      <c r="AB191">
        <v>29593</v>
      </c>
      <c r="AC191">
        <v>21553165</v>
      </c>
      <c r="AD191" t="s">
        <v>2</v>
      </c>
      <c r="AE191">
        <v>33</v>
      </c>
      <c r="AF191">
        <v>26</v>
      </c>
      <c r="AH191" t="s">
        <v>1544</v>
      </c>
      <c r="AI191" t="s">
        <v>1543</v>
      </c>
      <c r="AJ191" t="s">
        <v>1542</v>
      </c>
      <c r="AK191" t="s">
        <v>1541</v>
      </c>
      <c r="AL191">
        <v>17</v>
      </c>
      <c r="AM191" s="5">
        <f t="shared" si="19"/>
        <v>0.6071428571428571</v>
      </c>
      <c r="AN191" s="4">
        <f t="shared" si="20"/>
        <v>9.1956509979985925E-4</v>
      </c>
      <c r="AO191" s="3"/>
      <c r="AP191">
        <v>0</v>
      </c>
      <c r="AR191" t="s">
        <v>1</v>
      </c>
      <c r="AT191" s="2">
        <v>1.98</v>
      </c>
      <c r="AU191" s="1">
        <f t="shared" si="21"/>
        <v>1.2758184470811798</v>
      </c>
      <c r="AV191" s="1">
        <f t="shared" si="22"/>
        <v>0.93757217933798165</v>
      </c>
      <c r="AW191" s="1">
        <f t="shared" si="23"/>
        <v>0.59932591159478332</v>
      </c>
    </row>
    <row r="192" spans="1:49" x14ac:dyDescent="0.2">
      <c r="A192">
        <v>190</v>
      </c>
      <c r="B192" t="s">
        <v>1540</v>
      </c>
      <c r="C192" t="s">
        <v>1539</v>
      </c>
      <c r="F192" t="s">
        <v>1538</v>
      </c>
      <c r="G192" t="s">
        <v>8</v>
      </c>
      <c r="H192" t="s">
        <v>7</v>
      </c>
      <c r="I192" t="s">
        <v>1537</v>
      </c>
      <c r="J192">
        <v>60012464</v>
      </c>
      <c r="K192" t="s">
        <v>1536</v>
      </c>
      <c r="L192" t="s">
        <v>1535</v>
      </c>
      <c r="M192" t="s">
        <v>1534</v>
      </c>
      <c r="N192">
        <v>4</v>
      </c>
      <c r="O192" t="s">
        <v>1533</v>
      </c>
      <c r="P192" t="s">
        <v>1532</v>
      </c>
      <c r="Q192" t="s">
        <v>1531</v>
      </c>
      <c r="R192" s="7">
        <v>34578</v>
      </c>
      <c r="S192" s="8">
        <f t="shared" si="16"/>
        <v>1994</v>
      </c>
      <c r="T192" s="8">
        <v>1994</v>
      </c>
      <c r="U192" s="8">
        <f t="shared" si="17"/>
        <v>28</v>
      </c>
      <c r="V192" s="7">
        <v>34578</v>
      </c>
      <c r="W192" t="s">
        <v>1530</v>
      </c>
      <c r="X192" s="2">
        <v>0.78800000000000003</v>
      </c>
      <c r="Y192" s="6">
        <f t="shared" si="18"/>
        <v>2.1035209951683086E-2</v>
      </c>
      <c r="AA192">
        <v>9226435</v>
      </c>
      <c r="AB192">
        <v>27195</v>
      </c>
      <c r="AC192">
        <v>15729508</v>
      </c>
      <c r="AD192" t="s">
        <v>2</v>
      </c>
      <c r="AE192">
        <v>5</v>
      </c>
      <c r="AF192" s="10">
        <v>44289</v>
      </c>
      <c r="AH192" t="s">
        <v>1529</v>
      </c>
      <c r="AI192" t="s">
        <v>1528</v>
      </c>
      <c r="AJ192" t="s">
        <v>1527</v>
      </c>
      <c r="AK192" t="s">
        <v>1526</v>
      </c>
      <c r="AL192">
        <v>2</v>
      </c>
      <c r="AM192" s="5">
        <f t="shared" si="19"/>
        <v>7.1428571428571425E-2</v>
      </c>
      <c r="AN192" s="4">
        <f t="shared" si="20"/>
        <v>1.0818412938821875E-4</v>
      </c>
      <c r="AO192" s="3"/>
      <c r="AP192">
        <v>0</v>
      </c>
      <c r="AR192" t="s">
        <v>1</v>
      </c>
      <c r="AT192" s="2">
        <v>2.012</v>
      </c>
      <c r="AU192" s="1">
        <f t="shared" si="21"/>
        <v>1.4757102204994625</v>
      </c>
      <c r="AV192" s="1">
        <f t="shared" si="22"/>
        <v>1.0571697040535653</v>
      </c>
      <c r="AW192" s="1">
        <f t="shared" si="23"/>
        <v>0.63862918760766785</v>
      </c>
    </row>
    <row r="193" spans="1:49" x14ac:dyDescent="0.2">
      <c r="A193">
        <v>191</v>
      </c>
      <c r="B193" t="s">
        <v>1525</v>
      </c>
      <c r="C193" t="s">
        <v>1524</v>
      </c>
      <c r="F193" t="s">
        <v>1523</v>
      </c>
      <c r="G193" t="s">
        <v>8</v>
      </c>
      <c r="H193" t="s">
        <v>7</v>
      </c>
      <c r="I193" t="s">
        <v>1522</v>
      </c>
      <c r="N193">
        <v>1</v>
      </c>
      <c r="O193" t="s">
        <v>1521</v>
      </c>
      <c r="P193">
        <v>7005422005</v>
      </c>
      <c r="R193" s="7">
        <v>34578</v>
      </c>
      <c r="S193" s="8">
        <f t="shared" si="16"/>
        <v>1994</v>
      </c>
      <c r="T193" s="8">
        <v>1994</v>
      </c>
      <c r="U193" s="8">
        <f t="shared" si="17"/>
        <v>28</v>
      </c>
      <c r="V193" s="7">
        <v>34578</v>
      </c>
      <c r="W193" t="s">
        <v>446</v>
      </c>
      <c r="X193" s="2">
        <v>3.2160000000000002</v>
      </c>
      <c r="Y193" s="6">
        <f t="shared" si="18"/>
        <v>8.5849283254584782E-2</v>
      </c>
      <c r="AA193">
        <v>10709916</v>
      </c>
      <c r="AB193">
        <v>80015</v>
      </c>
      <c r="AD193" t="s">
        <v>2</v>
      </c>
      <c r="AE193">
        <v>1</v>
      </c>
      <c r="AF193">
        <v>3</v>
      </c>
      <c r="AH193" t="s">
        <v>1520</v>
      </c>
      <c r="AI193" t="s">
        <v>1519</v>
      </c>
      <c r="AK193" t="s">
        <v>1518</v>
      </c>
      <c r="AL193">
        <v>86</v>
      </c>
      <c r="AM193" s="5">
        <f t="shared" si="19"/>
        <v>3.0714285714285716</v>
      </c>
      <c r="AN193" s="4">
        <f t="shared" si="20"/>
        <v>4.6519175636934064E-3</v>
      </c>
      <c r="AO193" s="3"/>
      <c r="AP193">
        <v>0</v>
      </c>
      <c r="AR193" t="s">
        <v>1</v>
      </c>
      <c r="AT193" s="2" t="s">
        <v>0</v>
      </c>
      <c r="AU193" s="1">
        <f t="shared" si="21"/>
        <v>6.1490073547317365</v>
      </c>
      <c r="AV193" s="1">
        <f t="shared" si="22"/>
        <v>4.5250600409139095</v>
      </c>
      <c r="AW193" s="1">
        <f t="shared" si="23"/>
        <v>2.9011127270960819</v>
      </c>
    </row>
    <row r="194" spans="1:49" x14ac:dyDescent="0.2">
      <c r="A194">
        <v>192</v>
      </c>
      <c r="B194" t="s">
        <v>1517</v>
      </c>
      <c r="F194" t="s">
        <v>1516</v>
      </c>
      <c r="G194" t="s">
        <v>8</v>
      </c>
      <c r="H194" t="s">
        <v>7</v>
      </c>
      <c r="I194" t="s">
        <v>1515</v>
      </c>
      <c r="J194">
        <v>60023053</v>
      </c>
      <c r="K194" t="s">
        <v>172</v>
      </c>
      <c r="L194" t="s">
        <v>171</v>
      </c>
      <c r="M194" t="s">
        <v>19</v>
      </c>
      <c r="N194">
        <v>1</v>
      </c>
      <c r="O194" t="s">
        <v>1514</v>
      </c>
      <c r="P194">
        <v>7102419878</v>
      </c>
      <c r="Q194">
        <v>60023053</v>
      </c>
      <c r="R194" s="7">
        <v>34578</v>
      </c>
      <c r="S194" s="8">
        <f t="shared" ref="S194:S257" si="24">YEAR(R194)</f>
        <v>1994</v>
      </c>
      <c r="T194" s="8">
        <v>1994</v>
      </c>
      <c r="U194" s="8">
        <f t="shared" ref="U194:U257" si="25">2022-T194</f>
        <v>28</v>
      </c>
      <c r="V194" s="7">
        <v>34578</v>
      </c>
      <c r="W194" t="s">
        <v>168</v>
      </c>
      <c r="X194" s="2">
        <v>0.80300000000000005</v>
      </c>
      <c r="Y194" s="6">
        <f t="shared" ref="Y194:Y257" si="26">(X194-$Z$4)/($Z$3-$Z$4)</f>
        <v>2.1435626384773501E-2</v>
      </c>
      <c r="AA194">
        <v>7403232</v>
      </c>
      <c r="AB194">
        <v>12320</v>
      </c>
      <c r="AD194" t="s">
        <v>2</v>
      </c>
      <c r="AE194">
        <v>11</v>
      </c>
      <c r="AF194">
        <v>9</v>
      </c>
      <c r="AH194" t="s">
        <v>1513</v>
      </c>
      <c r="AI194" t="s">
        <v>1512</v>
      </c>
      <c r="AK194" t="s">
        <v>1511</v>
      </c>
      <c r="AL194">
        <v>12</v>
      </c>
      <c r="AM194" s="5">
        <f t="shared" ref="AM194:AM257" si="27">AL194/U194</f>
        <v>0.42857142857142855</v>
      </c>
      <c r="AN194" s="4">
        <f t="shared" ref="AN194:AN257" si="28">(AM194-$AO$4)/($AO$3-$AO$4)</f>
        <v>6.4910477632931242E-4</v>
      </c>
      <c r="AO194" s="3"/>
      <c r="AP194">
        <v>0</v>
      </c>
      <c r="AR194" t="s">
        <v>1</v>
      </c>
      <c r="AT194" s="2" t="s">
        <v>0</v>
      </c>
      <c r="AU194" s="1">
        <f t="shared" ref="AU194:AU257" si="29">(Y194*0.7+AN194*0.3)*100</f>
        <v>1.5199669902240243</v>
      </c>
      <c r="AV194" s="1">
        <f t="shared" ref="AV194:AV257" si="30">(Y194*0.5+AN194*0.5)*100</f>
        <v>1.1042365580551405</v>
      </c>
      <c r="AW194" s="1">
        <f t="shared" ref="AW194:AW257" si="31">(Y194*0.3+AN194*0.7)*100</f>
        <v>0.68850612588625681</v>
      </c>
    </row>
    <row r="195" spans="1:49" x14ac:dyDescent="0.2">
      <c r="A195">
        <v>193</v>
      </c>
      <c r="B195" t="s">
        <v>1510</v>
      </c>
      <c r="F195" t="s">
        <v>1509</v>
      </c>
      <c r="G195" t="s">
        <v>8</v>
      </c>
      <c r="H195" t="s">
        <v>7</v>
      </c>
      <c r="I195" t="s">
        <v>1508</v>
      </c>
      <c r="J195">
        <v>100820647</v>
      </c>
      <c r="K195" t="s">
        <v>1507</v>
      </c>
      <c r="L195" t="s">
        <v>1506</v>
      </c>
      <c r="M195" t="s">
        <v>19</v>
      </c>
      <c r="N195">
        <v>1</v>
      </c>
      <c r="O195" t="s">
        <v>1505</v>
      </c>
      <c r="P195">
        <v>7003742563</v>
      </c>
      <c r="Q195">
        <v>100820647</v>
      </c>
      <c r="R195" s="7">
        <v>34578</v>
      </c>
      <c r="S195" s="8">
        <f t="shared" si="24"/>
        <v>1994</v>
      </c>
      <c r="T195" s="8">
        <v>1994</v>
      </c>
      <c r="U195" s="8">
        <f t="shared" si="25"/>
        <v>28</v>
      </c>
      <c r="V195" s="7">
        <v>34578</v>
      </c>
      <c r="W195" t="s">
        <v>436</v>
      </c>
      <c r="X195" s="2" t="s">
        <v>0</v>
      </c>
      <c r="Y195" s="6" t="e">
        <f t="shared" si="26"/>
        <v>#VALUE!</v>
      </c>
      <c r="AA195">
        <v>10613528</v>
      </c>
      <c r="AB195">
        <v>35696</v>
      </c>
      <c r="AD195" t="s">
        <v>2</v>
      </c>
      <c r="AE195">
        <v>6</v>
      </c>
      <c r="AF195">
        <v>4</v>
      </c>
      <c r="AH195">
        <v>24</v>
      </c>
      <c r="AI195" t="s">
        <v>1504</v>
      </c>
      <c r="AK195" t="s">
        <v>1503</v>
      </c>
      <c r="AL195">
        <v>0</v>
      </c>
      <c r="AM195" s="5">
        <f t="shared" si="27"/>
        <v>0</v>
      </c>
      <c r="AN195" s="4">
        <f t="shared" si="28"/>
        <v>0</v>
      </c>
      <c r="AO195" s="3"/>
      <c r="AP195">
        <v>0</v>
      </c>
      <c r="AR195" t="s">
        <v>1</v>
      </c>
      <c r="AT195" s="2" t="s">
        <v>0</v>
      </c>
      <c r="AU195" s="1" t="e">
        <f t="shared" si="29"/>
        <v>#VALUE!</v>
      </c>
      <c r="AV195" s="1" t="e">
        <f t="shared" si="30"/>
        <v>#VALUE!</v>
      </c>
      <c r="AW195" s="1" t="e">
        <f t="shared" si="31"/>
        <v>#VALUE!</v>
      </c>
    </row>
    <row r="196" spans="1:49" x14ac:dyDescent="0.2">
      <c r="A196">
        <v>194</v>
      </c>
      <c r="B196" t="s">
        <v>1502</v>
      </c>
      <c r="C196" t="s">
        <v>1501</v>
      </c>
      <c r="F196" t="s">
        <v>1500</v>
      </c>
      <c r="G196" t="s">
        <v>8</v>
      </c>
      <c r="H196" t="s">
        <v>7</v>
      </c>
      <c r="I196" t="s">
        <v>1499</v>
      </c>
      <c r="J196" t="s">
        <v>1498</v>
      </c>
      <c r="K196" t="s">
        <v>1497</v>
      </c>
      <c r="L196" t="s">
        <v>1496</v>
      </c>
      <c r="M196" t="s">
        <v>14</v>
      </c>
      <c r="N196">
        <v>3</v>
      </c>
      <c r="O196" t="s">
        <v>1495</v>
      </c>
      <c r="P196" t="s">
        <v>1494</v>
      </c>
      <c r="Q196" t="s">
        <v>1493</v>
      </c>
      <c r="R196" s="7">
        <v>34578</v>
      </c>
      <c r="S196" s="8">
        <f t="shared" si="24"/>
        <v>1994</v>
      </c>
      <c r="T196" s="8">
        <v>1994</v>
      </c>
      <c r="U196" s="8">
        <f t="shared" si="25"/>
        <v>28</v>
      </c>
      <c r="V196" s="7">
        <v>34578</v>
      </c>
      <c r="W196" t="s">
        <v>403</v>
      </c>
      <c r="X196" s="2">
        <v>0.33800000000000002</v>
      </c>
      <c r="Y196" s="6">
        <f t="shared" si="26"/>
        <v>9.0227169589706634E-3</v>
      </c>
      <c r="AA196">
        <v>34347</v>
      </c>
      <c r="AB196">
        <v>17722</v>
      </c>
      <c r="AC196">
        <v>19589395</v>
      </c>
      <c r="AD196" t="s">
        <v>2</v>
      </c>
      <c r="AE196">
        <v>49</v>
      </c>
      <c r="AF196" s="10">
        <v>44478</v>
      </c>
      <c r="AH196" t="s">
        <v>1492</v>
      </c>
      <c r="AI196" t="s">
        <v>1491</v>
      </c>
      <c r="AJ196" t="s">
        <v>1490</v>
      </c>
      <c r="AK196" t="s">
        <v>1489</v>
      </c>
      <c r="AL196">
        <v>0</v>
      </c>
      <c r="AM196" s="5">
        <f t="shared" si="27"/>
        <v>0</v>
      </c>
      <c r="AN196" s="4">
        <f t="shared" si="28"/>
        <v>0</v>
      </c>
      <c r="AO196" s="3"/>
      <c r="AP196">
        <v>0</v>
      </c>
      <c r="AR196" t="s">
        <v>1</v>
      </c>
      <c r="AT196" s="2" t="s">
        <v>0</v>
      </c>
      <c r="AU196" s="1">
        <f t="shared" si="29"/>
        <v>0.63159018712794635</v>
      </c>
      <c r="AV196" s="1">
        <f t="shared" si="30"/>
        <v>0.45113584794853318</v>
      </c>
      <c r="AW196" s="1">
        <f t="shared" si="31"/>
        <v>0.27068150876911989</v>
      </c>
    </row>
    <row r="197" spans="1:49" x14ac:dyDescent="0.2">
      <c r="A197">
        <v>195</v>
      </c>
      <c r="B197" t="s">
        <v>1488</v>
      </c>
      <c r="C197" t="s">
        <v>1487</v>
      </c>
      <c r="F197" t="s">
        <v>1486</v>
      </c>
      <c r="G197" t="s">
        <v>8</v>
      </c>
      <c r="H197" t="s">
        <v>7</v>
      </c>
      <c r="I197" t="s">
        <v>1485</v>
      </c>
      <c r="J197">
        <v>60104081</v>
      </c>
      <c r="K197" t="s">
        <v>221</v>
      </c>
      <c r="L197" t="s">
        <v>220</v>
      </c>
      <c r="M197" t="s">
        <v>10</v>
      </c>
      <c r="N197">
        <v>5</v>
      </c>
      <c r="O197" t="s">
        <v>1484</v>
      </c>
      <c r="P197" t="s">
        <v>1483</v>
      </c>
      <c r="Q197" t="s">
        <v>1482</v>
      </c>
      <c r="R197" s="7">
        <v>34578</v>
      </c>
      <c r="S197" s="8">
        <f t="shared" si="24"/>
        <v>1994</v>
      </c>
      <c r="T197" s="8">
        <v>1994</v>
      </c>
      <c r="U197" s="8">
        <f t="shared" si="25"/>
        <v>28</v>
      </c>
      <c r="V197" s="7">
        <v>34578</v>
      </c>
      <c r="W197" t="s">
        <v>403</v>
      </c>
      <c r="X197" s="2">
        <v>0.33800000000000002</v>
      </c>
      <c r="Y197" s="6">
        <f t="shared" si="26"/>
        <v>9.0227169589706634E-3</v>
      </c>
      <c r="AA197">
        <v>34347</v>
      </c>
      <c r="AB197">
        <v>17722</v>
      </c>
      <c r="AC197">
        <v>19589395</v>
      </c>
      <c r="AD197" t="s">
        <v>2</v>
      </c>
      <c r="AE197">
        <v>49</v>
      </c>
      <c r="AF197" s="10">
        <v>44478</v>
      </c>
      <c r="AH197" t="s">
        <v>1481</v>
      </c>
      <c r="AI197" t="s">
        <v>1480</v>
      </c>
      <c r="AJ197" t="s">
        <v>1479</v>
      </c>
      <c r="AK197" t="s">
        <v>1478</v>
      </c>
      <c r="AL197">
        <v>2</v>
      </c>
      <c r="AM197" s="5">
        <f t="shared" si="27"/>
        <v>7.1428571428571425E-2</v>
      </c>
      <c r="AN197" s="4">
        <f t="shared" si="28"/>
        <v>1.0818412938821875E-4</v>
      </c>
      <c r="AO197" s="3"/>
      <c r="AP197">
        <v>0</v>
      </c>
      <c r="AR197" t="s">
        <v>1</v>
      </c>
      <c r="AT197" s="2" t="s">
        <v>0</v>
      </c>
      <c r="AU197" s="1">
        <f t="shared" si="29"/>
        <v>0.63483571100959291</v>
      </c>
      <c r="AV197" s="1">
        <f t="shared" si="30"/>
        <v>0.45654505441794407</v>
      </c>
      <c r="AW197" s="1">
        <f t="shared" si="31"/>
        <v>0.27825439782629524</v>
      </c>
    </row>
    <row r="198" spans="1:49" x14ac:dyDescent="0.2">
      <c r="A198">
        <v>196</v>
      </c>
      <c r="B198" t="s">
        <v>1477</v>
      </c>
      <c r="C198" t="s">
        <v>1476</v>
      </c>
      <c r="F198" t="s">
        <v>1475</v>
      </c>
      <c r="G198" t="s">
        <v>8</v>
      </c>
      <c r="H198" t="s">
        <v>7</v>
      </c>
      <c r="I198" t="s">
        <v>1474</v>
      </c>
      <c r="J198">
        <v>60008435</v>
      </c>
      <c r="K198" t="s">
        <v>179</v>
      </c>
      <c r="L198" t="s">
        <v>178</v>
      </c>
      <c r="M198" t="s">
        <v>53</v>
      </c>
      <c r="N198">
        <v>4</v>
      </c>
      <c r="O198" t="s">
        <v>1473</v>
      </c>
      <c r="P198" t="s">
        <v>1472</v>
      </c>
      <c r="Q198" t="s">
        <v>1471</v>
      </c>
      <c r="R198" s="7">
        <v>34578</v>
      </c>
      <c r="S198" s="8">
        <f t="shared" si="24"/>
        <v>1994</v>
      </c>
      <c r="T198" s="8">
        <v>1994</v>
      </c>
      <c r="U198" s="8">
        <f t="shared" si="25"/>
        <v>28</v>
      </c>
      <c r="V198" s="7">
        <v>34578</v>
      </c>
      <c r="W198" t="s">
        <v>403</v>
      </c>
      <c r="X198" s="2">
        <v>0.33800000000000002</v>
      </c>
      <c r="Y198" s="6">
        <f t="shared" si="26"/>
        <v>9.0227169589706634E-3</v>
      </c>
      <c r="AA198">
        <v>34347</v>
      </c>
      <c r="AB198">
        <v>17722</v>
      </c>
      <c r="AC198">
        <v>19589395</v>
      </c>
      <c r="AD198" t="s">
        <v>2</v>
      </c>
      <c r="AE198">
        <v>49</v>
      </c>
      <c r="AF198" s="10">
        <v>44478</v>
      </c>
      <c r="AH198" t="s">
        <v>1470</v>
      </c>
      <c r="AI198" t="s">
        <v>1469</v>
      </c>
      <c r="AJ198" t="s">
        <v>1468</v>
      </c>
      <c r="AK198" t="s">
        <v>1467</v>
      </c>
      <c r="AL198">
        <v>0</v>
      </c>
      <c r="AM198" s="5">
        <f t="shared" si="27"/>
        <v>0</v>
      </c>
      <c r="AN198" s="4">
        <f t="shared" si="28"/>
        <v>0</v>
      </c>
      <c r="AO198" s="3"/>
      <c r="AP198">
        <v>0</v>
      </c>
      <c r="AR198" t="s">
        <v>1</v>
      </c>
      <c r="AT198" s="2" t="s">
        <v>0</v>
      </c>
      <c r="AU198" s="1">
        <f t="shared" si="29"/>
        <v>0.63159018712794635</v>
      </c>
      <c r="AV198" s="1">
        <f t="shared" si="30"/>
        <v>0.45113584794853318</v>
      </c>
      <c r="AW198" s="1">
        <f t="shared" si="31"/>
        <v>0.27068150876911989</v>
      </c>
    </row>
    <row r="199" spans="1:49" x14ac:dyDescent="0.2">
      <c r="A199">
        <v>197</v>
      </c>
      <c r="B199" t="s">
        <v>1466</v>
      </c>
      <c r="F199" t="s">
        <v>1465</v>
      </c>
      <c r="G199" t="s">
        <v>8</v>
      </c>
      <c r="H199" t="s">
        <v>7</v>
      </c>
      <c r="I199" t="s">
        <v>1464</v>
      </c>
      <c r="N199">
        <v>1</v>
      </c>
      <c r="O199" t="s">
        <v>1463</v>
      </c>
      <c r="P199">
        <v>57199230280</v>
      </c>
      <c r="R199" s="7">
        <v>34578</v>
      </c>
      <c r="S199" s="8">
        <f t="shared" si="24"/>
        <v>1994</v>
      </c>
      <c r="T199" s="8">
        <v>1994</v>
      </c>
      <c r="U199" s="8">
        <f t="shared" si="25"/>
        <v>28</v>
      </c>
      <c r="V199" s="7">
        <v>34335</v>
      </c>
      <c r="W199" t="s">
        <v>741</v>
      </c>
      <c r="X199" s="2" t="s">
        <v>0</v>
      </c>
      <c r="Y199" s="6" t="e">
        <f t="shared" si="26"/>
        <v>#VALUE!</v>
      </c>
      <c r="AA199">
        <v>135127</v>
      </c>
      <c r="AB199">
        <v>17422</v>
      </c>
      <c r="AD199" t="s">
        <v>2</v>
      </c>
      <c r="AE199">
        <v>40</v>
      </c>
      <c r="AF199">
        <v>5</v>
      </c>
      <c r="AH199" t="s">
        <v>1462</v>
      </c>
      <c r="AI199" t="s">
        <v>1461</v>
      </c>
      <c r="AK199" t="s">
        <v>1460</v>
      </c>
      <c r="AL199">
        <v>0</v>
      </c>
      <c r="AM199" s="5">
        <f t="shared" si="27"/>
        <v>0</v>
      </c>
      <c r="AN199" s="4">
        <f t="shared" si="28"/>
        <v>0</v>
      </c>
      <c r="AO199" s="3"/>
      <c r="AP199">
        <v>0</v>
      </c>
      <c r="AR199" t="s">
        <v>1</v>
      </c>
      <c r="AT199" s="2" t="s">
        <v>0</v>
      </c>
      <c r="AU199" s="1" t="e">
        <f t="shared" si="29"/>
        <v>#VALUE!</v>
      </c>
      <c r="AV199" s="1" t="e">
        <f t="shared" si="30"/>
        <v>#VALUE!</v>
      </c>
      <c r="AW199" s="1" t="e">
        <f t="shared" si="31"/>
        <v>#VALUE!</v>
      </c>
    </row>
    <row r="200" spans="1:49" x14ac:dyDescent="0.2">
      <c r="A200">
        <v>198</v>
      </c>
      <c r="B200" t="s">
        <v>1459</v>
      </c>
      <c r="F200" t="s">
        <v>1458</v>
      </c>
      <c r="G200" t="s">
        <v>8</v>
      </c>
      <c r="H200" t="s">
        <v>7</v>
      </c>
      <c r="I200" t="s">
        <v>1457</v>
      </c>
      <c r="J200">
        <v>60028229</v>
      </c>
      <c r="K200" t="s">
        <v>346</v>
      </c>
      <c r="L200" t="s">
        <v>345</v>
      </c>
      <c r="M200" t="s">
        <v>49</v>
      </c>
      <c r="N200">
        <v>1</v>
      </c>
      <c r="O200" t="s">
        <v>1456</v>
      </c>
      <c r="P200">
        <v>6701740049</v>
      </c>
      <c r="Q200">
        <v>60028229</v>
      </c>
      <c r="R200" s="7">
        <v>34578</v>
      </c>
      <c r="S200" s="8">
        <f t="shared" si="24"/>
        <v>1994</v>
      </c>
      <c r="T200" s="8">
        <v>1994</v>
      </c>
      <c r="U200" s="8">
        <f t="shared" si="25"/>
        <v>28</v>
      </c>
      <c r="V200" s="7">
        <v>34578</v>
      </c>
      <c r="W200" t="s">
        <v>1455</v>
      </c>
      <c r="X200" s="2" t="s">
        <v>0</v>
      </c>
      <c r="Y200" s="6" t="e">
        <f t="shared" si="26"/>
        <v>#VALUE!</v>
      </c>
      <c r="AA200">
        <v>302430</v>
      </c>
      <c r="AB200">
        <v>33411</v>
      </c>
      <c r="AD200" t="s">
        <v>2</v>
      </c>
      <c r="AE200">
        <v>74</v>
      </c>
      <c r="AF200">
        <v>5</v>
      </c>
      <c r="AH200" t="s">
        <v>1454</v>
      </c>
      <c r="AI200" t="s">
        <v>1453</v>
      </c>
      <c r="AK200" t="s">
        <v>1452</v>
      </c>
      <c r="AL200">
        <v>39</v>
      </c>
      <c r="AM200" s="5">
        <f t="shared" si="27"/>
        <v>1.3928571428571428</v>
      </c>
      <c r="AN200" s="4">
        <f t="shared" si="28"/>
        <v>2.1095905230702656E-3</v>
      </c>
      <c r="AO200" s="3"/>
      <c r="AP200">
        <v>0</v>
      </c>
      <c r="AR200" t="s">
        <v>1</v>
      </c>
      <c r="AT200" s="2" t="s">
        <v>0</v>
      </c>
      <c r="AU200" s="1" t="e">
        <f t="shared" si="29"/>
        <v>#VALUE!</v>
      </c>
      <c r="AV200" s="1" t="e">
        <f t="shared" si="30"/>
        <v>#VALUE!</v>
      </c>
      <c r="AW200" s="1" t="e">
        <f t="shared" si="31"/>
        <v>#VALUE!</v>
      </c>
    </row>
    <row r="201" spans="1:49" x14ac:dyDescent="0.2">
      <c r="A201">
        <v>199</v>
      </c>
      <c r="B201" t="s">
        <v>1451</v>
      </c>
      <c r="F201" t="s">
        <v>1450</v>
      </c>
      <c r="G201" t="s">
        <v>8</v>
      </c>
      <c r="H201" t="s">
        <v>7</v>
      </c>
      <c r="I201" t="s">
        <v>1449</v>
      </c>
      <c r="J201">
        <v>60008334</v>
      </c>
      <c r="K201" t="s">
        <v>1448</v>
      </c>
      <c r="L201" t="s">
        <v>1447</v>
      </c>
      <c r="M201" t="s">
        <v>19</v>
      </c>
      <c r="N201">
        <v>1</v>
      </c>
      <c r="O201" t="s">
        <v>1446</v>
      </c>
      <c r="P201">
        <v>56315107500</v>
      </c>
      <c r="Q201">
        <v>60008334</v>
      </c>
      <c r="R201" s="7">
        <v>34578</v>
      </c>
      <c r="S201" s="8">
        <f t="shared" si="24"/>
        <v>1994</v>
      </c>
      <c r="T201" s="8">
        <v>1994</v>
      </c>
      <c r="U201" s="8">
        <f t="shared" si="25"/>
        <v>28</v>
      </c>
      <c r="V201" s="7">
        <v>34578</v>
      </c>
      <c r="W201" t="s">
        <v>1445</v>
      </c>
      <c r="X201" s="2" t="s">
        <v>0</v>
      </c>
      <c r="Y201" s="6" t="e">
        <f t="shared" si="26"/>
        <v>#VALUE!</v>
      </c>
      <c r="AA201">
        <v>7441657</v>
      </c>
      <c r="AB201">
        <v>19326</v>
      </c>
      <c r="AD201" t="s">
        <v>2</v>
      </c>
      <c r="AE201">
        <v>14</v>
      </c>
      <c r="AF201">
        <v>10</v>
      </c>
      <c r="AH201" t="s">
        <v>437</v>
      </c>
      <c r="AI201" t="s">
        <v>1444</v>
      </c>
      <c r="AK201" t="s">
        <v>1443</v>
      </c>
      <c r="AL201">
        <v>0</v>
      </c>
      <c r="AM201" s="5">
        <f t="shared" si="27"/>
        <v>0</v>
      </c>
      <c r="AN201" s="4">
        <f t="shared" si="28"/>
        <v>0</v>
      </c>
      <c r="AO201" s="3"/>
      <c r="AP201">
        <v>0</v>
      </c>
      <c r="AR201" t="s">
        <v>1</v>
      </c>
      <c r="AT201" s="2" t="s">
        <v>0</v>
      </c>
      <c r="AU201" s="1" t="e">
        <f t="shared" si="29"/>
        <v>#VALUE!</v>
      </c>
      <c r="AV201" s="1" t="e">
        <f t="shared" si="30"/>
        <v>#VALUE!</v>
      </c>
      <c r="AW201" s="1" t="e">
        <f t="shared" si="31"/>
        <v>#VALUE!</v>
      </c>
    </row>
    <row r="202" spans="1:49" x14ac:dyDescent="0.2">
      <c r="A202">
        <v>200</v>
      </c>
      <c r="B202" t="s">
        <v>1442</v>
      </c>
      <c r="F202" t="s">
        <v>1441</v>
      </c>
      <c r="G202" t="s">
        <v>8</v>
      </c>
      <c r="H202" t="s">
        <v>7</v>
      </c>
      <c r="I202" t="s">
        <v>1440</v>
      </c>
      <c r="J202">
        <v>100510990</v>
      </c>
      <c r="K202" t="s">
        <v>1439</v>
      </c>
      <c r="L202" t="s">
        <v>329</v>
      </c>
      <c r="M202" t="s">
        <v>19</v>
      </c>
      <c r="N202">
        <v>3</v>
      </c>
      <c r="O202" t="s">
        <v>1438</v>
      </c>
      <c r="P202" t="s">
        <v>365</v>
      </c>
      <c r="Q202" t="s">
        <v>1437</v>
      </c>
      <c r="R202" s="7">
        <v>34578</v>
      </c>
      <c r="S202" s="8">
        <f t="shared" si="24"/>
        <v>1994</v>
      </c>
      <c r="T202" s="8">
        <v>1994</v>
      </c>
      <c r="U202" s="8">
        <f t="shared" si="25"/>
        <v>28</v>
      </c>
      <c r="V202" s="7">
        <v>34578</v>
      </c>
      <c r="W202" t="s">
        <v>1411</v>
      </c>
      <c r="X202" s="2">
        <v>0.84699999999999998</v>
      </c>
      <c r="Y202" s="6">
        <f t="shared" si="26"/>
        <v>2.2610181255172047E-2</v>
      </c>
      <c r="AA202">
        <v>281522</v>
      </c>
      <c r="AB202">
        <v>12174</v>
      </c>
      <c r="AD202" t="s">
        <v>2</v>
      </c>
      <c r="AE202">
        <v>41</v>
      </c>
      <c r="AF202">
        <v>3</v>
      </c>
      <c r="AH202" t="s">
        <v>1436</v>
      </c>
      <c r="AI202" t="s">
        <v>1435</v>
      </c>
      <c r="AK202" t="s">
        <v>1434</v>
      </c>
      <c r="AL202">
        <v>48</v>
      </c>
      <c r="AM202" s="5">
        <f t="shared" si="27"/>
        <v>1.7142857142857142</v>
      </c>
      <c r="AN202" s="4">
        <f t="shared" si="28"/>
        <v>2.5964191053172497E-3</v>
      </c>
      <c r="AO202" s="3"/>
      <c r="AP202">
        <v>0</v>
      </c>
      <c r="AR202" t="s">
        <v>1</v>
      </c>
      <c r="AT202" s="2" t="s">
        <v>0</v>
      </c>
      <c r="AU202" s="1">
        <f t="shared" si="29"/>
        <v>1.6606052610215607</v>
      </c>
      <c r="AV202" s="1">
        <f t="shared" si="30"/>
        <v>1.2603300180244648</v>
      </c>
      <c r="AW202" s="1">
        <f t="shared" si="31"/>
        <v>0.86005477502736882</v>
      </c>
    </row>
    <row r="203" spans="1:49" x14ac:dyDescent="0.2">
      <c r="A203">
        <v>201</v>
      </c>
      <c r="B203" t="s">
        <v>1433</v>
      </c>
      <c r="F203" t="s">
        <v>1432</v>
      </c>
      <c r="G203" t="s">
        <v>8</v>
      </c>
      <c r="H203" t="s">
        <v>7</v>
      </c>
      <c r="I203" t="s">
        <v>1431</v>
      </c>
      <c r="N203">
        <v>2</v>
      </c>
      <c r="O203" t="s">
        <v>1430</v>
      </c>
      <c r="P203" t="s">
        <v>1429</v>
      </c>
      <c r="Q203" t="s">
        <v>133</v>
      </c>
      <c r="R203" s="7">
        <v>34578</v>
      </c>
      <c r="S203" s="8">
        <f t="shared" si="24"/>
        <v>1994</v>
      </c>
      <c r="T203" s="8">
        <v>1994</v>
      </c>
      <c r="U203" s="8">
        <f t="shared" si="25"/>
        <v>28</v>
      </c>
      <c r="V203" s="7">
        <v>34578</v>
      </c>
      <c r="W203" t="s">
        <v>1395</v>
      </c>
      <c r="X203" s="2" t="s">
        <v>0</v>
      </c>
      <c r="Y203" s="6" t="e">
        <f t="shared" si="26"/>
        <v>#VALUE!</v>
      </c>
      <c r="AA203">
        <v>354279</v>
      </c>
      <c r="AB203">
        <v>39821</v>
      </c>
      <c r="AD203" t="s">
        <v>2</v>
      </c>
      <c r="AE203">
        <v>26</v>
      </c>
      <c r="AF203">
        <v>3</v>
      </c>
      <c r="AH203" t="s">
        <v>1428</v>
      </c>
      <c r="AI203" t="s">
        <v>1427</v>
      </c>
      <c r="AK203" t="s">
        <v>1426</v>
      </c>
      <c r="AL203">
        <v>0</v>
      </c>
      <c r="AM203" s="5">
        <f t="shared" si="27"/>
        <v>0</v>
      </c>
      <c r="AN203" s="4">
        <f t="shared" si="28"/>
        <v>0</v>
      </c>
      <c r="AO203" s="3"/>
      <c r="AP203">
        <v>0</v>
      </c>
      <c r="AR203" t="s">
        <v>1</v>
      </c>
      <c r="AT203" s="2" t="s">
        <v>0</v>
      </c>
      <c r="AU203" s="1" t="e">
        <f t="shared" si="29"/>
        <v>#VALUE!</v>
      </c>
      <c r="AV203" s="1" t="e">
        <f t="shared" si="30"/>
        <v>#VALUE!</v>
      </c>
      <c r="AW203" s="1" t="e">
        <f t="shared" si="31"/>
        <v>#VALUE!</v>
      </c>
    </row>
    <row r="204" spans="1:49" x14ac:dyDescent="0.2">
      <c r="A204">
        <v>202</v>
      </c>
      <c r="B204" t="s">
        <v>1425</v>
      </c>
      <c r="F204" t="s">
        <v>1424</v>
      </c>
      <c r="G204" t="s">
        <v>8</v>
      </c>
      <c r="H204" t="s">
        <v>7</v>
      </c>
      <c r="I204" t="s">
        <v>1423</v>
      </c>
      <c r="J204">
        <v>60019269</v>
      </c>
      <c r="K204" t="s">
        <v>678</v>
      </c>
      <c r="L204" t="s">
        <v>677</v>
      </c>
      <c r="M204" t="s">
        <v>10</v>
      </c>
      <c r="N204">
        <v>3</v>
      </c>
      <c r="O204" t="s">
        <v>1422</v>
      </c>
      <c r="P204" t="s">
        <v>1421</v>
      </c>
      <c r="Q204" t="s">
        <v>1420</v>
      </c>
      <c r="R204" s="7">
        <v>34578</v>
      </c>
      <c r="S204" s="8">
        <f t="shared" si="24"/>
        <v>1994</v>
      </c>
      <c r="T204" s="8">
        <v>1994</v>
      </c>
      <c r="U204" s="8">
        <f t="shared" si="25"/>
        <v>28</v>
      </c>
      <c r="V204" s="7">
        <v>34578</v>
      </c>
      <c r="W204" t="s">
        <v>1395</v>
      </c>
      <c r="X204" s="2" t="s">
        <v>0</v>
      </c>
      <c r="Y204" s="6" t="e">
        <f t="shared" si="26"/>
        <v>#VALUE!</v>
      </c>
      <c r="AA204">
        <v>354279</v>
      </c>
      <c r="AB204">
        <v>39821</v>
      </c>
      <c r="AD204" t="s">
        <v>2</v>
      </c>
      <c r="AE204">
        <v>26</v>
      </c>
      <c r="AF204">
        <v>3</v>
      </c>
      <c r="AH204" t="s">
        <v>1419</v>
      </c>
      <c r="AI204" t="s">
        <v>1418</v>
      </c>
      <c r="AK204" t="s">
        <v>1417</v>
      </c>
      <c r="AL204">
        <v>0</v>
      </c>
      <c r="AM204" s="5">
        <f t="shared" si="27"/>
        <v>0</v>
      </c>
      <c r="AN204" s="4">
        <f t="shared" si="28"/>
        <v>0</v>
      </c>
      <c r="AO204" s="3"/>
      <c r="AP204">
        <v>0</v>
      </c>
      <c r="AR204" t="s">
        <v>1</v>
      </c>
      <c r="AT204" s="2" t="s">
        <v>0</v>
      </c>
      <c r="AU204" s="1" t="e">
        <f t="shared" si="29"/>
        <v>#VALUE!</v>
      </c>
      <c r="AV204" s="1" t="e">
        <f t="shared" si="30"/>
        <v>#VALUE!</v>
      </c>
      <c r="AW204" s="1" t="e">
        <f t="shared" si="31"/>
        <v>#VALUE!</v>
      </c>
    </row>
    <row r="205" spans="1:49" x14ac:dyDescent="0.2">
      <c r="A205">
        <v>203</v>
      </c>
      <c r="B205" t="s">
        <v>1416</v>
      </c>
      <c r="F205" t="s">
        <v>1415</v>
      </c>
      <c r="G205" t="s">
        <v>8</v>
      </c>
      <c r="H205" t="s">
        <v>7</v>
      </c>
      <c r="I205" t="s">
        <v>1414</v>
      </c>
      <c r="J205">
        <v>60009037</v>
      </c>
      <c r="K205" t="s">
        <v>124</v>
      </c>
      <c r="L205" t="s">
        <v>236</v>
      </c>
      <c r="M205" t="s">
        <v>19</v>
      </c>
      <c r="N205">
        <v>6</v>
      </c>
      <c r="O205" t="s">
        <v>1413</v>
      </c>
      <c r="P205" t="s">
        <v>366</v>
      </c>
      <c r="Q205" t="s">
        <v>1412</v>
      </c>
      <c r="R205" s="7">
        <v>34578</v>
      </c>
      <c r="S205" s="8">
        <f t="shared" si="24"/>
        <v>1994</v>
      </c>
      <c r="T205" s="8">
        <v>1994</v>
      </c>
      <c r="U205" s="8">
        <f t="shared" si="25"/>
        <v>28</v>
      </c>
      <c r="V205" s="7">
        <v>34578</v>
      </c>
      <c r="W205" t="s">
        <v>1411</v>
      </c>
      <c r="X205" s="2">
        <v>0.84699999999999998</v>
      </c>
      <c r="Y205" s="6">
        <f t="shared" si="26"/>
        <v>2.2610181255172047E-2</v>
      </c>
      <c r="AA205">
        <v>281522</v>
      </c>
      <c r="AB205">
        <v>12174</v>
      </c>
      <c r="AD205" t="s">
        <v>2</v>
      </c>
      <c r="AE205">
        <v>41</v>
      </c>
      <c r="AF205">
        <v>3</v>
      </c>
      <c r="AH205" t="s">
        <v>1410</v>
      </c>
      <c r="AI205" t="s">
        <v>1409</v>
      </c>
      <c r="AK205" t="s">
        <v>1408</v>
      </c>
      <c r="AL205">
        <v>8</v>
      </c>
      <c r="AM205" s="5">
        <f t="shared" si="27"/>
        <v>0.2857142857142857</v>
      </c>
      <c r="AN205" s="4">
        <f t="shared" si="28"/>
        <v>4.3273651755287499E-4</v>
      </c>
      <c r="AO205" s="3"/>
      <c r="AP205">
        <v>0</v>
      </c>
      <c r="AR205" t="s">
        <v>1</v>
      </c>
      <c r="AT205" s="2" t="s">
        <v>0</v>
      </c>
      <c r="AU205" s="1">
        <f t="shared" si="29"/>
        <v>1.5956947833886292</v>
      </c>
      <c r="AV205" s="1">
        <f t="shared" si="30"/>
        <v>1.1521458886362461</v>
      </c>
      <c r="AW205" s="1">
        <f t="shared" si="31"/>
        <v>0.70859699388386255</v>
      </c>
    </row>
    <row r="206" spans="1:49" x14ac:dyDescent="0.2">
      <c r="A206">
        <v>204</v>
      </c>
      <c r="B206" t="s">
        <v>1407</v>
      </c>
      <c r="F206" t="s">
        <v>1406</v>
      </c>
      <c r="G206" t="s">
        <v>8</v>
      </c>
      <c r="H206" t="s">
        <v>7</v>
      </c>
      <c r="I206" t="s">
        <v>1405</v>
      </c>
      <c r="N206">
        <v>2</v>
      </c>
      <c r="O206" t="s">
        <v>1404</v>
      </c>
      <c r="P206" t="s">
        <v>1403</v>
      </c>
      <c r="Q206" t="s">
        <v>133</v>
      </c>
      <c r="R206" s="7">
        <v>34578</v>
      </c>
      <c r="S206" s="8">
        <f t="shared" si="24"/>
        <v>1994</v>
      </c>
      <c r="T206" s="8">
        <v>1994</v>
      </c>
      <c r="U206" s="8">
        <f t="shared" si="25"/>
        <v>28</v>
      </c>
      <c r="V206" s="7">
        <v>34578</v>
      </c>
      <c r="W206" t="s">
        <v>1395</v>
      </c>
      <c r="X206" s="2" t="s">
        <v>0</v>
      </c>
      <c r="Y206" s="6" t="e">
        <f t="shared" si="26"/>
        <v>#VALUE!</v>
      </c>
      <c r="AA206">
        <v>354279</v>
      </c>
      <c r="AB206">
        <v>39821</v>
      </c>
      <c r="AD206" t="s">
        <v>2</v>
      </c>
      <c r="AE206">
        <v>26</v>
      </c>
      <c r="AF206">
        <v>3</v>
      </c>
      <c r="AH206" t="s">
        <v>1402</v>
      </c>
      <c r="AI206" t="s">
        <v>1401</v>
      </c>
      <c r="AK206" t="s">
        <v>1400</v>
      </c>
      <c r="AL206">
        <v>0</v>
      </c>
      <c r="AM206" s="5">
        <f t="shared" si="27"/>
        <v>0</v>
      </c>
      <c r="AN206" s="4">
        <f t="shared" si="28"/>
        <v>0</v>
      </c>
      <c r="AO206" s="3"/>
      <c r="AP206">
        <v>0</v>
      </c>
      <c r="AR206" t="s">
        <v>1</v>
      </c>
      <c r="AT206" s="2" t="s">
        <v>0</v>
      </c>
      <c r="AU206" s="1" t="e">
        <f t="shared" si="29"/>
        <v>#VALUE!</v>
      </c>
      <c r="AV206" s="1" t="e">
        <f t="shared" si="30"/>
        <v>#VALUE!</v>
      </c>
      <c r="AW206" s="1" t="e">
        <f t="shared" si="31"/>
        <v>#VALUE!</v>
      </c>
    </row>
    <row r="207" spans="1:49" x14ac:dyDescent="0.2">
      <c r="A207">
        <v>205</v>
      </c>
      <c r="B207" t="s">
        <v>1399</v>
      </c>
      <c r="F207" t="s">
        <v>1398</v>
      </c>
      <c r="G207" t="s">
        <v>8</v>
      </c>
      <c r="H207" t="s">
        <v>7</v>
      </c>
      <c r="I207" t="s">
        <v>1397</v>
      </c>
      <c r="J207">
        <v>60019269</v>
      </c>
      <c r="K207" t="s">
        <v>678</v>
      </c>
      <c r="L207" t="s">
        <v>677</v>
      </c>
      <c r="M207" t="s">
        <v>10</v>
      </c>
      <c r="N207">
        <v>1</v>
      </c>
      <c r="O207" t="s">
        <v>1396</v>
      </c>
      <c r="P207">
        <v>6508199883</v>
      </c>
      <c r="Q207">
        <v>60019269</v>
      </c>
      <c r="R207" s="7">
        <v>34578</v>
      </c>
      <c r="S207" s="8">
        <f t="shared" si="24"/>
        <v>1994</v>
      </c>
      <c r="T207" s="8">
        <v>1994</v>
      </c>
      <c r="U207" s="8">
        <f t="shared" si="25"/>
        <v>28</v>
      </c>
      <c r="V207" s="7">
        <v>34578</v>
      </c>
      <c r="W207" t="s">
        <v>1395</v>
      </c>
      <c r="X207" s="2" t="s">
        <v>0</v>
      </c>
      <c r="Y207" s="6" t="e">
        <f t="shared" si="26"/>
        <v>#VALUE!</v>
      </c>
      <c r="AA207">
        <v>354279</v>
      </c>
      <c r="AB207">
        <v>39821</v>
      </c>
      <c r="AD207" t="s">
        <v>2</v>
      </c>
      <c r="AE207">
        <v>26</v>
      </c>
      <c r="AF207">
        <v>3</v>
      </c>
      <c r="AH207" t="s">
        <v>1394</v>
      </c>
      <c r="AI207" t="s">
        <v>1393</v>
      </c>
      <c r="AK207" t="s">
        <v>1392</v>
      </c>
      <c r="AL207">
        <v>0</v>
      </c>
      <c r="AM207" s="5">
        <f t="shared" si="27"/>
        <v>0</v>
      </c>
      <c r="AN207" s="4">
        <f t="shared" si="28"/>
        <v>0</v>
      </c>
      <c r="AO207" s="3"/>
      <c r="AP207">
        <v>0</v>
      </c>
      <c r="AR207" t="s">
        <v>1</v>
      </c>
      <c r="AT207" s="2" t="s">
        <v>0</v>
      </c>
      <c r="AU207" s="1" t="e">
        <f t="shared" si="29"/>
        <v>#VALUE!</v>
      </c>
      <c r="AV207" s="1" t="e">
        <f t="shared" si="30"/>
        <v>#VALUE!</v>
      </c>
      <c r="AW207" s="1" t="e">
        <f t="shared" si="31"/>
        <v>#VALUE!</v>
      </c>
    </row>
    <row r="208" spans="1:49" x14ac:dyDescent="0.2">
      <c r="A208">
        <v>206</v>
      </c>
      <c r="B208" t="s">
        <v>1391</v>
      </c>
      <c r="F208" t="s">
        <v>1390</v>
      </c>
      <c r="G208" t="s">
        <v>8</v>
      </c>
      <c r="H208" t="s">
        <v>7</v>
      </c>
      <c r="I208" t="s">
        <v>1389</v>
      </c>
      <c r="J208">
        <v>101452113</v>
      </c>
      <c r="K208" t="s">
        <v>1388</v>
      </c>
      <c r="N208">
        <v>1</v>
      </c>
      <c r="O208" t="s">
        <v>1387</v>
      </c>
      <c r="P208">
        <v>56187298000</v>
      </c>
      <c r="Q208">
        <v>101452113</v>
      </c>
      <c r="R208" s="7">
        <v>34578</v>
      </c>
      <c r="S208" s="8">
        <f t="shared" si="24"/>
        <v>1994</v>
      </c>
      <c r="T208" s="8">
        <v>1994</v>
      </c>
      <c r="U208" s="8">
        <f t="shared" si="25"/>
        <v>28</v>
      </c>
      <c r="V208" s="7">
        <v>34578</v>
      </c>
      <c r="W208" t="s">
        <v>445</v>
      </c>
      <c r="X208" s="2" t="s">
        <v>0</v>
      </c>
      <c r="Y208" s="6" t="e">
        <f t="shared" si="26"/>
        <v>#VALUE!</v>
      </c>
      <c r="AA208">
        <v>2783479</v>
      </c>
      <c r="AB208">
        <v>9500153966</v>
      </c>
      <c r="AD208" t="s">
        <v>2</v>
      </c>
      <c r="AE208">
        <v>26</v>
      </c>
      <c r="AF208">
        <v>9</v>
      </c>
      <c r="AH208">
        <v>37</v>
      </c>
      <c r="AI208" t="s">
        <v>1386</v>
      </c>
      <c r="AK208" t="s">
        <v>1385</v>
      </c>
      <c r="AL208">
        <v>0</v>
      </c>
      <c r="AM208" s="5">
        <f t="shared" si="27"/>
        <v>0</v>
      </c>
      <c r="AN208" s="4">
        <f t="shared" si="28"/>
        <v>0</v>
      </c>
      <c r="AO208" s="3"/>
      <c r="AP208">
        <v>0</v>
      </c>
      <c r="AR208" t="s">
        <v>1</v>
      </c>
      <c r="AT208" s="2" t="s">
        <v>0</v>
      </c>
      <c r="AU208" s="1" t="e">
        <f t="shared" si="29"/>
        <v>#VALUE!</v>
      </c>
      <c r="AV208" s="1" t="e">
        <f t="shared" si="30"/>
        <v>#VALUE!</v>
      </c>
      <c r="AW208" s="1" t="e">
        <f t="shared" si="31"/>
        <v>#VALUE!</v>
      </c>
    </row>
    <row r="209" spans="1:49" x14ac:dyDescent="0.2">
      <c r="A209">
        <v>207</v>
      </c>
      <c r="B209" t="s">
        <v>1384</v>
      </c>
      <c r="C209" t="s">
        <v>1383</v>
      </c>
      <c r="F209" t="s">
        <v>1382</v>
      </c>
      <c r="G209" t="s">
        <v>8</v>
      </c>
      <c r="H209" t="s">
        <v>7</v>
      </c>
      <c r="I209" t="s">
        <v>1381</v>
      </c>
      <c r="J209" t="s">
        <v>1380</v>
      </c>
      <c r="K209" t="s">
        <v>1379</v>
      </c>
      <c r="L209" t="s">
        <v>1378</v>
      </c>
      <c r="M209" t="s">
        <v>339</v>
      </c>
      <c r="N209">
        <v>5</v>
      </c>
      <c r="O209" t="s">
        <v>1377</v>
      </c>
      <c r="P209" t="s">
        <v>1376</v>
      </c>
      <c r="Q209" t="s">
        <v>1375</v>
      </c>
      <c r="R209" s="7">
        <v>34578</v>
      </c>
      <c r="S209" s="8">
        <f t="shared" si="24"/>
        <v>1994</v>
      </c>
      <c r="T209" s="8">
        <v>1994</v>
      </c>
      <c r="U209" s="8">
        <f t="shared" si="25"/>
        <v>28</v>
      </c>
      <c r="V209" s="7">
        <v>34578</v>
      </c>
      <c r="W209" t="s">
        <v>32</v>
      </c>
      <c r="X209" s="2">
        <v>0.61499999999999999</v>
      </c>
      <c r="Y209" s="6">
        <f t="shared" si="26"/>
        <v>1.6417073756706976E-2</v>
      </c>
      <c r="AA209">
        <v>1959271</v>
      </c>
      <c r="AB209">
        <v>12141</v>
      </c>
      <c r="AC209">
        <v>15729559</v>
      </c>
      <c r="AD209" t="s">
        <v>2</v>
      </c>
      <c r="AE209">
        <v>15</v>
      </c>
      <c r="AF209">
        <v>9</v>
      </c>
      <c r="AH209" t="s">
        <v>1374</v>
      </c>
      <c r="AI209" t="s">
        <v>1373</v>
      </c>
      <c r="AJ209" t="s">
        <v>1372</v>
      </c>
      <c r="AK209" t="s">
        <v>1371</v>
      </c>
      <c r="AL209">
        <v>8</v>
      </c>
      <c r="AM209" s="5">
        <f t="shared" si="27"/>
        <v>0.2857142857142857</v>
      </c>
      <c r="AN209" s="4">
        <f t="shared" si="28"/>
        <v>4.3273651755287499E-4</v>
      </c>
      <c r="AO209" s="3"/>
      <c r="AP209">
        <v>0</v>
      </c>
      <c r="AR209" t="s">
        <v>1</v>
      </c>
      <c r="AT209" s="2" t="s">
        <v>0</v>
      </c>
      <c r="AU209" s="1">
        <f t="shared" si="29"/>
        <v>1.1621772584960743</v>
      </c>
      <c r="AV209" s="1">
        <f t="shared" si="30"/>
        <v>0.84249051371299255</v>
      </c>
      <c r="AW209" s="1">
        <f t="shared" si="31"/>
        <v>0.52280376892991054</v>
      </c>
    </row>
    <row r="210" spans="1:49" x14ac:dyDescent="0.2">
      <c r="A210">
        <v>208</v>
      </c>
      <c r="B210" t="s">
        <v>1370</v>
      </c>
      <c r="C210" t="s">
        <v>1369</v>
      </c>
      <c r="F210" t="s">
        <v>1368</v>
      </c>
      <c r="G210" t="s">
        <v>8</v>
      </c>
      <c r="H210" t="s">
        <v>7</v>
      </c>
      <c r="I210" t="s">
        <v>1367</v>
      </c>
      <c r="J210">
        <v>60103653</v>
      </c>
      <c r="K210" t="s">
        <v>320</v>
      </c>
      <c r="L210" t="s">
        <v>288</v>
      </c>
      <c r="M210" t="s">
        <v>256</v>
      </c>
      <c r="N210">
        <v>3</v>
      </c>
      <c r="O210" t="s">
        <v>1366</v>
      </c>
      <c r="P210" t="s">
        <v>1365</v>
      </c>
      <c r="Q210" t="s">
        <v>319</v>
      </c>
      <c r="R210" s="7">
        <v>34578</v>
      </c>
      <c r="S210" s="8">
        <f t="shared" si="24"/>
        <v>1994</v>
      </c>
      <c r="T210" s="8">
        <v>1994</v>
      </c>
      <c r="U210" s="8">
        <f t="shared" si="25"/>
        <v>28</v>
      </c>
      <c r="V210" s="7">
        <v>34578</v>
      </c>
      <c r="W210" t="s">
        <v>32</v>
      </c>
      <c r="X210" s="2">
        <v>0.61499999999999999</v>
      </c>
      <c r="Y210" s="6">
        <f t="shared" si="26"/>
        <v>1.6417073756706976E-2</v>
      </c>
      <c r="AA210">
        <v>1959271</v>
      </c>
      <c r="AB210">
        <v>12141</v>
      </c>
      <c r="AC210">
        <v>15729559</v>
      </c>
      <c r="AD210" t="s">
        <v>2</v>
      </c>
      <c r="AE210">
        <v>15</v>
      </c>
      <c r="AF210">
        <v>9</v>
      </c>
      <c r="AH210" t="s">
        <v>1364</v>
      </c>
      <c r="AI210" t="s">
        <v>1363</v>
      </c>
      <c r="AJ210" t="s">
        <v>1362</v>
      </c>
      <c r="AK210" t="s">
        <v>1361</v>
      </c>
      <c r="AL210">
        <v>5</v>
      </c>
      <c r="AM210" s="5">
        <f t="shared" si="27"/>
        <v>0.17857142857142858</v>
      </c>
      <c r="AN210" s="4">
        <f t="shared" si="28"/>
        <v>2.7046032347054688E-4</v>
      </c>
      <c r="AO210" s="3"/>
      <c r="AP210">
        <v>0</v>
      </c>
      <c r="AR210" t="s">
        <v>1</v>
      </c>
      <c r="AT210" s="2" t="s">
        <v>0</v>
      </c>
      <c r="AU210" s="1">
        <f t="shared" si="29"/>
        <v>1.1573089726736046</v>
      </c>
      <c r="AV210" s="1">
        <f t="shared" si="30"/>
        <v>0.83437670400887609</v>
      </c>
      <c r="AW210" s="1">
        <f t="shared" si="31"/>
        <v>0.51144443534414752</v>
      </c>
    </row>
    <row r="211" spans="1:49" x14ac:dyDescent="0.2">
      <c r="A211">
        <v>209</v>
      </c>
      <c r="B211" t="s">
        <v>1360</v>
      </c>
      <c r="C211" t="s">
        <v>1359</v>
      </c>
      <c r="F211" t="s">
        <v>1358</v>
      </c>
      <c r="G211" t="s">
        <v>8</v>
      </c>
      <c r="H211" t="s">
        <v>7</v>
      </c>
      <c r="I211" t="s">
        <v>1357</v>
      </c>
      <c r="J211">
        <v>100706618</v>
      </c>
      <c r="K211" t="s">
        <v>1356</v>
      </c>
      <c r="N211">
        <v>3</v>
      </c>
      <c r="O211" t="s">
        <v>1355</v>
      </c>
      <c r="P211" t="s">
        <v>1354</v>
      </c>
      <c r="Q211" t="s">
        <v>1353</v>
      </c>
      <c r="R211" s="7">
        <v>34578</v>
      </c>
      <c r="S211" s="8">
        <f t="shared" si="24"/>
        <v>1994</v>
      </c>
      <c r="T211" s="8">
        <v>1994</v>
      </c>
      <c r="U211" s="8">
        <f t="shared" si="25"/>
        <v>28</v>
      </c>
      <c r="V211" s="7">
        <v>34335</v>
      </c>
      <c r="W211" t="s">
        <v>151</v>
      </c>
      <c r="X211" s="2">
        <v>0.375</v>
      </c>
      <c r="Y211" s="6">
        <f t="shared" si="26"/>
        <v>1.0010410827260351E-2</v>
      </c>
      <c r="AA211">
        <v>135194</v>
      </c>
      <c r="AB211">
        <v>24918</v>
      </c>
      <c r="AD211" t="s">
        <v>2</v>
      </c>
      <c r="AE211">
        <v>30</v>
      </c>
      <c r="AF211">
        <v>19</v>
      </c>
      <c r="AH211" t="s">
        <v>1352</v>
      </c>
      <c r="AI211" t="s">
        <v>1351</v>
      </c>
      <c r="AK211" t="s">
        <v>1350</v>
      </c>
      <c r="AL211">
        <v>6</v>
      </c>
      <c r="AM211" s="5">
        <f t="shared" si="27"/>
        <v>0.21428571428571427</v>
      </c>
      <c r="AN211" s="4">
        <f t="shared" si="28"/>
        <v>3.2455238816465621E-4</v>
      </c>
      <c r="AO211" s="3"/>
      <c r="AP211">
        <v>0</v>
      </c>
      <c r="AR211" t="s">
        <v>1</v>
      </c>
      <c r="AT211" s="2">
        <v>1.3140000000000001</v>
      </c>
      <c r="AU211" s="1">
        <f t="shared" si="29"/>
        <v>0.71046532955316422</v>
      </c>
      <c r="AV211" s="1">
        <f t="shared" si="30"/>
        <v>0.5167481607712503</v>
      </c>
      <c r="AW211" s="1">
        <f t="shared" si="31"/>
        <v>0.32303099198933644</v>
      </c>
    </row>
    <row r="212" spans="1:49" x14ac:dyDescent="0.2">
      <c r="A212">
        <v>210</v>
      </c>
      <c r="B212" t="s">
        <v>1349</v>
      </c>
      <c r="F212" t="s">
        <v>1348</v>
      </c>
      <c r="G212" t="s">
        <v>8</v>
      </c>
      <c r="H212" t="s">
        <v>7</v>
      </c>
      <c r="I212" t="s">
        <v>1347</v>
      </c>
      <c r="N212">
        <v>1</v>
      </c>
      <c r="O212" t="s">
        <v>1346</v>
      </c>
      <c r="P212">
        <v>7101806996</v>
      </c>
      <c r="R212" s="7">
        <v>34578</v>
      </c>
      <c r="S212" s="8">
        <f t="shared" si="24"/>
        <v>1994</v>
      </c>
      <c r="T212" s="8">
        <v>1994</v>
      </c>
      <c r="U212" s="8">
        <f t="shared" si="25"/>
        <v>28</v>
      </c>
      <c r="V212" s="7">
        <v>34578</v>
      </c>
      <c r="W212" t="s">
        <v>1345</v>
      </c>
      <c r="X212" s="2" t="s">
        <v>0</v>
      </c>
      <c r="Y212" s="6" t="e">
        <f t="shared" si="26"/>
        <v>#VALUE!</v>
      </c>
      <c r="AA212" t="s">
        <v>1344</v>
      </c>
      <c r="AB212">
        <v>20875</v>
      </c>
      <c r="AD212" t="s">
        <v>2</v>
      </c>
      <c r="AE212">
        <v>174</v>
      </c>
      <c r="AF212">
        <v>9</v>
      </c>
      <c r="AH212" t="s">
        <v>1343</v>
      </c>
      <c r="AI212" t="s">
        <v>1342</v>
      </c>
      <c r="AK212" t="s">
        <v>1341</v>
      </c>
      <c r="AL212">
        <v>0</v>
      </c>
      <c r="AM212" s="5">
        <f t="shared" si="27"/>
        <v>0</v>
      </c>
      <c r="AN212" s="4">
        <f t="shared" si="28"/>
        <v>0</v>
      </c>
      <c r="AO212" s="3"/>
      <c r="AP212">
        <v>0</v>
      </c>
      <c r="AR212" t="s">
        <v>1</v>
      </c>
      <c r="AT212" s="2" t="s">
        <v>0</v>
      </c>
      <c r="AU212" s="1" t="e">
        <f t="shared" si="29"/>
        <v>#VALUE!</v>
      </c>
      <c r="AV212" s="1" t="e">
        <f t="shared" si="30"/>
        <v>#VALUE!</v>
      </c>
      <c r="AW212" s="1" t="e">
        <f t="shared" si="31"/>
        <v>#VALUE!</v>
      </c>
    </row>
    <row r="213" spans="1:49" x14ac:dyDescent="0.2">
      <c r="A213">
        <v>211</v>
      </c>
      <c r="B213" t="s">
        <v>1340</v>
      </c>
      <c r="C213" t="s">
        <v>1339</v>
      </c>
      <c r="F213" t="s">
        <v>1338</v>
      </c>
      <c r="G213" t="s">
        <v>8</v>
      </c>
      <c r="H213" t="s">
        <v>7</v>
      </c>
      <c r="I213" t="s">
        <v>1337</v>
      </c>
      <c r="J213" t="s">
        <v>1336</v>
      </c>
      <c r="K213" t="s">
        <v>1335</v>
      </c>
      <c r="L213" t="s">
        <v>1334</v>
      </c>
      <c r="M213" t="s">
        <v>1333</v>
      </c>
      <c r="N213">
        <v>6</v>
      </c>
      <c r="O213" t="s">
        <v>1332</v>
      </c>
      <c r="P213" t="s">
        <v>1331</v>
      </c>
      <c r="Q213" t="s">
        <v>1330</v>
      </c>
      <c r="R213" s="7">
        <v>34578</v>
      </c>
      <c r="S213" s="8">
        <f t="shared" si="24"/>
        <v>1994</v>
      </c>
      <c r="T213" s="8">
        <v>1994</v>
      </c>
      <c r="U213" s="8">
        <f t="shared" si="25"/>
        <v>28</v>
      </c>
      <c r="V213" s="7">
        <v>34578</v>
      </c>
      <c r="W213" t="s">
        <v>81</v>
      </c>
      <c r="X213" s="2">
        <v>1.1579999999999999</v>
      </c>
      <c r="Y213" s="6">
        <f t="shared" si="26"/>
        <v>3.0912148634579962E-2</v>
      </c>
      <c r="AA213">
        <v>1668595</v>
      </c>
      <c r="AB213">
        <v>14223</v>
      </c>
      <c r="AC213">
        <v>15735079</v>
      </c>
      <c r="AD213" t="s">
        <v>2</v>
      </c>
      <c r="AE213">
        <v>41</v>
      </c>
      <c r="AF213">
        <v>3</v>
      </c>
      <c r="AH213" t="s">
        <v>216</v>
      </c>
      <c r="AI213" t="s">
        <v>1329</v>
      </c>
      <c r="AJ213" t="s">
        <v>1328</v>
      </c>
      <c r="AK213" t="s">
        <v>1327</v>
      </c>
      <c r="AL213">
        <v>324</v>
      </c>
      <c r="AM213" s="5">
        <f t="shared" si="27"/>
        <v>11.571428571428571</v>
      </c>
      <c r="AN213" s="4">
        <f t="shared" si="28"/>
        <v>1.7525828960891436E-2</v>
      </c>
      <c r="AO213" s="3"/>
      <c r="AP213">
        <v>0</v>
      </c>
      <c r="AR213" t="s">
        <v>1</v>
      </c>
      <c r="AT213" s="2">
        <v>3.573</v>
      </c>
      <c r="AU213" s="1">
        <f t="shared" si="29"/>
        <v>2.6896252732473402</v>
      </c>
      <c r="AV213" s="1">
        <f t="shared" si="30"/>
        <v>2.4218988797735701</v>
      </c>
      <c r="AW213" s="1">
        <f t="shared" si="31"/>
        <v>2.1541724862997991</v>
      </c>
    </row>
    <row r="214" spans="1:49" x14ac:dyDescent="0.2">
      <c r="A214">
        <v>212</v>
      </c>
      <c r="B214" t="s">
        <v>1326</v>
      </c>
      <c r="C214" t="s">
        <v>1325</v>
      </c>
      <c r="F214" t="s">
        <v>1324</v>
      </c>
      <c r="G214" t="s">
        <v>8</v>
      </c>
      <c r="H214" t="s">
        <v>7</v>
      </c>
      <c r="I214" t="s">
        <v>1323</v>
      </c>
      <c r="J214" t="s">
        <v>1322</v>
      </c>
      <c r="K214" t="s">
        <v>1321</v>
      </c>
      <c r="L214" t="s">
        <v>1320</v>
      </c>
      <c r="M214" t="s">
        <v>1319</v>
      </c>
      <c r="N214">
        <v>2</v>
      </c>
      <c r="O214" t="s">
        <v>1318</v>
      </c>
      <c r="P214" t="s">
        <v>1317</v>
      </c>
      <c r="Q214" t="s">
        <v>1316</v>
      </c>
      <c r="R214" s="7">
        <v>34578</v>
      </c>
      <c r="S214" s="8">
        <f t="shared" si="24"/>
        <v>1994</v>
      </c>
      <c r="T214" s="8">
        <v>1994</v>
      </c>
      <c r="U214" s="8">
        <f t="shared" si="25"/>
        <v>28</v>
      </c>
      <c r="V214" s="7">
        <v>34578</v>
      </c>
      <c r="W214" t="s">
        <v>1315</v>
      </c>
      <c r="X214" s="2">
        <v>0.83599999999999997</v>
      </c>
      <c r="Y214" s="6">
        <f t="shared" si="26"/>
        <v>2.2316542537572408E-2</v>
      </c>
      <c r="AA214" t="s">
        <v>1314</v>
      </c>
      <c r="AB214">
        <v>19036</v>
      </c>
      <c r="AC214">
        <v>16156102</v>
      </c>
      <c r="AD214" t="s">
        <v>2</v>
      </c>
      <c r="AE214">
        <v>179</v>
      </c>
      <c r="AF214" s="10">
        <v>44289</v>
      </c>
      <c r="AH214" t="s">
        <v>1313</v>
      </c>
      <c r="AI214" t="s">
        <v>1312</v>
      </c>
      <c r="AJ214" t="s">
        <v>1311</v>
      </c>
      <c r="AK214" t="s">
        <v>1310</v>
      </c>
      <c r="AL214">
        <v>24</v>
      </c>
      <c r="AM214" s="5">
        <f t="shared" si="27"/>
        <v>0.8571428571428571</v>
      </c>
      <c r="AN214" s="4">
        <f t="shared" si="28"/>
        <v>1.2982095526586248E-3</v>
      </c>
      <c r="AO214" s="3"/>
      <c r="AP214">
        <v>0</v>
      </c>
      <c r="AR214" t="s">
        <v>1</v>
      </c>
      <c r="AT214" s="2">
        <v>3.3559999999999999</v>
      </c>
      <c r="AU214" s="1">
        <f t="shared" si="29"/>
        <v>1.6011042642098274</v>
      </c>
      <c r="AV214" s="1">
        <f t="shared" si="30"/>
        <v>1.1807376045115516</v>
      </c>
      <c r="AW214" s="1">
        <f t="shared" si="31"/>
        <v>0.76037094481327594</v>
      </c>
    </row>
    <row r="215" spans="1:49" x14ac:dyDescent="0.2">
      <c r="A215">
        <v>213</v>
      </c>
      <c r="B215" t="s">
        <v>1309</v>
      </c>
      <c r="C215" t="s">
        <v>1308</v>
      </c>
      <c r="E215">
        <v>7727371</v>
      </c>
      <c r="F215" t="s">
        <v>1307</v>
      </c>
      <c r="G215" t="s">
        <v>8</v>
      </c>
      <c r="H215" t="s">
        <v>7</v>
      </c>
      <c r="I215" t="s">
        <v>15</v>
      </c>
      <c r="J215">
        <v>60008023</v>
      </c>
      <c r="K215" t="s">
        <v>99</v>
      </c>
      <c r="L215" t="s">
        <v>98</v>
      </c>
      <c r="M215" t="s">
        <v>19</v>
      </c>
      <c r="N215">
        <v>2</v>
      </c>
      <c r="O215" t="s">
        <v>1306</v>
      </c>
      <c r="P215" t="s">
        <v>1305</v>
      </c>
      <c r="Q215" t="s">
        <v>1304</v>
      </c>
      <c r="R215" s="7">
        <v>34578</v>
      </c>
      <c r="S215" s="8">
        <f t="shared" si="24"/>
        <v>1994</v>
      </c>
      <c r="T215" s="8">
        <v>1994</v>
      </c>
      <c r="U215" s="8">
        <f t="shared" si="25"/>
        <v>28</v>
      </c>
      <c r="V215" s="7">
        <v>34578</v>
      </c>
      <c r="W215" t="s">
        <v>372</v>
      </c>
      <c r="X215" s="2">
        <v>1.43</v>
      </c>
      <c r="Y215" s="6">
        <f t="shared" si="26"/>
        <v>3.8173033287952803E-2</v>
      </c>
      <c r="AA215">
        <v>62960</v>
      </c>
      <c r="AB215">
        <v>16867</v>
      </c>
      <c r="AC215">
        <v>15204995</v>
      </c>
      <c r="AD215" t="s">
        <v>2</v>
      </c>
      <c r="AE215">
        <v>33</v>
      </c>
      <c r="AF215">
        <v>37</v>
      </c>
      <c r="AH215" t="s">
        <v>1303</v>
      </c>
      <c r="AI215" t="s">
        <v>1302</v>
      </c>
      <c r="AK215" t="s">
        <v>1301</v>
      </c>
      <c r="AL215">
        <v>43</v>
      </c>
      <c r="AM215" s="5">
        <f t="shared" si="27"/>
        <v>1.5357142857142858</v>
      </c>
      <c r="AN215" s="4">
        <f t="shared" si="28"/>
        <v>2.3259587818467032E-3</v>
      </c>
      <c r="AO215" s="3"/>
      <c r="AP215">
        <v>0</v>
      </c>
      <c r="AR215" t="s">
        <v>1</v>
      </c>
      <c r="AT215" s="2">
        <v>3.1619999999999999</v>
      </c>
      <c r="AU215" s="1">
        <f t="shared" si="29"/>
        <v>2.7418910936120975</v>
      </c>
      <c r="AV215" s="1">
        <f t="shared" si="30"/>
        <v>2.0249496034899752</v>
      </c>
      <c r="AW215" s="1">
        <f t="shared" si="31"/>
        <v>1.3080081133678534</v>
      </c>
    </row>
    <row r="216" spans="1:49" x14ac:dyDescent="0.2">
      <c r="A216">
        <v>214</v>
      </c>
      <c r="B216" t="s">
        <v>1300</v>
      </c>
      <c r="C216" t="s">
        <v>1299</v>
      </c>
      <c r="D216">
        <v>1010603094020160</v>
      </c>
      <c r="F216" t="s">
        <v>1298</v>
      </c>
      <c r="G216" t="s">
        <v>8</v>
      </c>
      <c r="H216" t="s">
        <v>7</v>
      </c>
      <c r="I216" t="s">
        <v>1297</v>
      </c>
      <c r="J216">
        <v>60021199</v>
      </c>
      <c r="K216" t="s">
        <v>88</v>
      </c>
      <c r="L216" t="s">
        <v>274</v>
      </c>
      <c r="M216" t="s">
        <v>52</v>
      </c>
      <c r="N216">
        <v>4</v>
      </c>
      <c r="O216" t="s">
        <v>1296</v>
      </c>
      <c r="P216" t="s">
        <v>1295</v>
      </c>
      <c r="Q216" t="s">
        <v>1294</v>
      </c>
      <c r="R216" s="7">
        <v>34569</v>
      </c>
      <c r="S216" s="8">
        <f t="shared" si="24"/>
        <v>1994</v>
      </c>
      <c r="T216" s="8">
        <v>1994</v>
      </c>
      <c r="U216" s="8">
        <f t="shared" si="25"/>
        <v>28</v>
      </c>
      <c r="V216" s="7">
        <v>34569</v>
      </c>
      <c r="W216" t="s">
        <v>424</v>
      </c>
      <c r="X216" s="2" t="s">
        <v>0</v>
      </c>
      <c r="Y216" s="6" t="e">
        <f t="shared" si="26"/>
        <v>#VALUE!</v>
      </c>
      <c r="AA216">
        <v>10106030</v>
      </c>
      <c r="AB216">
        <v>26966</v>
      </c>
      <c r="AD216" t="s">
        <v>2</v>
      </c>
      <c r="AE216">
        <v>82</v>
      </c>
      <c r="AF216" s="10">
        <v>44256</v>
      </c>
      <c r="AH216" t="s">
        <v>1293</v>
      </c>
      <c r="AI216" t="s">
        <v>1292</v>
      </c>
      <c r="AK216" t="s">
        <v>1291</v>
      </c>
      <c r="AL216">
        <v>37</v>
      </c>
      <c r="AM216" s="5">
        <f t="shared" si="27"/>
        <v>1.3214285714285714</v>
      </c>
      <c r="AN216" s="4">
        <f t="shared" si="28"/>
        <v>2.0014063936820469E-3</v>
      </c>
      <c r="AO216" s="3"/>
      <c r="AP216">
        <v>0</v>
      </c>
      <c r="AR216" t="s">
        <v>1</v>
      </c>
      <c r="AT216" s="2" t="s">
        <v>0</v>
      </c>
      <c r="AU216" s="1" t="e">
        <f t="shared" si="29"/>
        <v>#VALUE!</v>
      </c>
      <c r="AV216" s="1" t="e">
        <f t="shared" si="30"/>
        <v>#VALUE!</v>
      </c>
      <c r="AW216" s="1" t="e">
        <f t="shared" si="31"/>
        <v>#VALUE!</v>
      </c>
    </row>
    <row r="217" spans="1:49" x14ac:dyDescent="0.2">
      <c r="A217">
        <v>215</v>
      </c>
      <c r="B217" t="s">
        <v>1290</v>
      </c>
      <c r="C217" t="s">
        <v>1289</v>
      </c>
      <c r="F217" t="s">
        <v>1288</v>
      </c>
      <c r="G217" t="s">
        <v>8</v>
      </c>
      <c r="H217" t="s">
        <v>7</v>
      </c>
      <c r="I217" t="s">
        <v>214</v>
      </c>
      <c r="J217">
        <v>60018714</v>
      </c>
      <c r="K217" t="s">
        <v>213</v>
      </c>
      <c r="L217" t="s">
        <v>169</v>
      </c>
      <c r="M217" t="s">
        <v>47</v>
      </c>
      <c r="N217">
        <v>4</v>
      </c>
      <c r="O217" t="s">
        <v>1287</v>
      </c>
      <c r="P217" t="s">
        <v>1286</v>
      </c>
      <c r="Q217" t="s">
        <v>1285</v>
      </c>
      <c r="R217" s="7">
        <v>34564</v>
      </c>
      <c r="S217" s="8">
        <f t="shared" si="24"/>
        <v>1994</v>
      </c>
      <c r="T217" s="8">
        <v>1994</v>
      </c>
      <c r="U217" s="8">
        <f t="shared" si="25"/>
        <v>28</v>
      </c>
      <c r="V217" s="7">
        <v>34564</v>
      </c>
      <c r="W217" t="s">
        <v>151</v>
      </c>
      <c r="X217" s="2">
        <v>0.375</v>
      </c>
      <c r="Y217" s="6">
        <f t="shared" si="26"/>
        <v>1.0010410827260351E-2</v>
      </c>
      <c r="AA217">
        <v>135194</v>
      </c>
      <c r="AB217">
        <v>24918</v>
      </c>
      <c r="AD217" t="s">
        <v>2</v>
      </c>
      <c r="AE217">
        <v>30</v>
      </c>
      <c r="AF217">
        <v>17</v>
      </c>
      <c r="AH217" t="s">
        <v>1284</v>
      </c>
      <c r="AI217" t="s">
        <v>1283</v>
      </c>
      <c r="AJ217" t="s">
        <v>1282</v>
      </c>
      <c r="AK217" t="s">
        <v>1281</v>
      </c>
      <c r="AL217">
        <v>67</v>
      </c>
      <c r="AM217" s="5">
        <f t="shared" si="27"/>
        <v>2.3928571428571428</v>
      </c>
      <c r="AN217" s="4">
        <f t="shared" si="28"/>
        <v>3.624168334505328E-3</v>
      </c>
      <c r="AO217" s="3"/>
      <c r="AP217">
        <v>0</v>
      </c>
      <c r="AR217" t="s">
        <v>1</v>
      </c>
      <c r="AT217" s="2">
        <v>1.3140000000000001</v>
      </c>
      <c r="AU217" s="1">
        <f t="shared" si="29"/>
        <v>0.80945380794338428</v>
      </c>
      <c r="AV217" s="1">
        <f t="shared" si="30"/>
        <v>0.68172895808828404</v>
      </c>
      <c r="AW217" s="1">
        <f t="shared" si="31"/>
        <v>0.55400410823318347</v>
      </c>
    </row>
    <row r="218" spans="1:49" x14ac:dyDescent="0.2">
      <c r="A218">
        <v>216</v>
      </c>
      <c r="B218" t="s">
        <v>1280</v>
      </c>
      <c r="C218" t="s">
        <v>1279</v>
      </c>
      <c r="F218" t="s">
        <v>1278</v>
      </c>
      <c r="G218" t="s">
        <v>8</v>
      </c>
      <c r="H218" t="s">
        <v>7</v>
      </c>
      <c r="I218" t="s">
        <v>1277</v>
      </c>
      <c r="J218">
        <v>60008524</v>
      </c>
      <c r="K218" t="s">
        <v>254</v>
      </c>
      <c r="L218" t="s">
        <v>253</v>
      </c>
      <c r="M218" t="s">
        <v>4</v>
      </c>
      <c r="N218">
        <v>2</v>
      </c>
      <c r="O218" t="s">
        <v>1276</v>
      </c>
      <c r="P218" t="s">
        <v>1275</v>
      </c>
      <c r="Q218" t="s">
        <v>275</v>
      </c>
      <c r="R218" s="7">
        <v>34564</v>
      </c>
      <c r="S218" s="8">
        <f t="shared" si="24"/>
        <v>1994</v>
      </c>
      <c r="T218" s="8">
        <v>1994</v>
      </c>
      <c r="U218" s="8">
        <f t="shared" si="25"/>
        <v>28</v>
      </c>
      <c r="V218" s="7">
        <v>34564</v>
      </c>
      <c r="W218" t="s">
        <v>151</v>
      </c>
      <c r="X218" s="2">
        <v>0.375</v>
      </c>
      <c r="Y218" s="6">
        <f t="shared" si="26"/>
        <v>1.0010410827260351E-2</v>
      </c>
      <c r="AA218">
        <v>135194</v>
      </c>
      <c r="AB218">
        <v>24918</v>
      </c>
      <c r="AD218" t="s">
        <v>2</v>
      </c>
      <c r="AE218">
        <v>30</v>
      </c>
      <c r="AF218">
        <v>17</v>
      </c>
      <c r="AH218" t="s">
        <v>1274</v>
      </c>
      <c r="AI218" t="s">
        <v>1273</v>
      </c>
      <c r="AJ218" t="s">
        <v>1272</v>
      </c>
      <c r="AK218" t="s">
        <v>1271</v>
      </c>
      <c r="AL218">
        <v>8</v>
      </c>
      <c r="AM218" s="5">
        <f t="shared" si="27"/>
        <v>0.2857142857142857</v>
      </c>
      <c r="AN218" s="4">
        <f t="shared" si="28"/>
        <v>4.3273651755287499E-4</v>
      </c>
      <c r="AO218" s="3"/>
      <c r="AP218">
        <v>0</v>
      </c>
      <c r="AR218" t="s">
        <v>1</v>
      </c>
      <c r="AT218" s="2">
        <v>1.3140000000000001</v>
      </c>
      <c r="AU218" s="1">
        <f t="shared" si="29"/>
        <v>0.71371085343481078</v>
      </c>
      <c r="AV218" s="1">
        <f t="shared" si="30"/>
        <v>0.52215736724066131</v>
      </c>
      <c r="AW218" s="1">
        <f t="shared" si="31"/>
        <v>0.33060388104651178</v>
      </c>
    </row>
    <row r="219" spans="1:49" x14ac:dyDescent="0.2">
      <c r="A219">
        <v>217</v>
      </c>
      <c r="B219" t="s">
        <v>1270</v>
      </c>
      <c r="C219" t="s">
        <v>1269</v>
      </c>
      <c r="F219" t="s">
        <v>1268</v>
      </c>
      <c r="G219" t="s">
        <v>8</v>
      </c>
      <c r="H219" t="s">
        <v>7</v>
      </c>
      <c r="I219" t="s">
        <v>335</v>
      </c>
      <c r="J219">
        <v>60013983</v>
      </c>
      <c r="K219" t="s">
        <v>196</v>
      </c>
      <c r="L219" t="s">
        <v>195</v>
      </c>
      <c r="M219" t="s">
        <v>194</v>
      </c>
      <c r="N219">
        <v>3</v>
      </c>
      <c r="O219" t="s">
        <v>1267</v>
      </c>
      <c r="P219" t="s">
        <v>1266</v>
      </c>
      <c r="Q219" t="s">
        <v>308</v>
      </c>
      <c r="R219" s="7">
        <v>34564</v>
      </c>
      <c r="S219" s="8">
        <f t="shared" si="24"/>
        <v>1994</v>
      </c>
      <c r="T219" s="8">
        <v>1994</v>
      </c>
      <c r="U219" s="8">
        <f t="shared" si="25"/>
        <v>28</v>
      </c>
      <c r="V219" s="7">
        <v>34564</v>
      </c>
      <c r="W219" t="s">
        <v>151</v>
      </c>
      <c r="X219" s="2">
        <v>0.375</v>
      </c>
      <c r="Y219" s="6">
        <f t="shared" si="26"/>
        <v>1.0010410827260351E-2</v>
      </c>
      <c r="AA219">
        <v>135194</v>
      </c>
      <c r="AB219">
        <v>24918</v>
      </c>
      <c r="AD219" t="s">
        <v>2</v>
      </c>
      <c r="AE219">
        <v>30</v>
      </c>
      <c r="AF219">
        <v>17</v>
      </c>
      <c r="AH219" t="s">
        <v>1265</v>
      </c>
      <c r="AI219" t="s">
        <v>1264</v>
      </c>
      <c r="AJ219" t="s">
        <v>166</v>
      </c>
      <c r="AK219" t="s">
        <v>1263</v>
      </c>
      <c r="AL219">
        <v>18</v>
      </c>
      <c r="AM219" s="5">
        <f t="shared" si="27"/>
        <v>0.6428571428571429</v>
      </c>
      <c r="AN219" s="4">
        <f t="shared" si="28"/>
        <v>9.7365716449396885E-4</v>
      </c>
      <c r="AO219" s="3"/>
      <c r="AP219">
        <v>0</v>
      </c>
      <c r="AR219" t="s">
        <v>1</v>
      </c>
      <c r="AT219" s="2">
        <v>1.3140000000000001</v>
      </c>
      <c r="AU219" s="1">
        <f t="shared" si="29"/>
        <v>0.7299384728430437</v>
      </c>
      <c r="AV219" s="1">
        <f t="shared" si="30"/>
        <v>0.54920339958771602</v>
      </c>
      <c r="AW219" s="1">
        <f t="shared" si="31"/>
        <v>0.36846832633238835</v>
      </c>
    </row>
    <row r="220" spans="1:49" x14ac:dyDescent="0.2">
      <c r="A220">
        <v>218</v>
      </c>
      <c r="B220" t="s">
        <v>1262</v>
      </c>
      <c r="C220" t="s">
        <v>1261</v>
      </c>
      <c r="F220" t="s">
        <v>1260</v>
      </c>
      <c r="G220" t="s">
        <v>8</v>
      </c>
      <c r="H220" t="s">
        <v>7</v>
      </c>
      <c r="I220" t="s">
        <v>214</v>
      </c>
      <c r="J220">
        <v>60018714</v>
      </c>
      <c r="K220" t="s">
        <v>213</v>
      </c>
      <c r="L220" t="s">
        <v>169</v>
      </c>
      <c r="M220" t="s">
        <v>47</v>
      </c>
      <c r="N220">
        <v>3</v>
      </c>
      <c r="O220" t="s">
        <v>1259</v>
      </c>
      <c r="P220" t="s">
        <v>1258</v>
      </c>
      <c r="Q220" t="s">
        <v>212</v>
      </c>
      <c r="R220" s="7">
        <v>34564</v>
      </c>
      <c r="S220" s="8">
        <f t="shared" si="24"/>
        <v>1994</v>
      </c>
      <c r="T220" s="8">
        <v>1994</v>
      </c>
      <c r="U220" s="8">
        <f t="shared" si="25"/>
        <v>28</v>
      </c>
      <c r="V220" s="7">
        <v>34564</v>
      </c>
      <c r="W220" t="s">
        <v>151</v>
      </c>
      <c r="X220" s="2">
        <v>0.375</v>
      </c>
      <c r="Y220" s="6">
        <f t="shared" si="26"/>
        <v>1.0010410827260351E-2</v>
      </c>
      <c r="AA220">
        <v>135194</v>
      </c>
      <c r="AB220">
        <v>24918</v>
      </c>
      <c r="AD220" t="s">
        <v>2</v>
      </c>
      <c r="AE220">
        <v>30</v>
      </c>
      <c r="AF220">
        <v>17</v>
      </c>
      <c r="AH220" t="s">
        <v>1257</v>
      </c>
      <c r="AI220" t="s">
        <v>1256</v>
      </c>
      <c r="AJ220" t="s">
        <v>166</v>
      </c>
      <c r="AK220" t="s">
        <v>1255</v>
      </c>
      <c r="AL220">
        <v>108</v>
      </c>
      <c r="AM220" s="5">
        <f t="shared" si="27"/>
        <v>3.8571428571428572</v>
      </c>
      <c r="AN220" s="4">
        <f t="shared" si="28"/>
        <v>5.8419429869638129E-3</v>
      </c>
      <c r="AO220" s="3"/>
      <c r="AP220">
        <v>0</v>
      </c>
      <c r="AR220" t="s">
        <v>1</v>
      </c>
      <c r="AT220" s="2">
        <v>1.3140000000000001</v>
      </c>
      <c r="AU220" s="1">
        <f t="shared" si="29"/>
        <v>0.87598704751713896</v>
      </c>
      <c r="AV220" s="1">
        <f t="shared" si="30"/>
        <v>0.79261769071120813</v>
      </c>
      <c r="AW220" s="1">
        <f t="shared" si="31"/>
        <v>0.70924833390527742</v>
      </c>
    </row>
    <row r="221" spans="1:49" x14ac:dyDescent="0.2">
      <c r="A221">
        <v>219</v>
      </c>
      <c r="B221" t="s">
        <v>1254</v>
      </c>
      <c r="C221" t="s">
        <v>1253</v>
      </c>
      <c r="F221" t="s">
        <v>1252</v>
      </c>
      <c r="G221" t="s">
        <v>8</v>
      </c>
      <c r="H221" t="s">
        <v>7</v>
      </c>
      <c r="I221" t="s">
        <v>368</v>
      </c>
      <c r="J221">
        <v>60020547</v>
      </c>
      <c r="K221" t="s">
        <v>162</v>
      </c>
      <c r="L221" t="s">
        <v>161</v>
      </c>
      <c r="M221" t="s">
        <v>19</v>
      </c>
      <c r="N221">
        <v>3</v>
      </c>
      <c r="O221" t="s">
        <v>455</v>
      </c>
      <c r="P221" t="s">
        <v>367</v>
      </c>
      <c r="Q221" t="s">
        <v>224</v>
      </c>
      <c r="R221" s="7">
        <v>34564</v>
      </c>
      <c r="S221" s="8">
        <f t="shared" si="24"/>
        <v>1994</v>
      </c>
      <c r="T221" s="8">
        <v>1994</v>
      </c>
      <c r="U221" s="8">
        <f t="shared" si="25"/>
        <v>28</v>
      </c>
      <c r="V221" s="7">
        <v>34564</v>
      </c>
      <c r="W221" t="s">
        <v>151</v>
      </c>
      <c r="X221" s="2">
        <v>0.375</v>
      </c>
      <c r="Y221" s="6">
        <f t="shared" si="26"/>
        <v>1.0010410827260351E-2</v>
      </c>
      <c r="AA221">
        <v>135194</v>
      </c>
      <c r="AB221">
        <v>24918</v>
      </c>
      <c r="AD221" t="s">
        <v>2</v>
      </c>
      <c r="AE221">
        <v>30</v>
      </c>
      <c r="AF221">
        <v>17</v>
      </c>
      <c r="AH221" t="s">
        <v>1251</v>
      </c>
      <c r="AI221" t="s">
        <v>1250</v>
      </c>
      <c r="AJ221" t="s">
        <v>454</v>
      </c>
      <c r="AK221" t="s">
        <v>1249</v>
      </c>
      <c r="AL221">
        <v>18</v>
      </c>
      <c r="AM221" s="5">
        <f t="shared" si="27"/>
        <v>0.6428571428571429</v>
      </c>
      <c r="AN221" s="4">
        <f t="shared" si="28"/>
        <v>9.7365716449396885E-4</v>
      </c>
      <c r="AO221" s="3"/>
      <c r="AP221">
        <v>0</v>
      </c>
      <c r="AR221" t="s">
        <v>1</v>
      </c>
      <c r="AT221" s="2">
        <v>1.3140000000000001</v>
      </c>
      <c r="AU221" s="1">
        <f t="shared" si="29"/>
        <v>0.7299384728430437</v>
      </c>
      <c r="AV221" s="1">
        <f t="shared" si="30"/>
        <v>0.54920339958771602</v>
      </c>
      <c r="AW221" s="1">
        <f t="shared" si="31"/>
        <v>0.36846832633238835</v>
      </c>
    </row>
    <row r="222" spans="1:49" x14ac:dyDescent="0.2">
      <c r="A222">
        <v>220</v>
      </c>
      <c r="B222" t="s">
        <v>1248</v>
      </c>
      <c r="C222" t="s">
        <v>1247</v>
      </c>
      <c r="D222">
        <v>375960194905789</v>
      </c>
      <c r="F222" t="s">
        <v>1246</v>
      </c>
      <c r="G222" t="s">
        <v>8</v>
      </c>
      <c r="H222" t="s">
        <v>7</v>
      </c>
      <c r="I222" t="s">
        <v>1245</v>
      </c>
      <c r="J222">
        <v>60005722</v>
      </c>
      <c r="K222" t="s">
        <v>1244</v>
      </c>
      <c r="L222" t="s">
        <v>1243</v>
      </c>
      <c r="M222" t="s">
        <v>152</v>
      </c>
      <c r="N222">
        <v>4</v>
      </c>
      <c r="O222" t="s">
        <v>1242</v>
      </c>
      <c r="P222" t="s">
        <v>1241</v>
      </c>
      <c r="Q222" t="s">
        <v>1240</v>
      </c>
      <c r="R222" s="7">
        <v>34554</v>
      </c>
      <c r="S222" s="8">
        <f t="shared" si="24"/>
        <v>1994</v>
      </c>
      <c r="T222" s="8">
        <v>1994</v>
      </c>
      <c r="U222" s="8">
        <f t="shared" si="25"/>
        <v>28</v>
      </c>
      <c r="V222" s="7">
        <v>34554</v>
      </c>
      <c r="W222" t="s">
        <v>370</v>
      </c>
      <c r="X222" s="2">
        <v>0.499</v>
      </c>
      <c r="Y222" s="6">
        <f t="shared" si="26"/>
        <v>1.332052000747444E-2</v>
      </c>
      <c r="AA222">
        <v>3759601</v>
      </c>
      <c r="AB222">
        <v>29464</v>
      </c>
      <c r="AD222" t="s">
        <v>2</v>
      </c>
      <c r="AE222">
        <v>191</v>
      </c>
      <c r="AF222" s="10">
        <v>44228</v>
      </c>
      <c r="AH222" t="s">
        <v>1239</v>
      </c>
      <c r="AI222" t="s">
        <v>1238</v>
      </c>
      <c r="AK222" t="s">
        <v>1237</v>
      </c>
      <c r="AL222">
        <v>11</v>
      </c>
      <c r="AM222" s="5">
        <f t="shared" si="27"/>
        <v>0.39285714285714285</v>
      </c>
      <c r="AN222" s="4">
        <f t="shared" si="28"/>
        <v>5.9501271163520315E-4</v>
      </c>
      <c r="AO222" s="3"/>
      <c r="AP222">
        <v>0</v>
      </c>
      <c r="AR222" t="s">
        <v>1</v>
      </c>
      <c r="AT222" s="2">
        <v>2.6539999999999999</v>
      </c>
      <c r="AU222" s="1">
        <f t="shared" si="29"/>
        <v>0.95028678187226689</v>
      </c>
      <c r="AV222" s="1">
        <f t="shared" si="30"/>
        <v>0.69577663595548211</v>
      </c>
      <c r="AW222" s="1">
        <f t="shared" si="31"/>
        <v>0.44126649003869745</v>
      </c>
    </row>
    <row r="223" spans="1:49" x14ac:dyDescent="0.2">
      <c r="A223">
        <v>221</v>
      </c>
      <c r="B223" t="s">
        <v>1236</v>
      </c>
      <c r="C223" t="s">
        <v>1235</v>
      </c>
      <c r="D223">
        <v>14579394007012</v>
      </c>
      <c r="E223">
        <v>8050595</v>
      </c>
      <c r="F223" t="s">
        <v>1234</v>
      </c>
      <c r="G223" t="s">
        <v>8</v>
      </c>
      <c r="H223" t="s">
        <v>7</v>
      </c>
      <c r="I223" t="s">
        <v>1233</v>
      </c>
      <c r="J223">
        <v>60001881</v>
      </c>
      <c r="K223" t="s">
        <v>267</v>
      </c>
      <c r="L223" t="s">
        <v>266</v>
      </c>
      <c r="M223" t="s">
        <v>4</v>
      </c>
      <c r="N223">
        <v>3</v>
      </c>
      <c r="O223" t="s">
        <v>1232</v>
      </c>
      <c r="P223" t="s">
        <v>1231</v>
      </c>
      <c r="Q223" t="s">
        <v>425</v>
      </c>
      <c r="R223" s="7">
        <v>34554</v>
      </c>
      <c r="S223" s="8">
        <f t="shared" si="24"/>
        <v>1994</v>
      </c>
      <c r="T223" s="8">
        <v>1994</v>
      </c>
      <c r="U223" s="8">
        <f t="shared" si="25"/>
        <v>28</v>
      </c>
      <c r="V223" s="7">
        <v>34554</v>
      </c>
      <c r="W223" t="s">
        <v>396</v>
      </c>
      <c r="X223" s="2">
        <v>1.593</v>
      </c>
      <c r="Y223" s="6">
        <f t="shared" si="26"/>
        <v>4.2524225194201973E-2</v>
      </c>
      <c r="AA223">
        <v>145793</v>
      </c>
      <c r="AB223">
        <v>17481</v>
      </c>
      <c r="AD223" t="s">
        <v>2</v>
      </c>
      <c r="AE223">
        <v>349</v>
      </c>
      <c r="AF223">
        <v>3</v>
      </c>
      <c r="AH223" t="s">
        <v>1230</v>
      </c>
      <c r="AI223" t="s">
        <v>1229</v>
      </c>
      <c r="AJ223" t="s">
        <v>1228</v>
      </c>
      <c r="AK223" t="s">
        <v>1227</v>
      </c>
      <c r="AL223">
        <v>63</v>
      </c>
      <c r="AM223" s="5">
        <f t="shared" si="27"/>
        <v>2.25</v>
      </c>
      <c r="AN223" s="4">
        <f t="shared" si="28"/>
        <v>3.4078000757288905E-3</v>
      </c>
      <c r="AO223" s="3"/>
      <c r="AP223">
        <v>0</v>
      </c>
      <c r="AQ223" t="s">
        <v>1226</v>
      </c>
      <c r="AR223" t="s">
        <v>1</v>
      </c>
      <c r="AS223" t="s">
        <v>1225</v>
      </c>
      <c r="AT223" s="2">
        <v>4.1239999999999997</v>
      </c>
      <c r="AU223" s="1">
        <f t="shared" si="29"/>
        <v>3.0789297658660049</v>
      </c>
      <c r="AV223" s="1">
        <f t="shared" si="30"/>
        <v>2.2966012634965431</v>
      </c>
      <c r="AW223" s="1">
        <f t="shared" si="31"/>
        <v>1.5142727611270814</v>
      </c>
    </row>
    <row r="224" spans="1:49" x14ac:dyDescent="0.2">
      <c r="A224">
        <v>222</v>
      </c>
      <c r="B224" t="s">
        <v>1224</v>
      </c>
      <c r="C224" t="s">
        <v>1223</v>
      </c>
      <c r="F224" t="s">
        <v>1222</v>
      </c>
      <c r="G224" t="s">
        <v>8</v>
      </c>
      <c r="H224" t="s">
        <v>7</v>
      </c>
      <c r="I224" t="s">
        <v>170</v>
      </c>
      <c r="J224">
        <v>60010421</v>
      </c>
      <c r="K224" t="s">
        <v>410</v>
      </c>
      <c r="L224" t="s">
        <v>294</v>
      </c>
      <c r="M224" t="s">
        <v>33</v>
      </c>
      <c r="N224">
        <v>3</v>
      </c>
      <c r="O224" t="s">
        <v>1221</v>
      </c>
      <c r="P224" t="s">
        <v>1220</v>
      </c>
      <c r="Q224" t="s">
        <v>1219</v>
      </c>
      <c r="R224" s="7">
        <v>34550</v>
      </c>
      <c r="S224" s="8">
        <f t="shared" si="24"/>
        <v>1994</v>
      </c>
      <c r="T224" s="8">
        <v>1994</v>
      </c>
      <c r="U224" s="8">
        <f t="shared" si="25"/>
        <v>28</v>
      </c>
      <c r="V224" s="7">
        <v>34550</v>
      </c>
      <c r="W224" t="s">
        <v>151</v>
      </c>
      <c r="X224" s="2">
        <v>0.375</v>
      </c>
      <c r="Y224" s="6">
        <f t="shared" si="26"/>
        <v>1.0010410827260351E-2</v>
      </c>
      <c r="AA224">
        <v>135194</v>
      </c>
      <c r="AB224">
        <v>24918</v>
      </c>
      <c r="AD224" t="s">
        <v>2</v>
      </c>
      <c r="AE224">
        <v>30</v>
      </c>
      <c r="AF224">
        <v>16</v>
      </c>
      <c r="AH224" t="s">
        <v>1218</v>
      </c>
      <c r="AI224" t="s">
        <v>1217</v>
      </c>
      <c r="AJ224" t="s">
        <v>1216</v>
      </c>
      <c r="AK224" t="s">
        <v>1215</v>
      </c>
      <c r="AL224">
        <v>4</v>
      </c>
      <c r="AM224" s="5">
        <f t="shared" si="27"/>
        <v>0.14285714285714285</v>
      </c>
      <c r="AN224" s="4">
        <f t="shared" si="28"/>
        <v>2.1636825877643749E-4</v>
      </c>
      <c r="AO224" s="3"/>
      <c r="AP224">
        <v>0</v>
      </c>
      <c r="AR224" t="s">
        <v>1</v>
      </c>
      <c r="AT224" s="2">
        <v>1.3140000000000001</v>
      </c>
      <c r="AU224" s="1">
        <f t="shared" si="29"/>
        <v>0.70721980567151765</v>
      </c>
      <c r="AV224" s="1">
        <f t="shared" si="30"/>
        <v>0.5113389543018394</v>
      </c>
      <c r="AW224" s="1">
        <f t="shared" si="31"/>
        <v>0.31545810293216114</v>
      </c>
    </row>
    <row r="225" spans="1:49" x14ac:dyDescent="0.2">
      <c r="A225">
        <v>223</v>
      </c>
      <c r="B225" t="s">
        <v>1214</v>
      </c>
      <c r="C225" t="s">
        <v>1213</v>
      </c>
      <c r="F225" t="s">
        <v>1212</v>
      </c>
      <c r="G225" t="s">
        <v>8</v>
      </c>
      <c r="H225" t="s">
        <v>7</v>
      </c>
      <c r="I225" t="s">
        <v>278</v>
      </c>
      <c r="J225">
        <v>60021032</v>
      </c>
      <c r="K225" t="s">
        <v>149</v>
      </c>
      <c r="L225" t="s">
        <v>148</v>
      </c>
      <c r="M225" t="s">
        <v>19</v>
      </c>
      <c r="N225">
        <v>2</v>
      </c>
      <c r="O225" t="s">
        <v>1211</v>
      </c>
      <c r="P225" t="s">
        <v>1210</v>
      </c>
      <c r="Q225" t="s">
        <v>147</v>
      </c>
      <c r="R225" s="7">
        <v>34550</v>
      </c>
      <c r="S225" s="8">
        <f t="shared" si="24"/>
        <v>1994</v>
      </c>
      <c r="T225" s="8">
        <v>1994</v>
      </c>
      <c r="U225" s="8">
        <f t="shared" si="25"/>
        <v>28</v>
      </c>
      <c r="V225" s="7">
        <v>34550</v>
      </c>
      <c r="W225" t="s">
        <v>151</v>
      </c>
      <c r="X225" s="2">
        <v>0.375</v>
      </c>
      <c r="Y225" s="6">
        <f t="shared" si="26"/>
        <v>1.0010410827260351E-2</v>
      </c>
      <c r="AA225">
        <v>135194</v>
      </c>
      <c r="AB225">
        <v>24918</v>
      </c>
      <c r="AD225" t="s">
        <v>2</v>
      </c>
      <c r="AE225">
        <v>30</v>
      </c>
      <c r="AF225">
        <v>16</v>
      </c>
      <c r="AH225" t="s">
        <v>1209</v>
      </c>
      <c r="AI225" t="s">
        <v>1208</v>
      </c>
      <c r="AJ225" t="s">
        <v>1207</v>
      </c>
      <c r="AK225" t="s">
        <v>1206</v>
      </c>
      <c r="AL225">
        <v>16</v>
      </c>
      <c r="AM225" s="5">
        <f t="shared" si="27"/>
        <v>0.5714285714285714</v>
      </c>
      <c r="AN225" s="4">
        <f t="shared" si="28"/>
        <v>8.6547303510574997E-4</v>
      </c>
      <c r="AO225" s="3"/>
      <c r="AP225">
        <v>0</v>
      </c>
      <c r="AR225" t="s">
        <v>1</v>
      </c>
      <c r="AT225" s="2">
        <v>1.3140000000000001</v>
      </c>
      <c r="AU225" s="1">
        <f t="shared" si="29"/>
        <v>0.72669294896139713</v>
      </c>
      <c r="AV225" s="1">
        <f t="shared" si="30"/>
        <v>0.54379419311830512</v>
      </c>
      <c r="AW225" s="1">
        <f t="shared" si="31"/>
        <v>0.360895437275213</v>
      </c>
    </row>
    <row r="226" spans="1:49" x14ac:dyDescent="0.2">
      <c r="A226">
        <v>224</v>
      </c>
      <c r="B226" t="s">
        <v>1205</v>
      </c>
      <c r="C226" t="s">
        <v>1204</v>
      </c>
      <c r="F226" t="s">
        <v>1203</v>
      </c>
      <c r="G226" t="s">
        <v>8</v>
      </c>
      <c r="H226" t="s">
        <v>7</v>
      </c>
      <c r="I226" t="s">
        <v>1202</v>
      </c>
      <c r="J226">
        <v>60010818</v>
      </c>
      <c r="K226" t="s">
        <v>199</v>
      </c>
      <c r="L226" t="s">
        <v>198</v>
      </c>
      <c r="M226" t="s">
        <v>4</v>
      </c>
      <c r="N226">
        <v>2</v>
      </c>
      <c r="O226" t="s">
        <v>1201</v>
      </c>
      <c r="P226" t="s">
        <v>1200</v>
      </c>
      <c r="Q226" t="s">
        <v>438</v>
      </c>
      <c r="R226" s="7">
        <v>34550</v>
      </c>
      <c r="S226" s="8">
        <f t="shared" si="24"/>
        <v>1994</v>
      </c>
      <c r="T226" s="8">
        <v>1994</v>
      </c>
      <c r="U226" s="8">
        <f t="shared" si="25"/>
        <v>28</v>
      </c>
      <c r="V226" s="7">
        <v>34550</v>
      </c>
      <c r="W226" t="s">
        <v>151</v>
      </c>
      <c r="X226" s="2">
        <v>0.375</v>
      </c>
      <c r="Y226" s="6">
        <f t="shared" si="26"/>
        <v>1.0010410827260351E-2</v>
      </c>
      <c r="AA226">
        <v>135194</v>
      </c>
      <c r="AB226">
        <v>24918</v>
      </c>
      <c r="AD226" t="s">
        <v>2</v>
      </c>
      <c r="AE226">
        <v>30</v>
      </c>
      <c r="AF226">
        <v>16</v>
      </c>
      <c r="AH226" t="s">
        <v>1199</v>
      </c>
      <c r="AI226" t="s">
        <v>1198</v>
      </c>
      <c r="AJ226" t="s">
        <v>1197</v>
      </c>
      <c r="AK226" t="s">
        <v>1196</v>
      </c>
      <c r="AL226">
        <v>15</v>
      </c>
      <c r="AM226" s="5">
        <f t="shared" si="27"/>
        <v>0.5357142857142857</v>
      </c>
      <c r="AN226" s="4">
        <f t="shared" si="28"/>
        <v>8.1138097041164058E-4</v>
      </c>
      <c r="AO226" s="3"/>
      <c r="AP226">
        <v>0</v>
      </c>
      <c r="AR226" t="s">
        <v>1</v>
      </c>
      <c r="AT226" s="2">
        <v>1.3140000000000001</v>
      </c>
      <c r="AU226" s="1">
        <f t="shared" si="29"/>
        <v>0.7250701870205738</v>
      </c>
      <c r="AV226" s="1">
        <f t="shared" si="30"/>
        <v>0.54108958988359956</v>
      </c>
      <c r="AW226" s="1">
        <f t="shared" si="31"/>
        <v>0.35710899274662533</v>
      </c>
    </row>
    <row r="227" spans="1:49" x14ac:dyDescent="0.2">
      <c r="A227">
        <v>225</v>
      </c>
      <c r="B227" t="s">
        <v>1195</v>
      </c>
      <c r="C227" t="s">
        <v>1194</v>
      </c>
      <c r="F227" t="s">
        <v>1193</v>
      </c>
      <c r="G227" t="s">
        <v>8</v>
      </c>
      <c r="H227" t="s">
        <v>7</v>
      </c>
      <c r="I227" t="s">
        <v>1192</v>
      </c>
      <c r="J227">
        <v>60022109</v>
      </c>
      <c r="K227" t="s">
        <v>167</v>
      </c>
      <c r="L227" t="s">
        <v>54</v>
      </c>
      <c r="M227" t="s">
        <v>4</v>
      </c>
      <c r="N227">
        <v>2</v>
      </c>
      <c r="O227" t="s">
        <v>1191</v>
      </c>
      <c r="P227" t="s">
        <v>1190</v>
      </c>
      <c r="Q227" t="s">
        <v>1189</v>
      </c>
      <c r="R227" s="7">
        <v>34550</v>
      </c>
      <c r="S227" s="8">
        <f t="shared" si="24"/>
        <v>1994</v>
      </c>
      <c r="T227" s="8">
        <v>1994</v>
      </c>
      <c r="U227" s="8">
        <f t="shared" si="25"/>
        <v>28</v>
      </c>
      <c r="V227" s="7">
        <v>34550</v>
      </c>
      <c r="W227" t="s">
        <v>151</v>
      </c>
      <c r="X227" s="2">
        <v>0.375</v>
      </c>
      <c r="Y227" s="6">
        <f t="shared" si="26"/>
        <v>1.0010410827260351E-2</v>
      </c>
      <c r="AA227">
        <v>135194</v>
      </c>
      <c r="AB227">
        <v>24918</v>
      </c>
      <c r="AD227" t="s">
        <v>2</v>
      </c>
      <c r="AE227">
        <v>30</v>
      </c>
      <c r="AF227">
        <v>16</v>
      </c>
      <c r="AH227" t="s">
        <v>1188</v>
      </c>
      <c r="AI227" t="s">
        <v>1187</v>
      </c>
      <c r="AJ227" t="s">
        <v>1186</v>
      </c>
      <c r="AK227" t="s">
        <v>1185</v>
      </c>
      <c r="AL227">
        <v>1</v>
      </c>
      <c r="AM227" s="5">
        <f t="shared" si="27"/>
        <v>3.5714285714285712E-2</v>
      </c>
      <c r="AN227" s="4">
        <f t="shared" si="28"/>
        <v>5.4092064694109373E-5</v>
      </c>
      <c r="AO227" s="3"/>
      <c r="AP227">
        <v>0</v>
      </c>
      <c r="AR227" t="s">
        <v>1</v>
      </c>
      <c r="AT227" s="2">
        <v>1.3140000000000001</v>
      </c>
      <c r="AU227" s="1">
        <f t="shared" si="29"/>
        <v>0.70235151984904787</v>
      </c>
      <c r="AV227" s="1">
        <f t="shared" si="30"/>
        <v>0.50322514459772305</v>
      </c>
      <c r="AW227" s="1">
        <f t="shared" si="31"/>
        <v>0.30409876934639818</v>
      </c>
    </row>
    <row r="228" spans="1:49" x14ac:dyDescent="0.2">
      <c r="A228">
        <v>226</v>
      </c>
      <c r="B228" t="s">
        <v>1184</v>
      </c>
      <c r="C228" t="s">
        <v>1183</v>
      </c>
      <c r="F228" t="s">
        <v>1182</v>
      </c>
      <c r="G228" t="s">
        <v>8</v>
      </c>
      <c r="H228" t="s">
        <v>7</v>
      </c>
      <c r="I228" t="s">
        <v>453</v>
      </c>
      <c r="J228" t="s">
        <v>452</v>
      </c>
      <c r="K228" t="s">
        <v>451</v>
      </c>
      <c r="L228" t="s">
        <v>276</v>
      </c>
      <c r="M228" t="s">
        <v>261</v>
      </c>
      <c r="N228">
        <v>3</v>
      </c>
      <c r="O228" t="s">
        <v>1181</v>
      </c>
      <c r="P228" t="s">
        <v>1180</v>
      </c>
      <c r="Q228" t="s">
        <v>1179</v>
      </c>
      <c r="R228" s="7">
        <v>34550</v>
      </c>
      <c r="S228" s="8">
        <f t="shared" si="24"/>
        <v>1994</v>
      </c>
      <c r="T228" s="8">
        <v>1994</v>
      </c>
      <c r="U228" s="8">
        <f t="shared" si="25"/>
        <v>28</v>
      </c>
      <c r="V228" s="7">
        <v>34550</v>
      </c>
      <c r="W228" t="s">
        <v>151</v>
      </c>
      <c r="X228" s="2">
        <v>0.375</v>
      </c>
      <c r="Y228" s="6">
        <f t="shared" si="26"/>
        <v>1.0010410827260351E-2</v>
      </c>
      <c r="AA228">
        <v>135194</v>
      </c>
      <c r="AB228">
        <v>24918</v>
      </c>
      <c r="AD228" t="s">
        <v>2</v>
      </c>
      <c r="AE228">
        <v>30</v>
      </c>
      <c r="AF228">
        <v>16</v>
      </c>
      <c r="AH228" t="s">
        <v>1178</v>
      </c>
      <c r="AI228" t="s">
        <v>1177</v>
      </c>
      <c r="AJ228" t="s">
        <v>1176</v>
      </c>
      <c r="AK228" t="s">
        <v>1175</v>
      </c>
      <c r="AL228">
        <v>2</v>
      </c>
      <c r="AM228" s="5">
        <f t="shared" si="27"/>
        <v>7.1428571428571425E-2</v>
      </c>
      <c r="AN228" s="4">
        <f t="shared" si="28"/>
        <v>1.0818412938821875E-4</v>
      </c>
      <c r="AO228" s="3"/>
      <c r="AP228">
        <v>0</v>
      </c>
      <c r="AR228" t="s">
        <v>1</v>
      </c>
      <c r="AT228" s="2">
        <v>1.3140000000000001</v>
      </c>
      <c r="AU228" s="1">
        <f t="shared" si="29"/>
        <v>0.70397428178987109</v>
      </c>
      <c r="AV228" s="1">
        <f t="shared" si="30"/>
        <v>0.5059297478324285</v>
      </c>
      <c r="AW228" s="1">
        <f t="shared" si="31"/>
        <v>0.30788521387498585</v>
      </c>
    </row>
    <row r="229" spans="1:49" x14ac:dyDescent="0.2">
      <c r="A229">
        <v>227</v>
      </c>
      <c r="B229" t="s">
        <v>1174</v>
      </c>
      <c r="C229" t="s">
        <v>1173</v>
      </c>
      <c r="F229" t="s">
        <v>1172</v>
      </c>
      <c r="G229" t="s">
        <v>8</v>
      </c>
      <c r="H229" t="s">
        <v>7</v>
      </c>
      <c r="I229" t="s">
        <v>1171</v>
      </c>
      <c r="J229" t="s">
        <v>1170</v>
      </c>
      <c r="K229" t="s">
        <v>1169</v>
      </c>
      <c r="L229" t="s">
        <v>1168</v>
      </c>
      <c r="M229" t="s">
        <v>120</v>
      </c>
      <c r="N229">
        <v>5</v>
      </c>
      <c r="O229" t="s">
        <v>1167</v>
      </c>
      <c r="P229" t="s">
        <v>1166</v>
      </c>
      <c r="Q229" t="s">
        <v>1165</v>
      </c>
      <c r="R229" s="7">
        <v>34550</v>
      </c>
      <c r="S229" s="8">
        <f t="shared" si="24"/>
        <v>1994</v>
      </c>
      <c r="T229" s="8">
        <v>1994</v>
      </c>
      <c r="U229" s="8">
        <f t="shared" si="25"/>
        <v>28</v>
      </c>
      <c r="V229" s="7">
        <v>34550</v>
      </c>
      <c r="W229" t="s">
        <v>151</v>
      </c>
      <c r="X229" s="2">
        <v>0.375</v>
      </c>
      <c r="Y229" s="6">
        <f t="shared" si="26"/>
        <v>1.0010410827260351E-2</v>
      </c>
      <c r="AA229">
        <v>135194</v>
      </c>
      <c r="AB229">
        <v>24918</v>
      </c>
      <c r="AD229" t="s">
        <v>2</v>
      </c>
      <c r="AE229">
        <v>30</v>
      </c>
      <c r="AF229">
        <v>16</v>
      </c>
      <c r="AH229" t="s">
        <v>1164</v>
      </c>
      <c r="AI229" t="s">
        <v>1163</v>
      </c>
      <c r="AJ229" t="s">
        <v>1162</v>
      </c>
      <c r="AK229" t="s">
        <v>1161</v>
      </c>
      <c r="AL229">
        <v>10</v>
      </c>
      <c r="AM229" s="5">
        <f t="shared" si="27"/>
        <v>0.35714285714285715</v>
      </c>
      <c r="AN229" s="4">
        <f t="shared" si="28"/>
        <v>5.4092064694109376E-4</v>
      </c>
      <c r="AO229" s="3"/>
      <c r="AP229">
        <v>0</v>
      </c>
      <c r="AR229" t="s">
        <v>1</v>
      </c>
      <c r="AT229" s="2">
        <v>1.3140000000000001</v>
      </c>
      <c r="AU229" s="1">
        <f t="shared" si="29"/>
        <v>0.71695637731645734</v>
      </c>
      <c r="AV229" s="1">
        <f t="shared" si="30"/>
        <v>0.52756657371007221</v>
      </c>
      <c r="AW229" s="1">
        <f t="shared" si="31"/>
        <v>0.33817677010368707</v>
      </c>
    </row>
    <row r="230" spans="1:49" x14ac:dyDescent="0.2">
      <c r="A230">
        <v>228</v>
      </c>
      <c r="B230" t="s">
        <v>1160</v>
      </c>
      <c r="C230" t="s">
        <v>1159</v>
      </c>
      <c r="F230" t="s">
        <v>1158</v>
      </c>
      <c r="G230" t="s">
        <v>8</v>
      </c>
      <c r="H230" t="s">
        <v>7</v>
      </c>
      <c r="I230" t="s">
        <v>418</v>
      </c>
      <c r="J230">
        <v>60024724</v>
      </c>
      <c r="K230" t="s">
        <v>417</v>
      </c>
      <c r="L230" t="s">
        <v>416</v>
      </c>
      <c r="M230" t="s">
        <v>4</v>
      </c>
      <c r="N230">
        <v>2</v>
      </c>
      <c r="O230" t="s">
        <v>415</v>
      </c>
      <c r="P230" t="s">
        <v>414</v>
      </c>
      <c r="Q230" t="s">
        <v>413</v>
      </c>
      <c r="R230" s="7">
        <v>34550</v>
      </c>
      <c r="S230" s="8">
        <f t="shared" si="24"/>
        <v>1994</v>
      </c>
      <c r="T230" s="8">
        <v>1994</v>
      </c>
      <c r="U230" s="8">
        <f t="shared" si="25"/>
        <v>28</v>
      </c>
      <c r="V230" s="7">
        <v>34550</v>
      </c>
      <c r="W230" t="s">
        <v>151</v>
      </c>
      <c r="X230" s="2">
        <v>0.375</v>
      </c>
      <c r="Y230" s="6">
        <f t="shared" si="26"/>
        <v>1.0010410827260351E-2</v>
      </c>
      <c r="AA230">
        <v>135194</v>
      </c>
      <c r="AB230">
        <v>24918</v>
      </c>
      <c r="AD230" t="s">
        <v>2</v>
      </c>
      <c r="AE230">
        <v>30</v>
      </c>
      <c r="AF230">
        <v>16</v>
      </c>
      <c r="AH230" t="s">
        <v>1157</v>
      </c>
      <c r="AI230" t="s">
        <v>1156</v>
      </c>
      <c r="AJ230" t="s">
        <v>1155</v>
      </c>
      <c r="AK230" t="s">
        <v>1154</v>
      </c>
      <c r="AL230">
        <v>2</v>
      </c>
      <c r="AM230" s="5">
        <f t="shared" si="27"/>
        <v>7.1428571428571425E-2</v>
      </c>
      <c r="AN230" s="4">
        <f t="shared" si="28"/>
        <v>1.0818412938821875E-4</v>
      </c>
      <c r="AO230" s="3"/>
      <c r="AP230">
        <v>0</v>
      </c>
      <c r="AR230" t="s">
        <v>1</v>
      </c>
      <c r="AT230" s="2">
        <v>1.3140000000000001</v>
      </c>
      <c r="AU230" s="1">
        <f t="shared" si="29"/>
        <v>0.70397428178987109</v>
      </c>
      <c r="AV230" s="1">
        <f t="shared" si="30"/>
        <v>0.5059297478324285</v>
      </c>
      <c r="AW230" s="1">
        <f t="shared" si="31"/>
        <v>0.30788521387498585</v>
      </c>
    </row>
    <row r="231" spans="1:49" x14ac:dyDescent="0.2">
      <c r="A231">
        <v>229</v>
      </c>
      <c r="B231" t="s">
        <v>1153</v>
      </c>
      <c r="C231" t="s">
        <v>1152</v>
      </c>
      <c r="F231" t="s">
        <v>1151</v>
      </c>
      <c r="G231" t="s">
        <v>8</v>
      </c>
      <c r="H231" t="s">
        <v>7</v>
      </c>
      <c r="I231" t="s">
        <v>1150</v>
      </c>
      <c r="J231">
        <v>60005322</v>
      </c>
      <c r="K231" t="s">
        <v>1149</v>
      </c>
      <c r="L231" t="s">
        <v>1148</v>
      </c>
      <c r="M231" t="s">
        <v>49</v>
      </c>
      <c r="N231">
        <v>1</v>
      </c>
      <c r="O231" t="s">
        <v>1147</v>
      </c>
      <c r="P231">
        <v>57081243200</v>
      </c>
      <c r="Q231">
        <v>60005322</v>
      </c>
      <c r="R231" s="7">
        <v>34547</v>
      </c>
      <c r="S231" s="8">
        <f t="shared" si="24"/>
        <v>1994</v>
      </c>
      <c r="T231" s="8">
        <v>1994</v>
      </c>
      <c r="U231" s="8">
        <f t="shared" si="25"/>
        <v>28</v>
      </c>
      <c r="V231" s="7">
        <v>34547</v>
      </c>
      <c r="W231" t="s">
        <v>79</v>
      </c>
      <c r="X231" s="2">
        <v>0.30099999999999999</v>
      </c>
      <c r="Y231" s="6">
        <f t="shared" si="26"/>
        <v>8.0350230906809754E-3</v>
      </c>
      <c r="AA231">
        <v>9395075</v>
      </c>
      <c r="AB231">
        <v>14954</v>
      </c>
      <c r="AC231">
        <v>18657125</v>
      </c>
      <c r="AD231" t="s">
        <v>2</v>
      </c>
      <c r="AE231">
        <v>49</v>
      </c>
      <c r="AF231" s="10">
        <v>44415</v>
      </c>
      <c r="AH231" t="s">
        <v>1146</v>
      </c>
      <c r="AI231" t="s">
        <v>1145</v>
      </c>
      <c r="AJ231" t="s">
        <v>1144</v>
      </c>
      <c r="AK231" t="s">
        <v>1143</v>
      </c>
      <c r="AL231">
        <v>1</v>
      </c>
      <c r="AM231" s="5">
        <f t="shared" si="27"/>
        <v>3.5714285714285712E-2</v>
      </c>
      <c r="AN231" s="4">
        <f t="shared" si="28"/>
        <v>5.4092064694109373E-5</v>
      </c>
      <c r="AO231" s="3"/>
      <c r="AP231">
        <v>1</v>
      </c>
      <c r="AR231" t="s">
        <v>1</v>
      </c>
      <c r="AT231" s="2" t="s">
        <v>0</v>
      </c>
      <c r="AU231" s="1">
        <f t="shared" si="29"/>
        <v>0.5640743782884915</v>
      </c>
      <c r="AV231" s="1">
        <f t="shared" si="30"/>
        <v>0.40445575776875425</v>
      </c>
      <c r="AW231" s="1">
        <f t="shared" si="31"/>
        <v>0.24483713724901693</v>
      </c>
    </row>
    <row r="232" spans="1:49" x14ac:dyDescent="0.2">
      <c r="A232">
        <v>230</v>
      </c>
      <c r="B232" t="s">
        <v>1142</v>
      </c>
      <c r="C232" t="s">
        <v>1141</v>
      </c>
      <c r="F232" t="s">
        <v>1140</v>
      </c>
      <c r="G232" t="s">
        <v>8</v>
      </c>
      <c r="H232" t="s">
        <v>7</v>
      </c>
      <c r="I232" t="s">
        <v>1139</v>
      </c>
      <c r="J232" t="s">
        <v>1138</v>
      </c>
      <c r="K232" t="s">
        <v>1137</v>
      </c>
      <c r="L232" t="s">
        <v>22</v>
      </c>
      <c r="M232" t="s">
        <v>9</v>
      </c>
      <c r="N232">
        <v>3</v>
      </c>
      <c r="O232" t="s">
        <v>1136</v>
      </c>
      <c r="P232" t="s">
        <v>1135</v>
      </c>
      <c r="Q232" t="s">
        <v>1134</v>
      </c>
      <c r="R232" s="7">
        <v>34547</v>
      </c>
      <c r="S232" s="8">
        <f t="shared" si="24"/>
        <v>1994</v>
      </c>
      <c r="T232" s="8">
        <v>1994</v>
      </c>
      <c r="U232" s="8">
        <f t="shared" si="25"/>
        <v>28</v>
      </c>
      <c r="V232" s="7">
        <v>34547</v>
      </c>
      <c r="W232" t="s">
        <v>1133</v>
      </c>
      <c r="X232" s="2" t="s">
        <v>0</v>
      </c>
      <c r="Y232" s="6" t="e">
        <f t="shared" si="26"/>
        <v>#VALUE!</v>
      </c>
      <c r="AA232">
        <v>3693554</v>
      </c>
      <c r="AB232">
        <v>29862</v>
      </c>
      <c r="AC232">
        <v>18269877</v>
      </c>
      <c r="AD232" t="s">
        <v>2</v>
      </c>
      <c r="AE232">
        <v>109</v>
      </c>
      <c r="AF232">
        <v>8</v>
      </c>
      <c r="AH232" t="s">
        <v>1132</v>
      </c>
      <c r="AI232" t="s">
        <v>1131</v>
      </c>
      <c r="AJ232" t="s">
        <v>1130</v>
      </c>
      <c r="AK232" t="s">
        <v>1129</v>
      </c>
      <c r="AL232">
        <v>5</v>
      </c>
      <c r="AM232" s="5">
        <f t="shared" si="27"/>
        <v>0.17857142857142858</v>
      </c>
      <c r="AN232" s="4">
        <f t="shared" si="28"/>
        <v>2.7046032347054688E-4</v>
      </c>
      <c r="AO232" s="3"/>
      <c r="AP232">
        <v>0</v>
      </c>
      <c r="AR232" t="s">
        <v>1</v>
      </c>
      <c r="AT232" s="2" t="s">
        <v>0</v>
      </c>
      <c r="AU232" s="1" t="e">
        <f t="shared" si="29"/>
        <v>#VALUE!</v>
      </c>
      <c r="AV232" s="1" t="e">
        <f t="shared" si="30"/>
        <v>#VALUE!</v>
      </c>
      <c r="AW232" s="1" t="e">
        <f t="shared" si="31"/>
        <v>#VALUE!</v>
      </c>
    </row>
    <row r="233" spans="1:49" x14ac:dyDescent="0.2">
      <c r="A233">
        <v>231</v>
      </c>
      <c r="B233" t="s">
        <v>1128</v>
      </c>
      <c r="C233" t="s">
        <v>1127</v>
      </c>
      <c r="F233" t="s">
        <v>1126</v>
      </c>
      <c r="G233" t="s">
        <v>8</v>
      </c>
      <c r="H233" t="s">
        <v>7</v>
      </c>
      <c r="I233" t="s">
        <v>1125</v>
      </c>
      <c r="N233">
        <v>1</v>
      </c>
      <c r="O233" t="s">
        <v>1124</v>
      </c>
      <c r="P233">
        <v>16408017100</v>
      </c>
      <c r="R233" s="7">
        <v>34547</v>
      </c>
      <c r="S233" s="8">
        <f t="shared" si="24"/>
        <v>1994</v>
      </c>
      <c r="T233" s="8">
        <v>1994</v>
      </c>
      <c r="U233" s="8">
        <f t="shared" si="25"/>
        <v>28</v>
      </c>
      <c r="V233" s="7">
        <v>34547</v>
      </c>
      <c r="W233" t="s">
        <v>340</v>
      </c>
      <c r="X233" s="2">
        <v>0.14899999999999999</v>
      </c>
      <c r="Y233" s="6">
        <f t="shared" si="26"/>
        <v>3.977469902031446E-3</v>
      </c>
      <c r="AA233">
        <v>5431972</v>
      </c>
      <c r="AB233">
        <v>15425</v>
      </c>
      <c r="AC233">
        <v>15738906</v>
      </c>
      <c r="AD233" t="s">
        <v>2</v>
      </c>
      <c r="AE233">
        <v>37</v>
      </c>
      <c r="AF233">
        <v>8</v>
      </c>
      <c r="AH233" t="s">
        <v>1123</v>
      </c>
      <c r="AI233" t="s">
        <v>1122</v>
      </c>
      <c r="AK233" t="s">
        <v>1121</v>
      </c>
      <c r="AL233">
        <v>0</v>
      </c>
      <c r="AM233" s="5">
        <f t="shared" si="27"/>
        <v>0</v>
      </c>
      <c r="AN233" s="4">
        <f t="shared" si="28"/>
        <v>0</v>
      </c>
      <c r="AO233" s="3"/>
      <c r="AP233">
        <v>0</v>
      </c>
      <c r="AR233" t="s">
        <v>1</v>
      </c>
      <c r="AT233" s="2" t="s">
        <v>0</v>
      </c>
      <c r="AU233" s="1">
        <f t="shared" si="29"/>
        <v>0.2784228931422012</v>
      </c>
      <c r="AV233" s="1">
        <f t="shared" si="30"/>
        <v>0.19887349510157229</v>
      </c>
      <c r="AW233" s="1">
        <f t="shared" si="31"/>
        <v>0.11932409706094337</v>
      </c>
    </row>
    <row r="234" spans="1:49" x14ac:dyDescent="0.2">
      <c r="A234">
        <v>232</v>
      </c>
      <c r="B234" t="s">
        <v>1120</v>
      </c>
      <c r="C234" t="s">
        <v>1119</v>
      </c>
      <c r="F234" t="s">
        <v>1118</v>
      </c>
      <c r="G234" t="s">
        <v>8</v>
      </c>
      <c r="H234" t="s">
        <v>7</v>
      </c>
      <c r="I234" t="s">
        <v>1117</v>
      </c>
      <c r="J234">
        <v>60092258</v>
      </c>
      <c r="K234" t="s">
        <v>67</v>
      </c>
      <c r="L234" t="s">
        <v>66</v>
      </c>
      <c r="M234" t="s">
        <v>53</v>
      </c>
      <c r="N234">
        <v>2</v>
      </c>
      <c r="O234" t="s">
        <v>1116</v>
      </c>
      <c r="P234" t="s">
        <v>1115</v>
      </c>
      <c r="Q234" t="s">
        <v>181</v>
      </c>
      <c r="R234" s="7">
        <v>34547</v>
      </c>
      <c r="S234" s="8">
        <f t="shared" si="24"/>
        <v>1994</v>
      </c>
      <c r="T234" s="8">
        <v>1994</v>
      </c>
      <c r="U234" s="8">
        <f t="shared" si="25"/>
        <v>28</v>
      </c>
      <c r="V234" s="7">
        <v>34547</v>
      </c>
      <c r="W234" t="s">
        <v>32</v>
      </c>
      <c r="X234" s="2">
        <v>0.61499999999999999</v>
      </c>
      <c r="Y234" s="6">
        <f t="shared" si="26"/>
        <v>1.6417073756706976E-2</v>
      </c>
      <c r="AA234">
        <v>1959271</v>
      </c>
      <c r="AB234">
        <v>12141</v>
      </c>
      <c r="AC234">
        <v>15729559</v>
      </c>
      <c r="AD234" t="s">
        <v>2</v>
      </c>
      <c r="AE234">
        <v>15</v>
      </c>
      <c r="AF234">
        <v>8</v>
      </c>
      <c r="AH234" t="s">
        <v>1114</v>
      </c>
      <c r="AI234" t="s">
        <v>1113</v>
      </c>
      <c r="AK234" t="s">
        <v>1112</v>
      </c>
      <c r="AL234">
        <v>17</v>
      </c>
      <c r="AM234" s="5">
        <f t="shared" si="27"/>
        <v>0.6071428571428571</v>
      </c>
      <c r="AN234" s="4">
        <f t="shared" si="28"/>
        <v>9.1956509979985925E-4</v>
      </c>
      <c r="AO234" s="3"/>
      <c r="AP234">
        <v>0</v>
      </c>
      <c r="AR234" t="s">
        <v>1</v>
      </c>
      <c r="AT234" s="2" t="s">
        <v>0</v>
      </c>
      <c r="AU234" s="1">
        <f t="shared" si="29"/>
        <v>1.1767821159634839</v>
      </c>
      <c r="AV234" s="1">
        <f t="shared" si="30"/>
        <v>0.86683194282534182</v>
      </c>
      <c r="AW234" s="1">
        <f t="shared" si="31"/>
        <v>0.55688176968719938</v>
      </c>
    </row>
    <row r="235" spans="1:49" x14ac:dyDescent="0.2">
      <c r="A235">
        <v>233</v>
      </c>
      <c r="B235" t="s">
        <v>1111</v>
      </c>
      <c r="F235" t="s">
        <v>1110</v>
      </c>
      <c r="G235" t="s">
        <v>8</v>
      </c>
      <c r="H235" t="s">
        <v>7</v>
      </c>
      <c r="I235" t="s">
        <v>1109</v>
      </c>
      <c r="N235">
        <v>1</v>
      </c>
      <c r="O235" t="s">
        <v>1108</v>
      </c>
      <c r="P235">
        <v>7201872399</v>
      </c>
      <c r="R235" s="7">
        <v>34547</v>
      </c>
      <c r="S235" s="8">
        <f t="shared" si="24"/>
        <v>1994</v>
      </c>
      <c r="T235" s="8">
        <v>1994</v>
      </c>
      <c r="U235" s="8">
        <f t="shared" si="25"/>
        <v>28</v>
      </c>
      <c r="V235" s="7">
        <v>34547</v>
      </c>
      <c r="W235" t="s">
        <v>1107</v>
      </c>
      <c r="X235" s="2" t="s">
        <v>0</v>
      </c>
      <c r="Y235" s="6" t="e">
        <f t="shared" si="26"/>
        <v>#VALUE!</v>
      </c>
      <c r="AA235">
        <v>9598332</v>
      </c>
      <c r="AB235">
        <v>58615</v>
      </c>
      <c r="AD235" t="s">
        <v>2</v>
      </c>
      <c r="AE235">
        <v>100</v>
      </c>
      <c r="AF235">
        <v>1701</v>
      </c>
      <c r="AH235" t="s">
        <v>1106</v>
      </c>
      <c r="AI235" t="s">
        <v>1105</v>
      </c>
      <c r="AK235" t="s">
        <v>1104</v>
      </c>
      <c r="AL235">
        <v>0</v>
      </c>
      <c r="AM235" s="5">
        <f t="shared" si="27"/>
        <v>0</v>
      </c>
      <c r="AN235" s="4">
        <f t="shared" si="28"/>
        <v>0</v>
      </c>
      <c r="AO235" s="3"/>
      <c r="AP235">
        <v>0</v>
      </c>
      <c r="AR235" t="s">
        <v>1</v>
      </c>
      <c r="AT235" s="2" t="s">
        <v>0</v>
      </c>
      <c r="AU235" s="1" t="e">
        <f t="shared" si="29"/>
        <v>#VALUE!</v>
      </c>
      <c r="AV235" s="1" t="e">
        <f t="shared" si="30"/>
        <v>#VALUE!</v>
      </c>
      <c r="AW235" s="1" t="e">
        <f t="shared" si="31"/>
        <v>#VALUE!</v>
      </c>
    </row>
    <row r="236" spans="1:49" x14ac:dyDescent="0.2">
      <c r="A236">
        <v>234</v>
      </c>
      <c r="B236" t="s">
        <v>1103</v>
      </c>
      <c r="F236" t="s">
        <v>1102</v>
      </c>
      <c r="G236" t="s">
        <v>8</v>
      </c>
      <c r="H236" t="s">
        <v>7</v>
      </c>
      <c r="I236" t="s">
        <v>1101</v>
      </c>
      <c r="J236">
        <v>60032325</v>
      </c>
      <c r="K236" t="s">
        <v>1100</v>
      </c>
      <c r="L236" t="s">
        <v>66</v>
      </c>
      <c r="M236" t="s">
        <v>53</v>
      </c>
      <c r="N236">
        <v>2</v>
      </c>
      <c r="O236" t="s">
        <v>1099</v>
      </c>
      <c r="P236" t="s">
        <v>1098</v>
      </c>
      <c r="Q236" t="s">
        <v>1097</v>
      </c>
      <c r="R236" s="7">
        <v>34547</v>
      </c>
      <c r="S236" s="8">
        <f t="shared" si="24"/>
        <v>1994</v>
      </c>
      <c r="T236" s="8">
        <v>1994</v>
      </c>
      <c r="U236" s="8">
        <f t="shared" si="25"/>
        <v>28</v>
      </c>
      <c r="V236" s="7">
        <v>34547</v>
      </c>
      <c r="W236" t="s">
        <v>119</v>
      </c>
      <c r="X236" s="2">
        <v>0.21099999999999999</v>
      </c>
      <c r="Y236" s="6">
        <f t="shared" si="26"/>
        <v>5.6325244921384904E-3</v>
      </c>
      <c r="AA236">
        <v>9168516</v>
      </c>
      <c r="AB236">
        <v>18936</v>
      </c>
      <c r="AD236" t="s">
        <v>2</v>
      </c>
      <c r="AE236" t="s">
        <v>118</v>
      </c>
      <c r="AF236">
        <v>8</v>
      </c>
      <c r="AH236" t="s">
        <v>1096</v>
      </c>
      <c r="AI236" t="s">
        <v>1095</v>
      </c>
      <c r="AK236" t="s">
        <v>1094</v>
      </c>
      <c r="AL236">
        <v>2</v>
      </c>
      <c r="AM236" s="5">
        <f t="shared" si="27"/>
        <v>7.1428571428571425E-2</v>
      </c>
      <c r="AN236" s="4">
        <f t="shared" si="28"/>
        <v>1.0818412938821875E-4</v>
      </c>
      <c r="AO236" s="3"/>
      <c r="AP236">
        <v>0</v>
      </c>
      <c r="AR236" t="s">
        <v>1</v>
      </c>
      <c r="AT236" s="2">
        <v>0.52500000000000002</v>
      </c>
      <c r="AU236" s="1">
        <f t="shared" si="29"/>
        <v>0.39752223833134082</v>
      </c>
      <c r="AV236" s="1">
        <f t="shared" si="30"/>
        <v>0.28703543107633545</v>
      </c>
      <c r="AW236" s="1">
        <f t="shared" si="31"/>
        <v>0.17654862382133005</v>
      </c>
    </row>
    <row r="237" spans="1:49" x14ac:dyDescent="0.2">
      <c r="A237">
        <v>235</v>
      </c>
      <c r="B237" t="s">
        <v>1093</v>
      </c>
      <c r="F237" t="s">
        <v>1092</v>
      </c>
      <c r="G237" t="s">
        <v>8</v>
      </c>
      <c r="H237" t="s">
        <v>7</v>
      </c>
      <c r="I237" t="s">
        <v>1091</v>
      </c>
      <c r="J237">
        <v>60014652</v>
      </c>
      <c r="K237" t="s">
        <v>311</v>
      </c>
      <c r="L237" t="s">
        <v>310</v>
      </c>
      <c r="M237" t="s">
        <v>53</v>
      </c>
      <c r="N237">
        <v>3</v>
      </c>
      <c r="O237" t="s">
        <v>1090</v>
      </c>
      <c r="P237" t="s">
        <v>1089</v>
      </c>
      <c r="Q237" t="s">
        <v>309</v>
      </c>
      <c r="R237" s="7">
        <v>34547</v>
      </c>
      <c r="S237" s="8">
        <f t="shared" si="24"/>
        <v>1994</v>
      </c>
      <c r="T237" s="8">
        <v>1994</v>
      </c>
      <c r="U237" s="8">
        <f t="shared" si="25"/>
        <v>28</v>
      </c>
      <c r="V237" s="7">
        <v>34547</v>
      </c>
      <c r="W237" t="s">
        <v>400</v>
      </c>
      <c r="X237" s="2">
        <v>0.182</v>
      </c>
      <c r="Y237" s="6">
        <f t="shared" si="26"/>
        <v>4.8583860548303574E-3</v>
      </c>
      <c r="AA237">
        <v>9168524</v>
      </c>
      <c r="AB237">
        <v>26075</v>
      </c>
      <c r="AD237" t="s">
        <v>2</v>
      </c>
      <c r="AE237" t="s">
        <v>399</v>
      </c>
      <c r="AF237">
        <v>8</v>
      </c>
      <c r="AH237" t="s">
        <v>1088</v>
      </c>
      <c r="AI237" t="s">
        <v>1087</v>
      </c>
      <c r="AK237" t="s">
        <v>1086</v>
      </c>
      <c r="AL237">
        <v>3</v>
      </c>
      <c r="AM237" s="5">
        <f t="shared" si="27"/>
        <v>0.10714285714285714</v>
      </c>
      <c r="AN237" s="4">
        <f t="shared" si="28"/>
        <v>1.6227619408232811E-4</v>
      </c>
      <c r="AO237" s="3"/>
      <c r="AP237">
        <v>0</v>
      </c>
      <c r="AR237" t="s">
        <v>1</v>
      </c>
      <c r="AT237" s="2">
        <v>0.35199999999999998</v>
      </c>
      <c r="AU237" s="1">
        <f t="shared" si="29"/>
        <v>0.34495530966059484</v>
      </c>
      <c r="AV237" s="1">
        <f t="shared" si="30"/>
        <v>0.25103311244563425</v>
      </c>
      <c r="AW237" s="1">
        <f t="shared" si="31"/>
        <v>0.15711091523067369</v>
      </c>
    </row>
    <row r="238" spans="1:49" x14ac:dyDescent="0.2">
      <c r="A238">
        <v>236</v>
      </c>
      <c r="B238" t="s">
        <v>1085</v>
      </c>
      <c r="C238" t="s">
        <v>1084</v>
      </c>
      <c r="F238" t="s">
        <v>1083</v>
      </c>
      <c r="G238" t="s">
        <v>8</v>
      </c>
      <c r="H238" t="s">
        <v>7</v>
      </c>
      <c r="I238" t="s">
        <v>1082</v>
      </c>
      <c r="J238">
        <v>60010818</v>
      </c>
      <c r="K238" t="s">
        <v>199</v>
      </c>
      <c r="L238" t="s">
        <v>198</v>
      </c>
      <c r="M238" t="s">
        <v>4</v>
      </c>
      <c r="N238">
        <v>2</v>
      </c>
      <c r="O238" t="s">
        <v>1081</v>
      </c>
      <c r="P238" t="s">
        <v>1080</v>
      </c>
      <c r="Q238" t="s">
        <v>438</v>
      </c>
      <c r="R238" s="7">
        <v>34547</v>
      </c>
      <c r="S238" s="8">
        <f t="shared" si="24"/>
        <v>1994</v>
      </c>
      <c r="T238" s="8">
        <v>1994</v>
      </c>
      <c r="U238" s="8">
        <f t="shared" si="25"/>
        <v>28</v>
      </c>
      <c r="V238" s="7">
        <v>34547</v>
      </c>
      <c r="W238" s="11" t="s">
        <v>377</v>
      </c>
      <c r="X238" s="2">
        <v>2.383</v>
      </c>
      <c r="Y238" s="6">
        <f t="shared" si="26"/>
        <v>6.3612824003630442E-2</v>
      </c>
      <c r="AA238">
        <v>13502417</v>
      </c>
      <c r="AB238">
        <v>17416</v>
      </c>
      <c r="AD238" t="s">
        <v>2</v>
      </c>
      <c r="AE238">
        <v>141</v>
      </c>
      <c r="AF238">
        <v>4</v>
      </c>
      <c r="AH238" t="s">
        <v>1079</v>
      </c>
      <c r="AI238" t="s">
        <v>1078</v>
      </c>
      <c r="AK238" t="s">
        <v>1077</v>
      </c>
      <c r="AL238">
        <v>5</v>
      </c>
      <c r="AM238" s="5">
        <f t="shared" si="27"/>
        <v>0.17857142857142858</v>
      </c>
      <c r="AN238" s="4">
        <f t="shared" si="28"/>
        <v>2.7046032347054688E-4</v>
      </c>
      <c r="AO238" s="3"/>
      <c r="AP238">
        <v>0</v>
      </c>
      <c r="AR238" t="s">
        <v>1</v>
      </c>
      <c r="AT238" s="2" t="s">
        <v>0</v>
      </c>
      <c r="AU238" s="1">
        <f t="shared" si="29"/>
        <v>4.4610114899582474</v>
      </c>
      <c r="AV238" s="1">
        <f t="shared" si="30"/>
        <v>3.1941642163550492</v>
      </c>
      <c r="AW238" s="1">
        <f t="shared" si="31"/>
        <v>1.9273169427518517</v>
      </c>
    </row>
    <row r="239" spans="1:49" x14ac:dyDescent="0.2">
      <c r="A239">
        <v>237</v>
      </c>
      <c r="B239" t="s">
        <v>1076</v>
      </c>
      <c r="F239" t="s">
        <v>1075</v>
      </c>
      <c r="G239" t="s">
        <v>8</v>
      </c>
      <c r="H239" t="s">
        <v>7</v>
      </c>
      <c r="I239" t="s">
        <v>1074</v>
      </c>
      <c r="J239">
        <v>60028628</v>
      </c>
      <c r="K239" t="s">
        <v>299</v>
      </c>
      <c r="L239" t="s">
        <v>298</v>
      </c>
      <c r="M239" t="s">
        <v>19</v>
      </c>
      <c r="N239">
        <v>1</v>
      </c>
      <c r="O239" t="s">
        <v>1073</v>
      </c>
      <c r="P239">
        <v>57206197338</v>
      </c>
      <c r="Q239">
        <v>60028628</v>
      </c>
      <c r="R239" s="7">
        <v>34547</v>
      </c>
      <c r="S239" s="8">
        <f t="shared" si="24"/>
        <v>1994</v>
      </c>
      <c r="T239" s="8">
        <v>1994</v>
      </c>
      <c r="U239" s="8">
        <f t="shared" si="25"/>
        <v>28</v>
      </c>
      <c r="V239" s="7">
        <v>34547</v>
      </c>
      <c r="W239" t="s">
        <v>112</v>
      </c>
      <c r="X239" s="2">
        <v>0.10100000000000001</v>
      </c>
      <c r="Y239" s="6">
        <f t="shared" si="26"/>
        <v>2.6961373161421215E-3</v>
      </c>
      <c r="AA239">
        <v>7452993</v>
      </c>
      <c r="AB239">
        <v>18563</v>
      </c>
      <c r="AD239" t="s">
        <v>2</v>
      </c>
      <c r="AE239">
        <v>33</v>
      </c>
      <c r="AF239">
        <v>8</v>
      </c>
      <c r="AI239" t="s">
        <v>1072</v>
      </c>
      <c r="AK239" t="s">
        <v>1071</v>
      </c>
      <c r="AL239">
        <v>0</v>
      </c>
      <c r="AM239" s="5">
        <f t="shared" si="27"/>
        <v>0</v>
      </c>
      <c r="AN239" s="4">
        <f t="shared" si="28"/>
        <v>0</v>
      </c>
      <c r="AO239" s="3"/>
      <c r="AP239">
        <v>0</v>
      </c>
      <c r="AR239" t="s">
        <v>1</v>
      </c>
      <c r="AT239" s="2" t="s">
        <v>0</v>
      </c>
      <c r="AU239" s="1">
        <f t="shared" si="29"/>
        <v>0.18872961212994849</v>
      </c>
      <c r="AV239" s="1">
        <f t="shared" si="30"/>
        <v>0.13480686580710607</v>
      </c>
      <c r="AW239" s="1">
        <f t="shared" si="31"/>
        <v>8.0884119484263647E-2</v>
      </c>
    </row>
    <row r="240" spans="1:49" x14ac:dyDescent="0.2">
      <c r="A240">
        <v>238</v>
      </c>
      <c r="B240" t="s">
        <v>1070</v>
      </c>
      <c r="F240" t="s">
        <v>1069</v>
      </c>
      <c r="G240" t="s">
        <v>8</v>
      </c>
      <c r="H240" t="s">
        <v>7</v>
      </c>
      <c r="I240" t="s">
        <v>443</v>
      </c>
      <c r="N240">
        <v>1</v>
      </c>
      <c r="O240" t="s">
        <v>444</v>
      </c>
      <c r="P240">
        <v>7103348595</v>
      </c>
      <c r="R240" s="7">
        <v>34547</v>
      </c>
      <c r="S240" s="8">
        <f t="shared" si="24"/>
        <v>1994</v>
      </c>
      <c r="T240" s="8">
        <v>1994</v>
      </c>
      <c r="U240" s="8">
        <f t="shared" si="25"/>
        <v>28</v>
      </c>
      <c r="V240" s="7">
        <v>34547</v>
      </c>
      <c r="W240" t="s">
        <v>112</v>
      </c>
      <c r="X240" s="2">
        <v>0.10100000000000001</v>
      </c>
      <c r="Y240" s="6">
        <f t="shared" si="26"/>
        <v>2.6961373161421215E-3</v>
      </c>
      <c r="AA240">
        <v>7452993</v>
      </c>
      <c r="AB240">
        <v>18563</v>
      </c>
      <c r="AD240" t="s">
        <v>2</v>
      </c>
      <c r="AE240">
        <v>33</v>
      </c>
      <c r="AF240">
        <v>8</v>
      </c>
      <c r="AI240" t="s">
        <v>1068</v>
      </c>
      <c r="AK240" t="s">
        <v>1067</v>
      </c>
      <c r="AL240">
        <v>0</v>
      </c>
      <c r="AM240" s="5">
        <f t="shared" si="27"/>
        <v>0</v>
      </c>
      <c r="AN240" s="4">
        <f t="shared" si="28"/>
        <v>0</v>
      </c>
      <c r="AO240" s="3"/>
      <c r="AP240">
        <v>0</v>
      </c>
      <c r="AR240" t="s">
        <v>1</v>
      </c>
      <c r="AT240" s="2" t="s">
        <v>0</v>
      </c>
      <c r="AU240" s="1">
        <f t="shared" si="29"/>
        <v>0.18872961212994849</v>
      </c>
      <c r="AV240" s="1">
        <f t="shared" si="30"/>
        <v>0.13480686580710607</v>
      </c>
      <c r="AW240" s="1">
        <f t="shared" si="31"/>
        <v>8.0884119484263647E-2</v>
      </c>
    </row>
    <row r="241" spans="1:49" x14ac:dyDescent="0.2">
      <c r="A241">
        <v>239</v>
      </c>
      <c r="B241" t="s">
        <v>1066</v>
      </c>
      <c r="C241" t="s">
        <v>1065</v>
      </c>
      <c r="F241" t="s">
        <v>1064</v>
      </c>
      <c r="G241" t="s">
        <v>8</v>
      </c>
      <c r="H241" t="s">
        <v>7</v>
      </c>
      <c r="I241" t="s">
        <v>1063</v>
      </c>
      <c r="J241">
        <v>60019702</v>
      </c>
      <c r="K241" t="s">
        <v>6</v>
      </c>
      <c r="L241" t="s">
        <v>5</v>
      </c>
      <c r="M241" t="s">
        <v>4</v>
      </c>
      <c r="N241">
        <v>2</v>
      </c>
      <c r="O241" t="s">
        <v>1062</v>
      </c>
      <c r="P241" t="s">
        <v>1061</v>
      </c>
      <c r="Q241" t="s">
        <v>3</v>
      </c>
      <c r="R241" s="7">
        <v>34547</v>
      </c>
      <c r="S241" s="8">
        <f t="shared" si="24"/>
        <v>1994</v>
      </c>
      <c r="T241" s="8">
        <v>1994</v>
      </c>
      <c r="U241" s="8">
        <f t="shared" si="25"/>
        <v>28</v>
      </c>
      <c r="V241" s="7">
        <v>34547</v>
      </c>
      <c r="W241" s="11" t="s">
        <v>377</v>
      </c>
      <c r="X241" s="2">
        <v>2.383</v>
      </c>
      <c r="Y241" s="6">
        <f t="shared" si="26"/>
        <v>6.3612824003630442E-2</v>
      </c>
      <c r="AA241">
        <v>13502417</v>
      </c>
      <c r="AB241">
        <v>17416</v>
      </c>
      <c r="AD241" t="s">
        <v>2</v>
      </c>
      <c r="AE241">
        <v>141</v>
      </c>
      <c r="AF241">
        <v>4</v>
      </c>
      <c r="AH241" t="s">
        <v>1060</v>
      </c>
      <c r="AI241" t="s">
        <v>1059</v>
      </c>
      <c r="AK241" t="s">
        <v>1058</v>
      </c>
      <c r="AL241">
        <v>26</v>
      </c>
      <c r="AM241" s="5">
        <f t="shared" si="27"/>
        <v>0.9285714285714286</v>
      </c>
      <c r="AN241" s="4">
        <f t="shared" si="28"/>
        <v>1.4063936820468438E-3</v>
      </c>
      <c r="AO241" s="3"/>
      <c r="AP241">
        <v>0</v>
      </c>
      <c r="AR241" t="s">
        <v>1</v>
      </c>
      <c r="AT241" s="2" t="s">
        <v>0</v>
      </c>
      <c r="AU241" s="1">
        <f t="shared" si="29"/>
        <v>4.4950894907155359</v>
      </c>
      <c r="AV241" s="1">
        <f t="shared" si="30"/>
        <v>3.250960884283864</v>
      </c>
      <c r="AW241" s="1">
        <f t="shared" si="31"/>
        <v>2.0068322778521925</v>
      </c>
    </row>
    <row r="242" spans="1:49" x14ac:dyDescent="0.2">
      <c r="A242">
        <v>240</v>
      </c>
      <c r="B242" t="s">
        <v>1057</v>
      </c>
      <c r="C242" t="s">
        <v>1056</v>
      </c>
      <c r="F242" t="s">
        <v>1055</v>
      </c>
      <c r="G242" t="s">
        <v>8</v>
      </c>
      <c r="H242" t="s">
        <v>7</v>
      </c>
      <c r="I242" t="s">
        <v>315</v>
      </c>
      <c r="J242">
        <v>60029738</v>
      </c>
      <c r="K242" t="s">
        <v>157</v>
      </c>
      <c r="L242" t="s">
        <v>156</v>
      </c>
      <c r="M242" t="s">
        <v>4</v>
      </c>
      <c r="N242">
        <v>2</v>
      </c>
      <c r="O242" t="s">
        <v>314</v>
      </c>
      <c r="P242" t="s">
        <v>313</v>
      </c>
      <c r="Q242" t="s">
        <v>312</v>
      </c>
      <c r="R242" s="7">
        <v>34547</v>
      </c>
      <c r="S242" s="8">
        <f t="shared" si="24"/>
        <v>1994</v>
      </c>
      <c r="T242" s="8">
        <v>1994</v>
      </c>
      <c r="U242" s="8">
        <f t="shared" si="25"/>
        <v>28</v>
      </c>
      <c r="V242" s="7">
        <v>34547</v>
      </c>
      <c r="W242" s="11" t="s">
        <v>377</v>
      </c>
      <c r="X242" s="2">
        <v>2.383</v>
      </c>
      <c r="Y242" s="6">
        <f t="shared" si="26"/>
        <v>6.3612824003630442E-2</v>
      </c>
      <c r="AA242">
        <v>13502417</v>
      </c>
      <c r="AB242">
        <v>17416</v>
      </c>
      <c r="AD242" t="s">
        <v>2</v>
      </c>
      <c r="AE242">
        <v>141</v>
      </c>
      <c r="AF242">
        <v>4</v>
      </c>
      <c r="AH242" t="s">
        <v>1054</v>
      </c>
      <c r="AI242" t="s">
        <v>1053</v>
      </c>
      <c r="AK242" t="s">
        <v>1052</v>
      </c>
      <c r="AL242">
        <v>3</v>
      </c>
      <c r="AM242" s="5">
        <f t="shared" si="27"/>
        <v>0.10714285714285714</v>
      </c>
      <c r="AN242" s="4">
        <f t="shared" si="28"/>
        <v>1.6227619408232811E-4</v>
      </c>
      <c r="AO242" s="3"/>
      <c r="AP242">
        <v>0</v>
      </c>
      <c r="AR242" t="s">
        <v>1</v>
      </c>
      <c r="AT242" s="2" t="s">
        <v>0</v>
      </c>
      <c r="AU242" s="1">
        <f t="shared" si="29"/>
        <v>4.4577659660766011</v>
      </c>
      <c r="AV242" s="1">
        <f t="shared" si="30"/>
        <v>3.1887550098856381</v>
      </c>
      <c r="AW242" s="1">
        <f t="shared" si="31"/>
        <v>1.9197440536946762</v>
      </c>
    </row>
    <row r="243" spans="1:49" x14ac:dyDescent="0.2">
      <c r="A243">
        <v>241</v>
      </c>
      <c r="B243" t="s">
        <v>1051</v>
      </c>
      <c r="C243" t="s">
        <v>1050</v>
      </c>
      <c r="F243" t="s">
        <v>1049</v>
      </c>
      <c r="G243" t="s">
        <v>8</v>
      </c>
      <c r="H243" t="s">
        <v>7</v>
      </c>
      <c r="I243" t="s">
        <v>382</v>
      </c>
      <c r="J243">
        <v>60031293</v>
      </c>
      <c r="K243" t="s">
        <v>381</v>
      </c>
      <c r="L243" t="s">
        <v>116</v>
      </c>
      <c r="M243" t="s">
        <v>53</v>
      </c>
      <c r="N243">
        <v>4</v>
      </c>
      <c r="O243" t="s">
        <v>1048</v>
      </c>
      <c r="P243" t="s">
        <v>1047</v>
      </c>
      <c r="Q243" t="s">
        <v>380</v>
      </c>
      <c r="R243" s="7">
        <v>34547</v>
      </c>
      <c r="S243" s="8">
        <f t="shared" si="24"/>
        <v>1994</v>
      </c>
      <c r="T243" s="8">
        <v>1994</v>
      </c>
      <c r="U243" s="8">
        <f t="shared" si="25"/>
        <v>28</v>
      </c>
      <c r="V243" s="7">
        <v>34547</v>
      </c>
      <c r="W243" s="11" t="s">
        <v>377</v>
      </c>
      <c r="X243" s="2">
        <v>2.383</v>
      </c>
      <c r="Y243" s="6">
        <f t="shared" si="26"/>
        <v>6.3612824003630442E-2</v>
      </c>
      <c r="AA243">
        <v>13502417</v>
      </c>
      <c r="AB243">
        <v>17416</v>
      </c>
      <c r="AD243" t="s">
        <v>2</v>
      </c>
      <c r="AE243">
        <v>141</v>
      </c>
      <c r="AF243">
        <v>4</v>
      </c>
      <c r="AH243" t="s">
        <v>1046</v>
      </c>
      <c r="AI243" t="s">
        <v>1045</v>
      </c>
      <c r="AK243" t="s">
        <v>1044</v>
      </c>
      <c r="AL243">
        <v>2</v>
      </c>
      <c r="AM243" s="5">
        <f t="shared" si="27"/>
        <v>7.1428571428571425E-2</v>
      </c>
      <c r="AN243" s="4">
        <f t="shared" si="28"/>
        <v>1.0818412938821875E-4</v>
      </c>
      <c r="AO243" s="3"/>
      <c r="AP243">
        <v>0</v>
      </c>
      <c r="AR243" t="s">
        <v>1</v>
      </c>
      <c r="AT243" s="2" t="s">
        <v>0</v>
      </c>
      <c r="AU243" s="1">
        <f t="shared" si="29"/>
        <v>4.4561432041357776</v>
      </c>
      <c r="AV243" s="1">
        <f t="shared" si="30"/>
        <v>3.1860504066509332</v>
      </c>
      <c r="AW243" s="1">
        <f t="shared" si="31"/>
        <v>1.9159576091660884</v>
      </c>
    </row>
    <row r="244" spans="1:49" x14ac:dyDescent="0.2">
      <c r="A244">
        <v>242</v>
      </c>
      <c r="B244" t="s">
        <v>1043</v>
      </c>
      <c r="C244" t="s">
        <v>1042</v>
      </c>
      <c r="F244" t="s">
        <v>1041</v>
      </c>
      <c r="G244" t="s">
        <v>8</v>
      </c>
      <c r="H244" t="s">
        <v>7</v>
      </c>
      <c r="I244" t="s">
        <v>1040</v>
      </c>
      <c r="J244">
        <v>100538589</v>
      </c>
      <c r="K244" t="s">
        <v>1039</v>
      </c>
      <c r="M244" t="s">
        <v>4</v>
      </c>
      <c r="N244">
        <v>2</v>
      </c>
      <c r="O244" t="s">
        <v>1038</v>
      </c>
      <c r="P244" t="s">
        <v>1037</v>
      </c>
      <c r="Q244" t="s">
        <v>1036</v>
      </c>
      <c r="R244" s="7">
        <v>34547</v>
      </c>
      <c r="S244" s="8">
        <f t="shared" si="24"/>
        <v>1994</v>
      </c>
      <c r="T244" s="8">
        <v>1994</v>
      </c>
      <c r="U244" s="8">
        <f t="shared" si="25"/>
        <v>28</v>
      </c>
      <c r="V244" s="7">
        <v>34547</v>
      </c>
      <c r="W244" s="11" t="s">
        <v>377</v>
      </c>
      <c r="X244" s="2">
        <v>2.383</v>
      </c>
      <c r="Y244" s="6">
        <f t="shared" si="26"/>
        <v>6.3612824003630442E-2</v>
      </c>
      <c r="AA244">
        <v>13502417</v>
      </c>
      <c r="AB244">
        <v>17416</v>
      </c>
      <c r="AD244" t="s">
        <v>2</v>
      </c>
      <c r="AE244">
        <v>141</v>
      </c>
      <c r="AF244">
        <v>4</v>
      </c>
      <c r="AH244" t="s">
        <v>1035</v>
      </c>
      <c r="AI244" t="s">
        <v>1034</v>
      </c>
      <c r="AK244" t="s">
        <v>1033</v>
      </c>
      <c r="AL244">
        <v>9</v>
      </c>
      <c r="AM244" s="5">
        <f t="shared" si="27"/>
        <v>0.32142857142857145</v>
      </c>
      <c r="AN244" s="4">
        <f t="shared" si="28"/>
        <v>4.8682858224698443E-4</v>
      </c>
      <c r="AO244" s="3"/>
      <c r="AP244">
        <v>0</v>
      </c>
      <c r="AR244" t="s">
        <v>1</v>
      </c>
      <c r="AT244" s="2" t="s">
        <v>0</v>
      </c>
      <c r="AU244" s="1">
        <f t="shared" si="29"/>
        <v>4.4675025377215407</v>
      </c>
      <c r="AV244" s="1">
        <f t="shared" si="30"/>
        <v>3.204982629293871</v>
      </c>
      <c r="AW244" s="1">
        <f t="shared" si="31"/>
        <v>1.9424627208662022</v>
      </c>
    </row>
    <row r="245" spans="1:49" x14ac:dyDescent="0.2">
      <c r="A245">
        <v>243</v>
      </c>
      <c r="B245" t="s">
        <v>1032</v>
      </c>
      <c r="F245" t="s">
        <v>1031</v>
      </c>
      <c r="G245" t="s">
        <v>8</v>
      </c>
      <c r="H245" t="s">
        <v>7</v>
      </c>
      <c r="I245" t="s">
        <v>1030</v>
      </c>
      <c r="J245">
        <v>100955946</v>
      </c>
      <c r="K245" t="s">
        <v>1029</v>
      </c>
      <c r="L245" t="s">
        <v>1028</v>
      </c>
      <c r="M245" t="s">
        <v>53</v>
      </c>
      <c r="N245">
        <v>5</v>
      </c>
      <c r="O245" t="s">
        <v>1027</v>
      </c>
      <c r="P245" t="s">
        <v>1026</v>
      </c>
      <c r="Q245" t="s">
        <v>1025</v>
      </c>
      <c r="R245" s="7">
        <v>34547</v>
      </c>
      <c r="S245" s="8">
        <f t="shared" si="24"/>
        <v>1994</v>
      </c>
      <c r="T245" s="8">
        <v>1994</v>
      </c>
      <c r="U245" s="8">
        <f t="shared" si="25"/>
        <v>28</v>
      </c>
      <c r="V245" s="7">
        <v>34547</v>
      </c>
      <c r="W245" t="s">
        <v>400</v>
      </c>
      <c r="X245" s="2">
        <v>0.182</v>
      </c>
      <c r="Y245" s="6">
        <f t="shared" si="26"/>
        <v>4.8583860548303574E-3</v>
      </c>
      <c r="AA245">
        <v>9168524</v>
      </c>
      <c r="AB245">
        <v>26075</v>
      </c>
      <c r="AD245" t="s">
        <v>2</v>
      </c>
      <c r="AE245" t="s">
        <v>399</v>
      </c>
      <c r="AF245">
        <v>8</v>
      </c>
      <c r="AH245" t="s">
        <v>1024</v>
      </c>
      <c r="AI245" t="s">
        <v>1023</v>
      </c>
      <c r="AK245" t="s">
        <v>1022</v>
      </c>
      <c r="AL245">
        <v>4</v>
      </c>
      <c r="AM245" s="5">
        <f t="shared" si="27"/>
        <v>0.14285714285714285</v>
      </c>
      <c r="AN245" s="4">
        <f t="shared" si="28"/>
        <v>2.1636825877643749E-4</v>
      </c>
      <c r="AO245" s="3"/>
      <c r="AP245">
        <v>0</v>
      </c>
      <c r="AR245" t="s">
        <v>1</v>
      </c>
      <c r="AT245" s="2">
        <v>0.35199999999999998</v>
      </c>
      <c r="AU245" s="1">
        <f t="shared" si="29"/>
        <v>0.34657807160141813</v>
      </c>
      <c r="AV245" s="1">
        <f t="shared" si="30"/>
        <v>0.25373771568033976</v>
      </c>
      <c r="AW245" s="1">
        <f t="shared" si="31"/>
        <v>0.16089735975926134</v>
      </c>
    </row>
    <row r="246" spans="1:49" x14ac:dyDescent="0.2">
      <c r="A246">
        <v>244</v>
      </c>
      <c r="B246" t="s">
        <v>1021</v>
      </c>
      <c r="C246" t="s">
        <v>1020</v>
      </c>
      <c r="E246">
        <v>8068688</v>
      </c>
      <c r="F246" t="s">
        <v>1019</v>
      </c>
      <c r="G246" t="s">
        <v>8</v>
      </c>
      <c r="H246" t="s">
        <v>7</v>
      </c>
      <c r="I246" t="s">
        <v>1018</v>
      </c>
      <c r="J246" t="s">
        <v>1017</v>
      </c>
      <c r="K246" t="s">
        <v>1016</v>
      </c>
      <c r="L246" t="s">
        <v>1015</v>
      </c>
      <c r="M246" t="s">
        <v>1014</v>
      </c>
      <c r="N246">
        <v>5</v>
      </c>
      <c r="O246" t="s">
        <v>1013</v>
      </c>
      <c r="P246" t="s">
        <v>1012</v>
      </c>
      <c r="Q246" t="s">
        <v>1011</v>
      </c>
      <c r="R246" s="7">
        <v>34547</v>
      </c>
      <c r="S246" s="8">
        <f t="shared" si="24"/>
        <v>1994</v>
      </c>
      <c r="T246" s="8">
        <v>1994</v>
      </c>
      <c r="U246" s="8">
        <f t="shared" si="25"/>
        <v>28</v>
      </c>
      <c r="V246" s="7">
        <v>34547</v>
      </c>
      <c r="W246" t="s">
        <v>372</v>
      </c>
      <c r="X246" s="2">
        <v>1.43</v>
      </c>
      <c r="Y246" s="6">
        <f t="shared" si="26"/>
        <v>3.8173033287952803E-2</v>
      </c>
      <c r="AA246">
        <v>62960</v>
      </c>
      <c r="AB246">
        <v>16867</v>
      </c>
      <c r="AC246">
        <v>15204995</v>
      </c>
      <c r="AD246" t="s">
        <v>2</v>
      </c>
      <c r="AE246">
        <v>33</v>
      </c>
      <c r="AF246">
        <v>34</v>
      </c>
      <c r="AH246" t="s">
        <v>1010</v>
      </c>
      <c r="AI246" t="s">
        <v>1009</v>
      </c>
      <c r="AK246" t="s">
        <v>1008</v>
      </c>
      <c r="AL246">
        <v>105</v>
      </c>
      <c r="AM246" s="5">
        <f t="shared" si="27"/>
        <v>3.75</v>
      </c>
      <c r="AN246" s="4">
        <f t="shared" si="28"/>
        <v>5.6796667928814843E-3</v>
      </c>
      <c r="AO246" s="3"/>
      <c r="AP246">
        <v>0</v>
      </c>
      <c r="AR246" t="s">
        <v>1</v>
      </c>
      <c r="AT246" s="2">
        <v>3.1619999999999999</v>
      </c>
      <c r="AU246" s="1">
        <f t="shared" si="29"/>
        <v>2.8425023339431408</v>
      </c>
      <c r="AV246" s="1">
        <f t="shared" si="30"/>
        <v>2.1926350040417142</v>
      </c>
      <c r="AW246" s="1">
        <f t="shared" si="31"/>
        <v>1.542767674140288</v>
      </c>
    </row>
    <row r="247" spans="1:49" x14ac:dyDescent="0.2">
      <c r="A247">
        <v>245</v>
      </c>
      <c r="B247" t="s">
        <v>1007</v>
      </c>
      <c r="C247" t="s">
        <v>1006</v>
      </c>
      <c r="F247" t="s">
        <v>1005</v>
      </c>
      <c r="G247" t="s">
        <v>8</v>
      </c>
      <c r="H247" t="s">
        <v>7</v>
      </c>
      <c r="I247" t="s">
        <v>94</v>
      </c>
      <c r="J247" t="s">
        <v>1004</v>
      </c>
      <c r="K247" t="s">
        <v>1003</v>
      </c>
      <c r="L247" t="s">
        <v>1002</v>
      </c>
      <c r="M247" t="s">
        <v>12</v>
      </c>
      <c r="N247">
        <v>4</v>
      </c>
      <c r="O247" t="s">
        <v>1001</v>
      </c>
      <c r="P247" t="s">
        <v>1000</v>
      </c>
      <c r="Q247" t="s">
        <v>999</v>
      </c>
      <c r="R247" s="7">
        <v>34547</v>
      </c>
      <c r="S247" s="8">
        <f t="shared" si="24"/>
        <v>1994</v>
      </c>
      <c r="T247" s="8">
        <v>1994</v>
      </c>
      <c r="U247" s="8">
        <f t="shared" si="25"/>
        <v>28</v>
      </c>
      <c r="V247" s="7">
        <v>34547</v>
      </c>
      <c r="W247" t="s">
        <v>81</v>
      </c>
      <c r="X247" s="2">
        <v>1.1579999999999999</v>
      </c>
      <c r="Y247" s="6">
        <f t="shared" si="26"/>
        <v>3.0912148634579962E-2</v>
      </c>
      <c r="AA247">
        <v>1668595</v>
      </c>
      <c r="AB247">
        <v>14223</v>
      </c>
      <c r="AC247">
        <v>15735079</v>
      </c>
      <c r="AD247" t="s">
        <v>2</v>
      </c>
      <c r="AE247">
        <v>41</v>
      </c>
      <c r="AF247">
        <v>2</v>
      </c>
      <c r="AH247" t="s">
        <v>998</v>
      </c>
      <c r="AI247" t="s">
        <v>997</v>
      </c>
      <c r="AJ247" t="s">
        <v>996</v>
      </c>
      <c r="AK247" t="s">
        <v>995</v>
      </c>
      <c r="AL247">
        <v>220</v>
      </c>
      <c r="AM247" s="5">
        <f t="shared" si="27"/>
        <v>7.8571428571428568</v>
      </c>
      <c r="AN247" s="4">
        <f t="shared" si="28"/>
        <v>1.1900254232704062E-2</v>
      </c>
      <c r="AO247" s="3"/>
      <c r="AP247">
        <v>0</v>
      </c>
      <c r="AR247" t="s">
        <v>1</v>
      </c>
      <c r="AT247" s="2">
        <v>3.573</v>
      </c>
      <c r="AU247" s="1">
        <f t="shared" si="29"/>
        <v>2.520858031401719</v>
      </c>
      <c r="AV247" s="1">
        <f t="shared" si="30"/>
        <v>2.1406201433642011</v>
      </c>
      <c r="AW247" s="1">
        <f t="shared" si="31"/>
        <v>1.7603822553266832</v>
      </c>
    </row>
    <row r="248" spans="1:49" x14ac:dyDescent="0.2">
      <c r="A248">
        <v>246</v>
      </c>
      <c r="B248" t="s">
        <v>994</v>
      </c>
      <c r="C248" t="s">
        <v>993</v>
      </c>
      <c r="F248" t="s">
        <v>992</v>
      </c>
      <c r="G248" t="s">
        <v>8</v>
      </c>
      <c r="H248" t="s">
        <v>7</v>
      </c>
      <c r="I248" t="s">
        <v>991</v>
      </c>
      <c r="J248" t="s">
        <v>990</v>
      </c>
      <c r="K248" t="s">
        <v>989</v>
      </c>
      <c r="L248" t="s">
        <v>988</v>
      </c>
      <c r="M248" t="s">
        <v>987</v>
      </c>
      <c r="N248">
        <v>3</v>
      </c>
      <c r="O248" t="s">
        <v>986</v>
      </c>
      <c r="P248" t="s">
        <v>985</v>
      </c>
      <c r="Q248" t="s">
        <v>984</v>
      </c>
      <c r="R248" s="7">
        <v>34547</v>
      </c>
      <c r="S248" s="8">
        <f t="shared" si="24"/>
        <v>1994</v>
      </c>
      <c r="T248" s="8">
        <v>1994</v>
      </c>
      <c r="U248" s="8">
        <f t="shared" si="25"/>
        <v>28</v>
      </c>
      <c r="V248" s="7">
        <v>34547</v>
      </c>
      <c r="W248" t="s">
        <v>81</v>
      </c>
      <c r="X248" s="2">
        <v>1.1579999999999999</v>
      </c>
      <c r="Y248" s="6">
        <f t="shared" si="26"/>
        <v>3.0912148634579962E-2</v>
      </c>
      <c r="AA248">
        <v>1668595</v>
      </c>
      <c r="AB248">
        <v>14223</v>
      </c>
      <c r="AC248">
        <v>15735079</v>
      </c>
      <c r="AD248" t="s">
        <v>2</v>
      </c>
      <c r="AE248">
        <v>41</v>
      </c>
      <c r="AF248">
        <v>2</v>
      </c>
      <c r="AH248" t="s">
        <v>306</v>
      </c>
      <c r="AI248" t="s">
        <v>983</v>
      </c>
      <c r="AJ248" t="s">
        <v>982</v>
      </c>
      <c r="AK248" t="s">
        <v>981</v>
      </c>
      <c r="AL248">
        <v>2</v>
      </c>
      <c r="AM248" s="5">
        <f t="shared" si="27"/>
        <v>7.1428571428571425E-2</v>
      </c>
      <c r="AN248" s="4">
        <f t="shared" si="28"/>
        <v>1.0818412938821875E-4</v>
      </c>
      <c r="AO248" s="3"/>
      <c r="AP248">
        <v>0</v>
      </c>
      <c r="AR248" t="s">
        <v>1</v>
      </c>
      <c r="AT248" s="2">
        <v>3.573</v>
      </c>
      <c r="AU248" s="1">
        <f t="shared" si="29"/>
        <v>2.1670959283022437</v>
      </c>
      <c r="AV248" s="1">
        <f t="shared" si="30"/>
        <v>1.5510166381984092</v>
      </c>
      <c r="AW248" s="1">
        <f t="shared" si="31"/>
        <v>0.93493734809457407</v>
      </c>
    </row>
    <row r="249" spans="1:49" x14ac:dyDescent="0.2">
      <c r="A249">
        <v>247</v>
      </c>
      <c r="B249" t="s">
        <v>980</v>
      </c>
      <c r="C249" t="s">
        <v>979</v>
      </c>
      <c r="E249">
        <v>8043584</v>
      </c>
      <c r="F249" t="s">
        <v>978</v>
      </c>
      <c r="G249" t="s">
        <v>8</v>
      </c>
      <c r="H249" t="s">
        <v>7</v>
      </c>
      <c r="I249" t="s">
        <v>977</v>
      </c>
      <c r="J249" t="s">
        <v>976</v>
      </c>
      <c r="K249" t="s">
        <v>975</v>
      </c>
      <c r="L249" t="s">
        <v>974</v>
      </c>
      <c r="M249" t="s">
        <v>973</v>
      </c>
      <c r="N249">
        <v>6</v>
      </c>
      <c r="O249" t="s">
        <v>972</v>
      </c>
      <c r="P249" t="s">
        <v>971</v>
      </c>
      <c r="Q249" t="s">
        <v>970</v>
      </c>
      <c r="R249" s="7">
        <v>34547</v>
      </c>
      <c r="S249" s="8">
        <f t="shared" si="24"/>
        <v>1994</v>
      </c>
      <c r="T249" s="8">
        <v>1994</v>
      </c>
      <c r="U249" s="8">
        <f t="shared" si="25"/>
        <v>28</v>
      </c>
      <c r="V249" s="7">
        <v>34547</v>
      </c>
      <c r="W249" t="s">
        <v>372</v>
      </c>
      <c r="X249" s="2">
        <v>1.43</v>
      </c>
      <c r="Y249" s="6">
        <f t="shared" si="26"/>
        <v>3.8173033287952803E-2</v>
      </c>
      <c r="AA249">
        <v>62960</v>
      </c>
      <c r="AB249">
        <v>16867</v>
      </c>
      <c r="AC249">
        <v>15204995</v>
      </c>
      <c r="AD249" t="s">
        <v>2</v>
      </c>
      <c r="AE249">
        <v>33</v>
      </c>
      <c r="AF249">
        <v>30</v>
      </c>
      <c r="AH249" t="s">
        <v>969</v>
      </c>
      <c r="AI249" t="s">
        <v>968</v>
      </c>
      <c r="AK249" t="s">
        <v>967</v>
      </c>
      <c r="AL249">
        <v>57</v>
      </c>
      <c r="AM249" s="5">
        <f t="shared" si="27"/>
        <v>2.0357142857142856</v>
      </c>
      <c r="AN249" s="4">
        <f t="shared" si="28"/>
        <v>3.0832476875642342E-3</v>
      </c>
      <c r="AO249" s="3"/>
      <c r="AP249">
        <v>0</v>
      </c>
      <c r="AR249" t="s">
        <v>1</v>
      </c>
      <c r="AT249" s="2">
        <v>3.1619999999999999</v>
      </c>
      <c r="AU249" s="1">
        <f t="shared" si="29"/>
        <v>2.7646097607836229</v>
      </c>
      <c r="AV249" s="1">
        <f t="shared" si="30"/>
        <v>2.0628140487758517</v>
      </c>
      <c r="AW249" s="1">
        <f t="shared" si="31"/>
        <v>1.3610183367680804</v>
      </c>
    </row>
    <row r="250" spans="1:49" x14ac:dyDescent="0.2">
      <c r="A250">
        <v>248</v>
      </c>
      <c r="B250" t="s">
        <v>966</v>
      </c>
      <c r="C250" t="s">
        <v>965</v>
      </c>
      <c r="E250">
        <v>8068651</v>
      </c>
      <c r="F250" t="s">
        <v>964</v>
      </c>
      <c r="G250" t="s">
        <v>8</v>
      </c>
      <c r="H250" t="s">
        <v>7</v>
      </c>
      <c r="I250" t="s">
        <v>963</v>
      </c>
      <c r="J250">
        <v>60031513</v>
      </c>
      <c r="K250" t="s">
        <v>962</v>
      </c>
      <c r="L250" t="s">
        <v>961</v>
      </c>
      <c r="M250" t="s">
        <v>53</v>
      </c>
      <c r="N250">
        <v>1</v>
      </c>
      <c r="O250" t="s">
        <v>960</v>
      </c>
      <c r="P250">
        <v>7102877774</v>
      </c>
      <c r="Q250">
        <v>60031513</v>
      </c>
      <c r="R250" s="7">
        <v>34547</v>
      </c>
      <c r="S250" s="8">
        <f t="shared" si="24"/>
        <v>1994</v>
      </c>
      <c r="T250" s="8">
        <v>1994</v>
      </c>
      <c r="U250" s="8">
        <f t="shared" si="25"/>
        <v>28</v>
      </c>
      <c r="V250" s="7">
        <v>34547</v>
      </c>
      <c r="W250" t="s">
        <v>372</v>
      </c>
      <c r="X250" s="2">
        <v>1.43</v>
      </c>
      <c r="Y250" s="6">
        <f t="shared" si="26"/>
        <v>3.8173033287952803E-2</v>
      </c>
      <c r="AA250">
        <v>62960</v>
      </c>
      <c r="AB250">
        <v>16867</v>
      </c>
      <c r="AC250">
        <v>15204995</v>
      </c>
      <c r="AD250" t="s">
        <v>2</v>
      </c>
      <c r="AE250">
        <v>33</v>
      </c>
      <c r="AF250">
        <v>32</v>
      </c>
      <c r="AH250" t="s">
        <v>959</v>
      </c>
      <c r="AI250" t="s">
        <v>958</v>
      </c>
      <c r="AK250" t="s">
        <v>957</v>
      </c>
      <c r="AL250">
        <v>116</v>
      </c>
      <c r="AM250" s="5">
        <f t="shared" si="27"/>
        <v>4.1428571428571432</v>
      </c>
      <c r="AN250" s="4">
        <f t="shared" si="28"/>
        <v>6.274679504516688E-3</v>
      </c>
      <c r="AO250" s="3"/>
      <c r="AP250">
        <v>0</v>
      </c>
      <c r="AR250" t="s">
        <v>1</v>
      </c>
      <c r="AT250" s="2">
        <v>3.1619999999999999</v>
      </c>
      <c r="AU250" s="1">
        <f t="shared" si="29"/>
        <v>2.8603527152921968</v>
      </c>
      <c r="AV250" s="1">
        <f t="shared" si="30"/>
        <v>2.2223856396234747</v>
      </c>
      <c r="AW250" s="1">
        <f t="shared" si="31"/>
        <v>1.5844185639547523</v>
      </c>
    </row>
    <row r="251" spans="1:49" x14ac:dyDescent="0.2">
      <c r="A251">
        <v>249</v>
      </c>
      <c r="B251" t="s">
        <v>956</v>
      </c>
      <c r="C251" t="s">
        <v>955</v>
      </c>
      <c r="F251" t="s">
        <v>954</v>
      </c>
      <c r="G251" t="s">
        <v>8</v>
      </c>
      <c r="H251" t="s">
        <v>7</v>
      </c>
      <c r="I251" t="s">
        <v>953</v>
      </c>
      <c r="J251">
        <v>60010939</v>
      </c>
      <c r="K251" t="s">
        <v>952</v>
      </c>
      <c r="L251" t="s">
        <v>951</v>
      </c>
      <c r="M251" t="s">
        <v>140</v>
      </c>
      <c r="N251">
        <v>2</v>
      </c>
      <c r="O251" t="s">
        <v>950</v>
      </c>
      <c r="P251" t="s">
        <v>949</v>
      </c>
      <c r="Q251" t="s">
        <v>948</v>
      </c>
      <c r="R251" s="7">
        <v>34547</v>
      </c>
      <c r="S251" s="8">
        <f t="shared" si="24"/>
        <v>1994</v>
      </c>
      <c r="T251" s="8">
        <v>1994</v>
      </c>
      <c r="U251" s="8">
        <f t="shared" si="25"/>
        <v>28</v>
      </c>
      <c r="V251" s="7">
        <v>34547</v>
      </c>
      <c r="W251" t="s">
        <v>81</v>
      </c>
      <c r="X251" s="2">
        <v>1.1579999999999999</v>
      </c>
      <c r="Y251" s="6">
        <f t="shared" si="26"/>
        <v>3.0912148634579962E-2</v>
      </c>
      <c r="AA251">
        <v>1668595</v>
      </c>
      <c r="AB251">
        <v>14223</v>
      </c>
      <c r="AC251">
        <v>15735079</v>
      </c>
      <c r="AD251" t="s">
        <v>2</v>
      </c>
      <c r="AE251">
        <v>41</v>
      </c>
      <c r="AF251">
        <v>2</v>
      </c>
      <c r="AH251" t="s">
        <v>947</v>
      </c>
      <c r="AI251" t="s">
        <v>946</v>
      </c>
      <c r="AJ251" t="s">
        <v>945</v>
      </c>
      <c r="AK251" t="s">
        <v>944</v>
      </c>
      <c r="AL251">
        <v>21</v>
      </c>
      <c r="AM251" s="5">
        <f t="shared" si="27"/>
        <v>0.75</v>
      </c>
      <c r="AN251" s="4">
        <f t="shared" si="28"/>
        <v>1.1359333585762969E-3</v>
      </c>
      <c r="AO251" s="3"/>
      <c r="AP251">
        <v>0</v>
      </c>
      <c r="AR251" t="s">
        <v>1</v>
      </c>
      <c r="AT251" s="2">
        <v>3.573</v>
      </c>
      <c r="AU251" s="1">
        <f t="shared" si="29"/>
        <v>2.197928405177886</v>
      </c>
      <c r="AV251" s="1">
        <f t="shared" si="30"/>
        <v>1.6024040996578128</v>
      </c>
      <c r="AW251" s="1">
        <f t="shared" si="31"/>
        <v>1.0068797941377396</v>
      </c>
    </row>
    <row r="252" spans="1:49" x14ac:dyDescent="0.2">
      <c r="A252">
        <v>250</v>
      </c>
      <c r="B252" t="s">
        <v>943</v>
      </c>
      <c r="C252" t="s">
        <v>942</v>
      </c>
      <c r="D252">
        <v>360301694904022</v>
      </c>
      <c r="E252">
        <v>8083075</v>
      </c>
      <c r="F252" t="s">
        <v>941</v>
      </c>
      <c r="G252" t="s">
        <v>8</v>
      </c>
      <c r="H252" t="s">
        <v>7</v>
      </c>
      <c r="I252" t="s">
        <v>940</v>
      </c>
      <c r="J252">
        <v>60007267</v>
      </c>
      <c r="K252" t="s">
        <v>939</v>
      </c>
      <c r="L252" t="s">
        <v>938</v>
      </c>
      <c r="M252" t="s">
        <v>19</v>
      </c>
      <c r="N252">
        <v>6</v>
      </c>
      <c r="O252" t="s">
        <v>937</v>
      </c>
      <c r="P252" t="s">
        <v>936</v>
      </c>
      <c r="Q252" t="s">
        <v>935</v>
      </c>
      <c r="R252" s="7">
        <v>34545</v>
      </c>
      <c r="S252" s="8">
        <f t="shared" si="24"/>
        <v>1994</v>
      </c>
      <c r="T252" s="8">
        <v>1994</v>
      </c>
      <c r="U252" s="8">
        <f t="shared" si="25"/>
        <v>28</v>
      </c>
      <c r="V252" s="7">
        <v>34545</v>
      </c>
      <c r="W252" t="s">
        <v>376</v>
      </c>
      <c r="X252" s="2" t="s">
        <v>0</v>
      </c>
      <c r="Y252" s="6" t="e">
        <f t="shared" si="26"/>
        <v>#VALUE!</v>
      </c>
      <c r="AA252">
        <v>3603016</v>
      </c>
      <c r="AB252">
        <v>17191</v>
      </c>
      <c r="AD252" t="s">
        <v>2</v>
      </c>
      <c r="AE252">
        <v>29</v>
      </c>
      <c r="AF252">
        <v>5</v>
      </c>
      <c r="AH252" t="s">
        <v>934</v>
      </c>
      <c r="AI252" t="s">
        <v>933</v>
      </c>
      <c r="AJ252" t="s">
        <v>932</v>
      </c>
      <c r="AK252" t="s">
        <v>931</v>
      </c>
      <c r="AL252">
        <v>29</v>
      </c>
      <c r="AM252" s="5">
        <f t="shared" si="27"/>
        <v>1.0357142857142858</v>
      </c>
      <c r="AN252" s="4">
        <f t="shared" si="28"/>
        <v>1.568669876129172E-3</v>
      </c>
      <c r="AO252" s="3"/>
      <c r="AP252">
        <v>0</v>
      </c>
      <c r="AQ252" t="s">
        <v>375</v>
      </c>
      <c r="AR252" t="s">
        <v>374</v>
      </c>
      <c r="AS252" t="s">
        <v>373</v>
      </c>
      <c r="AT252" s="2" t="s">
        <v>0</v>
      </c>
      <c r="AU252" s="1" t="e">
        <f t="shared" si="29"/>
        <v>#VALUE!</v>
      </c>
      <c r="AV252" s="1" t="e">
        <f t="shared" si="30"/>
        <v>#VALUE!</v>
      </c>
      <c r="AW252" s="1" t="e">
        <f t="shared" si="31"/>
        <v>#VALUE!</v>
      </c>
    </row>
    <row r="253" spans="1:49" x14ac:dyDescent="0.2">
      <c r="A253">
        <v>251</v>
      </c>
      <c r="B253" t="s">
        <v>930</v>
      </c>
      <c r="C253" t="s">
        <v>929</v>
      </c>
      <c r="D253" t="s">
        <v>928</v>
      </c>
      <c r="F253" t="s">
        <v>927</v>
      </c>
      <c r="G253" t="s">
        <v>8</v>
      </c>
      <c r="H253" t="s">
        <v>7</v>
      </c>
      <c r="I253" t="s">
        <v>926</v>
      </c>
      <c r="J253">
        <v>60006876</v>
      </c>
      <c r="K253" t="s">
        <v>925</v>
      </c>
      <c r="L253" t="s">
        <v>924</v>
      </c>
      <c r="M253" t="s">
        <v>256</v>
      </c>
      <c r="N253">
        <v>3</v>
      </c>
      <c r="O253" t="s">
        <v>923</v>
      </c>
      <c r="P253" t="s">
        <v>922</v>
      </c>
      <c r="Q253" t="s">
        <v>921</v>
      </c>
      <c r="R253" s="7">
        <v>34544</v>
      </c>
      <c r="S253" s="8">
        <f t="shared" si="24"/>
        <v>1994</v>
      </c>
      <c r="T253" s="8">
        <v>1994</v>
      </c>
      <c r="U253" s="8">
        <f t="shared" si="25"/>
        <v>28</v>
      </c>
      <c r="V253" s="7">
        <v>34544</v>
      </c>
      <c r="W253" t="s">
        <v>371</v>
      </c>
      <c r="X253" s="2">
        <v>1.59</v>
      </c>
      <c r="Y253" s="6">
        <f t="shared" si="26"/>
        <v>4.2444141907583888E-2</v>
      </c>
      <c r="AA253">
        <v>52728</v>
      </c>
      <c r="AB253">
        <v>16791</v>
      </c>
      <c r="AD253" t="s">
        <v>2</v>
      </c>
      <c r="AE253">
        <v>1186</v>
      </c>
      <c r="AF253">
        <v>3</v>
      </c>
      <c r="AH253" t="s">
        <v>920</v>
      </c>
      <c r="AI253" t="s">
        <v>919</v>
      </c>
      <c r="AJ253" t="s">
        <v>918</v>
      </c>
      <c r="AK253" t="s">
        <v>917</v>
      </c>
      <c r="AL253">
        <v>43</v>
      </c>
      <c r="AM253" s="5">
        <f t="shared" si="27"/>
        <v>1.5357142857142858</v>
      </c>
      <c r="AN253" s="4">
        <f t="shared" si="28"/>
        <v>2.3259587818467032E-3</v>
      </c>
      <c r="AO253" s="3"/>
      <c r="AP253">
        <v>0</v>
      </c>
      <c r="AR253" t="s">
        <v>1</v>
      </c>
      <c r="AT253" s="2" t="s">
        <v>0</v>
      </c>
      <c r="AU253" s="1">
        <f t="shared" si="29"/>
        <v>3.0408686969862733</v>
      </c>
      <c r="AV253" s="1">
        <f t="shared" si="30"/>
        <v>2.2385050344715296</v>
      </c>
      <c r="AW253" s="1">
        <f t="shared" si="31"/>
        <v>1.4361413719567857</v>
      </c>
    </row>
    <row r="254" spans="1:49" x14ac:dyDescent="0.2">
      <c r="A254">
        <v>252</v>
      </c>
      <c r="B254" t="s">
        <v>916</v>
      </c>
      <c r="C254" t="s">
        <v>915</v>
      </c>
      <c r="D254" t="s">
        <v>914</v>
      </c>
      <c r="E254">
        <v>8043589</v>
      </c>
      <c r="F254" t="s">
        <v>913</v>
      </c>
      <c r="G254" t="s">
        <v>8</v>
      </c>
      <c r="H254" t="s">
        <v>7</v>
      </c>
      <c r="I254" t="s">
        <v>912</v>
      </c>
      <c r="J254" t="s">
        <v>911</v>
      </c>
      <c r="K254" t="s">
        <v>910</v>
      </c>
      <c r="L254" t="s">
        <v>909</v>
      </c>
      <c r="M254" t="s">
        <v>12</v>
      </c>
      <c r="N254">
        <v>4</v>
      </c>
      <c r="O254" t="s">
        <v>908</v>
      </c>
      <c r="P254" t="s">
        <v>907</v>
      </c>
      <c r="Q254" t="s">
        <v>906</v>
      </c>
      <c r="R254" s="7">
        <v>34544</v>
      </c>
      <c r="S254" s="8">
        <f t="shared" si="24"/>
        <v>1994</v>
      </c>
      <c r="T254" s="8">
        <v>1994</v>
      </c>
      <c r="U254" s="8">
        <f t="shared" si="25"/>
        <v>28</v>
      </c>
      <c r="V254" s="7">
        <v>34544</v>
      </c>
      <c r="W254" t="s">
        <v>371</v>
      </c>
      <c r="X254" s="2">
        <v>1.59</v>
      </c>
      <c r="Y254" s="6">
        <f t="shared" si="26"/>
        <v>4.2444141907583888E-2</v>
      </c>
      <c r="AA254">
        <v>52728</v>
      </c>
      <c r="AB254">
        <v>16791</v>
      </c>
      <c r="AD254" t="s">
        <v>2</v>
      </c>
      <c r="AE254">
        <v>1186</v>
      </c>
      <c r="AF254">
        <v>3</v>
      </c>
      <c r="AH254" t="s">
        <v>905</v>
      </c>
      <c r="AI254" t="s">
        <v>904</v>
      </c>
      <c r="AJ254" t="s">
        <v>903</v>
      </c>
      <c r="AK254" t="s">
        <v>902</v>
      </c>
      <c r="AL254">
        <v>53</v>
      </c>
      <c r="AM254" s="5">
        <f t="shared" si="27"/>
        <v>1.8928571428571428</v>
      </c>
      <c r="AN254" s="4">
        <f t="shared" si="28"/>
        <v>2.8668794287877966E-3</v>
      </c>
      <c r="AO254" s="3"/>
      <c r="AP254">
        <v>0</v>
      </c>
      <c r="AQ254" t="s">
        <v>61</v>
      </c>
      <c r="AR254" t="s">
        <v>901</v>
      </c>
      <c r="AS254" t="s">
        <v>60</v>
      </c>
      <c r="AT254" s="2" t="s">
        <v>0</v>
      </c>
      <c r="AU254" s="1">
        <f t="shared" si="29"/>
        <v>3.0570963163945057</v>
      </c>
      <c r="AV254" s="1">
        <f t="shared" si="30"/>
        <v>2.2655510668185843</v>
      </c>
      <c r="AW254" s="1">
        <f t="shared" si="31"/>
        <v>1.4740058172426622</v>
      </c>
    </row>
    <row r="255" spans="1:49" x14ac:dyDescent="0.2">
      <c r="A255">
        <v>253</v>
      </c>
      <c r="B255" t="s">
        <v>900</v>
      </c>
      <c r="C255" t="s">
        <v>899</v>
      </c>
      <c r="F255" t="s">
        <v>898</v>
      </c>
      <c r="G255" t="s">
        <v>8</v>
      </c>
      <c r="H255" t="s">
        <v>7</v>
      </c>
      <c r="I255" t="s">
        <v>897</v>
      </c>
      <c r="J255">
        <v>60020547</v>
      </c>
      <c r="K255" t="s">
        <v>162</v>
      </c>
      <c r="L255" t="s">
        <v>161</v>
      </c>
      <c r="M255" t="s">
        <v>19</v>
      </c>
      <c r="N255">
        <v>4</v>
      </c>
      <c r="O255" t="s">
        <v>896</v>
      </c>
      <c r="P255" t="s">
        <v>895</v>
      </c>
      <c r="Q255" t="s">
        <v>894</v>
      </c>
      <c r="R255" s="7">
        <v>34536</v>
      </c>
      <c r="S255" s="8">
        <f t="shared" si="24"/>
        <v>1994</v>
      </c>
      <c r="T255" s="8">
        <v>1994</v>
      </c>
      <c r="U255" s="8">
        <f t="shared" si="25"/>
        <v>28</v>
      </c>
      <c r="V255" s="7">
        <v>34536</v>
      </c>
      <c r="W255" t="s">
        <v>151</v>
      </c>
      <c r="X255" s="2">
        <v>0.375</v>
      </c>
      <c r="Y255" s="6">
        <f t="shared" si="26"/>
        <v>1.0010410827260351E-2</v>
      </c>
      <c r="AA255">
        <v>135194</v>
      </c>
      <c r="AB255">
        <v>24918</v>
      </c>
      <c r="AD255" t="s">
        <v>2</v>
      </c>
      <c r="AE255">
        <v>30</v>
      </c>
      <c r="AF255">
        <v>15</v>
      </c>
      <c r="AH255" t="s">
        <v>893</v>
      </c>
      <c r="AI255" t="s">
        <v>892</v>
      </c>
      <c r="AJ255" t="s">
        <v>891</v>
      </c>
      <c r="AK255" t="s">
        <v>890</v>
      </c>
      <c r="AL255">
        <v>9</v>
      </c>
      <c r="AM255" s="5">
        <f t="shared" si="27"/>
        <v>0.32142857142857145</v>
      </c>
      <c r="AN255" s="4">
        <f t="shared" si="28"/>
        <v>4.8682858224698443E-4</v>
      </c>
      <c r="AO255" s="3"/>
      <c r="AP255">
        <v>0</v>
      </c>
      <c r="AR255" t="s">
        <v>1</v>
      </c>
      <c r="AT255" s="2">
        <v>1.3140000000000001</v>
      </c>
      <c r="AU255" s="1">
        <f t="shared" si="29"/>
        <v>0.71533361537563411</v>
      </c>
      <c r="AV255" s="1">
        <f t="shared" si="30"/>
        <v>0.52486197047536676</v>
      </c>
      <c r="AW255" s="1">
        <f t="shared" si="31"/>
        <v>0.3343903255750994</v>
      </c>
    </row>
    <row r="256" spans="1:49" x14ac:dyDescent="0.2">
      <c r="A256">
        <v>254</v>
      </c>
      <c r="B256" t="s">
        <v>889</v>
      </c>
      <c r="C256" t="s">
        <v>888</v>
      </c>
      <c r="F256" t="s">
        <v>887</v>
      </c>
      <c r="G256" t="s">
        <v>8</v>
      </c>
      <c r="H256" t="s">
        <v>7</v>
      </c>
      <c r="I256" t="s">
        <v>886</v>
      </c>
      <c r="J256">
        <v>60010818</v>
      </c>
      <c r="K256" t="s">
        <v>199</v>
      </c>
      <c r="L256" t="s">
        <v>198</v>
      </c>
      <c r="M256" t="s">
        <v>4</v>
      </c>
      <c r="N256">
        <v>3</v>
      </c>
      <c r="O256" t="s">
        <v>885</v>
      </c>
      <c r="P256" t="s">
        <v>884</v>
      </c>
      <c r="Q256" t="s">
        <v>197</v>
      </c>
      <c r="R256" s="7">
        <v>34536</v>
      </c>
      <c r="S256" s="8">
        <f t="shared" si="24"/>
        <v>1994</v>
      </c>
      <c r="T256" s="8">
        <v>1994</v>
      </c>
      <c r="U256" s="8">
        <f t="shared" si="25"/>
        <v>28</v>
      </c>
      <c r="V256" s="7">
        <v>34536</v>
      </c>
      <c r="W256" t="s">
        <v>151</v>
      </c>
      <c r="X256" s="2">
        <v>0.375</v>
      </c>
      <c r="Y256" s="6">
        <f t="shared" si="26"/>
        <v>1.0010410827260351E-2</v>
      </c>
      <c r="AA256">
        <v>135194</v>
      </c>
      <c r="AB256">
        <v>24918</v>
      </c>
      <c r="AD256" t="s">
        <v>2</v>
      </c>
      <c r="AE256">
        <v>30</v>
      </c>
      <c r="AF256">
        <v>15</v>
      </c>
      <c r="AH256" t="s">
        <v>883</v>
      </c>
      <c r="AI256" t="s">
        <v>882</v>
      </c>
      <c r="AJ256" t="s">
        <v>881</v>
      </c>
      <c r="AK256" t="s">
        <v>880</v>
      </c>
      <c r="AL256">
        <v>81</v>
      </c>
      <c r="AM256" s="5">
        <f t="shared" si="27"/>
        <v>2.8928571428571428</v>
      </c>
      <c r="AN256" s="4">
        <f t="shared" si="28"/>
        <v>4.381457240222859E-3</v>
      </c>
      <c r="AO256" s="3"/>
      <c r="AP256">
        <v>0</v>
      </c>
      <c r="AR256" t="s">
        <v>1</v>
      </c>
      <c r="AT256" s="2">
        <v>1.3140000000000001</v>
      </c>
      <c r="AU256" s="1">
        <f t="shared" si="29"/>
        <v>0.83217247511491044</v>
      </c>
      <c r="AV256" s="1">
        <f t="shared" si="30"/>
        <v>0.71959340337416056</v>
      </c>
      <c r="AW256" s="1">
        <f t="shared" si="31"/>
        <v>0.60701433163341068</v>
      </c>
    </row>
    <row r="257" spans="1:49" x14ac:dyDescent="0.2">
      <c r="A257">
        <v>255</v>
      </c>
      <c r="B257" t="s">
        <v>879</v>
      </c>
      <c r="C257" t="s">
        <v>878</v>
      </c>
      <c r="F257" t="s">
        <v>877</v>
      </c>
      <c r="G257" t="s">
        <v>8</v>
      </c>
      <c r="H257" t="s">
        <v>7</v>
      </c>
      <c r="I257" t="s">
        <v>876</v>
      </c>
      <c r="J257">
        <v>60030553</v>
      </c>
      <c r="K257" t="s">
        <v>257</v>
      </c>
      <c r="L257" t="s">
        <v>107</v>
      </c>
      <c r="M257" t="s">
        <v>10</v>
      </c>
      <c r="N257">
        <v>3</v>
      </c>
      <c r="O257" t="s">
        <v>875</v>
      </c>
      <c r="P257" t="s">
        <v>874</v>
      </c>
      <c r="Q257" t="s">
        <v>307</v>
      </c>
      <c r="R257" s="7">
        <v>34536</v>
      </c>
      <c r="S257" s="8">
        <f t="shared" si="24"/>
        <v>1994</v>
      </c>
      <c r="T257" s="8">
        <v>1994</v>
      </c>
      <c r="U257" s="8">
        <f t="shared" si="25"/>
        <v>28</v>
      </c>
      <c r="V257" s="7">
        <v>34536</v>
      </c>
      <c r="W257" t="s">
        <v>151</v>
      </c>
      <c r="X257" s="2">
        <v>0.375</v>
      </c>
      <c r="Y257" s="6">
        <f t="shared" si="26"/>
        <v>1.0010410827260351E-2</v>
      </c>
      <c r="AA257">
        <v>135194</v>
      </c>
      <c r="AB257">
        <v>24918</v>
      </c>
      <c r="AD257" t="s">
        <v>2</v>
      </c>
      <c r="AE257">
        <v>30</v>
      </c>
      <c r="AF257">
        <v>15</v>
      </c>
      <c r="AH257" t="s">
        <v>873</v>
      </c>
      <c r="AI257" t="s">
        <v>872</v>
      </c>
      <c r="AJ257" t="s">
        <v>871</v>
      </c>
      <c r="AK257" t="s">
        <v>870</v>
      </c>
      <c r="AL257">
        <v>5</v>
      </c>
      <c r="AM257" s="5">
        <f t="shared" si="27"/>
        <v>0.17857142857142858</v>
      </c>
      <c r="AN257" s="4">
        <f t="shared" si="28"/>
        <v>2.7046032347054688E-4</v>
      </c>
      <c r="AO257" s="3"/>
      <c r="AP257">
        <v>0</v>
      </c>
      <c r="AR257" t="s">
        <v>1</v>
      </c>
      <c r="AT257" s="2">
        <v>1.3140000000000001</v>
      </c>
      <c r="AU257" s="1">
        <f t="shared" si="29"/>
        <v>0.70884256761234099</v>
      </c>
      <c r="AV257" s="1">
        <f t="shared" si="30"/>
        <v>0.51404355753654496</v>
      </c>
      <c r="AW257" s="1">
        <f t="shared" si="31"/>
        <v>0.31924454746074876</v>
      </c>
    </row>
    <row r="258" spans="1:49" x14ac:dyDescent="0.2">
      <c r="A258">
        <v>256</v>
      </c>
      <c r="B258" t="s">
        <v>869</v>
      </c>
      <c r="C258" t="s">
        <v>868</v>
      </c>
      <c r="F258" t="s">
        <v>867</v>
      </c>
      <c r="G258" t="s">
        <v>8</v>
      </c>
      <c r="H258" t="s">
        <v>7</v>
      </c>
      <c r="I258" t="s">
        <v>866</v>
      </c>
      <c r="J258">
        <v>60021907</v>
      </c>
      <c r="K258" t="s">
        <v>865</v>
      </c>
      <c r="L258" t="s">
        <v>864</v>
      </c>
      <c r="M258" t="s">
        <v>19</v>
      </c>
      <c r="N258">
        <v>3</v>
      </c>
      <c r="O258" t="s">
        <v>863</v>
      </c>
      <c r="P258" t="s">
        <v>862</v>
      </c>
      <c r="Q258" t="s">
        <v>861</v>
      </c>
      <c r="R258" s="7">
        <v>34535</v>
      </c>
      <c r="S258" s="8">
        <f t="shared" ref="S258:S298" si="32">YEAR(R258)</f>
        <v>1994</v>
      </c>
      <c r="T258" s="8">
        <v>1994</v>
      </c>
      <c r="U258" s="8">
        <f t="shared" ref="U258:U298" si="33">2022-T258</f>
        <v>28</v>
      </c>
      <c r="V258" s="7">
        <v>34535</v>
      </c>
      <c r="W258" t="s">
        <v>431</v>
      </c>
      <c r="X258" s="2">
        <v>2.3759999999999999</v>
      </c>
      <c r="Y258" s="6">
        <f t="shared" ref="Y258:Y298" si="34">(X258-$Z$4)/($Z$3-$Z$4)</f>
        <v>6.3425963001521576E-2</v>
      </c>
      <c r="AA258" t="s">
        <v>430</v>
      </c>
      <c r="AB258">
        <v>26765</v>
      </c>
      <c r="AC258">
        <v>15384357</v>
      </c>
      <c r="AD258" t="s">
        <v>2</v>
      </c>
      <c r="AE258">
        <v>430</v>
      </c>
      <c r="AF258" t="s">
        <v>860</v>
      </c>
      <c r="AI258" t="s">
        <v>859</v>
      </c>
      <c r="AJ258" t="s">
        <v>858</v>
      </c>
      <c r="AK258" t="s">
        <v>857</v>
      </c>
      <c r="AL258">
        <v>80</v>
      </c>
      <c r="AM258" s="5">
        <f t="shared" ref="AM258:AM298" si="35">AL258/U258</f>
        <v>2.8571428571428572</v>
      </c>
      <c r="AN258" s="4">
        <f t="shared" ref="AN258:AN298" si="36">(AM258-$AO$4)/($AO$3-$AO$4)</f>
        <v>4.3273651755287501E-3</v>
      </c>
      <c r="AO258" s="3"/>
      <c r="AP258">
        <v>0</v>
      </c>
      <c r="AR258" t="s">
        <v>1</v>
      </c>
      <c r="AT258" s="2">
        <v>5.8739999999999997</v>
      </c>
      <c r="AU258" s="1">
        <f t="shared" ref="AU258:AU298" si="37">(Y258*0.7+AN258*0.3)*100</f>
        <v>4.5696383653723718</v>
      </c>
      <c r="AV258" s="1">
        <f t="shared" ref="AV258:AV298" si="38">(Y258*0.5+AN258*0.5)*100</f>
        <v>3.3876664088525161</v>
      </c>
      <c r="AW258" s="1">
        <f t="shared" ref="AW258:AW298" si="39">(Y258*0.3+AN258*0.7)*100</f>
        <v>2.20569445233266</v>
      </c>
    </row>
    <row r="259" spans="1:49" x14ac:dyDescent="0.2">
      <c r="A259">
        <v>257</v>
      </c>
      <c r="B259" t="s">
        <v>856</v>
      </c>
      <c r="C259" t="s">
        <v>855</v>
      </c>
      <c r="E259">
        <v>8041757</v>
      </c>
      <c r="F259" t="s">
        <v>854</v>
      </c>
      <c r="G259" t="s">
        <v>8</v>
      </c>
      <c r="H259" t="s">
        <v>7</v>
      </c>
      <c r="I259" t="s">
        <v>853</v>
      </c>
      <c r="J259" t="s">
        <v>852</v>
      </c>
      <c r="K259" t="s">
        <v>851</v>
      </c>
      <c r="L259" t="s">
        <v>850</v>
      </c>
      <c r="M259" t="s">
        <v>163</v>
      </c>
      <c r="N259">
        <v>4</v>
      </c>
      <c r="O259" t="s">
        <v>849</v>
      </c>
      <c r="P259" t="s">
        <v>848</v>
      </c>
      <c r="Q259" t="s">
        <v>847</v>
      </c>
      <c r="R259" s="7">
        <v>34534</v>
      </c>
      <c r="S259" s="8">
        <f t="shared" si="32"/>
        <v>1994</v>
      </c>
      <c r="T259" s="8">
        <v>1994</v>
      </c>
      <c r="U259" s="8">
        <f t="shared" si="33"/>
        <v>28</v>
      </c>
      <c r="V259" s="7">
        <v>34534</v>
      </c>
      <c r="W259" t="s">
        <v>447</v>
      </c>
      <c r="X259" s="2">
        <v>5.0110000000000001</v>
      </c>
      <c r="Y259" s="6">
        <f t="shared" si="34"/>
        <v>0.13376578308107098</v>
      </c>
      <c r="AA259">
        <v>278424</v>
      </c>
      <c r="AB259">
        <v>21121</v>
      </c>
      <c r="AD259" t="s">
        <v>2</v>
      </c>
      <c r="AE259">
        <v>91</v>
      </c>
      <c r="AF259">
        <v>15</v>
      </c>
      <c r="AH259" t="s">
        <v>846</v>
      </c>
      <c r="AI259" t="s">
        <v>845</v>
      </c>
      <c r="AJ259" t="s">
        <v>844</v>
      </c>
      <c r="AK259" t="s">
        <v>843</v>
      </c>
      <c r="AL259">
        <v>103</v>
      </c>
      <c r="AM259" s="5">
        <f t="shared" si="35"/>
        <v>3.6785714285714284</v>
      </c>
      <c r="AN259" s="4">
        <f t="shared" si="36"/>
        <v>5.5714826634932655E-3</v>
      </c>
      <c r="AO259" s="3"/>
      <c r="AP259">
        <v>1</v>
      </c>
      <c r="AR259" t="s">
        <v>1</v>
      </c>
      <c r="AT259" s="2" t="s">
        <v>0</v>
      </c>
      <c r="AU259" s="1">
        <f t="shared" si="37"/>
        <v>9.5307492955797652</v>
      </c>
      <c r="AV259" s="1">
        <f t="shared" si="38"/>
        <v>6.9668632872282128</v>
      </c>
      <c r="AW259" s="1">
        <f t="shared" si="39"/>
        <v>4.4029772788766586</v>
      </c>
    </row>
    <row r="260" spans="1:49" x14ac:dyDescent="0.2">
      <c r="A260">
        <v>258</v>
      </c>
      <c r="B260" t="s">
        <v>842</v>
      </c>
      <c r="C260" t="s">
        <v>841</v>
      </c>
      <c r="F260" t="s">
        <v>840</v>
      </c>
      <c r="G260" t="s">
        <v>8</v>
      </c>
      <c r="H260" t="s">
        <v>7</v>
      </c>
      <c r="I260" t="s">
        <v>839</v>
      </c>
      <c r="J260">
        <v>60000221</v>
      </c>
      <c r="K260" t="s">
        <v>264</v>
      </c>
      <c r="L260" t="s">
        <v>263</v>
      </c>
      <c r="M260" t="s">
        <v>19</v>
      </c>
      <c r="N260">
        <v>2</v>
      </c>
      <c r="O260" t="s">
        <v>838</v>
      </c>
      <c r="P260" t="s">
        <v>837</v>
      </c>
      <c r="Q260" t="s">
        <v>262</v>
      </c>
      <c r="R260" s="7">
        <v>34525</v>
      </c>
      <c r="S260" s="8">
        <f t="shared" si="32"/>
        <v>1994</v>
      </c>
      <c r="T260" s="8">
        <v>1994</v>
      </c>
      <c r="U260" s="8">
        <f t="shared" si="33"/>
        <v>28</v>
      </c>
      <c r="V260" s="7">
        <v>34525</v>
      </c>
      <c r="W260" t="s">
        <v>431</v>
      </c>
      <c r="X260" s="2">
        <v>2.3759999999999999</v>
      </c>
      <c r="Y260" s="6">
        <f t="shared" si="34"/>
        <v>6.3425963001521576E-2</v>
      </c>
      <c r="AA260" t="s">
        <v>430</v>
      </c>
      <c r="AB260">
        <v>26765</v>
      </c>
      <c r="AC260">
        <v>15384357</v>
      </c>
      <c r="AD260" t="s">
        <v>2</v>
      </c>
      <c r="AE260">
        <v>429</v>
      </c>
      <c r="AF260">
        <v>2</v>
      </c>
      <c r="AH260" t="s">
        <v>836</v>
      </c>
      <c r="AI260" t="s">
        <v>835</v>
      </c>
      <c r="AJ260" t="s">
        <v>834</v>
      </c>
      <c r="AK260" t="s">
        <v>833</v>
      </c>
      <c r="AL260">
        <v>138</v>
      </c>
      <c r="AM260" s="5">
        <f t="shared" si="35"/>
        <v>4.9285714285714288</v>
      </c>
      <c r="AN260" s="4">
        <f t="shared" si="36"/>
        <v>7.4647049277870936E-3</v>
      </c>
      <c r="AO260" s="3"/>
      <c r="AP260">
        <v>0</v>
      </c>
      <c r="AR260" t="s">
        <v>1</v>
      </c>
      <c r="AT260" s="2">
        <v>5.8739999999999997</v>
      </c>
      <c r="AU260" s="1">
        <f t="shared" si="37"/>
        <v>4.6637585579401231</v>
      </c>
      <c r="AV260" s="1">
        <f t="shared" si="38"/>
        <v>3.5445333964654337</v>
      </c>
      <c r="AW260" s="1">
        <f t="shared" si="39"/>
        <v>2.425308234990744</v>
      </c>
    </row>
    <row r="261" spans="1:49" x14ac:dyDescent="0.2">
      <c r="A261">
        <v>259</v>
      </c>
      <c r="B261" t="s">
        <v>832</v>
      </c>
      <c r="C261" t="s">
        <v>831</v>
      </c>
      <c r="F261" t="s">
        <v>830</v>
      </c>
      <c r="G261" t="s">
        <v>8</v>
      </c>
      <c r="H261" t="s">
        <v>7</v>
      </c>
      <c r="I261" t="s">
        <v>829</v>
      </c>
      <c r="J261">
        <v>60020547</v>
      </c>
      <c r="K261" t="s">
        <v>162</v>
      </c>
      <c r="L261" t="s">
        <v>161</v>
      </c>
      <c r="M261" t="s">
        <v>19</v>
      </c>
      <c r="N261">
        <v>3</v>
      </c>
      <c r="O261" t="s">
        <v>828</v>
      </c>
      <c r="P261" t="s">
        <v>827</v>
      </c>
      <c r="Q261" t="s">
        <v>224</v>
      </c>
      <c r="R261" s="7">
        <v>34522</v>
      </c>
      <c r="S261" s="8">
        <f t="shared" si="32"/>
        <v>1994</v>
      </c>
      <c r="T261" s="8">
        <v>1994</v>
      </c>
      <c r="U261" s="8">
        <f t="shared" si="33"/>
        <v>28</v>
      </c>
      <c r="V261" s="7">
        <v>34522</v>
      </c>
      <c r="W261" t="s">
        <v>151</v>
      </c>
      <c r="X261" s="2">
        <v>0.375</v>
      </c>
      <c r="Y261" s="6">
        <f t="shared" si="34"/>
        <v>1.0010410827260351E-2</v>
      </c>
      <c r="AA261">
        <v>135194</v>
      </c>
      <c r="AB261">
        <v>24918</v>
      </c>
      <c r="AD261" t="s">
        <v>2</v>
      </c>
      <c r="AE261">
        <v>30</v>
      </c>
      <c r="AF261">
        <v>14</v>
      </c>
      <c r="AH261" t="s">
        <v>826</v>
      </c>
      <c r="AI261" t="s">
        <v>825</v>
      </c>
      <c r="AJ261" t="s">
        <v>150</v>
      </c>
      <c r="AK261" t="s">
        <v>824</v>
      </c>
      <c r="AL261">
        <v>12</v>
      </c>
      <c r="AM261" s="5">
        <f t="shared" si="35"/>
        <v>0.42857142857142855</v>
      </c>
      <c r="AN261" s="4">
        <f t="shared" si="36"/>
        <v>6.4910477632931242E-4</v>
      </c>
      <c r="AO261" s="3"/>
      <c r="AP261">
        <v>0</v>
      </c>
      <c r="AR261" t="s">
        <v>1</v>
      </c>
      <c r="AT261" s="2">
        <v>1.3140000000000001</v>
      </c>
      <c r="AU261" s="1">
        <f t="shared" si="37"/>
        <v>0.72020190119810401</v>
      </c>
      <c r="AV261" s="1">
        <f t="shared" si="38"/>
        <v>0.53297578017948322</v>
      </c>
      <c r="AW261" s="1">
        <f t="shared" si="39"/>
        <v>0.34574965916086237</v>
      </c>
    </row>
    <row r="262" spans="1:49" x14ac:dyDescent="0.2">
      <c r="A262">
        <v>260</v>
      </c>
      <c r="B262" t="s">
        <v>823</v>
      </c>
      <c r="C262" t="s">
        <v>822</v>
      </c>
      <c r="F262" t="s">
        <v>821</v>
      </c>
      <c r="G262" t="s">
        <v>8</v>
      </c>
      <c r="H262" t="s">
        <v>7</v>
      </c>
      <c r="I262" t="s">
        <v>324</v>
      </c>
      <c r="J262">
        <v>60014313</v>
      </c>
      <c r="K262" t="s">
        <v>286</v>
      </c>
      <c r="L262" t="s">
        <v>285</v>
      </c>
      <c r="M262" t="s">
        <v>19</v>
      </c>
      <c r="N262">
        <v>2</v>
      </c>
      <c r="O262" t="s">
        <v>323</v>
      </c>
      <c r="P262" t="s">
        <v>322</v>
      </c>
      <c r="Q262" t="s">
        <v>321</v>
      </c>
      <c r="R262" s="7">
        <v>34522</v>
      </c>
      <c r="S262" s="8">
        <f t="shared" si="32"/>
        <v>1994</v>
      </c>
      <c r="T262" s="8">
        <v>1994</v>
      </c>
      <c r="U262" s="8">
        <f t="shared" si="33"/>
        <v>28</v>
      </c>
      <c r="V262" s="7">
        <v>34522</v>
      </c>
      <c r="W262" t="s">
        <v>151</v>
      </c>
      <c r="X262" s="2">
        <v>0.375</v>
      </c>
      <c r="Y262" s="6">
        <f t="shared" si="34"/>
        <v>1.0010410827260351E-2</v>
      </c>
      <c r="AA262">
        <v>135194</v>
      </c>
      <c r="AB262">
        <v>24918</v>
      </c>
      <c r="AD262" t="s">
        <v>2</v>
      </c>
      <c r="AE262">
        <v>30</v>
      </c>
      <c r="AF262">
        <v>14</v>
      </c>
      <c r="AH262" t="s">
        <v>820</v>
      </c>
      <c r="AI262" t="s">
        <v>819</v>
      </c>
      <c r="AJ262" t="s">
        <v>818</v>
      </c>
      <c r="AK262" t="s">
        <v>817</v>
      </c>
      <c r="AL262">
        <v>21</v>
      </c>
      <c r="AM262" s="5">
        <f t="shared" si="35"/>
        <v>0.75</v>
      </c>
      <c r="AN262" s="4">
        <f t="shared" si="36"/>
        <v>1.1359333585762969E-3</v>
      </c>
      <c r="AO262" s="3"/>
      <c r="AP262">
        <v>0</v>
      </c>
      <c r="AR262" t="s">
        <v>1</v>
      </c>
      <c r="AT262" s="2">
        <v>1.3140000000000001</v>
      </c>
      <c r="AU262" s="1">
        <f t="shared" si="37"/>
        <v>0.73480675866551348</v>
      </c>
      <c r="AV262" s="1">
        <f t="shared" si="38"/>
        <v>0.55731720929183248</v>
      </c>
      <c r="AW262" s="1">
        <f t="shared" si="39"/>
        <v>0.37982765991815132</v>
      </c>
    </row>
    <row r="263" spans="1:49" x14ac:dyDescent="0.2">
      <c r="A263">
        <v>261</v>
      </c>
      <c r="B263" t="s">
        <v>816</v>
      </c>
      <c r="C263" t="s">
        <v>815</v>
      </c>
      <c r="F263" t="s">
        <v>814</v>
      </c>
      <c r="G263" t="s">
        <v>8</v>
      </c>
      <c r="H263" t="s">
        <v>7</v>
      </c>
      <c r="I263" t="s">
        <v>813</v>
      </c>
      <c r="J263">
        <v>60008524</v>
      </c>
      <c r="K263" t="s">
        <v>254</v>
      </c>
      <c r="L263" t="s">
        <v>253</v>
      </c>
      <c r="M263" t="s">
        <v>4</v>
      </c>
      <c r="N263">
        <v>2</v>
      </c>
      <c r="O263" t="s">
        <v>812</v>
      </c>
      <c r="P263" t="s">
        <v>811</v>
      </c>
      <c r="Q263" t="s">
        <v>275</v>
      </c>
      <c r="R263" s="7">
        <v>34522</v>
      </c>
      <c r="S263" s="8">
        <f t="shared" si="32"/>
        <v>1994</v>
      </c>
      <c r="T263" s="8">
        <v>1994</v>
      </c>
      <c r="U263" s="8">
        <f t="shared" si="33"/>
        <v>28</v>
      </c>
      <c r="V263" s="7">
        <v>34522</v>
      </c>
      <c r="W263" t="s">
        <v>151</v>
      </c>
      <c r="X263" s="2">
        <v>0.375</v>
      </c>
      <c r="Y263" s="6">
        <f t="shared" si="34"/>
        <v>1.0010410827260351E-2</v>
      </c>
      <c r="AA263">
        <v>135194</v>
      </c>
      <c r="AB263">
        <v>24918</v>
      </c>
      <c r="AD263" t="s">
        <v>2</v>
      </c>
      <c r="AE263">
        <v>30</v>
      </c>
      <c r="AF263">
        <v>14</v>
      </c>
      <c r="AH263" t="s">
        <v>810</v>
      </c>
      <c r="AI263" t="s">
        <v>809</v>
      </c>
      <c r="AJ263" t="s">
        <v>808</v>
      </c>
      <c r="AK263" t="s">
        <v>807</v>
      </c>
      <c r="AL263">
        <v>3</v>
      </c>
      <c r="AM263" s="5">
        <f t="shared" si="35"/>
        <v>0.10714285714285714</v>
      </c>
      <c r="AN263" s="4">
        <f t="shared" si="36"/>
        <v>1.6227619408232811E-4</v>
      </c>
      <c r="AO263" s="3"/>
      <c r="AP263">
        <v>0</v>
      </c>
      <c r="AR263" t="s">
        <v>1</v>
      </c>
      <c r="AT263" s="2">
        <v>1.3140000000000001</v>
      </c>
      <c r="AU263" s="1">
        <f t="shared" si="37"/>
        <v>0.70559704373069443</v>
      </c>
      <c r="AV263" s="1">
        <f t="shared" si="38"/>
        <v>0.50863435106713395</v>
      </c>
      <c r="AW263" s="1">
        <f t="shared" si="39"/>
        <v>0.31167165840357347</v>
      </c>
    </row>
    <row r="264" spans="1:49" x14ac:dyDescent="0.2">
      <c r="A264">
        <v>262</v>
      </c>
      <c r="B264" t="s">
        <v>806</v>
      </c>
      <c r="C264" t="s">
        <v>805</v>
      </c>
      <c r="F264" t="s">
        <v>804</v>
      </c>
      <c r="G264" t="s">
        <v>8</v>
      </c>
      <c r="H264" t="s">
        <v>7</v>
      </c>
      <c r="I264" t="s">
        <v>803</v>
      </c>
      <c r="J264" t="s">
        <v>802</v>
      </c>
      <c r="K264" t="s">
        <v>801</v>
      </c>
      <c r="L264" t="s">
        <v>800</v>
      </c>
      <c r="M264" t="s">
        <v>21</v>
      </c>
      <c r="N264">
        <v>3</v>
      </c>
      <c r="O264" t="s">
        <v>799</v>
      </c>
      <c r="P264" t="s">
        <v>798</v>
      </c>
      <c r="Q264" t="s">
        <v>797</v>
      </c>
      <c r="R264" s="7">
        <v>34516</v>
      </c>
      <c r="S264" s="8">
        <f t="shared" si="32"/>
        <v>1994</v>
      </c>
      <c r="T264" s="8">
        <v>1994</v>
      </c>
      <c r="U264" s="8">
        <f t="shared" si="33"/>
        <v>28</v>
      </c>
      <c r="V264" s="7">
        <v>34516</v>
      </c>
      <c r="W264" t="s">
        <v>347</v>
      </c>
      <c r="X264" s="2">
        <v>0.11700000000000001</v>
      </c>
      <c r="Y264" s="6">
        <f t="shared" si="34"/>
        <v>3.1232481781052297E-3</v>
      </c>
      <c r="AA264">
        <v>2179822</v>
      </c>
      <c r="AB264">
        <v>5300152612</v>
      </c>
      <c r="AC264">
        <v>19930615</v>
      </c>
      <c r="AD264" t="s">
        <v>2</v>
      </c>
      <c r="AE264">
        <v>11</v>
      </c>
      <c r="AF264">
        <v>3</v>
      </c>
      <c r="AH264" t="s">
        <v>796</v>
      </c>
      <c r="AI264" t="s">
        <v>795</v>
      </c>
      <c r="AJ264" t="s">
        <v>794</v>
      </c>
      <c r="AK264" t="s">
        <v>793</v>
      </c>
      <c r="AL264">
        <v>0</v>
      </c>
      <c r="AM264" s="5">
        <f t="shared" si="35"/>
        <v>0</v>
      </c>
      <c r="AN264" s="4">
        <f t="shared" si="36"/>
        <v>0</v>
      </c>
      <c r="AO264" s="3"/>
      <c r="AP264">
        <v>0</v>
      </c>
      <c r="AR264" t="s">
        <v>1</v>
      </c>
      <c r="AT264" s="2" t="s">
        <v>0</v>
      </c>
      <c r="AU264" s="1">
        <f t="shared" si="37"/>
        <v>0.21862737246736608</v>
      </c>
      <c r="AV264" s="1">
        <f t="shared" si="38"/>
        <v>0.15616240890526148</v>
      </c>
      <c r="AW264" s="1">
        <f t="shared" si="39"/>
        <v>9.3697445343156896E-2</v>
      </c>
    </row>
    <row r="265" spans="1:49" x14ac:dyDescent="0.2">
      <c r="A265">
        <v>263</v>
      </c>
      <c r="B265" t="s">
        <v>792</v>
      </c>
      <c r="C265" t="s">
        <v>791</v>
      </c>
      <c r="F265" t="s">
        <v>790</v>
      </c>
      <c r="G265" t="s">
        <v>8</v>
      </c>
      <c r="H265" t="s">
        <v>7</v>
      </c>
      <c r="I265" t="s">
        <v>789</v>
      </c>
      <c r="N265">
        <v>3</v>
      </c>
      <c r="O265" t="s">
        <v>788</v>
      </c>
      <c r="P265" t="s">
        <v>787</v>
      </c>
      <c r="Q265" t="s">
        <v>121</v>
      </c>
      <c r="R265" s="7">
        <v>34516</v>
      </c>
      <c r="S265" s="8">
        <f t="shared" si="32"/>
        <v>1994</v>
      </c>
      <c r="T265" s="8">
        <v>1994</v>
      </c>
      <c r="U265" s="8">
        <f t="shared" si="33"/>
        <v>28</v>
      </c>
      <c r="V265" s="7">
        <v>34516</v>
      </c>
      <c r="W265" t="s">
        <v>786</v>
      </c>
      <c r="X265" s="2">
        <v>0.22600000000000001</v>
      </c>
      <c r="Y265" s="6">
        <f t="shared" si="34"/>
        <v>6.0329409252289053E-3</v>
      </c>
      <c r="AA265" t="s">
        <v>785</v>
      </c>
      <c r="AB265">
        <v>144954</v>
      </c>
      <c r="AC265" t="s">
        <v>784</v>
      </c>
      <c r="AD265" t="s">
        <v>2</v>
      </c>
      <c r="AE265">
        <v>5</v>
      </c>
      <c r="AF265">
        <v>3</v>
      </c>
      <c r="AH265" t="s">
        <v>783</v>
      </c>
      <c r="AL265">
        <v>0</v>
      </c>
      <c r="AM265" s="5">
        <f t="shared" si="35"/>
        <v>0</v>
      </c>
      <c r="AN265" s="4">
        <f t="shared" si="36"/>
        <v>0</v>
      </c>
      <c r="AO265" s="3"/>
      <c r="AP265">
        <v>0</v>
      </c>
      <c r="AR265" t="s">
        <v>1</v>
      </c>
      <c r="AT265" s="2" t="s">
        <v>0</v>
      </c>
      <c r="AU265" s="1">
        <f t="shared" si="37"/>
        <v>0.42230586476602339</v>
      </c>
      <c r="AV265" s="1">
        <f t="shared" si="38"/>
        <v>0.30164704626144528</v>
      </c>
      <c r="AW265" s="1">
        <f t="shared" si="39"/>
        <v>0.18098822775686715</v>
      </c>
    </row>
    <row r="266" spans="1:49" x14ac:dyDescent="0.2">
      <c r="A266">
        <v>264</v>
      </c>
      <c r="B266" t="s">
        <v>782</v>
      </c>
      <c r="C266" t="s">
        <v>781</v>
      </c>
      <c r="F266" t="s">
        <v>780</v>
      </c>
      <c r="G266" t="s">
        <v>8</v>
      </c>
      <c r="H266" t="s">
        <v>7</v>
      </c>
      <c r="I266" t="s">
        <v>779</v>
      </c>
      <c r="N266">
        <v>1</v>
      </c>
      <c r="O266" t="s">
        <v>778</v>
      </c>
      <c r="P266">
        <v>7004269185</v>
      </c>
      <c r="R266" s="7">
        <v>34516</v>
      </c>
      <c r="S266" s="8">
        <f t="shared" si="32"/>
        <v>1994</v>
      </c>
      <c r="T266" s="8">
        <v>1994</v>
      </c>
      <c r="U266" s="8">
        <f t="shared" si="33"/>
        <v>28</v>
      </c>
      <c r="V266" s="7">
        <v>34516</v>
      </c>
      <c r="W266" t="s">
        <v>340</v>
      </c>
      <c r="X266" s="2">
        <v>0.14899999999999999</v>
      </c>
      <c r="Y266" s="6">
        <f t="shared" si="34"/>
        <v>3.977469902031446E-3</v>
      </c>
      <c r="AA266">
        <v>5431972</v>
      </c>
      <c r="AB266">
        <v>15425</v>
      </c>
      <c r="AC266">
        <v>15738906</v>
      </c>
      <c r="AD266" t="s">
        <v>2</v>
      </c>
      <c r="AE266">
        <v>37</v>
      </c>
      <c r="AF266">
        <v>7</v>
      </c>
      <c r="AH266" t="s">
        <v>777</v>
      </c>
      <c r="AI266" t="s">
        <v>776</v>
      </c>
      <c r="AK266" t="s">
        <v>775</v>
      </c>
      <c r="AL266">
        <v>0</v>
      </c>
      <c r="AM266" s="5">
        <f t="shared" si="35"/>
        <v>0</v>
      </c>
      <c r="AN266" s="4">
        <f t="shared" si="36"/>
        <v>0</v>
      </c>
      <c r="AO266" s="3"/>
      <c r="AP266">
        <v>0</v>
      </c>
      <c r="AR266" t="s">
        <v>1</v>
      </c>
      <c r="AT266" s="2" t="s">
        <v>0</v>
      </c>
      <c r="AU266" s="1">
        <f t="shared" si="37"/>
        <v>0.2784228931422012</v>
      </c>
      <c r="AV266" s="1">
        <f t="shared" si="38"/>
        <v>0.19887349510157229</v>
      </c>
      <c r="AW266" s="1">
        <f t="shared" si="39"/>
        <v>0.11932409706094337</v>
      </c>
    </row>
    <row r="267" spans="1:49" x14ac:dyDescent="0.2">
      <c r="A267">
        <v>265</v>
      </c>
      <c r="B267" t="s">
        <v>774</v>
      </c>
      <c r="C267" t="s">
        <v>773</v>
      </c>
      <c r="F267" t="s">
        <v>772</v>
      </c>
      <c r="G267" t="s">
        <v>8</v>
      </c>
      <c r="H267" t="s">
        <v>7</v>
      </c>
      <c r="I267" t="s">
        <v>771</v>
      </c>
      <c r="J267">
        <v>60027550</v>
      </c>
      <c r="K267" t="s">
        <v>83</v>
      </c>
      <c r="L267" t="s">
        <v>70</v>
      </c>
      <c r="M267" t="s">
        <v>19</v>
      </c>
      <c r="N267">
        <v>2</v>
      </c>
      <c r="O267" t="s">
        <v>770</v>
      </c>
      <c r="P267" t="s">
        <v>769</v>
      </c>
      <c r="Q267" t="s">
        <v>82</v>
      </c>
      <c r="R267" s="7">
        <v>34516</v>
      </c>
      <c r="S267" s="8">
        <f t="shared" si="32"/>
        <v>1994</v>
      </c>
      <c r="T267" s="8">
        <v>1994</v>
      </c>
      <c r="U267" s="8">
        <f t="shared" si="33"/>
        <v>28</v>
      </c>
      <c r="V267" s="7">
        <v>34516</v>
      </c>
      <c r="W267" t="s">
        <v>62</v>
      </c>
      <c r="X267" s="2">
        <v>0.28799999999999998</v>
      </c>
      <c r="Y267" s="6">
        <f t="shared" si="34"/>
        <v>7.6879955153359488E-3</v>
      </c>
      <c r="AA267">
        <v>10689605</v>
      </c>
      <c r="AB267">
        <v>19515</v>
      </c>
      <c r="AC267">
        <v>15728129</v>
      </c>
      <c r="AD267" t="s">
        <v>2</v>
      </c>
      <c r="AE267">
        <v>1</v>
      </c>
      <c r="AF267">
        <v>3</v>
      </c>
      <c r="AH267" t="s">
        <v>768</v>
      </c>
      <c r="AI267" t="s">
        <v>767</v>
      </c>
      <c r="AJ267" t="s">
        <v>766</v>
      </c>
      <c r="AK267" t="s">
        <v>765</v>
      </c>
      <c r="AL267">
        <v>2</v>
      </c>
      <c r="AM267" s="5">
        <f t="shared" si="35"/>
        <v>7.1428571428571425E-2</v>
      </c>
      <c r="AN267" s="4">
        <f t="shared" si="36"/>
        <v>1.0818412938821875E-4</v>
      </c>
      <c r="AO267" s="3"/>
      <c r="AP267">
        <v>0</v>
      </c>
      <c r="AR267" t="s">
        <v>1</v>
      </c>
      <c r="AT267" s="2" t="s">
        <v>0</v>
      </c>
      <c r="AU267" s="1">
        <f t="shared" si="37"/>
        <v>0.54140520995516295</v>
      </c>
      <c r="AV267" s="1">
        <f t="shared" si="38"/>
        <v>0.38980898223620836</v>
      </c>
      <c r="AW267" s="1">
        <f t="shared" si="39"/>
        <v>0.23821275451725377</v>
      </c>
    </row>
    <row r="268" spans="1:49" x14ac:dyDescent="0.2">
      <c r="A268">
        <v>266</v>
      </c>
      <c r="B268" t="s">
        <v>764</v>
      </c>
      <c r="C268" t="s">
        <v>763</v>
      </c>
      <c r="F268" t="s">
        <v>762</v>
      </c>
      <c r="G268" t="s">
        <v>8</v>
      </c>
      <c r="H268" t="s">
        <v>7</v>
      </c>
      <c r="I268" t="s">
        <v>761</v>
      </c>
      <c r="J268">
        <v>60003878</v>
      </c>
      <c r="K268" t="s">
        <v>111</v>
      </c>
      <c r="L268" t="s">
        <v>110</v>
      </c>
      <c r="M268" t="s">
        <v>109</v>
      </c>
      <c r="N268">
        <v>2</v>
      </c>
      <c r="O268" t="s">
        <v>760</v>
      </c>
      <c r="P268" t="s">
        <v>759</v>
      </c>
      <c r="Q268" t="s">
        <v>758</v>
      </c>
      <c r="R268" s="7">
        <v>34516</v>
      </c>
      <c r="S268" s="8">
        <f t="shared" si="32"/>
        <v>1994</v>
      </c>
      <c r="T268" s="8">
        <v>1994</v>
      </c>
      <c r="U268" s="8">
        <f t="shared" si="33"/>
        <v>28</v>
      </c>
      <c r="V268" s="7">
        <v>34516</v>
      </c>
      <c r="W268" t="s">
        <v>389</v>
      </c>
      <c r="X268" s="2">
        <v>0.39800000000000002</v>
      </c>
      <c r="Y268" s="6">
        <f t="shared" si="34"/>
        <v>1.0624382691332319E-2</v>
      </c>
      <c r="AA268" t="s">
        <v>388</v>
      </c>
      <c r="AB268">
        <v>26771</v>
      </c>
      <c r="AC268" t="s">
        <v>387</v>
      </c>
      <c r="AD268" t="s">
        <v>2</v>
      </c>
      <c r="AE268">
        <v>217</v>
      </c>
      <c r="AF268" s="10">
        <v>44228</v>
      </c>
      <c r="AH268" t="s">
        <v>757</v>
      </c>
      <c r="AI268" t="s">
        <v>756</v>
      </c>
      <c r="AK268" t="s">
        <v>755</v>
      </c>
      <c r="AL268">
        <v>27</v>
      </c>
      <c r="AM268" s="5">
        <f t="shared" si="35"/>
        <v>0.9642857142857143</v>
      </c>
      <c r="AN268" s="4">
        <f t="shared" si="36"/>
        <v>1.4604857467409532E-3</v>
      </c>
      <c r="AO268" s="3"/>
      <c r="AP268">
        <v>0</v>
      </c>
      <c r="AR268" t="s">
        <v>1</v>
      </c>
      <c r="AT268" s="2">
        <v>1.83</v>
      </c>
      <c r="AU268" s="1">
        <f t="shared" si="37"/>
        <v>0.78752136079549095</v>
      </c>
      <c r="AV268" s="1">
        <f t="shared" si="38"/>
        <v>0.60424342190366365</v>
      </c>
      <c r="AW268" s="1">
        <f t="shared" si="39"/>
        <v>0.42096548301183634</v>
      </c>
    </row>
    <row r="269" spans="1:49" x14ac:dyDescent="0.2">
      <c r="A269">
        <v>267</v>
      </c>
      <c r="B269" t="s">
        <v>754</v>
      </c>
      <c r="C269" t="s">
        <v>753</v>
      </c>
      <c r="E269">
        <v>11539188</v>
      </c>
      <c r="F269" t="s">
        <v>752</v>
      </c>
      <c r="G269" t="s">
        <v>8</v>
      </c>
      <c r="H269" t="s">
        <v>7</v>
      </c>
      <c r="I269" t="s">
        <v>751</v>
      </c>
      <c r="J269">
        <v>60003892</v>
      </c>
      <c r="K269" t="s">
        <v>31</v>
      </c>
      <c r="L269" t="s">
        <v>30</v>
      </c>
      <c r="M269" t="s">
        <v>19</v>
      </c>
      <c r="N269">
        <v>1</v>
      </c>
      <c r="O269" t="s">
        <v>750</v>
      </c>
      <c r="P269">
        <v>7005345187</v>
      </c>
      <c r="Q269">
        <v>60003892</v>
      </c>
      <c r="R269" s="7">
        <v>34516</v>
      </c>
      <c r="S269" s="8">
        <f t="shared" si="32"/>
        <v>1994</v>
      </c>
      <c r="T269" s="8">
        <v>1994</v>
      </c>
      <c r="U269" s="8">
        <f t="shared" si="33"/>
        <v>28</v>
      </c>
      <c r="V269" s="7">
        <v>34516</v>
      </c>
      <c r="W269" t="s">
        <v>81</v>
      </c>
      <c r="X269" s="2">
        <v>1.1579999999999999</v>
      </c>
      <c r="Y269" s="6">
        <f t="shared" si="34"/>
        <v>3.0912148634579962E-2</v>
      </c>
      <c r="AA269">
        <v>1668595</v>
      </c>
      <c r="AB269">
        <v>14223</v>
      </c>
      <c r="AC269">
        <v>15735079</v>
      </c>
      <c r="AD269" t="s">
        <v>2</v>
      </c>
      <c r="AE269">
        <v>41</v>
      </c>
      <c r="AF269">
        <v>1</v>
      </c>
      <c r="AH269" t="s">
        <v>749</v>
      </c>
      <c r="AI269" t="s">
        <v>748</v>
      </c>
      <c r="AJ269" t="s">
        <v>747</v>
      </c>
      <c r="AK269" t="s">
        <v>746</v>
      </c>
      <c r="AL269">
        <v>76</v>
      </c>
      <c r="AM269" s="5">
        <f t="shared" si="35"/>
        <v>2.7142857142857144</v>
      </c>
      <c r="AN269" s="4">
        <f t="shared" si="36"/>
        <v>4.1109969167523125E-3</v>
      </c>
      <c r="AO269" s="3"/>
      <c r="AP269">
        <v>0</v>
      </c>
      <c r="AR269" t="s">
        <v>1</v>
      </c>
      <c r="AT269" s="2">
        <v>3.573</v>
      </c>
      <c r="AU269" s="1">
        <f t="shared" si="37"/>
        <v>2.2871803119231666</v>
      </c>
      <c r="AV269" s="1">
        <f t="shared" si="38"/>
        <v>1.7511572775666138</v>
      </c>
      <c r="AW269" s="1">
        <f t="shared" si="39"/>
        <v>1.2151342432100607</v>
      </c>
    </row>
    <row r="270" spans="1:49" x14ac:dyDescent="0.2">
      <c r="A270">
        <v>268</v>
      </c>
      <c r="B270" t="s">
        <v>745</v>
      </c>
      <c r="F270" t="s">
        <v>744</v>
      </c>
      <c r="G270" t="s">
        <v>8</v>
      </c>
      <c r="H270" t="s">
        <v>7</v>
      </c>
      <c r="I270" t="s">
        <v>743</v>
      </c>
      <c r="N270">
        <v>1</v>
      </c>
      <c r="O270" t="s">
        <v>742</v>
      </c>
      <c r="P270">
        <v>57197093526</v>
      </c>
      <c r="R270" s="7">
        <v>34516</v>
      </c>
      <c r="S270" s="8">
        <f t="shared" si="32"/>
        <v>1994</v>
      </c>
      <c r="T270" s="8">
        <v>1994</v>
      </c>
      <c r="U270" s="8">
        <f t="shared" si="33"/>
        <v>28</v>
      </c>
      <c r="V270" s="7">
        <v>34335</v>
      </c>
      <c r="W270" t="s">
        <v>741</v>
      </c>
      <c r="X270" s="2" t="s">
        <v>0</v>
      </c>
      <c r="Y270" s="6" t="e">
        <f t="shared" si="34"/>
        <v>#VALUE!</v>
      </c>
      <c r="AA270">
        <v>135127</v>
      </c>
      <c r="AB270">
        <v>17422</v>
      </c>
      <c r="AD270" t="s">
        <v>2</v>
      </c>
      <c r="AE270">
        <v>40</v>
      </c>
      <c r="AF270">
        <v>4</v>
      </c>
      <c r="AH270" t="s">
        <v>740</v>
      </c>
      <c r="AI270" t="s">
        <v>739</v>
      </c>
      <c r="AK270" t="s">
        <v>738</v>
      </c>
      <c r="AL270">
        <v>4</v>
      </c>
      <c r="AM270" s="5">
        <f t="shared" si="35"/>
        <v>0.14285714285714285</v>
      </c>
      <c r="AN270" s="4">
        <f t="shared" si="36"/>
        <v>2.1636825877643749E-4</v>
      </c>
      <c r="AO270" s="3"/>
      <c r="AP270">
        <v>0</v>
      </c>
      <c r="AR270" t="s">
        <v>1</v>
      </c>
      <c r="AT270" s="2" t="s">
        <v>0</v>
      </c>
      <c r="AU270" s="1" t="e">
        <f t="shared" si="37"/>
        <v>#VALUE!</v>
      </c>
      <c r="AV270" s="1" t="e">
        <f t="shared" si="38"/>
        <v>#VALUE!</v>
      </c>
      <c r="AW270" s="1" t="e">
        <f t="shared" si="39"/>
        <v>#VALUE!</v>
      </c>
    </row>
    <row r="271" spans="1:49" x14ac:dyDescent="0.2">
      <c r="A271">
        <v>269</v>
      </c>
      <c r="B271" t="s">
        <v>737</v>
      </c>
      <c r="F271" t="s">
        <v>736</v>
      </c>
      <c r="G271" t="s">
        <v>8</v>
      </c>
      <c r="H271" t="s">
        <v>7</v>
      </c>
      <c r="I271" t="s">
        <v>211</v>
      </c>
      <c r="J271">
        <v>60012771</v>
      </c>
      <c r="K271" t="s">
        <v>139</v>
      </c>
      <c r="L271" t="s">
        <v>56</v>
      </c>
      <c r="M271" t="s">
        <v>19</v>
      </c>
      <c r="N271">
        <v>2</v>
      </c>
      <c r="O271" t="s">
        <v>210</v>
      </c>
      <c r="P271" t="s">
        <v>209</v>
      </c>
      <c r="Q271" t="s">
        <v>138</v>
      </c>
      <c r="R271" s="7">
        <v>34516</v>
      </c>
      <c r="S271" s="8">
        <f t="shared" si="32"/>
        <v>1994</v>
      </c>
      <c r="T271" s="8">
        <v>1994</v>
      </c>
      <c r="U271" s="8">
        <f t="shared" si="33"/>
        <v>28</v>
      </c>
      <c r="V271" s="7">
        <v>34516</v>
      </c>
      <c r="W271" t="s">
        <v>735</v>
      </c>
      <c r="X271" s="2">
        <v>0.69799999999999995</v>
      </c>
      <c r="Y271" s="6">
        <f t="shared" si="34"/>
        <v>1.86327113531406E-2</v>
      </c>
      <c r="AA271">
        <v>219142</v>
      </c>
      <c r="AB271">
        <v>29585</v>
      </c>
      <c r="AD271" t="s">
        <v>2</v>
      </c>
      <c r="AE271">
        <v>42</v>
      </c>
      <c r="AF271">
        <v>3</v>
      </c>
      <c r="AH271" t="s">
        <v>734</v>
      </c>
      <c r="AI271" t="s">
        <v>733</v>
      </c>
      <c r="AK271" t="s">
        <v>732</v>
      </c>
      <c r="AL271">
        <v>5</v>
      </c>
      <c r="AM271" s="5">
        <f t="shared" si="35"/>
        <v>0.17857142857142858</v>
      </c>
      <c r="AN271" s="4">
        <f t="shared" si="36"/>
        <v>2.7046032347054688E-4</v>
      </c>
      <c r="AO271" s="3"/>
      <c r="AP271">
        <v>0</v>
      </c>
      <c r="AR271" t="s">
        <v>1</v>
      </c>
      <c r="AT271" s="2">
        <v>1.5309999999999999</v>
      </c>
      <c r="AU271" s="1">
        <f t="shared" si="37"/>
        <v>1.3124036044239584</v>
      </c>
      <c r="AV271" s="1">
        <f t="shared" si="38"/>
        <v>0.94515858383055729</v>
      </c>
      <c r="AW271" s="1">
        <f t="shared" si="39"/>
        <v>0.57791356323715626</v>
      </c>
    </row>
    <row r="272" spans="1:49" x14ac:dyDescent="0.2">
      <c r="A272">
        <v>270</v>
      </c>
      <c r="B272" t="s">
        <v>731</v>
      </c>
      <c r="F272" t="s">
        <v>730</v>
      </c>
      <c r="G272" t="s">
        <v>8</v>
      </c>
      <c r="H272" t="s">
        <v>7</v>
      </c>
      <c r="I272" t="s">
        <v>729</v>
      </c>
      <c r="J272">
        <v>60024590</v>
      </c>
      <c r="K272" t="s">
        <v>174</v>
      </c>
      <c r="L272" t="s">
        <v>283</v>
      </c>
      <c r="M272" t="s">
        <v>19</v>
      </c>
      <c r="N272">
        <v>2</v>
      </c>
      <c r="O272" t="s">
        <v>728</v>
      </c>
      <c r="P272" t="s">
        <v>727</v>
      </c>
      <c r="Q272" t="s">
        <v>282</v>
      </c>
      <c r="R272" s="7">
        <v>34516</v>
      </c>
      <c r="S272" s="8">
        <f t="shared" si="32"/>
        <v>1994</v>
      </c>
      <c r="T272" s="8">
        <v>1994</v>
      </c>
      <c r="U272" s="8">
        <f t="shared" si="33"/>
        <v>28</v>
      </c>
      <c r="V272" s="7">
        <v>34516</v>
      </c>
      <c r="W272" t="s">
        <v>398</v>
      </c>
      <c r="X272" s="2">
        <v>0.216</v>
      </c>
      <c r="Y272" s="6">
        <f t="shared" si="34"/>
        <v>5.765996636501962E-3</v>
      </c>
      <c r="AA272">
        <v>10544887</v>
      </c>
      <c r="AB272">
        <v>13200</v>
      </c>
      <c r="AD272" t="s">
        <v>2</v>
      </c>
      <c r="AE272">
        <v>9</v>
      </c>
      <c r="AF272">
        <v>3</v>
      </c>
      <c r="AH272" t="s">
        <v>726</v>
      </c>
      <c r="AI272" t="s">
        <v>725</v>
      </c>
      <c r="AK272" t="s">
        <v>724</v>
      </c>
      <c r="AL272">
        <v>2</v>
      </c>
      <c r="AM272" s="5">
        <f t="shared" si="35"/>
        <v>7.1428571428571425E-2</v>
      </c>
      <c r="AN272" s="4">
        <f t="shared" si="36"/>
        <v>1.0818412938821875E-4</v>
      </c>
      <c r="AO272" s="3"/>
      <c r="AP272">
        <v>0</v>
      </c>
      <c r="AR272" t="s">
        <v>1</v>
      </c>
      <c r="AT272" s="2" t="s">
        <v>0</v>
      </c>
      <c r="AU272" s="1">
        <f t="shared" si="37"/>
        <v>0.40686528843678382</v>
      </c>
      <c r="AV272" s="1">
        <f t="shared" si="38"/>
        <v>0.29370903829450906</v>
      </c>
      <c r="AW272" s="1">
        <f t="shared" si="39"/>
        <v>0.18055278815223416</v>
      </c>
    </row>
    <row r="273" spans="1:49" x14ac:dyDescent="0.2">
      <c r="A273">
        <v>271</v>
      </c>
      <c r="B273" t="s">
        <v>723</v>
      </c>
      <c r="C273" t="s">
        <v>722</v>
      </c>
      <c r="E273">
        <v>11539857</v>
      </c>
      <c r="F273" t="s">
        <v>721</v>
      </c>
      <c r="G273" t="s">
        <v>8</v>
      </c>
      <c r="H273" t="s">
        <v>7</v>
      </c>
      <c r="I273" t="s">
        <v>720</v>
      </c>
      <c r="J273">
        <v>60003892</v>
      </c>
      <c r="K273" t="s">
        <v>31</v>
      </c>
      <c r="L273" t="s">
        <v>30</v>
      </c>
      <c r="M273" t="s">
        <v>19</v>
      </c>
      <c r="N273">
        <v>4</v>
      </c>
      <c r="O273" t="s">
        <v>719</v>
      </c>
      <c r="P273" t="s">
        <v>718</v>
      </c>
      <c r="Q273" t="s">
        <v>29</v>
      </c>
      <c r="R273" s="7">
        <v>34516</v>
      </c>
      <c r="S273" s="8">
        <f t="shared" si="32"/>
        <v>1994</v>
      </c>
      <c r="T273" s="8">
        <v>1994</v>
      </c>
      <c r="U273" s="8">
        <f t="shared" si="33"/>
        <v>28</v>
      </c>
      <c r="V273" s="7">
        <v>34516</v>
      </c>
      <c r="W273" t="s">
        <v>81</v>
      </c>
      <c r="X273" s="2">
        <v>1.1579999999999999</v>
      </c>
      <c r="Y273" s="6">
        <f t="shared" si="34"/>
        <v>3.0912148634579962E-2</v>
      </c>
      <c r="AA273">
        <v>1668595</v>
      </c>
      <c r="AB273">
        <v>14223</v>
      </c>
      <c r="AC273">
        <v>15735079</v>
      </c>
      <c r="AD273" t="s">
        <v>2</v>
      </c>
      <c r="AE273">
        <v>41</v>
      </c>
      <c r="AF273">
        <v>1</v>
      </c>
      <c r="AH273" t="s">
        <v>18</v>
      </c>
      <c r="AI273" t="s">
        <v>717</v>
      </c>
      <c r="AJ273" t="s">
        <v>716</v>
      </c>
      <c r="AK273" t="s">
        <v>715</v>
      </c>
      <c r="AL273">
        <v>44</v>
      </c>
      <c r="AM273" s="5">
        <f t="shared" si="35"/>
        <v>1.5714285714285714</v>
      </c>
      <c r="AN273" s="4">
        <f t="shared" si="36"/>
        <v>2.3800508465408126E-3</v>
      </c>
      <c r="AO273" s="3"/>
      <c r="AP273">
        <v>0</v>
      </c>
      <c r="AR273" t="s">
        <v>1</v>
      </c>
      <c r="AT273" s="2">
        <v>3.573</v>
      </c>
      <c r="AU273" s="1">
        <f t="shared" si="37"/>
        <v>2.2352519298168212</v>
      </c>
      <c r="AV273" s="1">
        <f t="shared" si="38"/>
        <v>1.6646099740560389</v>
      </c>
      <c r="AW273" s="1">
        <f t="shared" si="39"/>
        <v>1.0939680182952558</v>
      </c>
    </row>
    <row r="274" spans="1:49" x14ac:dyDescent="0.2">
      <c r="A274">
        <v>272</v>
      </c>
      <c r="B274" t="s">
        <v>714</v>
      </c>
      <c r="F274" t="s">
        <v>713</v>
      </c>
      <c r="G274" t="s">
        <v>8</v>
      </c>
      <c r="H274" t="s">
        <v>7</v>
      </c>
      <c r="I274" t="s">
        <v>712</v>
      </c>
      <c r="N274">
        <v>2</v>
      </c>
      <c r="O274" t="s">
        <v>711</v>
      </c>
      <c r="P274" t="s">
        <v>710</v>
      </c>
      <c r="Q274" t="s">
        <v>133</v>
      </c>
      <c r="R274" s="7">
        <v>34516</v>
      </c>
      <c r="S274" s="8">
        <f t="shared" si="32"/>
        <v>1994</v>
      </c>
      <c r="T274" s="8">
        <v>1994</v>
      </c>
      <c r="U274" s="8">
        <f t="shared" si="33"/>
        <v>28</v>
      </c>
      <c r="V274" s="7">
        <v>34516</v>
      </c>
      <c r="W274" t="s">
        <v>709</v>
      </c>
      <c r="X274" s="2">
        <v>0.251</v>
      </c>
      <c r="Y274" s="6">
        <f t="shared" si="34"/>
        <v>6.7003016470462617E-3</v>
      </c>
      <c r="AA274">
        <v>13542575</v>
      </c>
      <c r="AB274">
        <v>21069</v>
      </c>
      <c r="AD274" t="s">
        <v>2</v>
      </c>
      <c r="AE274">
        <v>36</v>
      </c>
      <c r="AF274">
        <v>7</v>
      </c>
      <c r="AH274" t="s">
        <v>708</v>
      </c>
      <c r="AI274" t="s">
        <v>707</v>
      </c>
      <c r="AK274" t="s">
        <v>706</v>
      </c>
      <c r="AL274">
        <v>1</v>
      </c>
      <c r="AM274" s="5">
        <f t="shared" si="35"/>
        <v>3.5714285714285712E-2</v>
      </c>
      <c r="AN274" s="4">
        <f t="shared" si="36"/>
        <v>5.4092064694109373E-5</v>
      </c>
      <c r="AO274" s="3"/>
      <c r="AP274">
        <v>0</v>
      </c>
      <c r="AR274" t="s">
        <v>1</v>
      </c>
      <c r="AT274" s="2" t="s">
        <v>0</v>
      </c>
      <c r="AU274" s="1">
        <f t="shared" si="37"/>
        <v>0.47064387723406154</v>
      </c>
      <c r="AV274" s="1">
        <f t="shared" si="38"/>
        <v>0.33771968558701854</v>
      </c>
      <c r="AW274" s="1">
        <f t="shared" si="39"/>
        <v>0.20479549393997548</v>
      </c>
    </row>
    <row r="275" spans="1:49" x14ac:dyDescent="0.2">
      <c r="A275">
        <v>273</v>
      </c>
      <c r="B275" t="s">
        <v>705</v>
      </c>
      <c r="C275" t="s">
        <v>704</v>
      </c>
      <c r="F275" t="s">
        <v>703</v>
      </c>
      <c r="G275" t="s">
        <v>8</v>
      </c>
      <c r="H275" t="s">
        <v>7</v>
      </c>
      <c r="I275" t="s">
        <v>702</v>
      </c>
      <c r="J275" t="s">
        <v>697</v>
      </c>
      <c r="K275" t="s">
        <v>701</v>
      </c>
      <c r="L275" t="s">
        <v>700</v>
      </c>
      <c r="M275" t="s">
        <v>12</v>
      </c>
      <c r="N275">
        <v>2</v>
      </c>
      <c r="O275" t="s">
        <v>699</v>
      </c>
      <c r="P275" t="s">
        <v>698</v>
      </c>
      <c r="Q275" t="s">
        <v>697</v>
      </c>
      <c r="R275" s="7">
        <v>34516</v>
      </c>
      <c r="S275" s="8">
        <f t="shared" si="32"/>
        <v>1994</v>
      </c>
      <c r="T275" s="8">
        <v>1994</v>
      </c>
      <c r="U275" s="8">
        <f t="shared" si="33"/>
        <v>28</v>
      </c>
      <c r="V275" s="7">
        <v>34516</v>
      </c>
      <c r="W275" t="s">
        <v>696</v>
      </c>
      <c r="X275" s="2">
        <v>0.33700000000000002</v>
      </c>
      <c r="Y275" s="6">
        <f t="shared" si="34"/>
        <v>8.9960225300979701E-3</v>
      </c>
      <c r="AA275">
        <v>9236082</v>
      </c>
      <c r="AB275">
        <v>12409</v>
      </c>
      <c r="AC275">
        <v>15730824</v>
      </c>
      <c r="AD275" t="s">
        <v>2</v>
      </c>
      <c r="AE275">
        <v>5</v>
      </c>
      <c r="AF275">
        <v>3</v>
      </c>
      <c r="AH275" t="s">
        <v>695</v>
      </c>
      <c r="AI275" t="s">
        <v>694</v>
      </c>
      <c r="AJ275" t="s">
        <v>693</v>
      </c>
      <c r="AK275" t="s">
        <v>692</v>
      </c>
      <c r="AL275">
        <v>81</v>
      </c>
      <c r="AM275" s="5">
        <f t="shared" si="35"/>
        <v>2.8928571428571428</v>
      </c>
      <c r="AN275" s="4">
        <f t="shared" si="36"/>
        <v>4.381457240222859E-3</v>
      </c>
      <c r="AO275" s="3"/>
      <c r="AP275">
        <v>0</v>
      </c>
      <c r="AR275" t="s">
        <v>1</v>
      </c>
      <c r="AT275" s="2" t="s">
        <v>0</v>
      </c>
      <c r="AU275" s="1">
        <f t="shared" si="37"/>
        <v>0.76116529431354363</v>
      </c>
      <c r="AV275" s="1">
        <f t="shared" si="38"/>
        <v>0.66887398851604141</v>
      </c>
      <c r="AW275" s="1">
        <f t="shared" si="39"/>
        <v>0.57658268271853919</v>
      </c>
    </row>
    <row r="276" spans="1:49" x14ac:dyDescent="0.2">
      <c r="A276">
        <v>274</v>
      </c>
      <c r="B276" t="s">
        <v>691</v>
      </c>
      <c r="C276" t="s">
        <v>690</v>
      </c>
      <c r="F276" t="s">
        <v>689</v>
      </c>
      <c r="G276" t="s">
        <v>8</v>
      </c>
      <c r="H276" t="s">
        <v>7</v>
      </c>
      <c r="I276" t="s">
        <v>688</v>
      </c>
      <c r="J276">
        <v>60068504</v>
      </c>
      <c r="K276" t="s">
        <v>240</v>
      </c>
      <c r="L276" t="s">
        <v>153</v>
      </c>
      <c r="M276" t="s">
        <v>152</v>
      </c>
      <c r="N276">
        <v>1</v>
      </c>
      <c r="O276" t="s">
        <v>687</v>
      </c>
      <c r="P276">
        <v>6603407619</v>
      </c>
      <c r="Q276">
        <v>60068504</v>
      </c>
      <c r="R276" s="7">
        <v>34516</v>
      </c>
      <c r="S276" s="8">
        <f t="shared" si="32"/>
        <v>1994</v>
      </c>
      <c r="T276" s="8">
        <v>1994</v>
      </c>
      <c r="U276" s="8">
        <f t="shared" si="33"/>
        <v>28</v>
      </c>
      <c r="V276" s="7">
        <v>34516</v>
      </c>
      <c r="W276" t="s">
        <v>32</v>
      </c>
      <c r="X276" s="2">
        <v>0.61499999999999999</v>
      </c>
      <c r="Y276" s="6">
        <f t="shared" si="34"/>
        <v>1.6417073756706976E-2</v>
      </c>
      <c r="AA276">
        <v>1959271</v>
      </c>
      <c r="AB276">
        <v>12141</v>
      </c>
      <c r="AC276">
        <v>15729559</v>
      </c>
      <c r="AD276" t="s">
        <v>2</v>
      </c>
      <c r="AE276">
        <v>15</v>
      </c>
      <c r="AF276">
        <v>7</v>
      </c>
      <c r="AH276" t="s">
        <v>686</v>
      </c>
      <c r="AI276" t="s">
        <v>685</v>
      </c>
      <c r="AJ276" t="s">
        <v>684</v>
      </c>
      <c r="AK276" t="s">
        <v>683</v>
      </c>
      <c r="AL276">
        <v>3</v>
      </c>
      <c r="AM276" s="5">
        <f t="shared" si="35"/>
        <v>0.10714285714285714</v>
      </c>
      <c r="AN276" s="4">
        <f t="shared" si="36"/>
        <v>1.6227619408232811E-4</v>
      </c>
      <c r="AO276" s="3"/>
      <c r="AP276">
        <v>0</v>
      </c>
      <c r="AR276" t="s">
        <v>1</v>
      </c>
      <c r="AT276" s="2" t="s">
        <v>0</v>
      </c>
      <c r="AU276" s="1">
        <f t="shared" si="37"/>
        <v>1.1540634487919581</v>
      </c>
      <c r="AV276" s="1">
        <f t="shared" si="38"/>
        <v>0.8289674975394653</v>
      </c>
      <c r="AW276" s="1">
        <f t="shared" si="39"/>
        <v>0.50387154628697217</v>
      </c>
    </row>
    <row r="277" spans="1:49" x14ac:dyDescent="0.2">
      <c r="A277">
        <v>275</v>
      </c>
      <c r="B277" t="s">
        <v>682</v>
      </c>
      <c r="C277" t="s">
        <v>681</v>
      </c>
      <c r="F277" t="s">
        <v>680</v>
      </c>
      <c r="G277" t="s">
        <v>8</v>
      </c>
      <c r="H277" t="s">
        <v>7</v>
      </c>
      <c r="I277" t="s">
        <v>679</v>
      </c>
      <c r="J277">
        <v>60019269</v>
      </c>
      <c r="K277" t="s">
        <v>678</v>
      </c>
      <c r="L277" t="s">
        <v>677</v>
      </c>
      <c r="M277" t="s">
        <v>10</v>
      </c>
      <c r="N277">
        <v>9</v>
      </c>
      <c r="O277" t="s">
        <v>676</v>
      </c>
      <c r="P277" t="s">
        <v>675</v>
      </c>
      <c r="Q277" t="s">
        <v>674</v>
      </c>
      <c r="R277" s="7">
        <v>34516</v>
      </c>
      <c r="S277" s="8">
        <f t="shared" si="32"/>
        <v>1994</v>
      </c>
      <c r="T277" s="8">
        <v>1994</v>
      </c>
      <c r="U277" s="8">
        <f t="shared" si="33"/>
        <v>28</v>
      </c>
      <c r="V277" s="7">
        <v>34516</v>
      </c>
      <c r="W277" t="s">
        <v>428</v>
      </c>
      <c r="X277" s="2" t="s">
        <v>0</v>
      </c>
      <c r="Y277" s="6" t="e">
        <f t="shared" si="34"/>
        <v>#VALUE!</v>
      </c>
      <c r="AA277">
        <v>11554320</v>
      </c>
      <c r="AB277">
        <v>33739</v>
      </c>
      <c r="AD277" t="s">
        <v>2</v>
      </c>
      <c r="AE277">
        <v>4</v>
      </c>
      <c r="AF277">
        <v>7</v>
      </c>
      <c r="AH277" t="s">
        <v>673</v>
      </c>
      <c r="AI277" t="s">
        <v>672</v>
      </c>
      <c r="AK277" t="s">
        <v>671</v>
      </c>
      <c r="AL277">
        <v>16</v>
      </c>
      <c r="AM277" s="5">
        <f t="shared" si="35"/>
        <v>0.5714285714285714</v>
      </c>
      <c r="AN277" s="4">
        <f t="shared" si="36"/>
        <v>8.6547303510574997E-4</v>
      </c>
      <c r="AO277" s="3"/>
      <c r="AP277">
        <v>0</v>
      </c>
      <c r="AR277" t="s">
        <v>1</v>
      </c>
      <c r="AT277" s="2" t="s">
        <v>0</v>
      </c>
      <c r="AU277" s="1" t="e">
        <f t="shared" si="37"/>
        <v>#VALUE!</v>
      </c>
      <c r="AV277" s="1" t="e">
        <f t="shared" si="38"/>
        <v>#VALUE!</v>
      </c>
      <c r="AW277" s="1" t="e">
        <f t="shared" si="39"/>
        <v>#VALUE!</v>
      </c>
    </row>
    <row r="278" spans="1:49" x14ac:dyDescent="0.2">
      <c r="A278">
        <v>276</v>
      </c>
      <c r="B278" t="s">
        <v>670</v>
      </c>
      <c r="F278" t="s">
        <v>669</v>
      </c>
      <c r="G278" t="s">
        <v>8</v>
      </c>
      <c r="H278" t="s">
        <v>7</v>
      </c>
      <c r="I278" t="s">
        <v>668</v>
      </c>
      <c r="J278">
        <v>60010491</v>
      </c>
      <c r="K278" t="s">
        <v>129</v>
      </c>
      <c r="L278" t="s">
        <v>128</v>
      </c>
      <c r="M278" t="s">
        <v>19</v>
      </c>
      <c r="N278">
        <v>3</v>
      </c>
      <c r="O278" t="s">
        <v>667</v>
      </c>
      <c r="P278" t="s">
        <v>666</v>
      </c>
      <c r="Q278" t="s">
        <v>231</v>
      </c>
      <c r="R278" s="7">
        <v>34516</v>
      </c>
      <c r="S278" s="8">
        <f t="shared" si="32"/>
        <v>1994</v>
      </c>
      <c r="T278" s="8">
        <v>1994</v>
      </c>
      <c r="U278" s="8">
        <f t="shared" si="33"/>
        <v>28</v>
      </c>
      <c r="V278" s="7">
        <v>34516</v>
      </c>
      <c r="W278" t="s">
        <v>402</v>
      </c>
      <c r="X278" s="2">
        <v>0.54700000000000004</v>
      </c>
      <c r="Y278" s="6">
        <f t="shared" si="34"/>
        <v>1.4601852593363766E-2</v>
      </c>
      <c r="AA278">
        <v>11096</v>
      </c>
      <c r="AB278">
        <v>31211</v>
      </c>
      <c r="AD278" t="s">
        <v>2</v>
      </c>
      <c r="AE278">
        <v>48</v>
      </c>
      <c r="AF278">
        <v>4</v>
      </c>
      <c r="AH278" t="s">
        <v>665</v>
      </c>
      <c r="AI278" t="s">
        <v>664</v>
      </c>
      <c r="AK278" t="s">
        <v>663</v>
      </c>
      <c r="AL278">
        <v>3</v>
      </c>
      <c r="AM278" s="5">
        <f t="shared" si="35"/>
        <v>0.10714285714285714</v>
      </c>
      <c r="AN278" s="4">
        <f t="shared" si="36"/>
        <v>1.6227619408232811E-4</v>
      </c>
      <c r="AO278" s="3"/>
      <c r="AP278">
        <v>0</v>
      </c>
      <c r="AR278" t="s">
        <v>1</v>
      </c>
      <c r="AT278" s="2" t="s">
        <v>0</v>
      </c>
      <c r="AU278" s="1">
        <f t="shared" si="37"/>
        <v>1.0269979673579335</v>
      </c>
      <c r="AV278" s="1">
        <f t="shared" si="38"/>
        <v>0.73820643937230468</v>
      </c>
      <c r="AW278" s="1">
        <f t="shared" si="39"/>
        <v>0.44941491138667589</v>
      </c>
    </row>
    <row r="279" spans="1:49" x14ac:dyDescent="0.2">
      <c r="A279">
        <v>277</v>
      </c>
      <c r="B279" t="s">
        <v>662</v>
      </c>
      <c r="F279" t="s">
        <v>661</v>
      </c>
      <c r="G279" t="s">
        <v>8</v>
      </c>
      <c r="H279" t="s">
        <v>7</v>
      </c>
      <c r="I279" t="s">
        <v>660</v>
      </c>
      <c r="J279">
        <v>60084148</v>
      </c>
      <c r="K279" t="s">
        <v>659</v>
      </c>
      <c r="L279" t="s">
        <v>658</v>
      </c>
      <c r="M279" t="s">
        <v>53</v>
      </c>
      <c r="N279">
        <v>2</v>
      </c>
      <c r="O279" t="s">
        <v>657</v>
      </c>
      <c r="P279" t="s">
        <v>656</v>
      </c>
      <c r="Q279" t="s">
        <v>655</v>
      </c>
      <c r="R279" s="7">
        <v>34516</v>
      </c>
      <c r="S279" s="8">
        <f t="shared" si="32"/>
        <v>1994</v>
      </c>
      <c r="T279" s="8">
        <v>1994</v>
      </c>
      <c r="U279" s="8">
        <f t="shared" si="33"/>
        <v>28</v>
      </c>
      <c r="V279" s="7">
        <v>34516</v>
      </c>
      <c r="W279" t="s">
        <v>119</v>
      </c>
      <c r="X279" s="2">
        <v>0.21099999999999999</v>
      </c>
      <c r="Y279" s="6">
        <f t="shared" si="34"/>
        <v>5.6325244921384904E-3</v>
      </c>
      <c r="AA279">
        <v>9168516</v>
      </c>
      <c r="AB279">
        <v>18936</v>
      </c>
      <c r="AD279" t="s">
        <v>2</v>
      </c>
      <c r="AE279" t="s">
        <v>118</v>
      </c>
      <c r="AF279">
        <v>7</v>
      </c>
      <c r="AH279" t="s">
        <v>654</v>
      </c>
      <c r="AI279" t="s">
        <v>653</v>
      </c>
      <c r="AK279" t="s">
        <v>652</v>
      </c>
      <c r="AL279">
        <v>0</v>
      </c>
      <c r="AM279" s="5">
        <f t="shared" si="35"/>
        <v>0</v>
      </c>
      <c r="AN279" s="4">
        <f t="shared" si="36"/>
        <v>0</v>
      </c>
      <c r="AO279" s="3"/>
      <c r="AP279">
        <v>0</v>
      </c>
      <c r="AR279" t="s">
        <v>1</v>
      </c>
      <c r="AT279" s="2">
        <v>0.52500000000000002</v>
      </c>
      <c r="AU279" s="1">
        <f t="shared" si="37"/>
        <v>0.39427671444969431</v>
      </c>
      <c r="AV279" s="1">
        <f t="shared" si="38"/>
        <v>0.28162622460692455</v>
      </c>
      <c r="AW279" s="1">
        <f t="shared" si="39"/>
        <v>0.1689757347641547</v>
      </c>
    </row>
    <row r="280" spans="1:49" x14ac:dyDescent="0.2">
      <c r="A280">
        <v>278</v>
      </c>
      <c r="B280" t="s">
        <v>651</v>
      </c>
      <c r="F280" t="s">
        <v>650</v>
      </c>
      <c r="G280" t="s">
        <v>8</v>
      </c>
      <c r="H280" t="s">
        <v>7</v>
      </c>
      <c r="I280" t="s">
        <v>442</v>
      </c>
      <c r="J280">
        <v>60009697</v>
      </c>
      <c r="K280" t="s">
        <v>234</v>
      </c>
      <c r="L280" t="s">
        <v>233</v>
      </c>
      <c r="M280" t="s">
        <v>47</v>
      </c>
      <c r="N280">
        <v>2</v>
      </c>
      <c r="O280" t="s">
        <v>649</v>
      </c>
      <c r="P280" t="s">
        <v>440</v>
      </c>
      <c r="Q280" t="s">
        <v>232</v>
      </c>
      <c r="R280" s="7">
        <v>34516</v>
      </c>
      <c r="S280" s="8">
        <f t="shared" si="32"/>
        <v>1994</v>
      </c>
      <c r="T280" s="8">
        <v>1994</v>
      </c>
      <c r="U280" s="8">
        <f t="shared" si="33"/>
        <v>28</v>
      </c>
      <c r="V280" s="7">
        <v>34516</v>
      </c>
      <c r="W280" t="s">
        <v>402</v>
      </c>
      <c r="X280" s="2">
        <v>0.54700000000000004</v>
      </c>
      <c r="Y280" s="6">
        <f t="shared" si="34"/>
        <v>1.4601852593363766E-2</v>
      </c>
      <c r="AA280">
        <v>11096</v>
      </c>
      <c r="AB280">
        <v>31211</v>
      </c>
      <c r="AD280" t="s">
        <v>2</v>
      </c>
      <c r="AE280">
        <v>48</v>
      </c>
      <c r="AF280">
        <v>4</v>
      </c>
      <c r="AH280" t="s">
        <v>648</v>
      </c>
      <c r="AI280" t="s">
        <v>647</v>
      </c>
      <c r="AK280" t="s">
        <v>646</v>
      </c>
      <c r="AL280">
        <v>3</v>
      </c>
      <c r="AM280" s="5">
        <f t="shared" si="35"/>
        <v>0.10714285714285714</v>
      </c>
      <c r="AN280" s="4">
        <f t="shared" si="36"/>
        <v>1.6227619408232811E-4</v>
      </c>
      <c r="AO280" s="3"/>
      <c r="AP280">
        <v>0</v>
      </c>
      <c r="AR280" t="s">
        <v>1</v>
      </c>
      <c r="AT280" s="2" t="s">
        <v>0</v>
      </c>
      <c r="AU280" s="1">
        <f t="shared" si="37"/>
        <v>1.0269979673579335</v>
      </c>
      <c r="AV280" s="1">
        <f t="shared" si="38"/>
        <v>0.73820643937230468</v>
      </c>
      <c r="AW280" s="1">
        <f t="shared" si="39"/>
        <v>0.44941491138667589</v>
      </c>
    </row>
    <row r="281" spans="1:49" x14ac:dyDescent="0.2">
      <c r="A281">
        <v>279</v>
      </c>
      <c r="B281" t="s">
        <v>645</v>
      </c>
      <c r="C281" t="s">
        <v>644</v>
      </c>
      <c r="F281" t="s">
        <v>643</v>
      </c>
      <c r="G281" t="s">
        <v>8</v>
      </c>
      <c r="H281" t="s">
        <v>7</v>
      </c>
      <c r="I281" t="s">
        <v>589</v>
      </c>
      <c r="J281">
        <v>60016418</v>
      </c>
      <c r="K281" t="s">
        <v>588</v>
      </c>
      <c r="L281" t="s">
        <v>587</v>
      </c>
      <c r="M281" t="s">
        <v>4</v>
      </c>
      <c r="N281">
        <v>2</v>
      </c>
      <c r="O281" t="s">
        <v>642</v>
      </c>
      <c r="P281" t="s">
        <v>641</v>
      </c>
      <c r="Q281" t="s">
        <v>640</v>
      </c>
      <c r="R281" s="7">
        <v>34516</v>
      </c>
      <c r="S281" s="8">
        <f t="shared" si="32"/>
        <v>1994</v>
      </c>
      <c r="T281" s="8">
        <v>1994</v>
      </c>
      <c r="U281" s="8">
        <f t="shared" si="33"/>
        <v>28</v>
      </c>
      <c r="V281" s="7">
        <v>34516</v>
      </c>
      <c r="W281" s="11" t="s">
        <v>573</v>
      </c>
      <c r="X281" s="2">
        <v>2.383</v>
      </c>
      <c r="Y281" s="6">
        <f t="shared" si="34"/>
        <v>6.3612824003630442E-2</v>
      </c>
      <c r="AA281">
        <v>13502344</v>
      </c>
      <c r="AB281">
        <v>17419</v>
      </c>
      <c r="AD281" t="s">
        <v>2</v>
      </c>
      <c r="AE281">
        <v>141</v>
      </c>
      <c r="AF281">
        <v>4</v>
      </c>
      <c r="AH281" t="s">
        <v>639</v>
      </c>
      <c r="AI281" t="s">
        <v>638</v>
      </c>
      <c r="AK281" t="s">
        <v>637</v>
      </c>
      <c r="AL281">
        <v>1</v>
      </c>
      <c r="AM281" s="5">
        <f t="shared" si="35"/>
        <v>3.5714285714285712E-2</v>
      </c>
      <c r="AN281" s="4">
        <f t="shared" si="36"/>
        <v>5.4092064694109373E-5</v>
      </c>
      <c r="AO281" s="3"/>
      <c r="AP281">
        <v>0</v>
      </c>
      <c r="AR281" t="s">
        <v>1</v>
      </c>
      <c r="AT281" s="2" t="s">
        <v>0</v>
      </c>
      <c r="AU281" s="1">
        <f t="shared" si="37"/>
        <v>4.454520442194954</v>
      </c>
      <c r="AV281" s="1">
        <f t="shared" si="38"/>
        <v>3.1833458034162274</v>
      </c>
      <c r="AW281" s="1">
        <f t="shared" si="39"/>
        <v>1.9121711646375008</v>
      </c>
    </row>
    <row r="282" spans="1:49" x14ac:dyDescent="0.2">
      <c r="A282">
        <v>280</v>
      </c>
      <c r="B282" t="s">
        <v>636</v>
      </c>
      <c r="F282" t="s">
        <v>635</v>
      </c>
      <c r="G282" t="s">
        <v>8</v>
      </c>
      <c r="H282" t="s">
        <v>7</v>
      </c>
      <c r="I282" t="s">
        <v>595</v>
      </c>
      <c r="N282">
        <v>1</v>
      </c>
      <c r="O282" t="s">
        <v>316</v>
      </c>
      <c r="P282">
        <v>1</v>
      </c>
      <c r="R282" s="7">
        <v>34516</v>
      </c>
      <c r="S282" s="8">
        <f t="shared" si="32"/>
        <v>1994</v>
      </c>
      <c r="T282" s="8">
        <v>1994</v>
      </c>
      <c r="U282" s="8">
        <f t="shared" si="33"/>
        <v>28</v>
      </c>
      <c r="V282" s="7">
        <v>34516</v>
      </c>
      <c r="W282" t="s">
        <v>112</v>
      </c>
      <c r="X282" s="2">
        <v>0.10100000000000001</v>
      </c>
      <c r="Y282" s="6">
        <f t="shared" si="34"/>
        <v>2.6961373161421215E-3</v>
      </c>
      <c r="AA282">
        <v>7452993</v>
      </c>
      <c r="AB282">
        <v>18563</v>
      </c>
      <c r="AD282" t="s">
        <v>2</v>
      </c>
      <c r="AE282">
        <v>33</v>
      </c>
      <c r="AF282">
        <v>7</v>
      </c>
      <c r="AI282" t="s">
        <v>634</v>
      </c>
      <c r="AK282" t="s">
        <v>633</v>
      </c>
      <c r="AL282">
        <v>0</v>
      </c>
      <c r="AM282" s="5">
        <f t="shared" si="35"/>
        <v>0</v>
      </c>
      <c r="AN282" s="4">
        <f t="shared" si="36"/>
        <v>0</v>
      </c>
      <c r="AO282" s="3"/>
      <c r="AP282">
        <v>0</v>
      </c>
      <c r="AR282" t="s">
        <v>1</v>
      </c>
      <c r="AT282" s="2" t="s">
        <v>0</v>
      </c>
      <c r="AU282" s="1">
        <f t="shared" si="37"/>
        <v>0.18872961212994849</v>
      </c>
      <c r="AV282" s="1">
        <f t="shared" si="38"/>
        <v>0.13480686580710607</v>
      </c>
      <c r="AW282" s="1">
        <f t="shared" si="39"/>
        <v>8.0884119484263647E-2</v>
      </c>
    </row>
    <row r="283" spans="1:49" x14ac:dyDescent="0.2">
      <c r="A283">
        <v>281</v>
      </c>
      <c r="B283" t="s">
        <v>632</v>
      </c>
      <c r="F283" t="s">
        <v>631</v>
      </c>
      <c r="G283" t="s">
        <v>8</v>
      </c>
      <c r="H283" t="s">
        <v>7</v>
      </c>
      <c r="I283" t="s">
        <v>630</v>
      </c>
      <c r="J283">
        <v>60000990</v>
      </c>
      <c r="K283" t="s">
        <v>238</v>
      </c>
      <c r="L283" t="s">
        <v>237</v>
      </c>
      <c r="M283" t="s">
        <v>86</v>
      </c>
      <c r="N283">
        <v>3</v>
      </c>
      <c r="O283" t="s">
        <v>629</v>
      </c>
      <c r="P283" t="s">
        <v>628</v>
      </c>
      <c r="Q283" t="s">
        <v>627</v>
      </c>
      <c r="R283" s="7">
        <v>34516</v>
      </c>
      <c r="S283" s="8">
        <f t="shared" si="32"/>
        <v>1994</v>
      </c>
      <c r="T283" s="8">
        <v>1994</v>
      </c>
      <c r="U283" s="8">
        <f t="shared" si="33"/>
        <v>28</v>
      </c>
      <c r="V283" s="7">
        <v>34516</v>
      </c>
      <c r="W283" t="s">
        <v>112</v>
      </c>
      <c r="X283" s="2">
        <v>0.10100000000000001</v>
      </c>
      <c r="Y283" s="6">
        <f t="shared" si="34"/>
        <v>2.6961373161421215E-3</v>
      </c>
      <c r="AA283">
        <v>7452993</v>
      </c>
      <c r="AB283">
        <v>18563</v>
      </c>
      <c r="AD283" t="s">
        <v>2</v>
      </c>
      <c r="AE283">
        <v>33</v>
      </c>
      <c r="AF283">
        <v>7</v>
      </c>
      <c r="AI283" t="s">
        <v>626</v>
      </c>
      <c r="AK283" t="s">
        <v>625</v>
      </c>
      <c r="AL283">
        <v>14</v>
      </c>
      <c r="AM283" s="5">
        <f t="shared" si="35"/>
        <v>0.5</v>
      </c>
      <c r="AN283" s="4">
        <f t="shared" si="36"/>
        <v>7.572889057175312E-4</v>
      </c>
      <c r="AO283" s="3"/>
      <c r="AP283">
        <v>0</v>
      </c>
      <c r="AR283" t="s">
        <v>1</v>
      </c>
      <c r="AT283" s="2" t="s">
        <v>0</v>
      </c>
      <c r="AU283" s="1">
        <f t="shared" si="37"/>
        <v>0.21144827930147442</v>
      </c>
      <c r="AV283" s="1">
        <f t="shared" si="38"/>
        <v>0.17267131109298264</v>
      </c>
      <c r="AW283" s="1">
        <f t="shared" si="39"/>
        <v>0.13389434288449084</v>
      </c>
    </row>
    <row r="284" spans="1:49" x14ac:dyDescent="0.2">
      <c r="A284">
        <v>282</v>
      </c>
      <c r="B284" t="s">
        <v>624</v>
      </c>
      <c r="F284" t="s">
        <v>623</v>
      </c>
      <c r="G284" t="s">
        <v>8</v>
      </c>
      <c r="H284" t="s">
        <v>7</v>
      </c>
      <c r="I284" t="s">
        <v>622</v>
      </c>
      <c r="J284">
        <v>101321021</v>
      </c>
      <c r="K284" t="s">
        <v>621</v>
      </c>
      <c r="M284" t="s">
        <v>10</v>
      </c>
      <c r="N284">
        <v>3</v>
      </c>
      <c r="O284" t="s">
        <v>620</v>
      </c>
      <c r="P284" t="s">
        <v>619</v>
      </c>
      <c r="Q284" t="s">
        <v>618</v>
      </c>
      <c r="R284" s="7">
        <v>34516</v>
      </c>
      <c r="S284" s="8">
        <f t="shared" si="32"/>
        <v>1994</v>
      </c>
      <c r="T284" s="8">
        <v>1994</v>
      </c>
      <c r="U284" s="8">
        <f t="shared" si="33"/>
        <v>28</v>
      </c>
      <c r="V284" s="7">
        <v>34516</v>
      </c>
      <c r="W284" t="s">
        <v>112</v>
      </c>
      <c r="X284" s="2">
        <v>0.10100000000000001</v>
      </c>
      <c r="Y284" s="6">
        <f t="shared" si="34"/>
        <v>2.6961373161421215E-3</v>
      </c>
      <c r="AA284">
        <v>7452993</v>
      </c>
      <c r="AB284">
        <v>18563</v>
      </c>
      <c r="AD284" t="s">
        <v>2</v>
      </c>
      <c r="AE284">
        <v>33</v>
      </c>
      <c r="AF284">
        <v>7</v>
      </c>
      <c r="AI284" t="s">
        <v>617</v>
      </c>
      <c r="AK284" t="s">
        <v>616</v>
      </c>
      <c r="AL284">
        <v>1</v>
      </c>
      <c r="AM284" s="5">
        <f t="shared" si="35"/>
        <v>3.5714285714285712E-2</v>
      </c>
      <c r="AN284" s="4">
        <f t="shared" si="36"/>
        <v>5.4092064694109373E-5</v>
      </c>
      <c r="AO284" s="3"/>
      <c r="AP284">
        <v>0</v>
      </c>
      <c r="AR284" t="s">
        <v>1</v>
      </c>
      <c r="AT284" s="2" t="s">
        <v>0</v>
      </c>
      <c r="AU284" s="1">
        <f t="shared" si="37"/>
        <v>0.19035237407077177</v>
      </c>
      <c r="AV284" s="1">
        <f t="shared" si="38"/>
        <v>0.13751146904181155</v>
      </c>
      <c r="AW284" s="1">
        <f t="shared" si="39"/>
        <v>8.4670564012851307E-2</v>
      </c>
    </row>
    <row r="285" spans="1:49" x14ac:dyDescent="0.2">
      <c r="A285">
        <v>283</v>
      </c>
      <c r="B285" t="s">
        <v>615</v>
      </c>
      <c r="F285" t="s">
        <v>614</v>
      </c>
      <c r="G285" t="s">
        <v>8</v>
      </c>
      <c r="H285" t="s">
        <v>7</v>
      </c>
      <c r="I285" t="s">
        <v>613</v>
      </c>
      <c r="J285">
        <v>60031838</v>
      </c>
      <c r="K285" t="s">
        <v>612</v>
      </c>
      <c r="L285" t="s">
        <v>611</v>
      </c>
      <c r="M285" t="s">
        <v>53</v>
      </c>
      <c r="N285">
        <v>4</v>
      </c>
      <c r="O285" t="s">
        <v>610</v>
      </c>
      <c r="P285" t="s">
        <v>609</v>
      </c>
      <c r="Q285" t="s">
        <v>608</v>
      </c>
      <c r="R285" s="7">
        <v>34516</v>
      </c>
      <c r="S285" s="8">
        <f t="shared" si="32"/>
        <v>1994</v>
      </c>
      <c r="T285" s="8">
        <v>1994</v>
      </c>
      <c r="U285" s="8">
        <f t="shared" si="33"/>
        <v>28</v>
      </c>
      <c r="V285" s="7">
        <v>34516</v>
      </c>
      <c r="W285" t="s">
        <v>119</v>
      </c>
      <c r="X285" s="2">
        <v>0.21099999999999999</v>
      </c>
      <c r="Y285" s="6">
        <f t="shared" si="34"/>
        <v>5.6325244921384904E-3</v>
      </c>
      <c r="AA285">
        <v>9168516</v>
      </c>
      <c r="AB285">
        <v>18936</v>
      </c>
      <c r="AD285" t="s">
        <v>2</v>
      </c>
      <c r="AE285" t="s">
        <v>118</v>
      </c>
      <c r="AF285">
        <v>7</v>
      </c>
      <c r="AH285" t="s">
        <v>607</v>
      </c>
      <c r="AI285" t="s">
        <v>606</v>
      </c>
      <c r="AK285" t="s">
        <v>605</v>
      </c>
      <c r="AL285">
        <v>2</v>
      </c>
      <c r="AM285" s="5">
        <f t="shared" si="35"/>
        <v>7.1428571428571425E-2</v>
      </c>
      <c r="AN285" s="4">
        <f t="shared" si="36"/>
        <v>1.0818412938821875E-4</v>
      </c>
      <c r="AO285" s="3"/>
      <c r="AP285">
        <v>0</v>
      </c>
      <c r="AR285" t="s">
        <v>1</v>
      </c>
      <c r="AT285" s="2">
        <v>0.52500000000000002</v>
      </c>
      <c r="AU285" s="1">
        <f t="shared" si="37"/>
        <v>0.39752223833134082</v>
      </c>
      <c r="AV285" s="1">
        <f t="shared" si="38"/>
        <v>0.28703543107633545</v>
      </c>
      <c r="AW285" s="1">
        <f t="shared" si="39"/>
        <v>0.17654862382133005</v>
      </c>
    </row>
    <row r="286" spans="1:49" x14ac:dyDescent="0.2">
      <c r="A286">
        <v>284</v>
      </c>
      <c r="B286" t="s">
        <v>604</v>
      </c>
      <c r="F286" t="s">
        <v>603</v>
      </c>
      <c r="G286" t="s">
        <v>8</v>
      </c>
      <c r="H286" t="s">
        <v>7</v>
      </c>
      <c r="I286" t="s">
        <v>602</v>
      </c>
      <c r="N286">
        <v>2</v>
      </c>
      <c r="O286" t="s">
        <v>601</v>
      </c>
      <c r="P286" t="s">
        <v>600</v>
      </c>
      <c r="Q286" t="s">
        <v>133</v>
      </c>
      <c r="R286" s="7">
        <v>34516</v>
      </c>
      <c r="S286" s="8">
        <f t="shared" si="32"/>
        <v>1994</v>
      </c>
      <c r="T286" s="8">
        <v>1994</v>
      </c>
      <c r="U286" s="8">
        <f t="shared" si="33"/>
        <v>28</v>
      </c>
      <c r="V286" s="7">
        <v>34516</v>
      </c>
      <c r="W286" t="s">
        <v>112</v>
      </c>
      <c r="X286" s="2">
        <v>0.10100000000000001</v>
      </c>
      <c r="Y286" s="6">
        <f t="shared" si="34"/>
        <v>2.6961373161421215E-3</v>
      </c>
      <c r="AA286">
        <v>7452993</v>
      </c>
      <c r="AB286">
        <v>18563</v>
      </c>
      <c r="AD286" t="s">
        <v>2</v>
      </c>
      <c r="AE286">
        <v>33</v>
      </c>
      <c r="AF286">
        <v>7</v>
      </c>
      <c r="AI286" t="s">
        <v>599</v>
      </c>
      <c r="AK286" t="s">
        <v>598</v>
      </c>
      <c r="AL286">
        <v>10</v>
      </c>
      <c r="AM286" s="5">
        <f t="shared" si="35"/>
        <v>0.35714285714285715</v>
      </c>
      <c r="AN286" s="4">
        <f t="shared" si="36"/>
        <v>5.4092064694109376E-4</v>
      </c>
      <c r="AO286" s="3"/>
      <c r="AP286">
        <v>0</v>
      </c>
      <c r="AR286" t="s">
        <v>1</v>
      </c>
      <c r="AT286" s="2" t="s">
        <v>0</v>
      </c>
      <c r="AU286" s="1">
        <f t="shared" si="37"/>
        <v>0.20495723153818129</v>
      </c>
      <c r="AV286" s="1">
        <f t="shared" si="38"/>
        <v>0.16185289815416076</v>
      </c>
      <c r="AW286" s="1">
        <f t="shared" si="39"/>
        <v>0.11874856477014019</v>
      </c>
    </row>
    <row r="287" spans="1:49" x14ac:dyDescent="0.2">
      <c r="A287">
        <v>285</v>
      </c>
      <c r="B287" t="s">
        <v>597</v>
      </c>
      <c r="F287" t="s">
        <v>596</v>
      </c>
      <c r="G287" t="s">
        <v>8</v>
      </c>
      <c r="H287" t="s">
        <v>7</v>
      </c>
      <c r="I287" t="s">
        <v>595</v>
      </c>
      <c r="N287">
        <v>1</v>
      </c>
      <c r="O287" t="s">
        <v>316</v>
      </c>
      <c r="P287">
        <v>1</v>
      </c>
      <c r="R287" s="7">
        <v>34516</v>
      </c>
      <c r="S287" s="8">
        <f t="shared" si="32"/>
        <v>1994</v>
      </c>
      <c r="T287" s="8">
        <v>1994</v>
      </c>
      <c r="U287" s="8">
        <f t="shared" si="33"/>
        <v>28</v>
      </c>
      <c r="V287" s="7">
        <v>34516</v>
      </c>
      <c r="W287" t="s">
        <v>112</v>
      </c>
      <c r="X287" s="2">
        <v>0.10100000000000001</v>
      </c>
      <c r="Y287" s="6">
        <f t="shared" si="34"/>
        <v>2.6961373161421215E-3</v>
      </c>
      <c r="AA287">
        <v>7452993</v>
      </c>
      <c r="AB287">
        <v>18563</v>
      </c>
      <c r="AD287" t="s">
        <v>2</v>
      </c>
      <c r="AE287">
        <v>33</v>
      </c>
      <c r="AF287">
        <v>7</v>
      </c>
      <c r="AI287" t="s">
        <v>594</v>
      </c>
      <c r="AK287" t="s">
        <v>593</v>
      </c>
      <c r="AL287">
        <v>0</v>
      </c>
      <c r="AM287" s="5">
        <f t="shared" si="35"/>
        <v>0</v>
      </c>
      <c r="AN287" s="4">
        <f t="shared" si="36"/>
        <v>0</v>
      </c>
      <c r="AO287" s="3"/>
      <c r="AP287">
        <v>0</v>
      </c>
      <c r="AR287" t="s">
        <v>1</v>
      </c>
      <c r="AT287" s="2" t="s">
        <v>0</v>
      </c>
      <c r="AU287" s="1">
        <f t="shared" si="37"/>
        <v>0.18872961212994849</v>
      </c>
      <c r="AV287" s="1">
        <f t="shared" si="38"/>
        <v>0.13480686580710607</v>
      </c>
      <c r="AW287" s="1">
        <f t="shared" si="39"/>
        <v>8.0884119484263647E-2</v>
      </c>
    </row>
    <row r="288" spans="1:49" x14ac:dyDescent="0.2">
      <c r="A288">
        <v>286</v>
      </c>
      <c r="B288" t="s">
        <v>592</v>
      </c>
      <c r="C288" t="s">
        <v>591</v>
      </c>
      <c r="F288" t="s">
        <v>590</v>
      </c>
      <c r="G288" t="s">
        <v>8</v>
      </c>
      <c r="H288" t="s">
        <v>7</v>
      </c>
      <c r="I288" t="s">
        <v>589</v>
      </c>
      <c r="J288">
        <v>60016418</v>
      </c>
      <c r="K288" t="s">
        <v>588</v>
      </c>
      <c r="L288" t="s">
        <v>587</v>
      </c>
      <c r="M288" t="s">
        <v>4</v>
      </c>
      <c r="N288">
        <v>1</v>
      </c>
      <c r="O288" t="s">
        <v>586</v>
      </c>
      <c r="P288">
        <v>7005566736</v>
      </c>
      <c r="Q288">
        <v>60016418</v>
      </c>
      <c r="R288" s="7">
        <v>34516</v>
      </c>
      <c r="S288" s="8">
        <f t="shared" si="32"/>
        <v>1994</v>
      </c>
      <c r="T288" s="8">
        <v>1994</v>
      </c>
      <c r="U288" s="8">
        <f t="shared" si="33"/>
        <v>28</v>
      </c>
      <c r="V288" s="7">
        <v>34516</v>
      </c>
      <c r="W288" s="11" t="s">
        <v>573</v>
      </c>
      <c r="X288" s="2">
        <v>2.383</v>
      </c>
      <c r="Y288" s="6">
        <f t="shared" si="34"/>
        <v>6.3612824003630442E-2</v>
      </c>
      <c r="AA288">
        <v>13502344</v>
      </c>
      <c r="AB288">
        <v>17419</v>
      </c>
      <c r="AD288" t="s">
        <v>2</v>
      </c>
      <c r="AE288">
        <v>141</v>
      </c>
      <c r="AF288">
        <v>4</v>
      </c>
      <c r="AH288" t="s">
        <v>585</v>
      </c>
      <c r="AI288" t="s">
        <v>584</v>
      </c>
      <c r="AK288" t="s">
        <v>583</v>
      </c>
      <c r="AL288">
        <v>0</v>
      </c>
      <c r="AM288" s="5">
        <f t="shared" si="35"/>
        <v>0</v>
      </c>
      <c r="AN288" s="4">
        <f t="shared" si="36"/>
        <v>0</v>
      </c>
      <c r="AO288" s="3"/>
      <c r="AP288">
        <v>0</v>
      </c>
      <c r="AR288" t="s">
        <v>1</v>
      </c>
      <c r="AT288" s="2" t="s">
        <v>0</v>
      </c>
      <c r="AU288" s="1">
        <f t="shared" si="37"/>
        <v>4.4528976802541305</v>
      </c>
      <c r="AV288" s="1">
        <f t="shared" si="38"/>
        <v>3.1806412001815221</v>
      </c>
      <c r="AW288" s="1">
        <f t="shared" si="39"/>
        <v>1.9083847201089132</v>
      </c>
    </row>
    <row r="289" spans="1:49" x14ac:dyDescent="0.2">
      <c r="A289">
        <v>287</v>
      </c>
      <c r="B289" t="s">
        <v>582</v>
      </c>
      <c r="C289" t="s">
        <v>581</v>
      </c>
      <c r="F289" t="s">
        <v>580</v>
      </c>
      <c r="G289" t="s">
        <v>8</v>
      </c>
      <c r="H289" t="s">
        <v>7</v>
      </c>
      <c r="I289" t="s">
        <v>579</v>
      </c>
      <c r="J289">
        <v>60010785</v>
      </c>
      <c r="K289" t="s">
        <v>578</v>
      </c>
      <c r="L289" t="s">
        <v>577</v>
      </c>
      <c r="M289" t="s">
        <v>4</v>
      </c>
      <c r="N289">
        <v>4</v>
      </c>
      <c r="O289" t="s">
        <v>576</v>
      </c>
      <c r="P289" t="s">
        <v>575</v>
      </c>
      <c r="Q289" t="s">
        <v>574</v>
      </c>
      <c r="R289" s="7">
        <v>34516</v>
      </c>
      <c r="S289" s="8">
        <f t="shared" si="32"/>
        <v>1994</v>
      </c>
      <c r="T289" s="8">
        <v>1994</v>
      </c>
      <c r="U289" s="8">
        <f t="shared" si="33"/>
        <v>28</v>
      </c>
      <c r="V289" s="7">
        <v>34516</v>
      </c>
      <c r="W289" s="11" t="s">
        <v>573</v>
      </c>
      <c r="X289" s="2">
        <v>2.383</v>
      </c>
      <c r="Y289" s="6">
        <f t="shared" si="34"/>
        <v>6.3612824003630442E-2</v>
      </c>
      <c r="AA289">
        <v>13502344</v>
      </c>
      <c r="AB289">
        <v>17419</v>
      </c>
      <c r="AD289" t="s">
        <v>2</v>
      </c>
      <c r="AE289">
        <v>141</v>
      </c>
      <c r="AF289">
        <v>4</v>
      </c>
      <c r="AH289" t="s">
        <v>572</v>
      </c>
      <c r="AI289" t="s">
        <v>571</v>
      </c>
      <c r="AK289" t="s">
        <v>570</v>
      </c>
      <c r="AL289">
        <v>13</v>
      </c>
      <c r="AM289" s="5">
        <f t="shared" si="35"/>
        <v>0.4642857142857143</v>
      </c>
      <c r="AN289" s="4">
        <f t="shared" si="36"/>
        <v>7.0319684102342192E-4</v>
      </c>
      <c r="AO289" s="3"/>
      <c r="AP289">
        <v>0</v>
      </c>
      <c r="AR289" t="s">
        <v>1</v>
      </c>
      <c r="AT289" s="2" t="s">
        <v>0</v>
      </c>
      <c r="AU289" s="1">
        <f t="shared" si="37"/>
        <v>4.4739935854848332</v>
      </c>
      <c r="AV289" s="1">
        <f t="shared" si="38"/>
        <v>3.2158010422326933</v>
      </c>
      <c r="AW289" s="1">
        <f t="shared" si="39"/>
        <v>1.9576084989805527</v>
      </c>
    </row>
    <row r="290" spans="1:49" x14ac:dyDescent="0.2">
      <c r="A290">
        <v>288</v>
      </c>
      <c r="B290" t="s">
        <v>569</v>
      </c>
      <c r="C290" t="s">
        <v>568</v>
      </c>
      <c r="F290" t="s">
        <v>567</v>
      </c>
      <c r="G290" t="s">
        <v>8</v>
      </c>
      <c r="H290" t="s">
        <v>7</v>
      </c>
      <c r="I290" t="s">
        <v>566</v>
      </c>
      <c r="J290" t="s">
        <v>565</v>
      </c>
      <c r="K290" t="s">
        <v>564</v>
      </c>
      <c r="L290" t="s">
        <v>563</v>
      </c>
      <c r="M290" t="s">
        <v>246</v>
      </c>
      <c r="N290">
        <v>4</v>
      </c>
      <c r="O290" t="s">
        <v>562</v>
      </c>
      <c r="P290" t="s">
        <v>561</v>
      </c>
      <c r="Q290" t="s">
        <v>560</v>
      </c>
      <c r="R290" s="7">
        <v>34516</v>
      </c>
      <c r="S290" s="8">
        <f t="shared" si="32"/>
        <v>1994</v>
      </c>
      <c r="T290" s="8">
        <v>1994</v>
      </c>
      <c r="U290" s="8">
        <f t="shared" si="33"/>
        <v>28</v>
      </c>
      <c r="V290" s="7">
        <v>34516</v>
      </c>
      <c r="W290" t="s">
        <v>50</v>
      </c>
      <c r="X290" s="2">
        <v>0.85499999999999998</v>
      </c>
      <c r="Y290" s="6">
        <f t="shared" si="34"/>
        <v>2.28237366861536E-2</v>
      </c>
      <c r="AA290">
        <v>980331</v>
      </c>
      <c r="AB290">
        <v>23342</v>
      </c>
      <c r="AC290">
        <v>15731561</v>
      </c>
      <c r="AD290" t="s">
        <v>2</v>
      </c>
      <c r="AE290">
        <v>20</v>
      </c>
      <c r="AF290">
        <v>7</v>
      </c>
      <c r="AH290" t="s">
        <v>559</v>
      </c>
      <c r="AI290" t="s">
        <v>558</v>
      </c>
      <c r="AJ290" t="s">
        <v>557</v>
      </c>
      <c r="AK290" t="s">
        <v>556</v>
      </c>
      <c r="AL290">
        <v>30</v>
      </c>
      <c r="AM290" s="5">
        <f t="shared" si="35"/>
        <v>1.0714285714285714</v>
      </c>
      <c r="AN290" s="4">
        <f t="shared" si="36"/>
        <v>1.6227619408232812E-3</v>
      </c>
      <c r="AO290" s="3"/>
      <c r="AP290">
        <v>0</v>
      </c>
      <c r="AR290" t="s">
        <v>1</v>
      </c>
      <c r="AT290" s="2">
        <v>2.6259999999999999</v>
      </c>
      <c r="AU290" s="1">
        <f t="shared" si="37"/>
        <v>1.6463444262554503</v>
      </c>
      <c r="AV290" s="1">
        <f t="shared" si="38"/>
        <v>1.222324931348844</v>
      </c>
      <c r="AW290" s="1">
        <f t="shared" si="39"/>
        <v>0.79830543644223773</v>
      </c>
    </row>
    <row r="291" spans="1:49" x14ac:dyDescent="0.2">
      <c r="A291">
        <v>289</v>
      </c>
      <c r="B291" t="s">
        <v>555</v>
      </c>
      <c r="C291" t="s">
        <v>554</v>
      </c>
      <c r="E291">
        <v>8031764</v>
      </c>
      <c r="F291" t="s">
        <v>553</v>
      </c>
      <c r="G291" t="s">
        <v>8</v>
      </c>
      <c r="H291" t="s">
        <v>7</v>
      </c>
      <c r="I291" t="s">
        <v>552</v>
      </c>
      <c r="J291">
        <v>60003892</v>
      </c>
      <c r="K291" t="s">
        <v>31</v>
      </c>
      <c r="L291" t="s">
        <v>30</v>
      </c>
      <c r="M291" t="s">
        <v>19</v>
      </c>
      <c r="N291">
        <v>4</v>
      </c>
      <c r="O291" t="s">
        <v>551</v>
      </c>
      <c r="P291" t="s">
        <v>550</v>
      </c>
      <c r="Q291" t="s">
        <v>29</v>
      </c>
      <c r="R291" s="7">
        <v>34516</v>
      </c>
      <c r="S291" s="8">
        <f t="shared" si="32"/>
        <v>1994</v>
      </c>
      <c r="T291" s="8">
        <v>1994</v>
      </c>
      <c r="U291" s="8">
        <f t="shared" si="33"/>
        <v>28</v>
      </c>
      <c r="V291" s="7">
        <v>34516</v>
      </c>
      <c r="W291" t="s">
        <v>372</v>
      </c>
      <c r="X291" s="2">
        <v>1.43</v>
      </c>
      <c r="Y291" s="6">
        <f t="shared" si="34"/>
        <v>3.8173033287952803E-2</v>
      </c>
      <c r="AA291">
        <v>62960</v>
      </c>
      <c r="AB291">
        <v>16867</v>
      </c>
      <c r="AC291">
        <v>15204995</v>
      </c>
      <c r="AD291" t="s">
        <v>2</v>
      </c>
      <c r="AE291">
        <v>33</v>
      </c>
      <c r="AF291">
        <v>27</v>
      </c>
      <c r="AH291" t="s">
        <v>549</v>
      </c>
      <c r="AI291" t="s">
        <v>548</v>
      </c>
      <c r="AK291" t="s">
        <v>547</v>
      </c>
      <c r="AL291">
        <v>40</v>
      </c>
      <c r="AM291" s="5">
        <f t="shared" si="35"/>
        <v>1.4285714285714286</v>
      </c>
      <c r="AN291" s="4">
        <f t="shared" si="36"/>
        <v>2.163682587764375E-3</v>
      </c>
      <c r="AO291" s="3"/>
      <c r="AP291">
        <v>0</v>
      </c>
      <c r="AR291" t="s">
        <v>1</v>
      </c>
      <c r="AT291" s="2">
        <v>3.1619999999999999</v>
      </c>
      <c r="AU291" s="1">
        <f t="shared" si="37"/>
        <v>2.7370228077896273</v>
      </c>
      <c r="AV291" s="1">
        <f t="shared" si="38"/>
        <v>2.0168357937858588</v>
      </c>
      <c r="AW291" s="1">
        <f t="shared" si="39"/>
        <v>1.2966487797820903</v>
      </c>
    </row>
    <row r="292" spans="1:49" x14ac:dyDescent="0.2">
      <c r="A292">
        <v>290</v>
      </c>
      <c r="B292" t="s">
        <v>546</v>
      </c>
      <c r="C292" t="s">
        <v>545</v>
      </c>
      <c r="E292">
        <v>8031762</v>
      </c>
      <c r="F292" t="s">
        <v>544</v>
      </c>
      <c r="G292" t="s">
        <v>8</v>
      </c>
      <c r="H292" t="s">
        <v>7</v>
      </c>
      <c r="I292" t="s">
        <v>543</v>
      </c>
      <c r="J292" t="s">
        <v>542</v>
      </c>
      <c r="K292" t="s">
        <v>541</v>
      </c>
      <c r="L292" t="s">
        <v>540</v>
      </c>
      <c r="M292" t="s">
        <v>433</v>
      </c>
      <c r="N292">
        <v>6</v>
      </c>
      <c r="O292" t="s">
        <v>539</v>
      </c>
      <c r="P292" t="s">
        <v>538</v>
      </c>
      <c r="Q292" t="s">
        <v>537</v>
      </c>
      <c r="R292" s="7">
        <v>34516</v>
      </c>
      <c r="S292" s="8">
        <f t="shared" si="32"/>
        <v>1994</v>
      </c>
      <c r="T292" s="8">
        <v>1994</v>
      </c>
      <c r="U292" s="8">
        <f t="shared" si="33"/>
        <v>28</v>
      </c>
      <c r="V292" s="7">
        <v>34516</v>
      </c>
      <c r="W292" t="s">
        <v>372</v>
      </c>
      <c r="X292" s="2">
        <v>1.43</v>
      </c>
      <c r="Y292" s="6">
        <f t="shared" si="34"/>
        <v>3.8173033287952803E-2</v>
      </c>
      <c r="AA292">
        <v>62960</v>
      </c>
      <c r="AB292">
        <v>16867</v>
      </c>
      <c r="AC292">
        <v>15204995</v>
      </c>
      <c r="AD292" t="s">
        <v>2</v>
      </c>
      <c r="AE292">
        <v>33</v>
      </c>
      <c r="AF292">
        <v>27</v>
      </c>
      <c r="AH292" t="s">
        <v>536</v>
      </c>
      <c r="AI292" t="s">
        <v>535</v>
      </c>
      <c r="AK292" t="s">
        <v>534</v>
      </c>
      <c r="AL292">
        <v>0</v>
      </c>
      <c r="AM292" s="5">
        <f t="shared" si="35"/>
        <v>0</v>
      </c>
      <c r="AN292" s="4">
        <f t="shared" si="36"/>
        <v>0</v>
      </c>
      <c r="AO292" s="3"/>
      <c r="AP292">
        <v>0</v>
      </c>
      <c r="AR292" t="s">
        <v>1</v>
      </c>
      <c r="AT292" s="2">
        <v>3.1619999999999999</v>
      </c>
      <c r="AU292" s="1">
        <f t="shared" si="37"/>
        <v>2.672112330156696</v>
      </c>
      <c r="AV292" s="1">
        <f t="shared" si="38"/>
        <v>1.9086516643976401</v>
      </c>
      <c r="AW292" s="1">
        <f t="shared" si="39"/>
        <v>1.145190998638584</v>
      </c>
    </row>
    <row r="293" spans="1:49" x14ac:dyDescent="0.2">
      <c r="A293">
        <v>291</v>
      </c>
      <c r="B293" t="s">
        <v>533</v>
      </c>
      <c r="C293" t="s">
        <v>532</v>
      </c>
      <c r="F293" t="s">
        <v>531</v>
      </c>
      <c r="G293" t="s">
        <v>8</v>
      </c>
      <c r="H293" t="s">
        <v>7</v>
      </c>
      <c r="I293" t="s">
        <v>407</v>
      </c>
      <c r="J293" t="s">
        <v>530</v>
      </c>
      <c r="K293" t="s">
        <v>529</v>
      </c>
      <c r="L293" t="s">
        <v>528</v>
      </c>
      <c r="M293" t="s">
        <v>527</v>
      </c>
      <c r="N293">
        <v>4</v>
      </c>
      <c r="O293" t="s">
        <v>526</v>
      </c>
      <c r="P293" t="s">
        <v>525</v>
      </c>
      <c r="Q293" t="s">
        <v>524</v>
      </c>
      <c r="R293" s="7">
        <v>34516</v>
      </c>
      <c r="S293" s="8">
        <f t="shared" si="32"/>
        <v>1994</v>
      </c>
      <c r="T293" s="8">
        <v>1994</v>
      </c>
      <c r="U293" s="8">
        <f t="shared" si="33"/>
        <v>28</v>
      </c>
      <c r="V293" s="7">
        <v>34516</v>
      </c>
      <c r="W293" t="s">
        <v>406</v>
      </c>
      <c r="X293" s="2">
        <v>1.026</v>
      </c>
      <c r="Y293" s="6">
        <f t="shared" si="34"/>
        <v>2.738848402338432E-2</v>
      </c>
      <c r="AA293">
        <v>380938</v>
      </c>
      <c r="AB293">
        <v>28245</v>
      </c>
      <c r="AC293" t="s">
        <v>405</v>
      </c>
      <c r="AD293" t="s">
        <v>2</v>
      </c>
      <c r="AE293">
        <v>152</v>
      </c>
      <c r="AF293">
        <v>2</v>
      </c>
      <c r="AH293" t="s">
        <v>523</v>
      </c>
      <c r="AI293" t="s">
        <v>522</v>
      </c>
      <c r="AK293" t="s">
        <v>521</v>
      </c>
      <c r="AL293">
        <v>1</v>
      </c>
      <c r="AM293" s="5">
        <f t="shared" si="35"/>
        <v>3.5714285714285712E-2</v>
      </c>
      <c r="AN293" s="4">
        <f t="shared" si="36"/>
        <v>5.4092064694109373E-5</v>
      </c>
      <c r="AO293" s="3"/>
      <c r="AP293">
        <v>0</v>
      </c>
      <c r="AR293" t="s">
        <v>1</v>
      </c>
      <c r="AT293" s="2">
        <v>2.6709999999999998</v>
      </c>
      <c r="AU293" s="1">
        <f t="shared" si="37"/>
        <v>1.9188166435777259</v>
      </c>
      <c r="AV293" s="1">
        <f t="shared" si="38"/>
        <v>1.3721288044039215</v>
      </c>
      <c r="AW293" s="1">
        <f t="shared" si="39"/>
        <v>0.82544096523011723</v>
      </c>
    </row>
    <row r="294" spans="1:49" x14ac:dyDescent="0.2">
      <c r="A294">
        <v>292</v>
      </c>
      <c r="B294" t="s">
        <v>520</v>
      </c>
      <c r="C294" t="s">
        <v>519</v>
      </c>
      <c r="F294" t="s">
        <v>518</v>
      </c>
      <c r="G294" t="s">
        <v>8</v>
      </c>
      <c r="H294" t="s">
        <v>7</v>
      </c>
      <c r="I294" t="s">
        <v>517</v>
      </c>
      <c r="J294" t="s">
        <v>516</v>
      </c>
      <c r="K294" t="s">
        <v>515</v>
      </c>
      <c r="L294" t="s">
        <v>514</v>
      </c>
      <c r="M294" t="s">
        <v>513</v>
      </c>
      <c r="N294">
        <v>3</v>
      </c>
      <c r="O294" t="s">
        <v>512</v>
      </c>
      <c r="P294" t="s">
        <v>511</v>
      </c>
      <c r="Q294" t="s">
        <v>510</v>
      </c>
      <c r="R294" s="7">
        <v>34516</v>
      </c>
      <c r="S294" s="8">
        <f t="shared" si="32"/>
        <v>1994</v>
      </c>
      <c r="T294" s="8">
        <v>1994</v>
      </c>
      <c r="U294" s="8">
        <f t="shared" si="33"/>
        <v>28</v>
      </c>
      <c r="V294" s="7">
        <v>34516</v>
      </c>
      <c r="W294" t="s">
        <v>81</v>
      </c>
      <c r="X294" s="2">
        <v>1.1579999999999999</v>
      </c>
      <c r="Y294" s="6">
        <f t="shared" si="34"/>
        <v>3.0912148634579962E-2</v>
      </c>
      <c r="AA294">
        <v>1668595</v>
      </c>
      <c r="AB294">
        <v>14223</v>
      </c>
      <c r="AC294">
        <v>15735079</v>
      </c>
      <c r="AD294" t="s">
        <v>2</v>
      </c>
      <c r="AE294">
        <v>41</v>
      </c>
      <c r="AF294">
        <v>1</v>
      </c>
      <c r="AH294" t="s">
        <v>509</v>
      </c>
      <c r="AI294" t="s">
        <v>508</v>
      </c>
      <c r="AJ294" t="s">
        <v>507</v>
      </c>
      <c r="AK294" t="s">
        <v>506</v>
      </c>
      <c r="AL294">
        <v>38</v>
      </c>
      <c r="AM294" s="5">
        <f t="shared" si="35"/>
        <v>1.3571428571428572</v>
      </c>
      <c r="AN294" s="4">
        <f t="shared" si="36"/>
        <v>2.0554984583761563E-3</v>
      </c>
      <c r="AO294" s="3"/>
      <c r="AP294">
        <v>0</v>
      </c>
      <c r="AR294" t="s">
        <v>1</v>
      </c>
      <c r="AT294" s="2">
        <v>3.573</v>
      </c>
      <c r="AU294" s="1">
        <f t="shared" si="37"/>
        <v>2.2255153581718821</v>
      </c>
      <c r="AV294" s="1">
        <f t="shared" si="38"/>
        <v>1.6483823546478058</v>
      </c>
      <c r="AW294" s="1">
        <f t="shared" si="39"/>
        <v>1.0712493511237298</v>
      </c>
    </row>
    <row r="295" spans="1:49" x14ac:dyDescent="0.2">
      <c r="A295">
        <v>293</v>
      </c>
      <c r="B295" t="s">
        <v>505</v>
      </c>
      <c r="C295" t="s">
        <v>504</v>
      </c>
      <c r="F295" t="s">
        <v>503</v>
      </c>
      <c r="G295" t="s">
        <v>8</v>
      </c>
      <c r="H295" t="s">
        <v>7</v>
      </c>
      <c r="I295" t="s">
        <v>502</v>
      </c>
      <c r="J295">
        <v>60008435</v>
      </c>
      <c r="K295" t="s">
        <v>179</v>
      </c>
      <c r="L295" t="s">
        <v>178</v>
      </c>
      <c r="M295" t="s">
        <v>53</v>
      </c>
      <c r="N295">
        <v>7</v>
      </c>
      <c r="O295" t="s">
        <v>501</v>
      </c>
      <c r="P295" t="s">
        <v>500</v>
      </c>
      <c r="Q295" t="s">
        <v>499</v>
      </c>
      <c r="R295" s="7">
        <v>34516</v>
      </c>
      <c r="S295" s="8">
        <f t="shared" si="32"/>
        <v>1994</v>
      </c>
      <c r="T295" s="8">
        <v>1994</v>
      </c>
      <c r="U295" s="8">
        <f t="shared" si="33"/>
        <v>28</v>
      </c>
      <c r="V295" s="7">
        <v>34516</v>
      </c>
      <c r="W295" t="s">
        <v>81</v>
      </c>
      <c r="X295" s="2">
        <v>1.1579999999999999</v>
      </c>
      <c r="Y295" s="6">
        <f t="shared" si="34"/>
        <v>3.0912148634579962E-2</v>
      </c>
      <c r="AA295">
        <v>1668595</v>
      </c>
      <c r="AB295">
        <v>14223</v>
      </c>
      <c r="AC295">
        <v>15735079</v>
      </c>
      <c r="AD295" t="s">
        <v>2</v>
      </c>
      <c r="AE295">
        <v>41</v>
      </c>
      <c r="AF295">
        <v>1</v>
      </c>
      <c r="AH295" t="s">
        <v>498</v>
      </c>
      <c r="AI295" t="s">
        <v>497</v>
      </c>
      <c r="AJ295" t="s">
        <v>496</v>
      </c>
      <c r="AK295" t="s">
        <v>495</v>
      </c>
      <c r="AL295">
        <v>91</v>
      </c>
      <c r="AM295" s="5">
        <f t="shared" si="35"/>
        <v>3.25</v>
      </c>
      <c r="AN295" s="4">
        <f t="shared" si="36"/>
        <v>4.9223778871639529E-3</v>
      </c>
      <c r="AO295" s="3"/>
      <c r="AP295">
        <v>0</v>
      </c>
      <c r="AR295" t="s">
        <v>1</v>
      </c>
      <c r="AT295" s="2">
        <v>3.573</v>
      </c>
      <c r="AU295" s="1">
        <f t="shared" si="37"/>
        <v>2.3115217410355156</v>
      </c>
      <c r="AV295" s="1">
        <f t="shared" si="38"/>
        <v>1.7917263260871958</v>
      </c>
      <c r="AW295" s="1">
        <f t="shared" si="39"/>
        <v>1.2719309111388755</v>
      </c>
    </row>
    <row r="296" spans="1:49" x14ac:dyDescent="0.2">
      <c r="A296">
        <v>294</v>
      </c>
      <c r="B296" t="s">
        <v>494</v>
      </c>
      <c r="C296" t="s">
        <v>493</v>
      </c>
      <c r="F296" t="s">
        <v>492</v>
      </c>
      <c r="G296" t="s">
        <v>8</v>
      </c>
      <c r="H296" t="s">
        <v>7</v>
      </c>
      <c r="I296" t="s">
        <v>219</v>
      </c>
      <c r="J296">
        <v>60072285</v>
      </c>
      <c r="K296" t="s">
        <v>93</v>
      </c>
      <c r="L296" t="s">
        <v>92</v>
      </c>
      <c r="M296" t="s">
        <v>49</v>
      </c>
      <c r="N296">
        <v>2</v>
      </c>
      <c r="O296" t="s">
        <v>491</v>
      </c>
      <c r="P296" t="s">
        <v>490</v>
      </c>
      <c r="Q296" t="s">
        <v>91</v>
      </c>
      <c r="R296" s="7">
        <v>34516</v>
      </c>
      <c r="S296" s="8">
        <f t="shared" si="32"/>
        <v>1994</v>
      </c>
      <c r="T296" s="8">
        <v>1994</v>
      </c>
      <c r="U296" s="8">
        <f t="shared" si="33"/>
        <v>28</v>
      </c>
      <c r="V296" s="7">
        <v>34516</v>
      </c>
      <c r="W296" t="s">
        <v>81</v>
      </c>
      <c r="X296" s="2">
        <v>1.1579999999999999</v>
      </c>
      <c r="Y296" s="6">
        <f t="shared" si="34"/>
        <v>3.0912148634579962E-2</v>
      </c>
      <c r="AA296">
        <v>1668595</v>
      </c>
      <c r="AB296">
        <v>14223</v>
      </c>
      <c r="AC296">
        <v>15735079</v>
      </c>
      <c r="AD296" t="s">
        <v>2</v>
      </c>
      <c r="AE296">
        <v>41</v>
      </c>
      <c r="AF296">
        <v>1</v>
      </c>
      <c r="AH296" t="s">
        <v>489</v>
      </c>
      <c r="AI296" t="s">
        <v>488</v>
      </c>
      <c r="AJ296" t="s">
        <v>487</v>
      </c>
      <c r="AK296" t="s">
        <v>486</v>
      </c>
      <c r="AL296">
        <v>195</v>
      </c>
      <c r="AM296" s="5">
        <f t="shared" si="35"/>
        <v>6.9642857142857144</v>
      </c>
      <c r="AN296" s="4">
        <f t="shared" si="36"/>
        <v>1.0547952615351328E-2</v>
      </c>
      <c r="AO296" s="3"/>
      <c r="AP296">
        <v>0</v>
      </c>
      <c r="AR296" t="s">
        <v>1</v>
      </c>
      <c r="AT296" s="2">
        <v>3.573</v>
      </c>
      <c r="AU296" s="1">
        <f t="shared" si="37"/>
        <v>2.4802889828811368</v>
      </c>
      <c r="AV296" s="1">
        <f t="shared" si="38"/>
        <v>2.0730050624965646</v>
      </c>
      <c r="AW296" s="1">
        <f t="shared" si="39"/>
        <v>1.6657211421119917</v>
      </c>
    </row>
    <row r="297" spans="1:49" x14ac:dyDescent="0.2">
      <c r="A297">
        <v>295</v>
      </c>
      <c r="B297" t="s">
        <v>485</v>
      </c>
      <c r="C297" t="s">
        <v>484</v>
      </c>
      <c r="F297" t="s">
        <v>483</v>
      </c>
      <c r="G297" t="s">
        <v>8</v>
      </c>
      <c r="H297" t="s">
        <v>7</v>
      </c>
      <c r="I297" t="s">
        <v>482</v>
      </c>
      <c r="J297" t="s">
        <v>481</v>
      </c>
      <c r="K297" t="s">
        <v>480</v>
      </c>
      <c r="L297" t="s">
        <v>479</v>
      </c>
      <c r="M297" t="s">
        <v>478</v>
      </c>
      <c r="N297">
        <v>4</v>
      </c>
      <c r="O297" t="s">
        <v>477</v>
      </c>
      <c r="P297" t="s">
        <v>476</v>
      </c>
      <c r="Q297" t="s">
        <v>475</v>
      </c>
      <c r="R297" s="7">
        <v>34516</v>
      </c>
      <c r="S297" s="8">
        <f t="shared" si="32"/>
        <v>1994</v>
      </c>
      <c r="T297" s="8">
        <v>1994</v>
      </c>
      <c r="U297" s="8">
        <f t="shared" si="33"/>
        <v>28</v>
      </c>
      <c r="V297" s="7">
        <v>34516</v>
      </c>
      <c r="W297" t="s">
        <v>81</v>
      </c>
      <c r="X297" s="2">
        <v>1.1579999999999999</v>
      </c>
      <c r="Y297" s="6">
        <f t="shared" si="34"/>
        <v>3.0912148634579962E-2</v>
      </c>
      <c r="AA297">
        <v>1668595</v>
      </c>
      <c r="AB297">
        <v>14223</v>
      </c>
      <c r="AC297">
        <v>15735079</v>
      </c>
      <c r="AD297" t="s">
        <v>2</v>
      </c>
      <c r="AE297">
        <v>41</v>
      </c>
      <c r="AF297">
        <v>1</v>
      </c>
      <c r="AH297" t="s">
        <v>474</v>
      </c>
      <c r="AI297" t="s">
        <v>473</v>
      </c>
      <c r="AJ297" t="s">
        <v>472</v>
      </c>
      <c r="AK297" t="s">
        <v>471</v>
      </c>
      <c r="AL297">
        <v>37</v>
      </c>
      <c r="AM297" s="5">
        <f t="shared" si="35"/>
        <v>1.3214285714285714</v>
      </c>
      <c r="AN297" s="4">
        <f t="shared" si="36"/>
        <v>2.0014063936820469E-3</v>
      </c>
      <c r="AO297" s="3"/>
      <c r="AP297">
        <v>0</v>
      </c>
      <c r="AR297" t="s">
        <v>1</v>
      </c>
      <c r="AT297" s="2">
        <v>3.573</v>
      </c>
      <c r="AU297" s="1">
        <f t="shared" si="37"/>
        <v>2.2238925962310585</v>
      </c>
      <c r="AV297" s="1">
        <f t="shared" si="38"/>
        <v>1.6456777514131005</v>
      </c>
      <c r="AW297" s="1">
        <f t="shared" si="39"/>
        <v>1.0674629065951422</v>
      </c>
    </row>
    <row r="298" spans="1:49" x14ac:dyDescent="0.2">
      <c r="A298">
        <v>296</v>
      </c>
      <c r="B298" t="s">
        <v>470</v>
      </c>
      <c r="C298" t="s">
        <v>469</v>
      </c>
      <c r="F298" t="s">
        <v>468</v>
      </c>
      <c r="G298" t="s">
        <v>8</v>
      </c>
      <c r="H298" t="s">
        <v>7</v>
      </c>
      <c r="I298" t="s">
        <v>467</v>
      </c>
      <c r="J298" t="s">
        <v>466</v>
      </c>
      <c r="K298" t="s">
        <v>465</v>
      </c>
      <c r="L298" t="s">
        <v>464</v>
      </c>
      <c r="M298" t="s">
        <v>463</v>
      </c>
      <c r="N298">
        <v>3</v>
      </c>
      <c r="O298" t="s">
        <v>462</v>
      </c>
      <c r="P298" t="s">
        <v>461</v>
      </c>
      <c r="Q298" t="s">
        <v>460</v>
      </c>
      <c r="R298" s="7">
        <v>34516</v>
      </c>
      <c r="S298" s="8">
        <f t="shared" si="32"/>
        <v>1994</v>
      </c>
      <c r="T298" s="8">
        <v>1994</v>
      </c>
      <c r="U298" s="8">
        <f t="shared" si="33"/>
        <v>28</v>
      </c>
      <c r="V298" s="7">
        <v>34516</v>
      </c>
      <c r="W298" t="s">
        <v>81</v>
      </c>
      <c r="X298" s="2">
        <v>1.1579999999999999</v>
      </c>
      <c r="Y298" s="6">
        <f t="shared" si="34"/>
        <v>3.0912148634579962E-2</v>
      </c>
      <c r="AA298">
        <v>1668595</v>
      </c>
      <c r="AB298">
        <v>14223</v>
      </c>
      <c r="AC298">
        <v>15735079</v>
      </c>
      <c r="AD298" t="s">
        <v>2</v>
      </c>
      <c r="AE298">
        <v>41</v>
      </c>
      <c r="AF298">
        <v>1</v>
      </c>
      <c r="AH298" t="s">
        <v>459</v>
      </c>
      <c r="AI298" t="s">
        <v>458</v>
      </c>
      <c r="AJ298" t="s">
        <v>457</v>
      </c>
      <c r="AK298" t="s">
        <v>456</v>
      </c>
      <c r="AL298">
        <v>32</v>
      </c>
      <c r="AM298" s="5">
        <f t="shared" si="35"/>
        <v>1.1428571428571428</v>
      </c>
      <c r="AN298" s="4">
        <f t="shared" si="36"/>
        <v>1.7309460702114999E-3</v>
      </c>
      <c r="AO298" s="3"/>
      <c r="AP298">
        <v>0</v>
      </c>
      <c r="AR298" t="s">
        <v>1</v>
      </c>
      <c r="AT298" s="2">
        <v>3.573</v>
      </c>
      <c r="AU298" s="1">
        <f t="shared" si="37"/>
        <v>2.215778786526942</v>
      </c>
      <c r="AV298" s="1">
        <f t="shared" si="38"/>
        <v>1.6321547352395729</v>
      </c>
      <c r="AW298" s="1">
        <f t="shared" si="39"/>
        <v>1.0485306839522039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2021-11-11T11:40:30Z</dcterms:created>
  <dcterms:modified xsi:type="dcterms:W3CDTF">2022-01-19T20:25:36Z</dcterms:modified>
</cp:coreProperties>
</file>