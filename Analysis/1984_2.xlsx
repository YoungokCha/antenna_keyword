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068FD7C5-3BED-8D49-A619-F322DE065589}" xr6:coauthVersionLast="47" xr6:coauthVersionMax="47" xr10:uidLastSave="{A3014907-312F-A842-8C1B-0398564E6875}"/>
  <bookViews>
    <workbookView xWindow="11980" yWindow="5900" windowWidth="27640" windowHeight="16940" xr2:uid="{000AA7F9-B528-384B-830F-2F6E70005244}"/>
  </bookViews>
  <sheets>
    <sheet name="1984"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AM3" i="1" s="1"/>
  <c r="AN3" i="1" s="1"/>
  <c r="Y3" i="1"/>
  <c r="S4" i="1"/>
  <c r="U4" i="1"/>
  <c r="AM4" i="1" s="1"/>
  <c r="AN4" i="1" s="1"/>
  <c r="Y4" i="1"/>
  <c r="S5" i="1"/>
  <c r="U5" i="1"/>
  <c r="AM5" i="1" s="1"/>
  <c r="AN5" i="1" s="1"/>
  <c r="Y5" i="1"/>
  <c r="S6" i="1"/>
  <c r="U6" i="1"/>
  <c r="AM6" i="1" s="1"/>
  <c r="AN6" i="1" s="1"/>
  <c r="Y6" i="1"/>
  <c r="S7" i="1"/>
  <c r="U7" i="1"/>
  <c r="AM7" i="1" s="1"/>
  <c r="AN7" i="1" s="1"/>
  <c r="Y7" i="1"/>
  <c r="S8" i="1"/>
  <c r="U8" i="1"/>
  <c r="AM8" i="1" s="1"/>
  <c r="AN8" i="1" s="1"/>
  <c r="Y8" i="1"/>
  <c r="S9" i="1"/>
  <c r="U9" i="1"/>
  <c r="AM9" i="1" s="1"/>
  <c r="AN9" i="1" s="1"/>
  <c r="Y9" i="1"/>
  <c r="S10" i="1"/>
  <c r="U10" i="1"/>
  <c r="AM10" i="1" s="1"/>
  <c r="AN10" i="1" s="1"/>
  <c r="Y10" i="1"/>
  <c r="S11" i="1"/>
  <c r="U11" i="1"/>
  <c r="AM11" i="1" s="1"/>
  <c r="AN11" i="1" s="1"/>
  <c r="Y11" i="1"/>
  <c r="S12" i="1"/>
  <c r="U12" i="1"/>
  <c r="AM12" i="1" s="1"/>
  <c r="AN12" i="1" s="1"/>
  <c r="Y12" i="1"/>
  <c r="S13" i="1"/>
  <c r="U13" i="1"/>
  <c r="Y13" i="1"/>
  <c r="AM13" i="1"/>
  <c r="AN13" i="1" s="1"/>
  <c r="S14" i="1"/>
  <c r="U14" i="1"/>
  <c r="AM14" i="1" s="1"/>
  <c r="AN14" i="1" s="1"/>
  <c r="Y14" i="1"/>
  <c r="S15" i="1"/>
  <c r="U15" i="1"/>
  <c r="AM15" i="1" s="1"/>
  <c r="AN15" i="1" s="1"/>
  <c r="AV15" i="1" s="1"/>
  <c r="Y15" i="1"/>
  <c r="S16" i="1"/>
  <c r="U16" i="1"/>
  <c r="AM16" i="1" s="1"/>
  <c r="AN16" i="1" s="1"/>
  <c r="Y16" i="1"/>
  <c r="S17" i="1"/>
  <c r="U17" i="1"/>
  <c r="AM17" i="1" s="1"/>
  <c r="AN17" i="1" s="1"/>
  <c r="Y17" i="1"/>
  <c r="S18" i="1"/>
  <c r="U18" i="1"/>
  <c r="Y18" i="1"/>
  <c r="AM18" i="1"/>
  <c r="AN18" i="1" s="1"/>
  <c r="S19" i="1"/>
  <c r="U19" i="1"/>
  <c r="AM19" i="1" s="1"/>
  <c r="AN19" i="1" s="1"/>
  <c r="Y19" i="1"/>
  <c r="S20" i="1"/>
  <c r="U20" i="1"/>
  <c r="Y20" i="1"/>
  <c r="AM20" i="1"/>
  <c r="AN20" i="1" s="1"/>
  <c r="AV20" i="1" s="1"/>
  <c r="S21" i="1"/>
  <c r="U21" i="1"/>
  <c r="Y21" i="1"/>
  <c r="AM21" i="1"/>
  <c r="AN21" i="1" s="1"/>
  <c r="AV21" i="1" s="1"/>
  <c r="S22" i="1"/>
  <c r="U22" i="1"/>
  <c r="AM22" i="1" s="1"/>
  <c r="AN22" i="1" s="1"/>
  <c r="Y22" i="1"/>
  <c r="S23" i="1"/>
  <c r="U23" i="1"/>
  <c r="Y23" i="1"/>
  <c r="AM23" i="1"/>
  <c r="AN23" i="1" s="1"/>
  <c r="S24" i="1"/>
  <c r="U24" i="1"/>
  <c r="Y24" i="1"/>
  <c r="AM24" i="1"/>
  <c r="AN24" i="1" s="1"/>
  <c r="S25" i="1"/>
  <c r="U25" i="1"/>
  <c r="AM25" i="1" s="1"/>
  <c r="AN25" i="1" s="1"/>
  <c r="Y25" i="1"/>
  <c r="S26" i="1"/>
  <c r="U26" i="1"/>
  <c r="AM26" i="1" s="1"/>
  <c r="AN26" i="1" s="1"/>
  <c r="Y26" i="1"/>
  <c r="AV26" i="1" s="1"/>
  <c r="S27" i="1"/>
  <c r="U27" i="1"/>
  <c r="AM27" i="1" s="1"/>
  <c r="AN27" i="1" s="1"/>
  <c r="Y27" i="1"/>
  <c r="AV27" i="1" s="1"/>
  <c r="S28" i="1"/>
  <c r="U28" i="1"/>
  <c r="AM28" i="1" s="1"/>
  <c r="AN28" i="1" s="1"/>
  <c r="Y28" i="1"/>
  <c r="S29" i="1"/>
  <c r="U29" i="1"/>
  <c r="Y29" i="1"/>
  <c r="AM29" i="1"/>
  <c r="AN29" i="1" s="1"/>
  <c r="S30" i="1"/>
  <c r="U30" i="1"/>
  <c r="Y30" i="1"/>
  <c r="AM30" i="1"/>
  <c r="AN30" i="1" s="1"/>
  <c r="S31" i="1"/>
  <c r="U31" i="1"/>
  <c r="AM31" i="1" s="1"/>
  <c r="AN31" i="1" s="1"/>
  <c r="Y31" i="1"/>
  <c r="S32" i="1"/>
  <c r="U32" i="1"/>
  <c r="AM32" i="1" s="1"/>
  <c r="AN32" i="1" s="1"/>
  <c r="AU32" i="1" s="1"/>
  <c r="Y32" i="1"/>
  <c r="S33" i="1"/>
  <c r="U33" i="1"/>
  <c r="AM33" i="1" s="1"/>
  <c r="AN33" i="1" s="1"/>
  <c r="Y33" i="1"/>
  <c r="S34" i="1"/>
  <c r="U34" i="1"/>
  <c r="Y34" i="1"/>
  <c r="AM34" i="1"/>
  <c r="AN34" i="1" s="1"/>
  <c r="S35" i="1"/>
  <c r="U35" i="1"/>
  <c r="AM35" i="1" s="1"/>
  <c r="AN35" i="1" s="1"/>
  <c r="Y35" i="1"/>
  <c r="S36" i="1"/>
  <c r="U36" i="1"/>
  <c r="Y36" i="1"/>
  <c r="AM36" i="1"/>
  <c r="AN36" i="1" s="1"/>
  <c r="S37" i="1"/>
  <c r="U37" i="1"/>
  <c r="AM37" i="1" s="1"/>
  <c r="AN37" i="1" s="1"/>
  <c r="Y37" i="1"/>
  <c r="S38" i="1"/>
  <c r="U38" i="1"/>
  <c r="Y38" i="1"/>
  <c r="AM38" i="1"/>
  <c r="AN38" i="1" s="1"/>
  <c r="S39" i="1"/>
  <c r="U39" i="1"/>
  <c r="AM39" i="1" s="1"/>
  <c r="AN39" i="1" s="1"/>
  <c r="Y39" i="1"/>
  <c r="S40" i="1"/>
  <c r="U40" i="1"/>
  <c r="Y40" i="1"/>
  <c r="AM40" i="1"/>
  <c r="AN40" i="1" s="1"/>
  <c r="S41" i="1"/>
  <c r="U41" i="1"/>
  <c r="AM41" i="1" s="1"/>
  <c r="AN41" i="1" s="1"/>
  <c r="Y41" i="1"/>
  <c r="S42" i="1"/>
  <c r="U42" i="1"/>
  <c r="AM42" i="1" s="1"/>
  <c r="AN42" i="1" s="1"/>
  <c r="Y42" i="1"/>
  <c r="AV42" i="1" s="1"/>
  <c r="S43" i="1"/>
  <c r="U43" i="1"/>
  <c r="Y43" i="1"/>
  <c r="AM43" i="1"/>
  <c r="AN43" i="1" s="1"/>
  <c r="S44" i="1"/>
  <c r="U44" i="1"/>
  <c r="Y44" i="1"/>
  <c r="AM44" i="1"/>
  <c r="AN44" i="1" s="1"/>
  <c r="S45" i="1"/>
  <c r="U45" i="1"/>
  <c r="AM45" i="1" s="1"/>
  <c r="AN45" i="1" s="1"/>
  <c r="Y45" i="1"/>
  <c r="S46" i="1"/>
  <c r="U46" i="1"/>
  <c r="AM46" i="1" s="1"/>
  <c r="AN46" i="1" s="1"/>
  <c r="Y46" i="1"/>
  <c r="AV46" i="1" s="1"/>
  <c r="S47" i="1"/>
  <c r="U47" i="1"/>
  <c r="AM47" i="1" s="1"/>
  <c r="AN47" i="1" s="1"/>
  <c r="Y47" i="1"/>
  <c r="AV47" i="1" s="1"/>
  <c r="S48" i="1"/>
  <c r="U48" i="1"/>
  <c r="AM48" i="1" s="1"/>
  <c r="AN48" i="1" s="1"/>
  <c r="Y48" i="1"/>
  <c r="S49" i="1"/>
  <c r="U49" i="1"/>
  <c r="Y49" i="1"/>
  <c r="AM49" i="1"/>
  <c r="AN49" i="1" s="1"/>
  <c r="S50" i="1"/>
  <c r="U50" i="1"/>
  <c r="Y50" i="1"/>
  <c r="AU50" i="1" s="1"/>
  <c r="AM50" i="1"/>
  <c r="AN50" i="1" s="1"/>
  <c r="S51" i="1"/>
  <c r="U51" i="1"/>
  <c r="AM51" i="1" s="1"/>
  <c r="AN51" i="1" s="1"/>
  <c r="Y51" i="1"/>
  <c r="S52" i="1"/>
  <c r="U52" i="1"/>
  <c r="Y52" i="1"/>
  <c r="AM52" i="1"/>
  <c r="AN52" i="1" s="1"/>
  <c r="AU52" i="1" s="1"/>
  <c r="S53" i="1"/>
  <c r="U53" i="1"/>
  <c r="Y53" i="1"/>
  <c r="AM53" i="1"/>
  <c r="AN53" i="1" s="1"/>
  <c r="S54" i="1"/>
  <c r="U54" i="1"/>
  <c r="Y54" i="1"/>
  <c r="AM54" i="1"/>
  <c r="AN54" i="1" s="1"/>
  <c r="S55" i="1"/>
  <c r="U55" i="1"/>
  <c r="AM55" i="1" s="1"/>
  <c r="AN55" i="1" s="1"/>
  <c r="Y55" i="1"/>
  <c r="S56" i="1"/>
  <c r="U56" i="1"/>
  <c r="Y56" i="1"/>
  <c r="AM56" i="1"/>
  <c r="AN56" i="1" s="1"/>
  <c r="S57" i="1"/>
  <c r="U57" i="1"/>
  <c r="AM57" i="1" s="1"/>
  <c r="AN57" i="1" s="1"/>
  <c r="Y57" i="1"/>
  <c r="S58" i="1"/>
  <c r="U58" i="1"/>
  <c r="Y58" i="1"/>
  <c r="AM58" i="1"/>
  <c r="AN58" i="1" s="1"/>
  <c r="S59" i="1"/>
  <c r="U59" i="1"/>
  <c r="AM59" i="1" s="1"/>
  <c r="AN59" i="1" s="1"/>
  <c r="Y59" i="1"/>
  <c r="S60" i="1"/>
  <c r="U60" i="1"/>
  <c r="Y60" i="1"/>
  <c r="AM60" i="1"/>
  <c r="AN60" i="1" s="1"/>
  <c r="AV60" i="1" s="1"/>
  <c r="S61" i="1"/>
  <c r="U61" i="1"/>
  <c r="AM61" i="1" s="1"/>
  <c r="AN61" i="1" s="1"/>
  <c r="Y61" i="1"/>
  <c r="S62" i="1"/>
  <c r="U62" i="1"/>
  <c r="AM62" i="1" s="1"/>
  <c r="AN62" i="1" s="1"/>
  <c r="Y62" i="1"/>
  <c r="S63" i="1"/>
  <c r="U63" i="1"/>
  <c r="Y63" i="1"/>
  <c r="AM63" i="1"/>
  <c r="AN63" i="1" s="1"/>
  <c r="S64" i="1"/>
  <c r="U64" i="1"/>
  <c r="AM64" i="1" s="1"/>
  <c r="AN64" i="1" s="1"/>
  <c r="Y64" i="1"/>
  <c r="S65" i="1"/>
  <c r="U65" i="1"/>
  <c r="Y65" i="1"/>
  <c r="AM65" i="1"/>
  <c r="AN65" i="1" s="1"/>
  <c r="S66" i="1"/>
  <c r="U66" i="1"/>
  <c r="AM66" i="1" s="1"/>
  <c r="AN66" i="1" s="1"/>
  <c r="Y66" i="1"/>
  <c r="S67" i="1"/>
  <c r="U67" i="1"/>
  <c r="AM67" i="1" s="1"/>
  <c r="AN67" i="1" s="1"/>
  <c r="Y67" i="1"/>
  <c r="S68" i="1"/>
  <c r="U68" i="1"/>
  <c r="Y68" i="1"/>
  <c r="AM68" i="1"/>
  <c r="AN68" i="1" s="1"/>
  <c r="S69" i="1"/>
  <c r="U69" i="1"/>
  <c r="Y69" i="1"/>
  <c r="AM69" i="1"/>
  <c r="AN69" i="1" s="1"/>
  <c r="S70" i="1"/>
  <c r="U70" i="1"/>
  <c r="AM70" i="1" s="1"/>
  <c r="AN70" i="1" s="1"/>
  <c r="Y70" i="1"/>
  <c r="S71" i="1"/>
  <c r="U71" i="1"/>
  <c r="Y71" i="1"/>
  <c r="AM71" i="1"/>
  <c r="AN71" i="1" s="1"/>
  <c r="AV71" i="1" s="1"/>
  <c r="S72" i="1"/>
  <c r="U72" i="1"/>
  <c r="AM72" i="1" s="1"/>
  <c r="AN72" i="1" s="1"/>
  <c r="Y72" i="1"/>
  <c r="S73" i="1"/>
  <c r="U73" i="1"/>
  <c r="AM73" i="1" s="1"/>
  <c r="AN73" i="1" s="1"/>
  <c r="Y73" i="1"/>
  <c r="S74" i="1"/>
  <c r="U74" i="1"/>
  <c r="Y74" i="1"/>
  <c r="AM74" i="1"/>
  <c r="AN74" i="1" s="1"/>
  <c r="S75" i="1"/>
  <c r="U75" i="1"/>
  <c r="AM75" i="1" s="1"/>
  <c r="AN75" i="1" s="1"/>
  <c r="Y75" i="1"/>
  <c r="S76" i="1"/>
  <c r="U76" i="1"/>
  <c r="AM76" i="1" s="1"/>
  <c r="AN76" i="1" s="1"/>
  <c r="Y76" i="1"/>
  <c r="S77" i="1"/>
  <c r="U77" i="1"/>
  <c r="AM77" i="1" s="1"/>
  <c r="AN77" i="1" s="1"/>
  <c r="Y77" i="1"/>
  <c r="S78" i="1"/>
  <c r="U78" i="1"/>
  <c r="AM78" i="1" s="1"/>
  <c r="AN78" i="1" s="1"/>
  <c r="Y78" i="1"/>
  <c r="S79" i="1"/>
  <c r="U79" i="1"/>
  <c r="AM79" i="1" s="1"/>
  <c r="AN79" i="1" s="1"/>
  <c r="Y79" i="1"/>
  <c r="S80" i="1"/>
  <c r="U80" i="1"/>
  <c r="AM80" i="1" s="1"/>
  <c r="AN80" i="1" s="1"/>
  <c r="AV80" i="1" s="1"/>
  <c r="Y80" i="1"/>
  <c r="S81" i="1"/>
  <c r="U81" i="1"/>
  <c r="Y81" i="1"/>
  <c r="AM81" i="1"/>
  <c r="AN81" i="1" s="1"/>
  <c r="AV81" i="1" s="1"/>
  <c r="S82" i="1"/>
  <c r="U82" i="1"/>
  <c r="AM82" i="1" s="1"/>
  <c r="AN82" i="1" s="1"/>
  <c r="Y82" i="1"/>
  <c r="S83" i="1"/>
  <c r="U83" i="1"/>
  <c r="Y83" i="1"/>
  <c r="AM83" i="1"/>
  <c r="AN83" i="1" s="1"/>
  <c r="S84" i="1"/>
  <c r="U84" i="1"/>
  <c r="Y84" i="1"/>
  <c r="AM84" i="1"/>
  <c r="AN84" i="1" s="1"/>
  <c r="S85" i="1"/>
  <c r="U85" i="1"/>
  <c r="AM85" i="1" s="1"/>
  <c r="AN85" i="1" s="1"/>
  <c r="Y85" i="1"/>
  <c r="S86" i="1"/>
  <c r="U86" i="1"/>
  <c r="Y86" i="1"/>
  <c r="AM86" i="1"/>
  <c r="AN86" i="1" s="1"/>
  <c r="AV86" i="1" s="1"/>
  <c r="S87" i="1"/>
  <c r="U87" i="1"/>
  <c r="AM87" i="1" s="1"/>
  <c r="AN87" i="1" s="1"/>
  <c r="Y87" i="1"/>
  <c r="AV87" i="1"/>
  <c r="S88" i="1"/>
  <c r="U88" i="1"/>
  <c r="Y88" i="1"/>
  <c r="AM88" i="1"/>
  <c r="AN88" i="1"/>
  <c r="S89" i="1"/>
  <c r="U89" i="1"/>
  <c r="AM89" i="1" s="1"/>
  <c r="AN89" i="1" s="1"/>
  <c r="Y89" i="1"/>
  <c r="S90" i="1"/>
  <c r="U90" i="1"/>
  <c r="Y90" i="1"/>
  <c r="AM90" i="1"/>
  <c r="AN90" i="1" s="1"/>
  <c r="S91" i="1"/>
  <c r="U91" i="1"/>
  <c r="AM91" i="1" s="1"/>
  <c r="AN91" i="1" s="1"/>
  <c r="Y91" i="1"/>
  <c r="S92" i="1"/>
  <c r="U92" i="1"/>
  <c r="AM92" i="1" s="1"/>
  <c r="AN92" i="1" s="1"/>
  <c r="Y92" i="1"/>
  <c r="S93" i="1"/>
  <c r="U93" i="1"/>
  <c r="Y93" i="1"/>
  <c r="AM93" i="1"/>
  <c r="AN93" i="1" s="1"/>
  <c r="S94" i="1"/>
  <c r="U94" i="1"/>
  <c r="Y94" i="1"/>
  <c r="AM94" i="1"/>
  <c r="AN94" i="1" s="1"/>
  <c r="S95" i="1"/>
  <c r="U95" i="1"/>
  <c r="Y95" i="1"/>
  <c r="AM95" i="1"/>
  <c r="AN95" i="1" s="1"/>
  <c r="S96" i="1"/>
  <c r="U96" i="1"/>
  <c r="Y96" i="1"/>
  <c r="AM96" i="1"/>
  <c r="AN96" i="1" s="1"/>
  <c r="S97" i="1"/>
  <c r="U97" i="1"/>
  <c r="AM97" i="1" s="1"/>
  <c r="AN97" i="1" s="1"/>
  <c r="Y97" i="1"/>
  <c r="S98" i="1"/>
  <c r="U98" i="1"/>
  <c r="Y98" i="1"/>
  <c r="AM98" i="1"/>
  <c r="AN98" i="1" s="1"/>
  <c r="S99" i="1"/>
  <c r="U99" i="1"/>
  <c r="Y99" i="1"/>
  <c r="AM99" i="1"/>
  <c r="AN99" i="1" s="1"/>
  <c r="S100" i="1"/>
  <c r="U100" i="1"/>
  <c r="AM100" i="1" s="1"/>
  <c r="AN100" i="1" s="1"/>
  <c r="Y100" i="1"/>
  <c r="S101" i="1"/>
  <c r="U101" i="1"/>
  <c r="Y101" i="1"/>
  <c r="AM101" i="1"/>
  <c r="AN101" i="1" s="1"/>
  <c r="S102" i="1"/>
  <c r="U102" i="1"/>
  <c r="AM102" i="1" s="1"/>
  <c r="AN102" i="1" s="1"/>
  <c r="Y102" i="1"/>
  <c r="S103" i="1"/>
  <c r="U103" i="1"/>
  <c r="AM103" i="1" s="1"/>
  <c r="AN103" i="1" s="1"/>
  <c r="Y103" i="1"/>
  <c r="S104" i="1"/>
  <c r="U104" i="1"/>
  <c r="Y104" i="1"/>
  <c r="AM104" i="1"/>
  <c r="AN104" i="1" s="1"/>
  <c r="S105" i="1"/>
  <c r="U105" i="1"/>
  <c r="AM105" i="1" s="1"/>
  <c r="AN105" i="1" s="1"/>
  <c r="Y105" i="1"/>
  <c r="S106" i="1"/>
  <c r="U106" i="1"/>
  <c r="AM106" i="1" s="1"/>
  <c r="AN106" i="1" s="1"/>
  <c r="Y106" i="1"/>
  <c r="S107" i="1"/>
  <c r="U107" i="1"/>
  <c r="AM107" i="1" s="1"/>
  <c r="AN107" i="1" s="1"/>
  <c r="Y107" i="1"/>
  <c r="S108" i="1"/>
  <c r="U108" i="1"/>
  <c r="AM108" i="1" s="1"/>
  <c r="AN108" i="1" s="1"/>
  <c r="Y108" i="1"/>
  <c r="S109" i="1"/>
  <c r="U109" i="1"/>
  <c r="AM109" i="1" s="1"/>
  <c r="AN109" i="1" s="1"/>
  <c r="Y109" i="1"/>
  <c r="S110" i="1"/>
  <c r="U110" i="1"/>
  <c r="Y110" i="1"/>
  <c r="AM110" i="1"/>
  <c r="AN110" i="1" s="1"/>
  <c r="S111" i="1"/>
  <c r="U111" i="1"/>
  <c r="AM111" i="1" s="1"/>
  <c r="AN111" i="1" s="1"/>
  <c r="Y111" i="1"/>
  <c r="S112" i="1"/>
  <c r="U112" i="1"/>
  <c r="AM112" i="1" s="1"/>
  <c r="AN112" i="1" s="1"/>
  <c r="Y112" i="1"/>
  <c r="S113" i="1"/>
  <c r="U113" i="1"/>
  <c r="AM113" i="1" s="1"/>
  <c r="AN113" i="1" s="1"/>
  <c r="Y113" i="1"/>
  <c r="S114" i="1"/>
  <c r="U114" i="1"/>
  <c r="Y114" i="1"/>
  <c r="AM114" i="1"/>
  <c r="AN114" i="1" s="1"/>
  <c r="S115" i="1"/>
  <c r="U115" i="1"/>
  <c r="Y115" i="1"/>
  <c r="AM115" i="1"/>
  <c r="AN115" i="1" s="1"/>
  <c r="S116" i="1"/>
  <c r="U116" i="1"/>
  <c r="Y116" i="1"/>
  <c r="AM116" i="1"/>
  <c r="AN116" i="1"/>
  <c r="S117" i="1"/>
  <c r="U117" i="1"/>
  <c r="AM117" i="1" s="1"/>
  <c r="AN117" i="1" s="1"/>
  <c r="Y117" i="1"/>
  <c r="S118" i="1"/>
  <c r="U118" i="1"/>
  <c r="Y118" i="1"/>
  <c r="AM118" i="1"/>
  <c r="AN118" i="1"/>
  <c r="S119" i="1"/>
  <c r="U119" i="1"/>
  <c r="AM119" i="1" s="1"/>
  <c r="AN119" i="1" s="1"/>
  <c r="Y119" i="1"/>
  <c r="S120" i="1"/>
  <c r="U120" i="1"/>
  <c r="Y120" i="1"/>
  <c r="AM120" i="1"/>
  <c r="AN120" i="1" s="1"/>
  <c r="S121" i="1"/>
  <c r="U121" i="1"/>
  <c r="AM121" i="1" s="1"/>
  <c r="AN121" i="1" s="1"/>
  <c r="Y121" i="1"/>
  <c r="S122" i="1"/>
  <c r="U122" i="1"/>
  <c r="AM122" i="1" s="1"/>
  <c r="AN122" i="1" s="1"/>
  <c r="Y122" i="1"/>
  <c r="S123" i="1"/>
  <c r="U123" i="1"/>
  <c r="AM123" i="1" s="1"/>
  <c r="AN123" i="1" s="1"/>
  <c r="Y123" i="1"/>
  <c r="S124" i="1"/>
  <c r="U124" i="1"/>
  <c r="Y124" i="1"/>
  <c r="AM124" i="1"/>
  <c r="AN124" i="1" s="1"/>
  <c r="S125" i="1"/>
  <c r="U125" i="1"/>
  <c r="Y125" i="1"/>
  <c r="AM125" i="1"/>
  <c r="AN125" i="1" s="1"/>
  <c r="AV125" i="1" s="1"/>
  <c r="S126" i="1"/>
  <c r="U126" i="1"/>
  <c r="Y126" i="1"/>
  <c r="AM126" i="1"/>
  <c r="AN126" i="1"/>
  <c r="AV126" i="1" s="1"/>
  <c r="S127" i="1"/>
  <c r="U127" i="1"/>
  <c r="AM127" i="1" s="1"/>
  <c r="AN127" i="1" s="1"/>
  <c r="Y127" i="1"/>
  <c r="AV127" i="1" s="1"/>
  <c r="S128" i="1"/>
  <c r="U128" i="1"/>
  <c r="Y128" i="1"/>
  <c r="AM128" i="1"/>
  <c r="AN128" i="1" s="1"/>
  <c r="S129" i="1"/>
  <c r="U129" i="1"/>
  <c r="Y129" i="1"/>
  <c r="AM129" i="1"/>
  <c r="AN129" i="1" s="1"/>
  <c r="S130" i="1"/>
  <c r="U130" i="1"/>
  <c r="AM130" i="1" s="1"/>
  <c r="AN130" i="1" s="1"/>
  <c r="Y130" i="1"/>
  <c r="S131" i="1"/>
  <c r="U131" i="1"/>
  <c r="AM131" i="1" s="1"/>
  <c r="AN131" i="1" s="1"/>
  <c r="Y131" i="1"/>
  <c r="S132" i="1"/>
  <c r="U132" i="1"/>
  <c r="AM132" i="1" s="1"/>
  <c r="AN132" i="1" s="1"/>
  <c r="Y132" i="1"/>
  <c r="AV132" i="1"/>
  <c r="S133" i="1"/>
  <c r="U133" i="1"/>
  <c r="AM133" i="1" s="1"/>
  <c r="AN133" i="1" s="1"/>
  <c r="Y133" i="1"/>
  <c r="S134" i="1"/>
  <c r="U134" i="1"/>
  <c r="AM134" i="1" s="1"/>
  <c r="AN134" i="1" s="1"/>
  <c r="Y134" i="1"/>
  <c r="S135" i="1"/>
  <c r="U135" i="1"/>
  <c r="Y135" i="1"/>
  <c r="AM135" i="1"/>
  <c r="AN135" i="1" s="1"/>
  <c r="AV135" i="1" s="1"/>
  <c r="S136" i="1"/>
  <c r="U136" i="1"/>
  <c r="AM136" i="1" s="1"/>
  <c r="AN136" i="1" s="1"/>
  <c r="Y136" i="1"/>
  <c r="S137" i="1"/>
  <c r="U137" i="1"/>
  <c r="AM137" i="1" s="1"/>
  <c r="AN137" i="1" s="1"/>
  <c r="Y137" i="1"/>
  <c r="AV137" i="1"/>
  <c r="S138" i="1"/>
  <c r="U138" i="1"/>
  <c r="Y138" i="1"/>
  <c r="AM138" i="1"/>
  <c r="AN138" i="1" s="1"/>
  <c r="AV138" i="1" s="1"/>
  <c r="S139" i="1"/>
  <c r="U139" i="1"/>
  <c r="Y139" i="1"/>
  <c r="AM139" i="1"/>
  <c r="AN139" i="1" s="1"/>
  <c r="S140" i="1"/>
  <c r="U140" i="1"/>
  <c r="Y140" i="1"/>
  <c r="AV140" i="1" s="1"/>
  <c r="AM140" i="1"/>
  <c r="AN140" i="1" s="1"/>
  <c r="S141" i="1"/>
  <c r="U141" i="1"/>
  <c r="Y141" i="1"/>
  <c r="AM141" i="1"/>
  <c r="AN141" i="1" s="1"/>
  <c r="S142" i="1"/>
  <c r="U142" i="1"/>
  <c r="AM142" i="1" s="1"/>
  <c r="AN142" i="1" s="1"/>
  <c r="Y142" i="1"/>
  <c r="AV142" i="1" s="1"/>
  <c r="S143" i="1"/>
  <c r="U143" i="1"/>
  <c r="AM143" i="1" s="1"/>
  <c r="AN143" i="1" s="1"/>
  <c r="Y143" i="1"/>
  <c r="S144" i="1"/>
  <c r="U144" i="1"/>
  <c r="AM144" i="1" s="1"/>
  <c r="AN144" i="1" s="1"/>
  <c r="Y144" i="1"/>
  <c r="S145" i="1"/>
  <c r="U145" i="1"/>
  <c r="Y145" i="1"/>
  <c r="AM145" i="1"/>
  <c r="AN145" i="1" s="1"/>
  <c r="AV145" i="1"/>
  <c r="S146" i="1"/>
  <c r="U146" i="1"/>
  <c r="Y146" i="1"/>
  <c r="AM146" i="1"/>
  <c r="AN146" i="1"/>
  <c r="S147" i="1"/>
  <c r="U147" i="1"/>
  <c r="AM147" i="1" s="1"/>
  <c r="AN147" i="1" s="1"/>
  <c r="Y147" i="1"/>
  <c r="AV147" i="1" s="1"/>
  <c r="S148" i="1"/>
  <c r="U148" i="1"/>
  <c r="Y148" i="1"/>
  <c r="AM148" i="1"/>
  <c r="AN148" i="1" s="1"/>
  <c r="S149" i="1"/>
  <c r="U149" i="1"/>
  <c r="AM149" i="1" s="1"/>
  <c r="AN149" i="1" s="1"/>
  <c r="Y149" i="1"/>
  <c r="S150" i="1"/>
  <c r="U150" i="1"/>
  <c r="Y150" i="1"/>
  <c r="AM150" i="1"/>
  <c r="AN150" i="1" s="1"/>
  <c r="AV150" i="1" s="1"/>
  <c r="S151" i="1"/>
  <c r="U151" i="1"/>
  <c r="Y151" i="1"/>
  <c r="AM151" i="1"/>
  <c r="AN151" i="1" s="1"/>
  <c r="AW151" i="1" s="1"/>
  <c r="S152" i="1"/>
  <c r="U152" i="1"/>
  <c r="AM152" i="1" s="1"/>
  <c r="AN152" i="1" s="1"/>
  <c r="Y152" i="1"/>
  <c r="S153" i="1"/>
  <c r="U153" i="1"/>
  <c r="AM153" i="1" s="1"/>
  <c r="AN153" i="1" s="1"/>
  <c r="Y153" i="1"/>
  <c r="S154" i="1"/>
  <c r="U154" i="1"/>
  <c r="AM154" i="1" s="1"/>
  <c r="AN154" i="1" s="1"/>
  <c r="Y154" i="1"/>
  <c r="S155" i="1"/>
  <c r="U155" i="1"/>
  <c r="Y155" i="1"/>
  <c r="AM155" i="1"/>
  <c r="AN155" i="1" s="1"/>
  <c r="S156" i="1"/>
  <c r="U156" i="1"/>
  <c r="Y156" i="1"/>
  <c r="AM156" i="1"/>
  <c r="AN156" i="1" s="1"/>
  <c r="AW156" i="1" s="1"/>
  <c r="S157" i="1"/>
  <c r="U157" i="1"/>
  <c r="AM157" i="1" s="1"/>
  <c r="Y157" i="1"/>
  <c r="AN157" i="1"/>
  <c r="S158" i="1"/>
  <c r="U158" i="1"/>
  <c r="AM158" i="1" s="1"/>
  <c r="AN158" i="1" s="1"/>
  <c r="Y158" i="1"/>
  <c r="S159" i="1"/>
  <c r="U159" i="1"/>
  <c r="Y159" i="1"/>
  <c r="AM159" i="1"/>
  <c r="AN159" i="1" s="1"/>
  <c r="S160" i="1"/>
  <c r="U160" i="1"/>
  <c r="AM160" i="1" s="1"/>
  <c r="AN160" i="1" s="1"/>
  <c r="Y160" i="1"/>
  <c r="S161" i="1"/>
  <c r="U161" i="1"/>
  <c r="Y161" i="1"/>
  <c r="AM161" i="1"/>
  <c r="AN161" i="1" s="1"/>
  <c r="S162" i="1"/>
  <c r="U162" i="1"/>
  <c r="AM162" i="1" s="1"/>
  <c r="AN162" i="1" s="1"/>
  <c r="Y162" i="1"/>
  <c r="S163" i="1"/>
  <c r="U163" i="1"/>
  <c r="Y163" i="1"/>
  <c r="AM163" i="1"/>
  <c r="AN163" i="1" s="1"/>
  <c r="S164" i="1"/>
  <c r="U164" i="1"/>
  <c r="AM164" i="1" s="1"/>
  <c r="AN164" i="1" s="1"/>
  <c r="Y164" i="1"/>
  <c r="S165" i="1"/>
  <c r="U165" i="1"/>
  <c r="AM165" i="1" s="1"/>
  <c r="AN165" i="1" s="1"/>
  <c r="Y165" i="1"/>
  <c r="S166" i="1"/>
  <c r="U166" i="1"/>
  <c r="Y166" i="1"/>
  <c r="AM166" i="1"/>
  <c r="AN166" i="1" s="1"/>
  <c r="S167" i="1"/>
  <c r="U167" i="1"/>
  <c r="AM167" i="1" s="1"/>
  <c r="AN167" i="1" s="1"/>
  <c r="Y167" i="1"/>
  <c r="S168" i="1"/>
  <c r="U168" i="1"/>
  <c r="Y168" i="1"/>
  <c r="AM168" i="1"/>
  <c r="AN168" i="1" s="1"/>
  <c r="S169" i="1"/>
  <c r="U169" i="1"/>
  <c r="AM169" i="1" s="1"/>
  <c r="AN169" i="1" s="1"/>
  <c r="Y169" i="1"/>
  <c r="S170" i="1"/>
  <c r="U170" i="1"/>
  <c r="AM170" i="1" s="1"/>
  <c r="AN170" i="1" s="1"/>
  <c r="Y170" i="1"/>
  <c r="S171" i="1"/>
  <c r="U171" i="1"/>
  <c r="Y171" i="1"/>
  <c r="AM171" i="1"/>
  <c r="AN171" i="1" s="1"/>
  <c r="S172" i="1"/>
  <c r="U172" i="1"/>
  <c r="AM172" i="1" s="1"/>
  <c r="AN172" i="1" s="1"/>
  <c r="Y172" i="1"/>
  <c r="S173" i="1"/>
  <c r="U173" i="1"/>
  <c r="Y173" i="1"/>
  <c r="AM173" i="1"/>
  <c r="AN173" i="1" s="1"/>
  <c r="S174" i="1"/>
  <c r="U174" i="1"/>
  <c r="Y174" i="1"/>
  <c r="AM174" i="1"/>
  <c r="AN174" i="1" s="1"/>
  <c r="S175" i="1"/>
  <c r="U175" i="1"/>
  <c r="AM175" i="1" s="1"/>
  <c r="AN175" i="1" s="1"/>
  <c r="Y175" i="1"/>
  <c r="S176" i="1"/>
  <c r="U176" i="1"/>
  <c r="AM176" i="1" s="1"/>
  <c r="AN176" i="1" s="1"/>
  <c r="Y176" i="1"/>
  <c r="S177" i="1"/>
  <c r="U177" i="1"/>
  <c r="AM177" i="1" s="1"/>
  <c r="AN177" i="1" s="1"/>
  <c r="Y177" i="1"/>
  <c r="S178" i="1"/>
  <c r="U178" i="1"/>
  <c r="AM178" i="1" s="1"/>
  <c r="AN178" i="1" s="1"/>
  <c r="Y178" i="1"/>
  <c r="S179" i="1"/>
  <c r="U179" i="1"/>
  <c r="Y179" i="1"/>
  <c r="AM179" i="1"/>
  <c r="AN179" i="1" s="1"/>
  <c r="S180" i="1"/>
  <c r="U180" i="1"/>
  <c r="Y180" i="1"/>
  <c r="AM180" i="1"/>
  <c r="AN180" i="1" s="1"/>
  <c r="AV180" i="1" s="1"/>
  <c r="S181" i="1"/>
  <c r="U181" i="1"/>
  <c r="Y181" i="1"/>
  <c r="AM181" i="1"/>
  <c r="AN181" i="1" s="1"/>
  <c r="S182" i="1"/>
  <c r="U182" i="1"/>
  <c r="AM182" i="1" s="1"/>
  <c r="Y182" i="1"/>
  <c r="AN182" i="1"/>
  <c r="AU182" i="1" s="1"/>
  <c r="S183" i="1"/>
  <c r="U183" i="1"/>
  <c r="AM183" i="1" s="1"/>
  <c r="AN183" i="1" s="1"/>
  <c r="Y183" i="1"/>
  <c r="S184" i="1"/>
  <c r="U184" i="1"/>
  <c r="AM184" i="1" s="1"/>
  <c r="AN184" i="1" s="1"/>
  <c r="Y184" i="1"/>
  <c r="S185" i="1"/>
  <c r="U185" i="1"/>
  <c r="AM185" i="1" s="1"/>
  <c r="AN185" i="1" s="1"/>
  <c r="Y185" i="1"/>
  <c r="S186" i="1"/>
  <c r="U186" i="1"/>
  <c r="AM186" i="1" s="1"/>
  <c r="AN186" i="1" s="1"/>
  <c r="Y186" i="1"/>
  <c r="S187" i="1"/>
  <c r="U187" i="1"/>
  <c r="AM187" i="1" s="1"/>
  <c r="AN187" i="1" s="1"/>
  <c r="Y187" i="1"/>
  <c r="S188" i="1"/>
  <c r="U188" i="1"/>
  <c r="AM188" i="1" s="1"/>
  <c r="AN188" i="1" s="1"/>
  <c r="Y188" i="1"/>
  <c r="S189" i="1"/>
  <c r="U189" i="1"/>
  <c r="AM189" i="1" s="1"/>
  <c r="AN189" i="1" s="1"/>
  <c r="Y189" i="1"/>
  <c r="S190" i="1"/>
  <c r="U190" i="1"/>
  <c r="Y190" i="1"/>
  <c r="AM190" i="1"/>
  <c r="AN190" i="1" s="1"/>
  <c r="S191" i="1"/>
  <c r="U191" i="1"/>
  <c r="AM191" i="1" s="1"/>
  <c r="AN191" i="1" s="1"/>
  <c r="Y191" i="1"/>
  <c r="S192" i="1"/>
  <c r="U192" i="1"/>
  <c r="AM192" i="1" s="1"/>
  <c r="Y192" i="1"/>
  <c r="AN192" i="1"/>
  <c r="S193" i="1"/>
  <c r="U193" i="1"/>
  <c r="Y193" i="1"/>
  <c r="AM193" i="1"/>
  <c r="AN193" i="1" s="1"/>
  <c r="S194" i="1"/>
  <c r="U194" i="1"/>
  <c r="Y194" i="1"/>
  <c r="AM194" i="1"/>
  <c r="AN194" i="1" s="1"/>
  <c r="S195" i="1"/>
  <c r="U195" i="1"/>
  <c r="Y195" i="1"/>
  <c r="AM195" i="1"/>
  <c r="AN195" i="1" s="1"/>
  <c r="AW195" i="1" s="1"/>
  <c r="S196" i="1"/>
  <c r="U196" i="1"/>
  <c r="Y196" i="1"/>
  <c r="AM196" i="1"/>
  <c r="AN196" i="1" s="1"/>
  <c r="S197" i="1"/>
  <c r="U197" i="1"/>
  <c r="AM197" i="1" s="1"/>
  <c r="AN197" i="1" s="1"/>
  <c r="Y197" i="1"/>
  <c r="S198" i="1"/>
  <c r="U198" i="1"/>
  <c r="Y198" i="1"/>
  <c r="AM198" i="1"/>
  <c r="AN198" i="1"/>
  <c r="S199" i="1"/>
  <c r="U199" i="1"/>
  <c r="AM199" i="1" s="1"/>
  <c r="AN199" i="1" s="1"/>
  <c r="Y199" i="1"/>
  <c r="S200" i="1"/>
  <c r="U200" i="1"/>
  <c r="AM200" i="1" s="1"/>
  <c r="AN200" i="1" s="1"/>
  <c r="Y200" i="1"/>
  <c r="S201" i="1"/>
  <c r="U201" i="1"/>
  <c r="AM201" i="1" s="1"/>
  <c r="AN201" i="1" s="1"/>
  <c r="Y201" i="1"/>
  <c r="S202" i="1"/>
  <c r="U202" i="1"/>
  <c r="AM202" i="1" s="1"/>
  <c r="AN202" i="1" s="1"/>
  <c r="Y202" i="1"/>
  <c r="S203" i="1"/>
  <c r="U203" i="1"/>
  <c r="AM203" i="1" s="1"/>
  <c r="AN203" i="1" s="1"/>
  <c r="Y203" i="1"/>
  <c r="S204" i="1"/>
  <c r="U204" i="1"/>
  <c r="Y204" i="1"/>
  <c r="AM204" i="1"/>
  <c r="AN204" i="1" s="1"/>
  <c r="S205" i="1"/>
  <c r="U205" i="1"/>
  <c r="AM205" i="1" s="1"/>
  <c r="AN205" i="1" s="1"/>
  <c r="Y205" i="1"/>
  <c r="S206" i="1"/>
  <c r="U206" i="1"/>
  <c r="AM206" i="1" s="1"/>
  <c r="AN206" i="1" s="1"/>
  <c r="Y206" i="1"/>
  <c r="S207" i="1"/>
  <c r="U207" i="1"/>
  <c r="AM207" i="1" s="1"/>
  <c r="AN207" i="1" s="1"/>
  <c r="Y207" i="1"/>
  <c r="S208" i="1"/>
  <c r="U208" i="1"/>
  <c r="AM208" i="1" s="1"/>
  <c r="AN208" i="1" s="1"/>
  <c r="Y208" i="1"/>
  <c r="S209" i="1"/>
  <c r="U209" i="1"/>
  <c r="Y209" i="1"/>
  <c r="AM209" i="1"/>
  <c r="AN209" i="1" s="1"/>
  <c r="AV209" i="1"/>
  <c r="S210" i="1"/>
  <c r="U210" i="1"/>
  <c r="Y210" i="1"/>
  <c r="AM210" i="1"/>
  <c r="AN210" i="1"/>
  <c r="S211" i="1"/>
  <c r="U211" i="1"/>
  <c r="AM211" i="1" s="1"/>
  <c r="AN211" i="1" s="1"/>
  <c r="Y211" i="1"/>
  <c r="AV189" i="1" l="1"/>
  <c r="AV66" i="1"/>
  <c r="AV116" i="1"/>
  <c r="AU187" i="1"/>
  <c r="AV75" i="1"/>
  <c r="AV35" i="1"/>
  <c r="AU177" i="1"/>
  <c r="AV143" i="1"/>
  <c r="AV131" i="1"/>
  <c r="AV97" i="1"/>
  <c r="AV40" i="1"/>
  <c r="AU47" i="1"/>
  <c r="AV130" i="1"/>
  <c r="AV32" i="1"/>
  <c r="AV165" i="1"/>
  <c r="AV25" i="1"/>
  <c r="AU198" i="1"/>
  <c r="AV70" i="1"/>
  <c r="AV91" i="1"/>
  <c r="AV45" i="1"/>
  <c r="AV88" i="1"/>
  <c r="AV120" i="1"/>
  <c r="AV41" i="1"/>
  <c r="AV157" i="1"/>
  <c r="AV184" i="1"/>
  <c r="AW208" i="1"/>
  <c r="AV61" i="1"/>
  <c r="AU27" i="1"/>
  <c r="AV82" i="1"/>
  <c r="AV158" i="1"/>
  <c r="AU30" i="1"/>
  <c r="AU172" i="1"/>
  <c r="AW183" i="1"/>
  <c r="AV117" i="1"/>
  <c r="AV55" i="1"/>
  <c r="AV52" i="1"/>
  <c r="AV56" i="1"/>
  <c r="AU22" i="1"/>
  <c r="AV22" i="1"/>
  <c r="AW22" i="1"/>
  <c r="AV16" i="1"/>
  <c r="AU162" i="1"/>
  <c r="AW162" i="1"/>
  <c r="AV178" i="1"/>
  <c r="AV172" i="1"/>
  <c r="AV123" i="1"/>
  <c r="AU122" i="1"/>
  <c r="AV122" i="1"/>
  <c r="AW122" i="1"/>
  <c r="AU11" i="1"/>
  <c r="AV11" i="1"/>
  <c r="AW11" i="1"/>
  <c r="AV148" i="1"/>
  <c r="AU168" i="1"/>
  <c r="AW168" i="1"/>
  <c r="AV76" i="1"/>
  <c r="AU42" i="1"/>
  <c r="AW42" i="1"/>
  <c r="AV36" i="1"/>
  <c r="AV207" i="1"/>
  <c r="AV100" i="1"/>
  <c r="AU55" i="1"/>
  <c r="AU35" i="1"/>
  <c r="AU15" i="1"/>
  <c r="AU196" i="1"/>
  <c r="AV181" i="1"/>
  <c r="AV95" i="1"/>
  <c r="AU43" i="1"/>
  <c r="AU23" i="1"/>
  <c r="AU51" i="1"/>
  <c r="AU31" i="1"/>
  <c r="AU6" i="1"/>
  <c r="AW206" i="1"/>
  <c r="AU185" i="1"/>
  <c r="AW171" i="1"/>
  <c r="AU86" i="1"/>
  <c r="AU68" i="1"/>
  <c r="AU81" i="1"/>
  <c r="AU63" i="1"/>
  <c r="AV50" i="1"/>
  <c r="AV30" i="1"/>
  <c r="AU210" i="1"/>
  <c r="AV175" i="1"/>
  <c r="AV152" i="1"/>
  <c r="AV113" i="1"/>
  <c r="AV108" i="1"/>
  <c r="AV85" i="1"/>
  <c r="AU58" i="1"/>
  <c r="AU38" i="1"/>
  <c r="AU18" i="1"/>
  <c r="AV103" i="1"/>
  <c r="AU76" i="1"/>
  <c r="AU46" i="1"/>
  <c r="AU26" i="1"/>
  <c r="AV194" i="1"/>
  <c r="AU53" i="1"/>
  <c r="AU33" i="1"/>
  <c r="AU13" i="1"/>
  <c r="AV204" i="1"/>
  <c r="AU156" i="1"/>
  <c r="AV151" i="1"/>
  <c r="AV112" i="1"/>
  <c r="AV93" i="1"/>
  <c r="AU71" i="1"/>
  <c r="AW198" i="1"/>
  <c r="AV146" i="1"/>
  <c r="AV107" i="1"/>
  <c r="AU193" i="1"/>
  <c r="AV121" i="1"/>
  <c r="AU66" i="1"/>
  <c r="AW52" i="1"/>
  <c r="AW32" i="1"/>
  <c r="AU8" i="1"/>
  <c r="AU173" i="1"/>
  <c r="AV155" i="1"/>
  <c r="AV111" i="1"/>
  <c r="AV92" i="1"/>
  <c r="AU61" i="1"/>
  <c r="AU41" i="1"/>
  <c r="AU21" i="1"/>
  <c r="AU178" i="1"/>
  <c r="AV65" i="1"/>
  <c r="AU48" i="1"/>
  <c r="AU28" i="1"/>
  <c r="AV128" i="1"/>
  <c r="AV101" i="1"/>
  <c r="AU56" i="1"/>
  <c r="AU36" i="1"/>
  <c r="AU16" i="1"/>
  <c r="AU192" i="1"/>
  <c r="AV182" i="1"/>
  <c r="AW172" i="1"/>
  <c r="AV168" i="1"/>
  <c r="AV115" i="1"/>
  <c r="AV96" i="1"/>
  <c r="AU207" i="1"/>
  <c r="AW47" i="1"/>
  <c r="AW27" i="1"/>
  <c r="AW6" i="1"/>
  <c r="AW158" i="1"/>
  <c r="AV136" i="1"/>
  <c r="AV105" i="1"/>
  <c r="AV51" i="1"/>
  <c r="AV31" i="1"/>
  <c r="AV6" i="1"/>
  <c r="AU181" i="1"/>
  <c r="AW181" i="1"/>
  <c r="AV201" i="1"/>
  <c r="AW201" i="1"/>
  <c r="AU191" i="1"/>
  <c r="AV191" i="1"/>
  <c r="AW191" i="1"/>
  <c r="AU167" i="1"/>
  <c r="AV167" i="1"/>
  <c r="AW167" i="1"/>
  <c r="AU211" i="1"/>
  <c r="AV211" i="1"/>
  <c r="AW211" i="1"/>
  <c r="AU201" i="1"/>
  <c r="AW176" i="1"/>
  <c r="AU190" i="1"/>
  <c r="AV190" i="1"/>
  <c r="AW190" i="1"/>
  <c r="AU176" i="1"/>
  <c r="AV176" i="1"/>
  <c r="AU166" i="1"/>
  <c r="AV166" i="1"/>
  <c r="AW166" i="1"/>
  <c r="AU206" i="1"/>
  <c r="AU171" i="1"/>
  <c r="AU195" i="1"/>
  <c r="AU161" i="1"/>
  <c r="AV161" i="1"/>
  <c r="AW161" i="1"/>
  <c r="AU200" i="1"/>
  <c r="AV200" i="1"/>
  <c r="AW200" i="1"/>
  <c r="AU205" i="1"/>
  <c r="AV205" i="1"/>
  <c r="AW205" i="1"/>
  <c r="AV199" i="1"/>
  <c r="AU188" i="1"/>
  <c r="AV188" i="1"/>
  <c r="AW188" i="1"/>
  <c r="AU183" i="1"/>
  <c r="AV193" i="1"/>
  <c r="AV203" i="1"/>
  <c r="AW203" i="1"/>
  <c r="AU208" i="1"/>
  <c r="AU203" i="1"/>
  <c r="AU197" i="1"/>
  <c r="AV197" i="1"/>
  <c r="AW197" i="1"/>
  <c r="AU202" i="1"/>
  <c r="AV202" i="1"/>
  <c r="AW202" i="1"/>
  <c r="AU186" i="1"/>
  <c r="AV186" i="1"/>
  <c r="AW186" i="1"/>
  <c r="AU170" i="1"/>
  <c r="AW170" i="1"/>
  <c r="AU153" i="1"/>
  <c r="AW153" i="1"/>
  <c r="AU149" i="1"/>
  <c r="AV149" i="1"/>
  <c r="AW149" i="1"/>
  <c r="AU118" i="1"/>
  <c r="AW118" i="1"/>
  <c r="AU110" i="1"/>
  <c r="AW110" i="1"/>
  <c r="AU106" i="1"/>
  <c r="AW106" i="1"/>
  <c r="AU102" i="1"/>
  <c r="AW102" i="1"/>
  <c r="AU98" i="1"/>
  <c r="AW98" i="1"/>
  <c r="AU90" i="1"/>
  <c r="AW90" i="1"/>
  <c r="AU64" i="1"/>
  <c r="AV64" i="1"/>
  <c r="AW64" i="1"/>
  <c r="AU179" i="1"/>
  <c r="AW179" i="1"/>
  <c r="AU160" i="1"/>
  <c r="AW160" i="1"/>
  <c r="AV156" i="1"/>
  <c r="AU129" i="1"/>
  <c r="AV129" i="1"/>
  <c r="AW129" i="1"/>
  <c r="AU73" i="1"/>
  <c r="AV73" i="1"/>
  <c r="AW73" i="1"/>
  <c r="AW187" i="1"/>
  <c r="AU163" i="1"/>
  <c r="AU145" i="1"/>
  <c r="AW145" i="1"/>
  <c r="AU141" i="1"/>
  <c r="AW141" i="1"/>
  <c r="AU137" i="1"/>
  <c r="AW137" i="1"/>
  <c r="AU133" i="1"/>
  <c r="AW133" i="1"/>
  <c r="AU125" i="1"/>
  <c r="AW125" i="1"/>
  <c r="AU77" i="1"/>
  <c r="AV77" i="1"/>
  <c r="AW77" i="1"/>
  <c r="AU59" i="1"/>
  <c r="AU39" i="1"/>
  <c r="AU19" i="1"/>
  <c r="AU204" i="1"/>
  <c r="AW204" i="1"/>
  <c r="AV198" i="1"/>
  <c r="AV187" i="1"/>
  <c r="AU10" i="1"/>
  <c r="AW178" i="1"/>
  <c r="AU169" i="1"/>
  <c r="AV169" i="1"/>
  <c r="AW169" i="1"/>
  <c r="AU109" i="1"/>
  <c r="AV109" i="1"/>
  <c r="AW109" i="1"/>
  <c r="AU89" i="1"/>
  <c r="AV89" i="1"/>
  <c r="AW89" i="1"/>
  <c r="AU54" i="1"/>
  <c r="AU34" i="1"/>
  <c r="AU14" i="1"/>
  <c r="AU159" i="1"/>
  <c r="AV159" i="1"/>
  <c r="AW159" i="1"/>
  <c r="AU152" i="1"/>
  <c r="AW152" i="1"/>
  <c r="AU121" i="1"/>
  <c r="AW121" i="1"/>
  <c r="AU117" i="1"/>
  <c r="AW117" i="1"/>
  <c r="AU113" i="1"/>
  <c r="AW113" i="1"/>
  <c r="AU105" i="1"/>
  <c r="AW105" i="1"/>
  <c r="AU101" i="1"/>
  <c r="AW101" i="1"/>
  <c r="AU97" i="1"/>
  <c r="AW97" i="1"/>
  <c r="AU93" i="1"/>
  <c r="AW93" i="1"/>
  <c r="AU85" i="1"/>
  <c r="AW85" i="1"/>
  <c r="AU72" i="1"/>
  <c r="AV72" i="1"/>
  <c r="AW72" i="1"/>
  <c r="AV206" i="1"/>
  <c r="AV195" i="1"/>
  <c r="AW192" i="1"/>
  <c r="AV162" i="1"/>
  <c r="AU148" i="1"/>
  <c r="AW148" i="1"/>
  <c r="AU144" i="1"/>
  <c r="AV144" i="1"/>
  <c r="AW144" i="1"/>
  <c r="AU124" i="1"/>
  <c r="AV124" i="1"/>
  <c r="AW124" i="1"/>
  <c r="AU5" i="1"/>
  <c r="AU209" i="1"/>
  <c r="AW209" i="1"/>
  <c r="AV192" i="1"/>
  <c r="AU184" i="1"/>
  <c r="AW184" i="1"/>
  <c r="AU140" i="1"/>
  <c r="AW140" i="1"/>
  <c r="AU136" i="1"/>
  <c r="AW136" i="1"/>
  <c r="AU132" i="1"/>
  <c r="AW132" i="1"/>
  <c r="AU128" i="1"/>
  <c r="AW128" i="1"/>
  <c r="AU67" i="1"/>
  <c r="AV67" i="1"/>
  <c r="AW67" i="1"/>
  <c r="AU9" i="1"/>
  <c r="AU175" i="1"/>
  <c r="AW175" i="1"/>
  <c r="AU104" i="1"/>
  <c r="AV104" i="1"/>
  <c r="AW104" i="1"/>
  <c r="AU84" i="1"/>
  <c r="AV84" i="1"/>
  <c r="AW84" i="1"/>
  <c r="AU80" i="1"/>
  <c r="AW80" i="1"/>
  <c r="AU62" i="1"/>
  <c r="AV62" i="1"/>
  <c r="AW62" i="1"/>
  <c r="AU155" i="1"/>
  <c r="AW155" i="1"/>
  <c r="AU120" i="1"/>
  <c r="AW120" i="1"/>
  <c r="AU116" i="1"/>
  <c r="AW116" i="1"/>
  <c r="AU112" i="1"/>
  <c r="AW112" i="1"/>
  <c r="AU108" i="1"/>
  <c r="AW108" i="1"/>
  <c r="AU100" i="1"/>
  <c r="AW100" i="1"/>
  <c r="AU96" i="1"/>
  <c r="AW96" i="1"/>
  <c r="AU92" i="1"/>
  <c r="AW92" i="1"/>
  <c r="AU88" i="1"/>
  <c r="AW88" i="1"/>
  <c r="AU49" i="1"/>
  <c r="AU29" i="1"/>
  <c r="AU4" i="1"/>
  <c r="AV208" i="1"/>
  <c r="AU189" i="1"/>
  <c r="AW189" i="1"/>
  <c r="AV183" i="1"/>
  <c r="AV171" i="1"/>
  <c r="AU165" i="1"/>
  <c r="AW165" i="1"/>
  <c r="AU151" i="1"/>
  <c r="AU147" i="1"/>
  <c r="AW147" i="1"/>
  <c r="AU139" i="1"/>
  <c r="AV139" i="1"/>
  <c r="AW139" i="1"/>
  <c r="AU57" i="1"/>
  <c r="AV57" i="1"/>
  <c r="AW57" i="1"/>
  <c r="AU37" i="1"/>
  <c r="AV37" i="1"/>
  <c r="AW37" i="1"/>
  <c r="AU17" i="1"/>
  <c r="AV17" i="1"/>
  <c r="AW17" i="1"/>
  <c r="AW177" i="1"/>
  <c r="AU158" i="1"/>
  <c r="AU143" i="1"/>
  <c r="AW143" i="1"/>
  <c r="AU135" i="1"/>
  <c r="AW135" i="1"/>
  <c r="AU131" i="1"/>
  <c r="AW131" i="1"/>
  <c r="AU127" i="1"/>
  <c r="AW127" i="1"/>
  <c r="AU123" i="1"/>
  <c r="AW123" i="1"/>
  <c r="AU75" i="1"/>
  <c r="AU45" i="1"/>
  <c r="AU25" i="1"/>
  <c r="AW180" i="1"/>
  <c r="AV177" i="1"/>
  <c r="AU174" i="1"/>
  <c r="AV174" i="1"/>
  <c r="AW174" i="1"/>
  <c r="AW146" i="1"/>
  <c r="AU79" i="1"/>
  <c r="AV79" i="1"/>
  <c r="AW79" i="1"/>
  <c r="AU12" i="1"/>
  <c r="AV12" i="1"/>
  <c r="AW12" i="1"/>
  <c r="AV3" i="1"/>
  <c r="AW3" i="1"/>
  <c r="AU154" i="1"/>
  <c r="AV154" i="1"/>
  <c r="AW154" i="1"/>
  <c r="AU119" i="1"/>
  <c r="AV119" i="1"/>
  <c r="AW119" i="1"/>
  <c r="AU99" i="1"/>
  <c r="AV99" i="1"/>
  <c r="AW99" i="1"/>
  <c r="AU83" i="1"/>
  <c r="AV83" i="1"/>
  <c r="AW83" i="1"/>
  <c r="AU70" i="1"/>
  <c r="AU3" i="1"/>
  <c r="AU194" i="1"/>
  <c r="AW194" i="1"/>
  <c r="AU164" i="1"/>
  <c r="AV164" i="1"/>
  <c r="AW164" i="1"/>
  <c r="AU115" i="1"/>
  <c r="AW115" i="1"/>
  <c r="AU111" i="1"/>
  <c r="AW111" i="1"/>
  <c r="AU107" i="1"/>
  <c r="AW107" i="1"/>
  <c r="AU103" i="1"/>
  <c r="AW103" i="1"/>
  <c r="AU95" i="1"/>
  <c r="AW95" i="1"/>
  <c r="AU91" i="1"/>
  <c r="AW91" i="1"/>
  <c r="AU87" i="1"/>
  <c r="AW87" i="1"/>
  <c r="AU180" i="1"/>
  <c r="AW173" i="1"/>
  <c r="AU157" i="1"/>
  <c r="AW157" i="1"/>
  <c r="AU150" i="1"/>
  <c r="AW150" i="1"/>
  <c r="AU134" i="1"/>
  <c r="AV134" i="1"/>
  <c r="AW134" i="1"/>
  <c r="AU74" i="1"/>
  <c r="AV74" i="1"/>
  <c r="AW74" i="1"/>
  <c r="AU65" i="1"/>
  <c r="AU44" i="1"/>
  <c r="AU24" i="1"/>
  <c r="AU7" i="1"/>
  <c r="AV7" i="1"/>
  <c r="AW7" i="1"/>
  <c r="AW210" i="1"/>
  <c r="AW196" i="1"/>
  <c r="AW185" i="1"/>
  <c r="AV173" i="1"/>
  <c r="AV153" i="1"/>
  <c r="AU146" i="1"/>
  <c r="AU142" i="1"/>
  <c r="AW142" i="1"/>
  <c r="AU138" i="1"/>
  <c r="AW138" i="1"/>
  <c r="AU130" i="1"/>
  <c r="AW130" i="1"/>
  <c r="AU126" i="1"/>
  <c r="AW126" i="1"/>
  <c r="AV118" i="1"/>
  <c r="AV106" i="1"/>
  <c r="AV98" i="1"/>
  <c r="AV210" i="1"/>
  <c r="AW207" i="1"/>
  <c r="AV196" i="1"/>
  <c r="AW193" i="1"/>
  <c r="AV185" i="1"/>
  <c r="AW182" i="1"/>
  <c r="AV170" i="1"/>
  <c r="AW163" i="1"/>
  <c r="AV110" i="1"/>
  <c r="AV102" i="1"/>
  <c r="AV90" i="1"/>
  <c r="AU78" i="1"/>
  <c r="AV78" i="1"/>
  <c r="AW78" i="1"/>
  <c r="AU69" i="1"/>
  <c r="AV69" i="1"/>
  <c r="AW69" i="1"/>
  <c r="AU60" i="1"/>
  <c r="AU40" i="1"/>
  <c r="AU20" i="1"/>
  <c r="AU2" i="1"/>
  <c r="AV2" i="1"/>
  <c r="AW2" i="1"/>
  <c r="AU199" i="1"/>
  <c r="AW199" i="1"/>
  <c r="AV179" i="1"/>
  <c r="AV163" i="1"/>
  <c r="AV160" i="1"/>
  <c r="AV141" i="1"/>
  <c r="AV133" i="1"/>
  <c r="AU114" i="1"/>
  <c r="AV114" i="1"/>
  <c r="AW114" i="1"/>
  <c r="AU94" i="1"/>
  <c r="AV94" i="1"/>
  <c r="AW94" i="1"/>
  <c r="AU82" i="1"/>
  <c r="AW82" i="1"/>
  <c r="AW86" i="1"/>
  <c r="AW81" i="1"/>
  <c r="AW76" i="1"/>
  <c r="AW71" i="1"/>
  <c r="AW66" i="1"/>
  <c r="AW61" i="1"/>
  <c r="AW56" i="1"/>
  <c r="AW51" i="1"/>
  <c r="AW46" i="1"/>
  <c r="AW41" i="1"/>
  <c r="AW36" i="1"/>
  <c r="AW31" i="1"/>
  <c r="AW26" i="1"/>
  <c r="AW21" i="1"/>
  <c r="AW16" i="1"/>
  <c r="AW68" i="1"/>
  <c r="AW63" i="1"/>
  <c r="AW58" i="1"/>
  <c r="AW53" i="1"/>
  <c r="AW48" i="1"/>
  <c r="AW43" i="1"/>
  <c r="AW38" i="1"/>
  <c r="AW33" i="1"/>
  <c r="AW28" i="1"/>
  <c r="AW23" i="1"/>
  <c r="AW18" i="1"/>
  <c r="AW13" i="1"/>
  <c r="AW8" i="1"/>
  <c r="AV68" i="1"/>
  <c r="AV63" i="1"/>
  <c r="AV58" i="1"/>
  <c r="AV53" i="1"/>
  <c r="AV48" i="1"/>
  <c r="AV43" i="1"/>
  <c r="AV38" i="1"/>
  <c r="AV33" i="1"/>
  <c r="AV28" i="1"/>
  <c r="AV23" i="1"/>
  <c r="AV18" i="1"/>
  <c r="AV13" i="1"/>
  <c r="AV8" i="1"/>
  <c r="AW75" i="1"/>
  <c r="AW70" i="1"/>
  <c r="AW65" i="1"/>
  <c r="AW60" i="1"/>
  <c r="AW55" i="1"/>
  <c r="AW50" i="1"/>
  <c r="AW45" i="1"/>
  <c r="AW40" i="1"/>
  <c r="AW35" i="1"/>
  <c r="AW30" i="1"/>
  <c r="AW25" i="1"/>
  <c r="AW20" i="1"/>
  <c r="AW15" i="1"/>
  <c r="AW10" i="1"/>
  <c r="AW5" i="1"/>
  <c r="AV10" i="1"/>
  <c r="AV5" i="1"/>
  <c r="AW59" i="1"/>
  <c r="AW54" i="1"/>
  <c r="AW49" i="1"/>
  <c r="AW44" i="1"/>
  <c r="AW39" i="1"/>
  <c r="AW34" i="1"/>
  <c r="AW29" i="1"/>
  <c r="AW24" i="1"/>
  <c r="AW19" i="1"/>
  <c r="AW14" i="1"/>
  <c r="AW9" i="1"/>
  <c r="AW4" i="1"/>
  <c r="AV59" i="1"/>
  <c r="AV54" i="1"/>
  <c r="AV49" i="1"/>
  <c r="AV44" i="1"/>
  <c r="AV39" i="1"/>
  <c r="AV34" i="1"/>
  <c r="AV29" i="1"/>
  <c r="AV24" i="1"/>
  <c r="AV19" i="1"/>
  <c r="AV14" i="1"/>
  <c r="AV9" i="1"/>
  <c r="AV4" i="1"/>
</calcChain>
</file>

<file path=xl/sharedStrings.xml><?xml version="1.0" encoding="utf-8"?>
<sst xmlns="http://schemas.openxmlformats.org/spreadsheetml/2006/main" count="3695" uniqueCount="2225">
  <si>
    <t>undefined</t>
  </si>
  <si>
    <t>Journal</t>
  </si>
  <si>
    <t>;;</t>
  </si>
  <si>
    <t>Article</t>
  </si>
  <si>
    <t>ar</t>
  </si>
  <si>
    <t>France</t>
  </si>
  <si>
    <t>Paris</t>
  </si>
  <si>
    <t>Canada</t>
  </si>
  <si>
    <t>n</t>
  </si>
  <si>
    <t>National Science Foundation</t>
  </si>
  <si>
    <t>NSF</t>
  </si>
  <si>
    <t>United States</t>
  </si>
  <si>
    <t>National Aeronautics and Space Administration</t>
  </si>
  <si>
    <t>Australia</t>
  </si>
  <si>
    <t>Proceedings of the IEEE</t>
  </si>
  <si>
    <t>Houston</t>
  </si>
  <si>
    <t>India</t>
  </si>
  <si>
    <t>Germany</t>
  </si>
  <si>
    <t>United Kingdom</t>
  </si>
  <si>
    <t>France;France</t>
  </si>
  <si>
    <t>Saulson, Peter R.</t>
  </si>
  <si>
    <t>Cambridge</t>
  </si>
  <si>
    <t>Massachusetts Institute of Technology</t>
  </si>
  <si>
    <t>United States;United States</t>
  </si>
  <si>
    <t>China</t>
  </si>
  <si>
    <t>London</t>
  </si>
  <si>
    <t>Ann Arbor</t>
  </si>
  <si>
    <t>University of Michigan, Ann Arbor</t>
  </si>
  <si>
    <t>Sengupta D.</t>
  </si>
  <si>
    <t>;</t>
  </si>
  <si>
    <t>38-39</t>
  </si>
  <si>
    <t>Telecommunications and Radio Engineering (English translation of Elektrosvyaz and Radiotekhnika)</t>
  </si>
  <si>
    <t>0018926X</t>
  </si>
  <si>
    <t>IEEE Transactions on Antennas and Propagation</t>
  </si>
  <si>
    <t>29-34</t>
  </si>
  <si>
    <t>60005304;60005304</t>
  </si>
  <si>
    <t>Waltham</t>
  </si>
  <si>
    <t>Raytheon</t>
  </si>
  <si>
    <t>60005322;60005322</t>
  </si>
  <si>
    <t>Bochum</t>
  </si>
  <si>
    <t>Ruhr-Universitat Bochum</t>
  </si>
  <si>
    <t>;;;;</t>
  </si>
  <si>
    <t>;;;</t>
  </si>
  <si>
    <t>Frolov O.</t>
  </si>
  <si>
    <t>Pasadena</t>
  </si>
  <si>
    <t>Jet Propulsion Laboratory</t>
  </si>
  <si>
    <t>International Journal of Infrared and Millimeter Waves</t>
  </si>
  <si>
    <t>Netherlands</t>
  </si>
  <si>
    <t>Germany;Germany</t>
  </si>
  <si>
    <t>Japan</t>
  </si>
  <si>
    <t>Tokyo</t>
  </si>
  <si>
    <t>Microwaves and RF</t>
  </si>
  <si>
    <t>Madison</t>
  </si>
  <si>
    <t>University of Wisconsin-Madison</t>
  </si>
  <si>
    <t>0141061X</t>
  </si>
  <si>
    <t>Electronic technology London</t>
  </si>
  <si>
    <t>Canada;Canada</t>
  </si>
  <si>
    <t>Itoh K.</t>
  </si>
  <si>
    <t>Radiophysics and Quantum Electronics</t>
  </si>
  <si>
    <t>Russian Federation</t>
  </si>
  <si>
    <t>Moscow</t>
  </si>
  <si>
    <t>Microwave journal</t>
  </si>
  <si>
    <t>29-33</t>
  </si>
  <si>
    <t>Radio Engineering and Electronic Physics (English translation of Radiotekhnika i Elektronika)</t>
  </si>
  <si>
    <t>Kinber B.</t>
  </si>
  <si>
    <t>Berkeley</t>
  </si>
  <si>
    <t>University of California, Berkeley</t>
  </si>
  <si>
    <t>Denmark</t>
  </si>
  <si>
    <t>Journal of the Institution of Engineers. India. Electronics and telecommunication engineering division</t>
  </si>
  <si>
    <t>38-44</t>
  </si>
  <si>
    <t>60008107;60008107</t>
  </si>
  <si>
    <t>7003938202;6701865440</t>
  </si>
  <si>
    <t>Kominami, Masanobu;Rokushima, Katsu</t>
  </si>
  <si>
    <t>Sakai</t>
  </si>
  <si>
    <t>Osaka Prefecture University</t>
  </si>
  <si>
    <t>Kominami M.</t>
  </si>
  <si>
    <t>Cleveland</t>
  </si>
  <si>
    <t>Austin</t>
  </si>
  <si>
    <t>The University of Texas at Austin</t>
  </si>
  <si>
    <t>Nippon Telegraph and Telephone Corporation</t>
  </si>
  <si>
    <t>Washington, D.C.</t>
  </si>
  <si>
    <t>Sendai</t>
  </si>
  <si>
    <t>Tohoku University</t>
  </si>
  <si>
    <t>6603418988;7004652700;6603472575</t>
  </si>
  <si>
    <t>Boyakhchyan, G. P.;Vanke, V. A.;Lesota, S. K.</t>
  </si>
  <si>
    <t>Boyakhchyan G.</t>
  </si>
  <si>
    <t>Gainesville</t>
  </si>
  <si>
    <t>77-82</t>
  </si>
  <si>
    <t>Cable television engineering</t>
  </si>
  <si>
    <t>Alta frequenza</t>
  </si>
  <si>
    <t>AEU. Archiv fur Elektronik und Ubertragungstechnik</t>
  </si>
  <si>
    <t>E67</t>
  </si>
  <si>
    <t>0387236X</t>
  </si>
  <si>
    <t>Transactions of the Institute of Electronics and Communication Engineers of Japan. Section E</t>
  </si>
  <si>
    <t>Atlanta</t>
  </si>
  <si>
    <t>Georgia Institute of Technology</t>
  </si>
  <si>
    <t>Urbana</t>
  </si>
  <si>
    <t>University of Illinois Urbana-Champaign</t>
  </si>
  <si>
    <t>Rahmat-Samii, Yahya</t>
  </si>
  <si>
    <t>Rahmat-Samii Y.</t>
  </si>
  <si>
    <t>Old, J. C.</t>
  </si>
  <si>
    <t>Chelmsford</t>
  </si>
  <si>
    <t>GEC Research Lab</t>
  </si>
  <si>
    <t>Old J.</t>
  </si>
  <si>
    <t>107-110</t>
  </si>
  <si>
    <t>66-75</t>
  </si>
  <si>
    <t>Rochester</t>
  </si>
  <si>
    <t>115-118</t>
  </si>
  <si>
    <t>Hanscom AFB</t>
  </si>
  <si>
    <t>Yaghjian A.</t>
  </si>
  <si>
    <t>Israel</t>
  </si>
  <si>
    <t>Spaceflight</t>
  </si>
  <si>
    <t>Miyata K.</t>
  </si>
  <si>
    <t>27-32</t>
  </si>
  <si>
    <t>60072501;60072501</t>
  </si>
  <si>
    <t>Darmstadt</t>
  </si>
  <si>
    <t>Forschungsinstitut der Deutschen Bundespost</t>
  </si>
  <si>
    <t>Radio and Electronic Engineer</t>
  </si>
  <si>
    <t>60000745;60000745</t>
  </si>
  <si>
    <t>7201750560;55709894900</t>
  </si>
  <si>
    <t>Miyata, Katsumasa;Suzuki, Michio</t>
  </si>
  <si>
    <t>Fontenay-aux-Roses</t>
  </si>
  <si>
    <t>CEA Fontenay aux Roses</t>
  </si>
  <si>
    <t>Gaithersburg</t>
  </si>
  <si>
    <t>National Institute of Standards and Technology</t>
  </si>
  <si>
    <t xml:space="preserve">Anon, </t>
  </si>
  <si>
    <t>Anon</t>
  </si>
  <si>
    <t>The University of Tokyo</t>
  </si>
  <si>
    <t>Harvard University</t>
  </si>
  <si>
    <t>King R.</t>
  </si>
  <si>
    <t>Philadelphia</t>
  </si>
  <si>
    <t>Farnborough</t>
  </si>
  <si>
    <t>BAE Systems plc</t>
  </si>
  <si>
    <t>21-25</t>
  </si>
  <si>
    <t>Norway</t>
  </si>
  <si>
    <t>Trondheim</t>
  </si>
  <si>
    <t>60008435;60008435</t>
  </si>
  <si>
    <t>60025272;60025272;60025272</t>
  </si>
  <si>
    <t>60022195;60022195</t>
  </si>
  <si>
    <t>Hoppe-Seyler's Zeitschrift fur Physiologische Chemie</t>
  </si>
  <si>
    <t>Theiler R.</t>
  </si>
  <si>
    <t>Murray</t>
  </si>
  <si>
    <t>Nokia Bell Labs</t>
  </si>
  <si>
    <t>Italy</t>
  </si>
  <si>
    <t>Sapporo</t>
  </si>
  <si>
    <t>Hokkaido University</t>
  </si>
  <si>
    <t>Telcom Report (English Edition)</t>
  </si>
  <si>
    <t>Nigeria</t>
  </si>
  <si>
    <t>Lagos</t>
  </si>
  <si>
    <t>University of Lagos</t>
  </si>
  <si>
    <t>Adekola S.</t>
  </si>
  <si>
    <t>India;India</t>
  </si>
  <si>
    <t>242-246</t>
  </si>
  <si>
    <t>University of Houston</t>
  </si>
  <si>
    <t>60006288;60006288</t>
  </si>
  <si>
    <t>Delft</t>
  </si>
  <si>
    <t>Delft University of Technology</t>
  </si>
  <si>
    <t>Levey, R. J.</t>
  </si>
  <si>
    <t>Levey R.</t>
  </si>
  <si>
    <t>Nippon Hoso Kyokai</t>
  </si>
  <si>
    <t>0497137X</t>
  </si>
  <si>
    <t>Telecommunication journal</t>
  </si>
  <si>
    <t>60009697;60009697</t>
  </si>
  <si>
    <t>Winnipeg</t>
  </si>
  <si>
    <t>University of Manitoba</t>
  </si>
  <si>
    <t>Ulm</t>
  </si>
  <si>
    <t>Radio &amp; Radar Systems Group</t>
  </si>
  <si>
    <t>Melbourne</t>
  </si>
  <si>
    <t>U.S. Department of Energy</t>
  </si>
  <si>
    <t>USDOE</t>
  </si>
  <si>
    <t>Rappaport C.</t>
  </si>
  <si>
    <t>INTELSAT</t>
  </si>
  <si>
    <t>60022148;60022148</t>
  </si>
  <si>
    <t>University College London</t>
  </si>
  <si>
    <t>Belgium</t>
  </si>
  <si>
    <t>60011664;60011664</t>
  </si>
  <si>
    <t>Wollongong</t>
  </si>
  <si>
    <t>University of Wollongong</t>
  </si>
  <si>
    <t>60021378;60021378;60021378</t>
  </si>
  <si>
    <t>Kumar G.</t>
  </si>
  <si>
    <t>Journal of Comparative Physiology A</t>
  </si>
  <si>
    <t>Copenhagen</t>
  </si>
  <si>
    <t>Similon P.</t>
  </si>
  <si>
    <t>60025038;60025038;60025038;60025038</t>
  </si>
  <si>
    <t>Pocking</t>
  </si>
  <si>
    <t>Max Planck Institute for Ornithology</t>
  </si>
  <si>
    <t>Karim, Munawar</t>
  </si>
  <si>
    <t>Karim M.</t>
  </si>
  <si>
    <t>Biophysics</t>
  </si>
  <si>
    <t>Lithuania;Russian Federation</t>
  </si>
  <si>
    <t>Vilnius;Moscow</t>
  </si>
  <si>
    <t>Vilniaus Universitetas;Lomonosov Moscow State University</t>
  </si>
  <si>
    <t>60059987;60007457</t>
  </si>
  <si>
    <t>Journal of Electronics (China)</t>
  </si>
  <si>
    <t>60032179;60032179;60032179</t>
  </si>
  <si>
    <t>CE-30</t>
  </si>
  <si>
    <t>IEEE Transactions on Consumer Electronics</t>
  </si>
  <si>
    <t>7004108361;7004772283</t>
  </si>
  <si>
    <t>Nordholt E.</t>
  </si>
  <si>
    <t>22989408300;56907896700</t>
  </si>
  <si>
    <t>Pierce J.</t>
  </si>
  <si>
    <t>60021378;60021378</t>
  </si>
  <si>
    <t>Bengaluru</t>
  </si>
  <si>
    <t>Indian Space Research Organization</t>
  </si>
  <si>
    <t>Gif-sur-Yvette;Paris</t>
  </si>
  <si>
    <t>NASA Technical Memorandum</t>
  </si>
  <si>
    <t>Electronics Letters</t>
  </si>
  <si>
    <t>ARC</t>
  </si>
  <si>
    <t>FEBS Letters</t>
  </si>
  <si>
    <t>Antennas | Reflector antennas</t>
  </si>
  <si>
    <t>BBA - Bioenergetics</t>
  </si>
  <si>
    <t>127-129</t>
  </si>
  <si>
    <t>Measurement Techniques</t>
  </si>
  <si>
    <t>Antenna arrays | Antennas</t>
  </si>
  <si>
    <t>80-82</t>
  </si>
  <si>
    <t>Antennas</t>
  </si>
  <si>
    <t>60031581;60031581;60031581</t>
  </si>
  <si>
    <t>California Institute of Technology</t>
  </si>
  <si>
    <t>Neikirk D.</t>
  </si>
  <si>
    <t>Antennas | Dipoles</t>
  </si>
  <si>
    <t>Dubost G.</t>
  </si>
  <si>
    <t>1573093X</t>
  </si>
  <si>
    <t>Solar Physics</t>
  </si>
  <si>
    <t>Zhenwei, Liu</t>
  </si>
  <si>
    <t>Beijing</t>
  </si>
  <si>
    <t>China Academy of Space Technology</t>
  </si>
  <si>
    <t>Zhenwei L.</t>
  </si>
  <si>
    <t>85-87</t>
  </si>
  <si>
    <t>Berlin</t>
  </si>
  <si>
    <t>Technical University of Berlin</t>
  </si>
  <si>
    <t>60023392;60023392</t>
  </si>
  <si>
    <t>16473058300;7406781037</t>
  </si>
  <si>
    <t>Leong, Ta Yan;Anderson, Jan M.</t>
  </si>
  <si>
    <t>CSIRO Plant Industry</t>
  </si>
  <si>
    <t>Leong T.</t>
  </si>
  <si>
    <t>1827613X</t>
  </si>
  <si>
    <t>0375930X</t>
  </si>
  <si>
    <t>Rome</t>
  </si>
  <si>
    <t>Sapienza Universit√† di Roma</t>
  </si>
  <si>
    <t>60025641;60025641;60025641</t>
  </si>
  <si>
    <t>Freiburg im Breisgau</t>
  </si>
  <si>
    <t>Universit√§t Freiburg im Breisgau</t>
  </si>
  <si>
    <t>Sarsia</t>
  </si>
  <si>
    <t>['visual stimuli', 'sources detected', 'sink distributions', 'sensory inputs', 'output neurons', 'often proposed', 'mushroom body', 'mushroom bodies', 'morphological distribution', 'measured extracellularly', 'intrinsic neurons', 'intrinsic kenyon', 'intrinsic cells', 'information processing', 'important part', 'homogeneous group', 'high degree', 'functional properties', 'extrinsic input', 'electrode tracks', 'different parts', 'different layers', 'current sources', 'current source', 'current sinks', 'csd analysis', 'complex pattern', 'calculated using', 'approximately 170', 'activity intracellularly', '1 œºm']</t>
  </si>
  <si>
    <t>Information processing in the mushroom bodies which are an important part of most invertebrate central nervous systems was analysed by extracellular electrophysiological techniques. The mushroom bodies consist of layers of parallel intrinsic neurons which make synaptic contact with extrinsic input and output neurons. The intrinsic neurons (approximately 170,000/mushroom body) have very small axon diameters (0.1-1 Œºm) which makes it difficult to record their activity intracellularly. In order to analyse the functional properties of this neuropil field potentials were measured extracellularly. Series of averaged evoked potentials (AEPs) were recorded along electrode tracks at consecutive depth intervals in different parts of the mushroom bodies of the bee. These potentials were elicited by olfactory, mechanical and visual stimuli. In order to locate the synaptic areas generating these potentials, current source-densities (CSD) were calculated using the consecutively measured evoked potentials. The conductivities of the extracellular space along the electrode tracks in the pedunculus and calyx and in part of the alpha-lobe of the mushroom bodies were found to be constant. The CSD analysis reveals a complex pattern of source-sink distributions in the mushroom bodies. There is a high degree of correlation between current sinks and sources detected by CSD analysis and the morphological distribution of neurons. The CSD analysis shows that the inputs and outputs of the mushroom bodies involve multimodal synaptic interactions, whereas information processing in the intrinsic Kenyon-cells is limited to sensory inputs from the antenna. Comparison of the electrophysiological with the histological results shows that the intrinsic cells of the mushroom bodies are physiologically not a homogeneous group as is often proposed. Among the intrinsic neurons clearly defined areas of current sources and sinks can be identified and attributed to Kenyon-cells in different layers. ¬© 1984 Springer-Verlag.</t>
  </si>
  <si>
    <t>569-582</t>
  </si>
  <si>
    <t>60030718;60011604;60022109</t>
  </si>
  <si>
    <t>6603073572;7006073714;57224229259</t>
  </si>
  <si>
    <t>Kaulen, P.;Erber, J.;Mobbs, P.</t>
  </si>
  <si>
    <t>Germany;United Kingdom;Germany</t>
  </si>
  <si>
    <t>Berlin;London;Berlin</t>
  </si>
  <si>
    <t>Freie Universit√§t Berlin;Queen Mary University of London;Technical University of Berlin</t>
  </si>
  <si>
    <t>60030718;60022109;60011604</t>
  </si>
  <si>
    <t>Kaulen P.</t>
  </si>
  <si>
    <t>Current source-density analysis in the mushroom bodies of the honeybee (Apis mellifera carnica)</t>
  </si>
  <si>
    <t>10.1007/BF00610170</t>
  </si>
  <si>
    <t>2-s2.0-0004812536</t>
  </si>
  <si>
    <t>['two species', 'studying physiological', 'statistical method', 'new methodology', 'linear systems', 'kinematic analysis', 'initial assumptions', 'head movements', 'data sets', 'data beyond', 'controlling interactions', 'behavioral phenomena', 'article presents']</t>
  </si>
  <si>
    <t>control systems | millipedes | scanning movements | Vector autoregressive moving average models</t>
  </si>
  <si>
    <t>This article presents a statistical method, vector autoregressive moving average time series analysis, which makes no initial assumptions about the controlling interactions between variables in the data beyond those of linear systems, and has been designed to be statistically valid without requiring several repetitions of data sets. It is therefore very useful for studying physiological and behavioral phenomena. This new methodology is applied to a kinematic analysis of antennal scanning movements in two species of millipede. The analysis demonstrates features of the generation of the antennal and head movements, the direction of information flow within the central nervous system and consequent asymmetric control relationships between bilaterally homologous body parts. ¬© 1984 Springer-Verlag.</t>
  </si>
  <si>
    <t>281-302</t>
  </si>
  <si>
    <t>Journal of Mathematical Biology</t>
  </si>
  <si>
    <t>60012317;60012317;60012317</t>
  </si>
  <si>
    <t>56687685700;6602188638;7201428291</t>
  </si>
  <si>
    <t>Giszter, S. F.;Koreisha, S. G.;Franklin, R. F.</t>
  </si>
  <si>
    <t>Eugene</t>
  </si>
  <si>
    <t>University of Oregon</t>
  </si>
  <si>
    <t>Giszter S.</t>
  </si>
  <si>
    <t>A vector autoregressive moving average time series approach for describing asymmetries of antennal control of two millipede species</t>
  </si>
  <si>
    <t>10.1007/BF00277100</t>
  </si>
  <si>
    <t>2-s2.0-0021244242</t>
  </si>
  <si>
    <t>['source launching', 'slotted resonator', 'slotted plate', 'slot array', 'one surface', 'maximum directivity', 'flat surface', 'aperture efficiency', '65 %.', '30 ghz']</t>
  </si>
  <si>
    <t>A 4. 5 degree multiplied by 4. 5 degree beamwidth slot array antenna for 30 GHz is described, using a large flat cavity with a slot array in one surface. The resonator is excited by a waveguide slot array line-source launching a TE//1//0 wave into the slotted resonator. The array is designed for maximum directivity and produces 30 dbi gain, which corresponds to an aperture efficiency of 65%. Moding has not been found a problem if a flat surface of the slotted plate is maintained.</t>
  </si>
  <si>
    <t>147-149</t>
  </si>
  <si>
    <t>Solbach, Klaus</t>
  </si>
  <si>
    <t>Solbach K.</t>
  </si>
  <si>
    <t>mm-WAVE OVERSIZED CAVITY SLOTTED ARRAY.</t>
  </si>
  <si>
    <t>2-s2.0-0021453610</t>
  </si>
  <si>
    <t>['waveguide horns', 'significant niche', 'millimeter wavelengths', 'lowest sidelobes', 'gains less', 'gains greater', 'entirely separate', 'effectively fill', 'effective solution', 'different types', 'desired tradeoff', 'cassegrain antennas', '30 db']</t>
  </si>
  <si>
    <t>Antenna systems using lenses play an importnt role among the different types of antennas which have been developed for use at millimeter wavelengths. They very effectively fill a significant niche between waveguide horns, which are limited to gains less than about 30 db, and Cassegrain antennas, which are an effective solution for systems having gains greater than approximately 40 db. Lens antennas designed using Gaussian beam analysis differ from traditional horn lens systems in that the lens is entirely separate from the feedhorn. As shown, analysis in terms of Gaussian beam quasioptical propagation allows great flexibility in design for obtaining highest gain for a given aperture size, or lowest sidelobes, or any desired tradeoff.</t>
  </si>
  <si>
    <t>153-154, 156</t>
  </si>
  <si>
    <t>100321467;100321467</t>
  </si>
  <si>
    <t>7102734848;7402301315</t>
  </si>
  <si>
    <t>Goldsmith, Paul F.;Moore, Ellen L.</t>
  </si>
  <si>
    <t>Amherst</t>
  </si>
  <si>
    <t>Millitech Corp</t>
  </si>
  <si>
    <t>Goldsmith P.</t>
  </si>
  <si>
    <t>GAUSSIAN OPTICS LENS ANTENNAS.</t>
  </si>
  <si>
    <t>2-s2.0-0021453697</t>
  </si>
  <si>
    <t>['versatile antennas', 'semiconducting material', 'radiation characteristics', 'numerical computations', 'gaas dipoles', 'carrier concentration', 'also discussed']</t>
  </si>
  <si>
    <t>Semiconductor dipole antennas are a new integratable element in the design of Si and GaAs monolithic millimeter wave systems. Unlike conventional metallic dipoles, the radiation characteristics of these antennas can be controlled by manipulating the carrier concentration in the semiconducting material. Numerical computations to evaluate the performance of Si and GaAs dipoles are presented. Physical layouts integrating these versatile antennas with other components are also discussed.</t>
  </si>
  <si>
    <t>60022659;60022659</t>
  </si>
  <si>
    <t>7004299865;7202185170</t>
  </si>
  <si>
    <t>Jain, F. C.;Bansal, R.</t>
  </si>
  <si>
    <t>Storrs</t>
  </si>
  <si>
    <t>University of Connecticut</t>
  </si>
  <si>
    <t>Jain F.</t>
  </si>
  <si>
    <t>MONOLITHIC mm-WAVE ANTENNAS.</t>
  </si>
  <si>
    <t>2-s2.0-0021455830</t>
  </si>
  <si>
    <t>631-634</t>
  </si>
  <si>
    <t>7102243130;57196807728</t>
  </si>
  <si>
    <t>Gavrilenko, V. G.;Zaitsev, S. I.</t>
  </si>
  <si>
    <t>Gavrilenko V.</t>
  </si>
  <si>
    <t>Problem of establishment of radiation field of a source moving in magnetized plasma</t>
  </si>
  <si>
    <t>10.1007/BF01041823</t>
  </si>
  <si>
    <t>2-s2.0-0021457441</t>
  </si>
  <si>
    <t>['transmission efficiency', 'reflected wave', 'medium filling', 'interference effects', 'general study', 'energy flux', 'energy field', 'energy absorbed', 'dispersive mode', 'design literature']</t>
  </si>
  <si>
    <t>The results of a calculation of the effect of interference between the incident and reflected wave in lossy long lines on transmission efficiency have not been included in design literature. In this paper the results of a more general study of interference effects for a dispersive mode are presented. To simplify the analysis, the propagation of the energy field and energy flux is calculated for the E//0//1-mode in circular metal waveguide, taking into account the energy absorbed in the walls and in the medium filling the waveguide.</t>
  </si>
  <si>
    <t>104-105</t>
  </si>
  <si>
    <t>6701488545;7201544746</t>
  </si>
  <si>
    <t>Loshakov, L. N.;Ivanova, N. Ye</t>
  </si>
  <si>
    <t>Loshakov L.</t>
  </si>
  <si>
    <t>PROPAGATION OF THE E//0//1-MODE IN AN UNMATCHED LOSSY METAL WAVEGUIDE.</t>
  </si>
  <si>
    <t>2-s2.0-0021457621</t>
  </si>
  <si>
    <t>['key element', 'forming transparency', 'experimental results', 'digital holography', 'coherent optical', 'co processor']</t>
  </si>
  <si>
    <t>A procedure is examined for synthesizing by the methods of digital holography a pattern-forming transparency, which is the key element in the coherent optical (CO) processor in ring-shaped antenna arrays, which permit the realization of a panoramic view along the azimuth and frequency. The structure of the transparency, the form of the CO processor, and the experimental results are presented.</t>
  </si>
  <si>
    <t>46-53</t>
  </si>
  <si>
    <t>7006802217;6504105738;6603898964;6603600348;7005899824</t>
  </si>
  <si>
    <t>Grinev, A. Yu;Yaroslaskiy, L. P.;Merzlyakov, N. S.;Temchenko, V. S.;Voronin, E. N.</t>
  </si>
  <si>
    <t>Grinev A.</t>
  </si>
  <si>
    <t>SYNTHESIS OF PATTERN-FORMING TRANSPARENCIES OF RING-SHAPED ANTENNA ARRAYS BY THE METHOD OF DIGITAL HOLOGRAPHY.</t>
  </si>
  <si>
    <t>2-s2.0-0021459330</t>
  </si>
  <si>
    <t>['system realizing', 'spatial processing', 'signals along', 'phase processing', 'convergence rate', 'adaptive procedure']</t>
  </si>
  <si>
    <t>A model is discussed of an adaptive procedure of synthesizing an antenna with separation of signals along the direction of their arrival which is based on phase processing in the aperture of a phased antenna array. The convergence rate of the process and the effectiveness of spatial processing are investigated as a function of the processing algorithm parameters and the characteristics of the system realizing the algorithm.</t>
  </si>
  <si>
    <t>84-93</t>
  </si>
  <si>
    <t>6507156780;7102931797</t>
  </si>
  <si>
    <t>Ayzin, F. L.;Kogan, B. L.</t>
  </si>
  <si>
    <t>Ayzin F.</t>
  </si>
  <si>
    <t>ADAPTIVE SYNTHESIS OF ANTENNAS WITH SEPARATION OF SIGNALS ALONG THE DIRECTION OF THEIR ARRIVAL.</t>
  </si>
  <si>
    <t>2-s2.0-0021459331</t>
  </si>
  <si>
    <t>['tdma system', 'receiving equipment', 'newly designed', 'following equipments', 'digital signals', 'control equipment', 'begins service', 'beam antenna', 'autumn 1984', 'approximately 6', '144 kb']</t>
  </si>
  <si>
    <t>A digital transmission radio system for subscribers in the 26 GHz band (26SS-D1) has been developed. This system transmits 64 to approximately 6,144 kb/s digital signals between NTT base station and subscribers. It is applied in one of the subscriber transmission systems in the High Speed Digital Transmission Service which begins service in autumn 1984. In order to develop this system, the TDMA system, radio zone composition method, etc. , which are suitable for subscriber radio system in the 26 GHz band, were newly designed. In addition, the following equipments were also newly designed for this system: compact and low-cost radio transmitting and receiving equipment which adopts the newly developed Microwave Integrated Circuit (MIC) in the 26 GHz band, 90 degree fan-beam antenna and TDMA radio subscriber line terminal equipment, as well as supervisory and control equipment.</t>
  </si>
  <si>
    <t>188-194</t>
  </si>
  <si>
    <t>Japan telecommunications review</t>
  </si>
  <si>
    <t>Yoshida, Teruaki</t>
  </si>
  <si>
    <t>Yoshida T.</t>
  </si>
  <si>
    <t>DIGITAL SUBSCRIBER RADIO SYSTEM IN 26 GHz BAND.</t>
  </si>
  <si>
    <t>2-s2.0-0021459452</t>
  </si>
  <si>
    <t>['purified light', 'protein complex', 'predominantly alpha', 'hydrophobic domain', 'high content', 'helical fold', 'helical conformation', 'harvesting polypeptides', 'entire antenna', 'elementary unit', 'data available', 'crucial role', 'b 870', 'b 850', 'alpha assumes']</t>
  </si>
  <si>
    <t>Attenuated total reflection infrared spectroscopy were used to study the conformation of the purified light-harvesting polypeptides from Rhodopseudomonas sphaeroides R-26.1. B 870-alpha and B 850-beta are characterised by a high content of alpha-helix; B 850-alpha and B 870-beta, in contrast, contain extensive antiparallel chain-pleated sheet structure. The beta-structure is likely to be an artifact of the isolation because B 850-alpha assumes a predominantly alpha-helical conformation in the intact antenna complex. It is concluded that lipid-protein interactions play a crucial role in the stabilisation of the "native" alpha-helical fold of B 850-alpha and thus in the stabilisation of the entire antenna-pigment-protein complex. The results obtained concerning the "in situ" conformation of B 850-alpha and B 850-beta were used, together with the known primary structures and data available from the literature, to construct a rough molecular model of the hydrophobic domain of the elementary unit of the B 850 complex.</t>
  </si>
  <si>
    <t>721-729</t>
  </si>
  <si>
    <t>7005379893;7006345218</t>
  </si>
  <si>
    <t>Theiler, R.;Zuber, H.</t>
  </si>
  <si>
    <t>The light-harvesting polypeptides of Rhodopseudomonas sphaeroides R-26.1. II. Conformational analyses by attenuated total reflection infrared spectroscopy and the possible molecular structure of the hydrophobic domain of the B 850 complex.</t>
  </si>
  <si>
    <t>2-s2.0-0021460072</t>
  </si>
  <si>
    <t>['series expansions', 'radiation pattern', 'radiation characteristics', 'quite complicated', 'phase distribution', 'hommel functions', 'field amplitude', 'expression derived', 'directive pattern', 'contains derivatives', 'bessel functions', 'axial symmetry', 'angle crh']</t>
  </si>
  <si>
    <t>The expression derived in M. S. Narasimhan et al for the radiation pattern of a small-angle, conical ridged horn (CRH) is quite complicated because it contains derivatives of L'Hommel functions, represented by series expansions in terms of Bessel functions. However, the axial symmetry of field amplitude and phase distribution in the aperture of this radiator allows one to describe its directive pattern by a significantly simpler expression using, for example, the method for derivation of radiation characteristics of a circular aperture antenna. In this note a method is proposed for computation of the pattern of a small-angle CRH.</t>
  </si>
  <si>
    <t>149-151</t>
  </si>
  <si>
    <t>6506441752;6603761457;6602802826;6508258599</t>
  </si>
  <si>
    <t>Demenchuk, N. P.;Il'Ichev, Yu I.;Pazin, L. Z.;Rumyantsev, L. S.</t>
  </si>
  <si>
    <t>Demenchuk N.</t>
  </si>
  <si>
    <t>ON THE DERIVATION OF THE RADIATION PATTERN OF A SMALL-ANGLE, CONICAL, RIDGED HORN ANTENNA.</t>
  </si>
  <si>
    <t>2-s2.0-0021460208</t>
  </si>
  <si>
    <t>['signal level', 'prolonged period', 'polar sea', 'polar circle', 'one route', 'minute means', 'level values', 'level ground', 'great importance', 'electromagnetic compatibility', 'author presents', 'arctic regions', '2 db']</t>
  </si>
  <si>
    <t>Information about the probability of anomalously high signal levels in the periods most favorable for their occurrence is of great importance in studies of electromagnetic compatibility. For arctic regions this favorable period coincides with the short polar summer. Investigations of decimeter wave propagation over two routes beyond the polar circle were, therefore, carried out in the summer of 1980. One route, 433 km long (equivalent distance R//e equals 294 km), was entirely over the Polar Sea. Antennas with a gain of 44 and 46. 2 db were used on this route. The other route, 357 km long (R//e equals 405 km), ran over level ground in tundra and forest tundra regions; antennas with 46. 2 db gain were used. To collect statistical data on signal level, mean-level values were determined every five minutes and the distribution of the five-minute means was found over a prolonged period. The author presents the experimental results obtained for both routes.</t>
  </si>
  <si>
    <t>Troitskiy, V. N.</t>
  </si>
  <si>
    <t>Troitskiy V.</t>
  </si>
  <si>
    <t>INVESTIGATION OF DECIMETER WAVE PROPAGATION AT HIGH GEOGRAPHIC LATITUDES.</t>
  </si>
  <si>
    <t>2-s2.0-0021461553</t>
  </si>
  <si>
    <t>662-663</t>
  </si>
  <si>
    <t>Tishchenko, V. A.</t>
  </si>
  <si>
    <t>Tishchenko V.</t>
  </si>
  <si>
    <t>Special considerations when using whip aerials for field-strength measurements</t>
  </si>
  <si>
    <t>10.1007/BF00862146</t>
  </si>
  <si>
    <t>2-s2.0-0021462552</t>
  </si>
  <si>
    <t>['used throughout', 'one element', 'frequency insensitive', 'bismuth microbolometer']</t>
  </si>
  <si>
    <t>embedding impedance | microbolometers</t>
  </si>
  <si>
    <t>A technique which allows the measurement of detector embedding impedance has been developed. By using a bismuth microbolometer as a variable resistance load the impedance of one element in a bow-tie antenna array operating at 94GHz was inferred. The technique is frequency insensitive, and could be used throughout the far-infrared. ¬© 1984 Plenum Publishing Corporation.</t>
  </si>
  <si>
    <t>1017-1026</t>
  </si>
  <si>
    <t>60031581;60031581</t>
  </si>
  <si>
    <t>7006694199;7102803490</t>
  </si>
  <si>
    <t>Neikirk, D. P.;Rutledge, D. B.</t>
  </si>
  <si>
    <t>Far-infrared embedding impedance measurements</t>
  </si>
  <si>
    <t>10.1007/BF01009590</t>
  </si>
  <si>
    <t>2-s2.0-0021464107</t>
  </si>
  <si>
    <t>645-648</t>
  </si>
  <si>
    <t>57215954351;6506864286</t>
  </si>
  <si>
    <t>Stukan, V. A.;Tikhomirnov, S. I.</t>
  </si>
  <si>
    <t>Stukan V.A.</t>
  </si>
  <si>
    <t>Effect of a capacitive antenna on the parameters of a measuring transducer for an electric field</t>
  </si>
  <si>
    <t>10.1007/BF00862140</t>
  </si>
  <si>
    <t>2-s2.0-0021467834</t>
  </si>
  <si>
    <t>['vegetation canopy', 'suitably excited', 'studies reveal', 'shaped vegetation', 'satisfactory impedance', 'matching characteristics', 'gain varying', 'couples r', 'certain geometrically', 'author reports']</t>
  </si>
  <si>
    <t>Studies reveal that certain geometrically-shaped vegetation, due to water and chlorophyll content vis-a-vis their dynamic complex dielectric properties, can sustain, propagate and radiate electromagnetic waves from their structure if suitably excited. A gain varying from 2 to 5db over an exciter probe antenna from selected vegetation canopies at 1000, 3000 and 4000MHz has been achieved with satisfactory impedance-matching characteristics. The author reports on a technique which couples r. f. energy from a vegetation canopy to receive tv signals.</t>
  </si>
  <si>
    <t>Electronics &amp; Wireless World</t>
  </si>
  <si>
    <t>60023345;60023345;60023345;60023345;60023345;60023345;60023345</t>
  </si>
  <si>
    <t>6701689710;7409716207;6505943984;6504447609;57022225300;6602391485;6603207833</t>
  </si>
  <si>
    <t>Kosta, S. P.;Bahawani Shanker, ;Dayashankara, K. S.;Rudralingappa, B.;Katti, V. R.;Kosta, Y. P.;Shamanna, K. N.</t>
  </si>
  <si>
    <t>Kosta S.P.</t>
  </si>
  <si>
    <t>TELEVISION RECEPTION WITH PAPAYA TREE ANTENNA.</t>
  </si>
  <si>
    <t>2-s2.0-20244376282</t>
  </si>
  <si>
    <t>['theoretical sense', 'synthetic array', 'sar antenna', 'results show', 'results derived', 'phase distributions', 'delay response', 'current distribution', 'author proposes', 'ambiguity ratio', 'additional remarks', '1975 ).']</t>
  </si>
  <si>
    <t>The ideal aperture current distribution of SAR antenna is discussed in theoretical sense. On the basis of the results derived by R. C. Heimiller and R. W. Bayma, the effects of current distribution which is out of phase on the synthetic array pattern and the Doppler-delay response are further analysed and numerical results calculated for the case of quadratic and cubic phase distribution are given. These results show that such phase distributions will cause a drop in gain of the synthetic array and in signal to ambiguity ratio of the Doppler-delay response. In consideration of these effects, the author proposes his additional remarks on the range of repetition frequency given by R.W. Bayma (1975). ¬© 1984 Science Press.</t>
  </si>
  <si>
    <t>133-141</t>
  </si>
  <si>
    <t>Kongyu, Feng</t>
  </si>
  <si>
    <t>Chinese Academy of Sciences</t>
  </si>
  <si>
    <t>Kongyu F.</t>
  </si>
  <si>
    <t>Effects of antenna aperture phase distribution on the synthetic array pattern and the doppler-delay response</t>
  </si>
  <si>
    <t>10.1007/BF02778394</t>
  </si>
  <si>
    <t>2-s2.0-51649168519</t>
  </si>
  <si>
    <t>['sidelobe level', 'microstrip array', 'microstrip antenna', 'main performance', 'input admittance', 'gain etc', 'element ),', 'design considerations', 'analytical expressions']</t>
  </si>
  <si>
    <t>The design considerations of the microstrip array, the analytical expressions of the microstrip antenna (element), the approximate admittance formula of input admittance, and two designed antenna arrays are given. Rather good results have been obtained from the main performance of the designed antenna arrays, such as sidelobe level, VSWR, cross polarization level, and gain etc. ¬© 1984 Science Press.</t>
  </si>
  <si>
    <t>142-151</t>
  </si>
  <si>
    <t>Yunxiang, Zhang</t>
  </si>
  <si>
    <t>Institute of Remote Sensing Application Chinese Academy of Sciences</t>
  </si>
  <si>
    <t>Yunxiang Z.</t>
  </si>
  <si>
    <t>Study of the microstrip array</t>
  </si>
  <si>
    <t>10.1007/BF02778395</t>
  </si>
  <si>
    <t>2-s2.0-51649169036</t>
  </si>
  <si>
    <t>['¬© 1984', 'western australia', 'tuned receiver', 'pulsed signal', 'nocturnal movements', 'interpreted using', 'inexpensive method']</t>
  </si>
  <si>
    <t>A simple and inexpensive method for examining the movements of rock (spiny) lobsters is described. Electromagnetic tags emitting a pulsed signal were detected in loop antennae placed on the bottom in a grid pattern within a shallow coastal reef area. Signals were received in a tuned receiver and then interpreted using an oscilloscope. Results showing examples of the nocturnal movements of Panulirus cygnus George the western rock lobster in Western Australia are presented. ¬© 1984.</t>
  </si>
  <si>
    <t>Journal of Experimental Marine Biology and Ecology</t>
  </si>
  <si>
    <t>60016744;60016744;60026553</t>
  </si>
  <si>
    <t>7401447388;6603162572;6701797749</t>
  </si>
  <si>
    <t>Phillips, B. F.;Joll, L. M.;Ramm, D. C.</t>
  </si>
  <si>
    <t>Australia;Australia</t>
  </si>
  <si>
    <t>Parkville;Hobart</t>
  </si>
  <si>
    <t>University of Melbourne;CSIRO Marine and Atmospheric Research</t>
  </si>
  <si>
    <t>60026553;60016744</t>
  </si>
  <si>
    <t>Phillips B.F.</t>
  </si>
  <si>
    <t>An electromagnetic tracking system for studying the movements of rock (spiny) lobsters</t>
  </si>
  <si>
    <t>10.1016/0022-0981(84)90027-3</t>
  </si>
  <si>
    <t>2-s2.0-0042093917</t>
  </si>
  <si>
    <t>['¬© 1984', 'two low', 'room temperature', 'recognizable coupling', 'gravitational radiation', 'frequency eigenmodes', 'equilibrium noates', 'energy transfer']</t>
  </si>
  <si>
    <t>The energy transfer between two low-frequency eigenmodes of an antenna for gravitational radiation is studied at room temperature. No recognizable coupling of the modes has been found in equilibrium noates. ¬© 1984.</t>
  </si>
  <si>
    <t>262-264</t>
  </si>
  <si>
    <t>Physics Letters A</t>
  </si>
  <si>
    <t>36090992900;7402775597;7103211355</t>
  </si>
  <si>
    <t>Iso, Ken ichi;Kuroda, Kazuaki;Hirakawa, Hiromasa</t>
  </si>
  <si>
    <t>Iso K.</t>
  </si>
  <si>
    <t>Coupling of oscillation modes in an antenna for gravitational radiation</t>
  </si>
  <si>
    <t>037596018490121X</t>
  </si>
  <si>
    <t>10.1016/0375-9601(84)90121-X</t>
  </si>
  <si>
    <t>2-s2.0-48549109701</t>
  </si>
  <si>
    <t>['¬© 1984', 'uniform transmission', 'theoretical results', 'rights reserved', 'resonant frequency', 'post location', 'line model', 'electrical engineers', 'characteristic parameters', 'approximate expression']</t>
  </si>
  <si>
    <t>The uniform transmission-line model is applied to determine the resonant frequency of a coaxial probe fed rectangular patch antenna tuned by a number of passive metallic posts suitably placed within the antenna's boundary. An approximate expression is given for the resonant frequency as a function of the post location and number, and of the other characteristic parameters of the antenna. Theoretical results are compared with available measured values. ¬© 1984, The Institution of Electrical Engineers. All rights reserved.</t>
  </si>
  <si>
    <t>614-615</t>
  </si>
  <si>
    <t>Sengupta, D. L.</t>
  </si>
  <si>
    <t>Resonant frequency of a tunable rectangular patch antenna</t>
  </si>
  <si>
    <t>10.1049/el:19840423</t>
  </si>
  <si>
    <t>2-s2.0-0021463854</t>
  </si>
  <si>
    <t>['¬© 1984', 'protein complexes', 'phosphoroscopic attachment', 'p700 oxidation', 'optical activity', 'minor components', 'isolated dimer', 'dimer splitting', 'chl685 forms', 'changed 2', 'antenna chlorophylls', '698 nm', '685 nm', '140 cm']</t>
  </si>
  <si>
    <t>Chlorophyll-protein complex | Circular dichroism P700 | Photosynthesis | Photosystem I</t>
  </si>
  <si>
    <t>Using a phosphoroscopic attachment to the dichrograph, light-induced circular dichroism spectra have been measured for chlorophyll-protein complexes of Photosystem I. Minor components at 672, 678 and 685 nm are observed in these spectra in addition to the components of dimer splitting of the P700 Qy transition at 691 and 698 nm. The minor components are due to the Chl672, Chl678 and Chl685 forms of antenna chlorophylls, the optical activity of which is changed 2-4% as a result of P700 oxidation. It is suggested that P700 is not an isolated dimer but that it is included in a local complex comprising 8-10 chlorophyll molecules with an exciton level splitting value of 120-140 cm-1. ¬© 1984.</t>
  </si>
  <si>
    <t>209-212</t>
  </si>
  <si>
    <t>60096201;60096201;60096201;60096201;60096201</t>
  </si>
  <si>
    <t>7004405778;7102799107;6602330487;6507764617;35547823400</t>
  </si>
  <si>
    <t>Karapetyan, N. V.;Shubin, V. V.;Rakhimberdieva, M. G.;Vashchenko, R. G.;Bolychevtseva, Yu V.</t>
  </si>
  <si>
    <t>Bach Institute of Biochemistry</t>
  </si>
  <si>
    <t>Karapetyan N.</t>
  </si>
  <si>
    <t>Structural organization of photosystem I reaction centers</t>
  </si>
  <si>
    <t>10.1016/0014-5793(84)81048-0</t>
  </si>
  <si>
    <t>2-s2.0-0001742471</t>
  </si>
  <si>
    <t>['¬© 1984', 'three flashes', 'spectrum obtained', 'secondary donor', 'pigment antenna', 'lacking ps', 'different spectra', 'chlorella sorokiniana', 'also obtained']</t>
  </si>
  <si>
    <t>Absorption change | II Primary donor | Photosystem | Primary acceptor | Secondary acceptor | Secondary donor</t>
  </si>
  <si>
    <t>Flash-induced absorption changes were measured in the 390-450 nm region, using whole cells of a double mutant strain of Chlorella sorokiniana, lacking PS I centers and part of the pigment antenna. Spectral changes associated with PS II acceptors (Qa and Qb) and donors (p680, Z and L) are described. In this region, the spectrum obtained for Qb-/Qb differs markedly from that of Qa-/Qa. Different spectra were also obtained for the secondary donor (Z+/Z) when measured after one or three flashes. ¬© 1984.</t>
  </si>
  <si>
    <t>Lavergne, J√©rome</t>
  </si>
  <si>
    <t>Institut de Biologie Physico-Chimique</t>
  </si>
  <si>
    <t>Lavergne J.</t>
  </si>
  <si>
    <t>Absorption changes of Photosystem II donors and acceptors in algal cells</t>
  </si>
  <si>
    <t>10.1016/0014-5793(84)81006-6</t>
  </si>
  <si>
    <t>2-s2.0-0002007728</t>
  </si>
  <si>
    <t>Agricultural Research Council</t>
  </si>
  <si>
    <t>['¬© 1984', 'whilst excluding', 'vicia faba', 'thylakoid membrane', 'separated aggregates', 'rearrangement reflects', 'range 35', 'progressive destacking', 'photosystem ii', 'packing densities', 'often observed', 'membrane adhesion', 'maintaining regions', 'increasing temperatures', 'higher temperatures', 'harvesting units', 'forming lipids', 'faces suggests', 'cluster together', 'chloroplasts isolated', 'chloroplast membranes', 'broad bean', 'antennae complexes', '5 min']</t>
  </si>
  <si>
    <t>(Chloroplast thylakoid) | Freeze-fracture | Heat-stress | Membrane organization</t>
  </si>
  <si>
    <t>Chloroplasts isolated from broad bean (Vicia faba) show major structural reorganisations on heating to temperatures above 35¬∞C. Exposure to increasing temperatures in the range 35-45¬∞;C for 5 min, leads to a progressive destacking of the chloroplast membranes and the replacement of the normal granal arrangement by modified thylakoid attachment sites. An analysis of the size and packing densities of the freeze-fracture particles present in different membrane fracture-faces suggests that this rearrangement reflects the dissociation of the light-harvesting units of Photosystem II. The antennae complexes of Photosystem II appear to cluster together, maintaining regions of membrane adhesion, whilst excluding the core-complexes of Photosystem II and light-harvesting units of Photosystem I from these regions. If the chloroplasts are heated to higher temperatures, 45-55¬∞C, phase-separated aggregates of non-bilayer-forming lipids are often observed. The release of these lipids from their normal constraints within the bilayer is consistent with the idea that they play a role in the packaging of the light-harvesting complexes within the thylakoid membrane. ¬© 1984.</t>
  </si>
  <si>
    <t>198-208</t>
  </si>
  <si>
    <t>60011520;60011520;60011520;60011520</t>
  </si>
  <si>
    <t>6603699711;16192767500;57203175987;35618850000</t>
  </si>
  <si>
    <t>Gounaris, K.;Brain, A. R.R.;Quinn, P. J.;Williams, W. P.</t>
  </si>
  <si>
    <t>King's College London</t>
  </si>
  <si>
    <t>Gounaris K.</t>
  </si>
  <si>
    <t>Structural reorganisation of chloroplast thylakoid membranes in response to heat-stress</t>
  </si>
  <si>
    <t>10.1016/0005-2728(84)90232-9</t>
  </si>
  <si>
    <t>2-s2.0-0000867273</t>
  </si>
  <si>
    <t>PCM82-10524</t>
  </si>
  <si>
    <t>['¬© 1984', 'small contribution', 'picosecond resolution', 'photochemical state', 'measuring time', 'maximum intensities', 'intact thalli', 'fluorescence emission', 'fluorescence bands', 'excitation originating', 'detailed process', 'dependent multi', 'component chlorophyll', 'antennae coupled', 'antenna pigments', 'analysis attributes', 'amplitudes varying', '740 nm', '2000 ps', '150 ps']</t>
  </si>
  <si>
    <t>(P. perforata) | Chlorophyll | Energy transfer | Fluorescence lifetime | Photosynthesis</t>
  </si>
  <si>
    <t>The detailed process of excitation transfer among the antenna pigments of the red alga Porphyra perforata was investigated by measuring time-resolved fluorescence emission spectra using a single-photon timing system with picosecond resolution. The fluorescence decay kinetics of intact thalli at room temperature revealed wavelength-dependent multi-component chlorophyll a fluorescence emission. Our analysis attributes the majority of chlorophyll a fluorescence to excitation originating in the antennae of PS II reaction centers and emitted with maximum intensities at 680 and 740 nm. Each of these fluorescence bands was characterized by two kinetic decay components, with lifetimes of 340-380 and 1700-2000 ps and amplitudes varying with wavelength and the photochemical state of the PS II reaction centers. In addition, a small contribution to the long-wavelength fluorescence band is proposed to arise from chlorophyll a antennae coupled to PS I. This component displays fast decay kinetics with a lifetime of approx. 150 ps. Desiccation of the thalli dramatically increases the contribution of this fast decay component. ¬© 1984.</t>
  </si>
  <si>
    <t>141-147</t>
  </si>
  <si>
    <t>60007174;60007174</t>
  </si>
  <si>
    <t>7004444579;7102209179</t>
  </si>
  <si>
    <t>Karukstis, Kerry K.;Sauer, Kenneth</t>
  </si>
  <si>
    <t>Lawrence Berkeley National Laboratory</t>
  </si>
  <si>
    <t>Karukstis K.K.</t>
  </si>
  <si>
    <t>Energy transfer and distribution in the red alga Porphyra perforata studied using picosecond fluorescence spectroscopy</t>
  </si>
  <si>
    <t>10.1016/0005-2728(84)90225-1</t>
  </si>
  <si>
    <t>2-s2.0-0021771804</t>
  </si>
  <si>
    <t>02-1779</t>
  </si>
  <si>
    <t>['¬© 1984', 'vitro indicates', 'triplet formation', 'simple model', 'quantum yield', 'protein isolation', 'initial period', 'high intensities', 'harvesting complex', 'exciton annihilation', 'destructive interaction', 'cm2 per', 'chlorophyll triplets', 'carotenoid triplet', 'called lhc', '7 œºs', '3car decay', '12 ns']</t>
  </si>
  <si>
    <t>(P. sativum) | Carotenoid | Chlorophyll-protein complex | Laser excitation | Time-resolved spectroscopy | Triplet exciton</t>
  </si>
  <si>
    <t>We have observed the development and decay of triplet excitons formed in the 'antenna' chlorophyll a b protein complex by high-intensity laser excitation. The carotenoid triplet (3Car) appeared 5 ns after excitation in the protein isolation, commonly termed CP-II; the risetime in a larger antenna particle, called LHC (light-harvesting complex) was 12 ns. The quantum yield of 3Car in CP-II decreased 11-fold as intensity was increased from 1016 to 2 ¬∑ 1017 photons/cm2 per pulse. The effect is attributed to exciton annihilation during the initial period of triplet formation. Above 5 ¬∑ 1016 photons/cm2 per s, the 3Car lifetime decreases substantially from its low intensity value of 8.7 Œºs. A comparison of the transient absorption spectrum of CP-II with those of chlorophyll and carotenoid in vitro indicates that 'trapped' chlorophyll triplets formed at high intensities. We present a simple model of destructive interaction between 3Car and chlorophyll triplets which is compatible with the observed increased rate of 3Car decay. Indirect evidence suggests similar effects occur in LHC. ¬© 1984.</t>
  </si>
  <si>
    <t>116-125</t>
  </si>
  <si>
    <t>60027165;60019463;60019463</t>
  </si>
  <si>
    <t>24489551000;55574202126;56256960100</t>
  </si>
  <si>
    <t>Shepanski, J. F.;Williams, D. J.;Kalisky, Y.</t>
  </si>
  <si>
    <t>Rochester;Norwalk</t>
  </si>
  <si>
    <t>University of Rochester;Xerox Corporation</t>
  </si>
  <si>
    <t>60027165;60019463</t>
  </si>
  <si>
    <t>Shepanski J.</t>
  </si>
  <si>
    <t>The triplet exciton of chlorophyll a and carotenoid in solution and in photosynthetic antenna proteins</t>
  </si>
  <si>
    <t>10.1016/0005-2728(84)90223-8</t>
  </si>
  <si>
    <t>2-s2.0-4243486979</t>
  </si>
  <si>
    <t>['¬© 1984', 'sphaeroides 2', 'reverted r26', 'marked change', 'harvesting complexes', 'control mechanisms', 'compensating mutation', 'antenna complexes', '850 nm', '1 strain']</t>
  </si>
  <si>
    <t>(Rps. sphaeroides) | Bacterial photosynthesis | Bacteriochlorophyll | Light - harvesting complex | Resonance Raman spectroscopy</t>
  </si>
  <si>
    <t>A reverted R26.1 strain of Rps. sphaeroides contains two types of light-harvesting complexes, absorbing near 880 and 850 nm. Resonance Raman spectroscopy provides evidence that the compensating mutation which, in R26.1, restored an 850-nm-absorbing antenna population, results in a local structure around the bacteriochlorophylls a that is the same as in the B850 (800-depleted) complexes from Rps. sphaeroides 2.4.1 (wild strain). Yet, this compensation is accompanied by a marked change in the control mechanisms of the synthesis of the antenna complexes. ¬© 1984.</t>
  </si>
  <si>
    <t>259-262</t>
  </si>
  <si>
    <t>60019615;113959926;60019615</t>
  </si>
  <si>
    <t>7103125115;57050202300;7201814095</t>
  </si>
  <si>
    <t>Robert, Bruno;Vermeglio, Andr;Lutz, Marc</t>
  </si>
  <si>
    <t>Gif-sur-Yvette;Saint Paul lez Durance</t>
  </si>
  <si>
    <t>CEA Saclay;CEN Cadarache</t>
  </si>
  <si>
    <t>60019615;113959926</t>
  </si>
  <si>
    <t>Robert B.</t>
  </si>
  <si>
    <t>Structural characterization and comparison of antenna complexes of R26 and R26.1 mutants of Rhodopseudomonas sphaeroides</t>
  </si>
  <si>
    <t>10.1016/0005-2728(84)90239-1</t>
  </si>
  <si>
    <t>2-s2.0-48749136652</t>
  </si>
  <si>
    <t>['three genes', 'sevenless genes', 'purpose first', 'new landmarks', 'nervous system', 'mesosternal bristle', 'lethal focus', 'known focuses', 'gene limited', 'gene belongs', 'fate map', 'different tissues', 'built based', 'bp4 gene', 'bilateral domineering', 'band 10a1', 'antenna primordia', 'analogous maps', '60 pairs', '321 mosaics']</t>
  </si>
  <si>
    <t>Focuses of the l(1)BP4, vermilion and sevenless genes located in the same band 10A1-2 of Drosophila melanogaster X-chromosome, have been compared. For this purpose first the fate map of the blastoderm for 60 pairs of adult cuticular landmarks has been built based on scoring 612 gynandromorphs. The location of the legs and antenna primordia has been defined more exactly as compared to analogous maps by other authors. The location of new landmarks has been carried out: mesosternal bristle, sex-comb and first tergite primordia. The focus of the l(1)BP4 gene has been determined with the help of this map on the basis of analysis of 321 mosaics. The data obtained show that the lethal focus of the gene belongs to the "bilateral domineering" type and is located in the blastula area giving rise to the nervous system, behind the region of the third thoracic ganglia origin. Beside, there is a pair of autonomous nonlethal focuses of the same gene limited by the wings' zone. The focuses of the l(1)BP4 gene do not coincide with the known focuses of vermilion and sevenless genes, which means that all three genes are active in different tissues. ¬© 1984 Springer-Verlag.</t>
  </si>
  <si>
    <t>110-116</t>
  </si>
  <si>
    <t>MGG Molecular &amp; General Genetics</t>
  </si>
  <si>
    <t>60068684;60068684;60068684</t>
  </si>
  <si>
    <t>6603485649;7004343652;7005738099</t>
  </si>
  <si>
    <t>Bgatov, A. V.;Zharkikh, A. A.;Zhimulev, I. F.</t>
  </si>
  <si>
    <t>Novosibirsk</t>
  </si>
  <si>
    <t>Institute of Cytology and Genetics, Siberian Branch of the Russian Academy of Sciences</t>
  </si>
  <si>
    <t>Bgatov A.</t>
  </si>
  <si>
    <t>Fine cytogenetical analysis of the band 10A1-2 and the adjoining regions in the Drosophila melanogaster X chromosome - III. The fate mapping of the lethal focus of the l(1)BP4 gene</t>
  </si>
  <si>
    <t>10.1007/BF00334101</t>
  </si>
  <si>
    <t>2-s2.0-0021195102</t>
  </si>
  <si>
    <t>['strong sidelobe', 'steps may', 'spacecraft antennas', 'single discontinuity', 'short distances', 'polarization isolation', 'oriented towards', 'low cross', 'interactions due', 'future requirements', 'frequency band', 'difficulty may', 'complete characterization', 'compact cascade']</t>
  </si>
  <si>
    <t>Future requirements for spacecraft antennas are oriented towards the utilization of a wide frequency band (approximately 12%), and a strong sidelobe and cross-polarization isolation (approximately 33 db). A dual-mode cylindrical horn has a symmetric radiation pattern and a low cross-polarization, but its disadvantage is the narrow frequency band. A cascade of irises and steps may have the effect of enlarging the frequency band, but the dimensions of the feed increase considerably if the discontinuities are placed in such a way as to be decoupled. The difficulty may be overcome by means of a complete characterization of the single discontinuity, making it possible to handle multiple waveguide discontinuities at very short distances where the interactions due to evanescent modes cannot be neglected. A compact cascade can then be designed, in order to obtain both the desired mode conversion and low input mismatch on the overall frequency band.</t>
  </si>
  <si>
    <t>405-408</t>
  </si>
  <si>
    <t>CSELT Rapporti Tecnici (Centro Studi e Laboratori Telecomunicazioni)</t>
  </si>
  <si>
    <t>60009628;60009628</t>
  </si>
  <si>
    <t>7102121414;7004085807</t>
  </si>
  <si>
    <t>Campo, Renato;Tascone, Riccardo</t>
  </si>
  <si>
    <t>Turin</t>
  </si>
  <si>
    <t>Centro Studi e Laboratori Telecomunicazioni, Turin</t>
  </si>
  <si>
    <t>Campo R.</t>
  </si>
  <si>
    <t>MULTIPLE TRANSVERSE DISCONTINUITIES IN WAVEGUIDES.</t>
  </si>
  <si>
    <t>2-s2.0-0021470426</t>
  </si>
  <si>
    <t>['weighting factors', 'two sets', 'theoretical networks', 'tabular form', 'representative values', 'frequency spectrum', 'efficient utilization', 'article proposes']</t>
  </si>
  <si>
    <t>This article proposes a definition of 'equivalent area coverage', based on an efficient utilization of the frequency spectrum. Either of two sets of 'weighting factors' (calculated on the basis of theoretical networks and which depend on the ERP and the effective antenna height of a transmitter) can be used in the definition. Representative values of the 'weighting factors' for a particular theoretical case are presented in tabular form.</t>
  </si>
  <si>
    <t>150-156</t>
  </si>
  <si>
    <t>EBU Technical Review</t>
  </si>
  <si>
    <t>O'Leary, T.</t>
  </si>
  <si>
    <t>Brussels</t>
  </si>
  <si>
    <t>European Broadcasting Union</t>
  </si>
  <si>
    <t>O'Leary T.</t>
  </si>
  <si>
    <t>THEORETICAL CONSIDERATIONS FOR VHF/FM PLANNING; EQUIVALENT AREA COVERAGE.</t>
  </si>
  <si>
    <t>2-s2.0-0021471876</t>
  </si>
  <si>
    <t>['wide sector', 'hybrid antenna', 'demonstrated experimentally']</t>
  </si>
  <si>
    <t>The possibility of deflecting the beam of a hybrid reflecting antenna in a wide sector of angles is demonstrated experimentally. It is shown that the geometric optics approximation can be used to calculate the excitation of the irradiator of the hybrid antenna.</t>
  </si>
  <si>
    <t>99-108</t>
  </si>
  <si>
    <t>6603710799;16503665000;6506984125;56899381100</t>
  </si>
  <si>
    <t>Kinber, B. E.;Klassen, V. I.;Tobolev, A. K.;Shishlov, A. V.</t>
  </si>
  <si>
    <t>EXPERIMENTAL CHECK OF THE DEFLECTION OF THE BEAM OF A HYBRID REFLECTING ANTENNA IN A WIDE SECTOR OF ANGLES.</t>
  </si>
  <si>
    <t>2-s2.0-0021472222</t>
  </si>
  <si>
    <t>723-730</t>
  </si>
  <si>
    <t>7003374031;7004372107;6507884506;8319766400</t>
  </si>
  <si>
    <t>Gorobets, N. N.;Eliseev, A. I.;Lytov, Yu;Nosenko, O. N.</t>
  </si>
  <si>
    <t>Gorobets N.</t>
  </si>
  <si>
    <t>Radiation from a planar logarithmic spiral on a layer of dielectric with losses</t>
  </si>
  <si>
    <t>10.1007/BF01040478</t>
  </si>
  <si>
    <t>2-s2.0-0021472227</t>
  </si>
  <si>
    <t>['sensitive elements', 'reflection bands', 'performance obtainable', 'operating bands', 'last element', 'crossed dipoles', 'close proximity', 'clearly indicates', 'authors analyze']</t>
  </si>
  <si>
    <t>The authors analyze the performance obtainable by a 1 m dichroic subreflector possessing a separation between transmission and reflection bands of the order of 1:1. 6. The close proximity of the operating bands and the mechanical and environmental constraints imply the use of coupled dichroic grids embedded in a multilayer dielectric structure. The comparison between the performance obtainable when crossed dipoles or rings are considered as sensitive elements, clearly indicates the advantages in choosing this last element.</t>
  </si>
  <si>
    <t>397-399</t>
  </si>
  <si>
    <t>6701447666;6701572321</t>
  </si>
  <si>
    <t>Contu, Salvatore;Savini, Dario</t>
  </si>
  <si>
    <t>Contu S.</t>
  </si>
  <si>
    <t>COUPLED DICHROIC SURFACES FOR CLOSELY SPACED FREQUENCY BANDS.</t>
  </si>
  <si>
    <t>2-s2.0-0021472927</t>
  </si>
  <si>
    <t>['tv ghosts', 'system starts', 'system measures', 'successive cycles', 'source locations', 'given angles', 'ghost waves', 'discriminate one', 'braun tube']</t>
  </si>
  <si>
    <t>A detector/analyzer is sought to locate the source of TV ghosts, and the recently devised quick and accurate source locating system is described which features the use of a microcomputer and some electronic component devices. The system starts with an antenna of relatively high directivity turning 360 degree once, at a command from the microcomputer. Simultaneously, the system measures the amplitude of the ghost wave received by the antenna at each of a number of given angles in successive cycles. At the same time, the ghost waves so detected are analyzed for different delay times to discriminate one from the other. The data from this measurement and analysis are input to the computer where they are processed to calculate the location of individual ghost sources. Finally, the source locations are displayed on a Braun tube.</t>
  </si>
  <si>
    <t>0027657X</t>
  </si>
  <si>
    <t>NHK Laboratories Note</t>
  </si>
  <si>
    <t>Miyazawa, Hiroshi</t>
  </si>
  <si>
    <t>Miyazawa H.</t>
  </si>
  <si>
    <t>LOCATION SYSTEM FOR TV GHOST SOURCES.</t>
  </si>
  <si>
    <t>2-s2.0-0021473611</t>
  </si>
  <si>
    <t>['radiation pattern', 'paper elucidates', 'deployed reveals', 'certain cases']</t>
  </si>
  <si>
    <t>The effect of ground on the radiation pattern of the VOR antenna system has been quantified. The resulting minima may be problematic in certain cases. Use of a counterpoise would reduce the minima. This paper elucidates the considerations for the design of the counterpoise. The radiation pattern with counterpoise is evaluated. Comparison of this with the case where no counterpoise is deployed reveals the efficacy of the counterpoise. The principle of images has been used in the analysis.</t>
  </si>
  <si>
    <t>60072226;60072226;60072226;60072226</t>
  </si>
  <si>
    <t>6603665624;55843884600;6505601250;56632767500</t>
  </si>
  <si>
    <t>Chandra Mouly, M. C.;Surender, S.;Damodara Rao, C.;Srinivas Kumar, S.</t>
  </si>
  <si>
    <t>Vijayawada</t>
  </si>
  <si>
    <t>Velagapudi Ramakrishna Siddhartha Engineering College</t>
  </si>
  <si>
    <t>Chandra Mouly M.C.</t>
  </si>
  <si>
    <t>EFFECT OF COUNTERPOISE ON VOR ANTENNA RADIATION PATTERNS.</t>
  </si>
  <si>
    <t>2-s2.0-0021473696</t>
  </si>
  <si>
    <t>['widest application', 'transcendental equations', 'stratified systems', 'paper refers', 'nonlinear designs', 'fine structure', 'dielectric waveguides', 'circuit theory']</t>
  </si>
  <si>
    <t>The paper refers to the method of solution of transcendental equations of electrodynamics. The method is known as the method of differentiation with respect to a parameter. The method can, find the widest application in solving various transcendental equations of electrodynamics (the analysis of optical and dielectric waveguides, nonlinear designs in circuit theory, stratified systems and media with a fine structure, slow-wave and accelerating gyrotropic systems, etc.</t>
  </si>
  <si>
    <t>126-127</t>
  </si>
  <si>
    <t>Modenov, V. P.</t>
  </si>
  <si>
    <t>Modenov V.</t>
  </si>
  <si>
    <t>ANTENNA-WAVEGUIDE TECHNIQUE. PROPAGATION OF RADIO WAVES. MILLIMETER AND SUBMILLIMETER WAVE TECHNIQUE: DIFFERENTIATION WITH RESPECT TO A PARAMETER WHEN SOLVING TRANSCENDENTAL EQUATIONS OF ELECTRODYNAMICS.</t>
  </si>
  <si>
    <t>2-s2.0-0021475985</t>
  </si>
  <si>
    <t>['reliability index', 'proposed method', 'phased array', 'large number', 'free operation', 'discussed using']</t>
  </si>
  <si>
    <t>The reliability of a phased array is discussed using the accelerated modeling method. We use as a reliability index the probability of failure-free operation while the system is functioning. The proposed method is suitable for analyzing systems consisting of a large number of highly reliable elements.</t>
  </si>
  <si>
    <t>130-132</t>
  </si>
  <si>
    <t>6602267294;7003720048;6701552929;7801328806;6507398551</t>
  </si>
  <si>
    <t>Afromeyev, A. S.;Kaplun, V. A.;Kuz'menko, T. P.;Nakonechnyy, A. N.;Sapalev, V. I.</t>
  </si>
  <si>
    <t>Afromeyev A.</t>
  </si>
  <si>
    <t>EVALUATION OF PHASED ANTENNA ARRAY RELIABILITY USING THE ACCELERATED MODELING METHOD.</t>
  </si>
  <si>
    <t>2-s2.0-0021480465</t>
  </si>
  <si>
    <t>['¬© 1984', 'rights reserved', 'practical radiator', 'order mode', 'ground plane', 'external fields', 'electrical engineers', 'efficient radiation', 'direction perpendicular', 'antenna consisting', 'also presented']</t>
  </si>
  <si>
    <t>Antennas | Dielectric antennas</t>
  </si>
  <si>
    <t>An antenna consisting of a resonant dielectric hemisphere on top of a ground plane is investigated. Calculations of the internal and external fields are made with emphasis on the lowest-order mode that results in efficient radiation in the direction perpendicular to the ground plane. Measured input impedance data are also presented for a practical radiator. ¬© 1984, The Institution of Electrical Engineers. All rights reserved.</t>
  </si>
  <si>
    <t>657-659</t>
  </si>
  <si>
    <t>60005837;60005837</t>
  </si>
  <si>
    <t>7102448153;7402507033</t>
  </si>
  <si>
    <t>McAllister, M. W.;Long, S. A.</t>
  </si>
  <si>
    <t>McAllister M.</t>
  </si>
  <si>
    <t>Resonant hemispherical dielectric antenna</t>
  </si>
  <si>
    <t>10.1049/el:19840450</t>
  </si>
  <si>
    <t>2-s2.0-0021753813</t>
  </si>
  <si>
    <t>['œ ≤.', 'œ ≤,', '¬© 1984', 'whose amplitude', 'target materials', 'sonic antenna', 'sensitivity threshold', 'sensitive detectors', 'resonant detectors', 'relic monopoles', 'presently contemplated', 'ordinary matter', 'novel additional', 'noise ratios', 'monopole traversing', 'monopole detectors', 'metal produces', 'may conceivably', 'limitations would', 'like newtorites', 'gravitationally ).', 'gravitational waves', 'gravitational radiation', 'exotic signals', 'cosmological sources', 'compute signal', 'collection areas', 'big bang']</t>
  </si>
  <si>
    <t>Hopes for the detection of gravitational waves and of very massive magnetic monopoles rely on cosmological sources - the big bang itself in the monopole's case. Some gravitational wave antennas are "acoustic" resonant detectors, that have reached a sensitivity not far from the "quantum limit". We investigate in detail the response of these sensitive detectors to the passage of "relic" monopoles. We compute signal to noise ratios for a variety of target materials, and we find them to be favourable for the very cold, high quality resonators that are presently contemplated. A monopole traversing a metal produces a "thermo-acoustic" pulse, whose amplitude is linear in the monopole's velocity, Œ≤. If the metal is superconducting, there is a novel additional "magneto-acoustic" source, whose amplitude is Œ≤-independent. Monopole detectors that rely on ionization have a sensitivity threshold in Œ≤, and may conceivably be blind to relic monopoles. The response of superconducting loop detectors is Œ≤-independent, but their collection areas are limited by the requirement of a sophisticated magnetic shielding. Neither of the above limitations would be shared by an acoustic monopole detector. We sketch a "sonic antenna" that would respond directionally to coventional cosmic rays, gravitational radiation, monopoles, and even to more exotic signals, like newtorites (elementary or composite "meteorites" that interact with ordinary matter only gravitationally). ¬© 1984.</t>
  </si>
  <si>
    <t>93-144</t>
  </si>
  <si>
    <t>Nuclear Physics, Section B</t>
  </si>
  <si>
    <t>60019778-60017041;60019778;60019778</t>
  </si>
  <si>
    <t>56348970100;6701577658;6602078992</t>
  </si>
  <si>
    <t>Bernard, C.;De R√∫jula, A.;Lautrup, B.</t>
  </si>
  <si>
    <t>Switzerland;Denmark</t>
  </si>
  <si>
    <t>Geneva;Copenhagen</t>
  </si>
  <si>
    <t>European Organization for Nuclear Research;Niels Bohr Institute</t>
  </si>
  <si>
    <t>60019778;60017041</t>
  </si>
  <si>
    <t>Bernard C.</t>
  </si>
  <si>
    <t>Sonic search for monopoles, gravitational waves and newtorites</t>
  </si>
  <si>
    <t>10.1016/0550-3213(84)90136-6</t>
  </si>
  <si>
    <t>2-s2.0-0002235165</t>
  </si>
  <si>
    <t>['¬© 1984', 'rights reserved', 'recent paper1', 'radio engineers', 'microstrip version', 'internal reflections', 'fair performance', '20 db', '2 db', '10 db']</t>
  </si>
  <si>
    <t>Antennas | Microstrip | Microwave antennas. Phased arrays</t>
  </si>
  <si>
    <t>recent paper1 has described the design and performance of a waveguide-fed parallel plate lens which provides five beams from a sixteen element antenna array, with sidelobes ‚âà -20 dB and beam crossovers ‚âà -10 dB, in the frequency band 8‚Äì12 GHz. A microstrip version of this lens has been designed, constructed and tested, with the addition of a beam port overlap network to now provide nine beams with crossovers ‚âà -2 dB. Fair performance is achieved at mid-band, but internal reflections are found to limit the bandwidth of the microstrip lens design. ¬© 1984, The Institution of Electronic and Radio Engineers. All rights reserved.</t>
  </si>
  <si>
    <t>318-320</t>
  </si>
  <si>
    <t>7004317315;57207035989</t>
  </si>
  <si>
    <t>Fong, A. K.S.;Smith, S.</t>
  </si>
  <si>
    <t>Fong A.</t>
  </si>
  <si>
    <t>A microstrip multiple beam forming lens</t>
  </si>
  <si>
    <t>10.1049/ree.1984.0070</t>
  </si>
  <si>
    <t>2-s2.0-0021467028</t>
  </si>
  <si>
    <t>['¬© 1984', 'substrate parameters', 'rights reserved', 'radiation pattern', 'particular mode', 'order modes', 'multifeed technique', 'electrical engineers', 'also presented']</t>
  </si>
  <si>
    <t>Antennas | Microstrip</t>
  </si>
  <si>
    <t>The characteristics of higher-order modes of circular microstrip antennas, such as radiation pattern, directivity, bandwidth, efficiency, and location of the feedpoint to match a 50 il line, are studied, and the effects of varying the substrate parameters are investigated. A multifeed technique to generate any particular mode is also presented. ¬© 1984, The Institution of Electrical Engineers. All rights reserved.</t>
  </si>
  <si>
    <t>681-683</t>
  </si>
  <si>
    <t>7202418704;8092251400</t>
  </si>
  <si>
    <t>Kumar, G.;Shafai, L.</t>
  </si>
  <si>
    <t>Radiation characteristics and generation of higher-order modes of circular microstrip antennas</t>
  </si>
  <si>
    <t>10.1049/el:19840467</t>
  </si>
  <si>
    <t>2-s2.0-0021479234</t>
  </si>
  <si>
    <t>['¬© 1984', 'surface resolution', 'rights reserved', 'retrieval method', 'reflector antennas', 'radio holography', 'misell algorithm', 'electrical engineers', '13 rad']</t>
  </si>
  <si>
    <t>Antennas | Holography</t>
  </si>
  <si>
    <t>The phase-retrieval method for the radio holography of reflector antennas has been tested. The 22 GHz water vapour maser source in Orion was observed to measure the infocus and defocused antenna power patterns. The aperture phase distribution was then derived by the Misell algorithm. An RMS phase error of 0.13 rad was achieved (0.14 mm). The surface resolution was about 1.6 m (between half amplitude points). ¬© 1984, The Institution of Electrical Engineers. All rights reserved.</t>
  </si>
  <si>
    <t>709-710</t>
  </si>
  <si>
    <t>60007328;60007328;60104653</t>
  </si>
  <si>
    <t>21643246200;55480093200;57213959193</t>
  </si>
  <si>
    <t>Ellder, J.;Lundahl, L.;Morris, D.</t>
  </si>
  <si>
    <t>France;Sweden</t>
  </si>
  <si>
    <t>Saint Martin d'Heres;Onsala</t>
  </si>
  <si>
    <t>Universite Grenoble Alpes;Onsala Space Observatory</t>
  </si>
  <si>
    <t>60104653;60007328</t>
  </si>
  <si>
    <t>Ellder J.</t>
  </si>
  <si>
    <t>Test of phase-retrieval holography on the Onsala 20 m radiotelescope</t>
  </si>
  <si>
    <t>10.1049/el:19840486</t>
  </si>
  <si>
    <t>2-s2.0-0021481853</t>
  </si>
  <si>
    <t>['¬© 1984', 'successfully used', 'rights reserved', 'radio telescopes', 'prime focus', 'pattern symmetry', 'electrical engineers', 'circular plate', '327 mhz', '22 db']</t>
  </si>
  <si>
    <t>Antenna feeds | Antennas | Coaxial waveguides</t>
  </si>
  <si>
    <t>A highly compact coaxial feed with good pattern symmetry and a crosspolar level maximum of -22 dB has been realised. Pattern symmetry is obtained by a circular plate of suitable diameter surrounding the coaxial feed aperture. The feed is successfully used in the prime focus (f/D = 0.35) of an array of 25 m radio telescopes at 327 MHz. ¬© 1984, The Institution of Electrical Engineers. All rights reserved.</t>
  </si>
  <si>
    <t>723-724</t>
  </si>
  <si>
    <t>60025529;60025529;60025529;60032882</t>
  </si>
  <si>
    <t>6603415683;8901225300;6507928188;6507996555</t>
  </si>
  <si>
    <t>Van Ardenne, A.;Bregman, J. D.;Sondaar, L. H.;Knoben, M. H.M.</t>
  </si>
  <si>
    <t>Netherlands;Netherlands</t>
  </si>
  <si>
    <t>Eindhoven;Dwingeloo</t>
  </si>
  <si>
    <t>Technische Universiteit Eindhoven;Netherlands Foundation for Research in Astronomy</t>
  </si>
  <si>
    <t>60032882;60025529</t>
  </si>
  <si>
    <t>Van Ardenne A.</t>
  </si>
  <si>
    <t>Compact dual-polarised coaxial feed at 327 MHz</t>
  </si>
  <si>
    <t>10.1049/el:19840495</t>
  </si>
  <si>
    <t>2-s2.0-0021476777</t>
  </si>
  <si>
    <t>['¬© 1984', 'sidelobe level', 'rights reserved', 'rectangular waveguide', 'electrical engineers', 'directive gain', 'conical reflector', 'compact antenna', '8 db', '3 db', '11 ghz']</t>
  </si>
  <si>
    <t>The letter presents experimental results at X-band for a short backfire antenna employing a conical reflector, which is excited by a rectangular waveguide. It is shown that the use of a conical main reflector can lead to a compact antenna having a directive gain of 16.7‚Äî18.3 dB, sidelobe level below 13.8 dB and input VSWR better than 2.5 over a 20% bandwidth from 9-11 GHz. ¬© 1984, The Institution of Electrical Engineers. All rights reserved.</t>
  </si>
  <si>
    <t>749-751</t>
  </si>
  <si>
    <t>60017161;60017161</t>
  </si>
  <si>
    <t>56003101900;56002805800</t>
  </si>
  <si>
    <t>Leong, M. S.;Kooi, P. S.</t>
  </si>
  <si>
    <t>Singapore</t>
  </si>
  <si>
    <t>Singapore City</t>
  </si>
  <si>
    <t>National University of Singapore</t>
  </si>
  <si>
    <t>Leong M.S.</t>
  </si>
  <si>
    <t>Performance of a rectangular-waveguide-excited short backfire antenna employing a conical main reflector</t>
  </si>
  <si>
    <t>10.1049/el:19840512</t>
  </si>
  <si>
    <t>2-s2.0-0021481336</t>
  </si>
  <si>
    <t>['corrugated lightguide']</t>
  </si>
  <si>
    <t>The parameters of an electrooptical deflector employing a corrugated lightguide, made by integrated optics methods are calculated.</t>
  </si>
  <si>
    <t>6507093143;7005682842</t>
  </si>
  <si>
    <t>Vaysleb, Yu V.;Braude, V. B.</t>
  </si>
  <si>
    <t>Vaysleb Y.</t>
  </si>
  <si>
    <t>PRECISION ELECTROOPTICAL DEFLECTOR EMPLOYING A CORRUGATED LIGHTGUIDE.</t>
  </si>
  <si>
    <t>2-s2.0-0021482664</t>
  </si>
  <si>
    <t>['wide beamwidth', 'wide bandwidth', 'trend may', 'simpler fixed', 'requirements differ', 'operational equipment', 'increased use', 'electronically scanned', 'electronic countermeasures', 'commonly found', 'antennas used', '20 mhz']</t>
  </si>
  <si>
    <t>The authors address electronic warfare (EW) antennas which are not electronically scanned. These types of antennas are the kind most commonly found in today's operational equipment. While with high capacity EW systems the trend may be toward the increased use of electronically steered antennas, the simpler fixed, wide beamwidth and mechanically steered antennas discussed here will continue to be used in new systems designed for lower threat density applications. The paper is split into two sections discussing the two major categories of antennas - electronic countermeasures (ECM) antennas and electronic support measures (ESM) antennas. The material is limited to the types of antennas used above a frequency of 20 MHz. Wide bandwidth and the requirement for effectiveness against the various threat polarizations are common for both categories. How requirements differ and the types of antennas used to satisfy the requirements are presented.</t>
  </si>
  <si>
    <t>143-144, 146</t>
  </si>
  <si>
    <t>6603788394;6508274278</t>
  </si>
  <si>
    <t>Hardie, George S.;Sefton, Harry B.</t>
  </si>
  <si>
    <t>Hardie G.</t>
  </si>
  <si>
    <t>FIXED BEAM AND MECHANICALLY STEERABLE ANTENNAS.</t>
  </si>
  <si>
    <t>2-s2.0-0021482818</t>
  </si>
  <si>
    <t>['power dividers', 'phase shifters', 'including erp', 'future trends', 'df requirements', 'broadband phase', 'bandwidth considerations', 'author discusses', 'array design', 'array antennas']</t>
  </si>
  <si>
    <t>The author discusses the use of broadband phase-array antennas in an electronic countermeasures system. He covers: basic array requirements, including ERP and array design; impact on DF requirements; operative/bandwidth considerations; phase shifters; feed/power dividers; and future trends.</t>
  </si>
  <si>
    <t>159-160, 162, 164</t>
  </si>
  <si>
    <t>Mansky, Leonard</t>
  </si>
  <si>
    <t>Perth</t>
  </si>
  <si>
    <t>Sedco Systems Inc</t>
  </si>
  <si>
    <t>Mansky L.</t>
  </si>
  <si>
    <t>BROADBAND PHASED-ARRAY ANTENNAS.</t>
  </si>
  <si>
    <t>2-s2.0-0021482915</t>
  </si>
  <si>
    <t>['types ade', 'type ank', 'soviet line', 'soviet industry', 'sight radio', 'rear half', 'pyramidal horn', 'performance class', 'nonaxisymmetric antenna', 'mainly used', 'main parameters', 'cost comparable', 'circular aperture', 'basic geometry', 'axisymmetric types', '1 ).']</t>
  </si>
  <si>
    <t>On Soviet line-of-sight radio-relay links two-mirror axisymmetric antennas with displaced focal axis (types ADE, AMD, ADU) and a parabolic horn antenna with pyramidal horn are mainly used. Soviet industry is now mass-producing a nonaxisymmetric antenna with a 1. 1 m circular aperture (type ANK-1. 1). With size, weight, and cost comparable to those of the axisymmetric types, this antenna is notable for high noise protection in both the forward and rear half-space, and can be put in the high-performance class with respect to its main parameters. Basic geometry, construction and main characteristic parameters of the antenna are presented.</t>
  </si>
  <si>
    <t>6602887692;7006279744;6504311715</t>
  </si>
  <si>
    <t>Timofeyeva, A. A.;Kozlovskaya, I. A.;Khlopkova, Z. K.</t>
  </si>
  <si>
    <t>Timofeyeva A.</t>
  </si>
  <si>
    <t>ANTENNA WITH A REMOTE EXCITER FOR THE 3. 4-13. 25 GHz BAND.</t>
  </si>
  <si>
    <t>2-s2.0-0021482938</t>
  </si>
  <si>
    <t>['rf amplifiers', 'receiver easily', 'problems associated', 'power dividers', 'one popular', 'microwave frequencies', 'long distances', 'intermediate frequency', 'chosen mainly', 'associated components', 'another advantage']</t>
  </si>
  <si>
    <t>To avoid the problems associated with transmission of microwave frequencies from antenna to receiver, signals at KU-Band are 'block-down converted' to an Intermediate Frequency. The 'outdoor' unit usually consists of a low noise amplifier and down converter. For the past three years, one popular IF frequency has been in the 270 to 770 MHz range. This range was chosen mainly because of the availability in the cable television industry of low cost cable, RF amplifiers, power dividers, DC power inserters and other associated components. The availability of these components enables cable operators to connect their 'outdoor' units to the 'indoor' receiver easily and at relatively low cost, even over long distances. Another advantage is the availability of low cost broadband amplifiers that may be used in the output of the block down converters and receiver input stages. Component design considerations are discussed.</t>
  </si>
  <si>
    <t>446-449</t>
  </si>
  <si>
    <t>Balbes, Michael S.</t>
  </si>
  <si>
    <t>Microdyne Corp</t>
  </si>
  <si>
    <t>Balbes M.</t>
  </si>
  <si>
    <t>SATELLITE RECEIVERS - DESIGN CONSIDERATIONS.</t>
  </si>
  <si>
    <t>2-s2.0-0021483185</t>
  </si>
  <si>
    <t>['waveguide route', 'value found', 'slightly differs', 'performance factors', 'link span', 'link due', 'harmonic analysis', 'group delay', 'gd response', 'cross talk', 'component due', 'awr irregularities']</t>
  </si>
  <si>
    <t>The determination of antenna-waveguide route (AWR) performance factors and their influence on radio relay link (RL) performance as a whole is of great practical importance. In particular, we are interested in calculating the crosstalk in RL telephone channels (and isolating the component due to the AWR) from the experimental frequency responses of the group delay T over a link span or part of it. The cross talk can be found by harmonic analysis of the GD response, whether there are reflections from, or wave type transformations at, the AWR irregularities. The total cross talk in the link due to the AWR and equipment, found by harmonic analysis of the GD response, only slightly differs from the value found by measurement.</t>
  </si>
  <si>
    <t>Tartakovskiy, L. S.</t>
  </si>
  <si>
    <t>Tartakovskiy L.</t>
  </si>
  <si>
    <t>LINK CROSSTALK CALCULATION BASED ON HARMONIC ANALYSIS OF GROUP DELAY FREQUENCY RESPONSE.</t>
  </si>
  <si>
    <t>2-s2.0-0021483293</t>
  </si>
  <si>
    <t>['subject matter', 'reception stations', 'particular drawback', "merit '.", 'large number', 'individual channels', 'eutelsat 1']</t>
  </si>
  <si>
    <t>Communications satellites suffer a particular drawback in contrast to future direct broadcasting satellites since, in spite of being able to carry a large number of transmittable TV programs, they provide lower transmitted power in the individual channels. This paper is confined to reception stations for TV program distribution via communications satellites in the 11 GHz range, as for instance the EUTELSAT 1-F1. This is because of both the topicality of the subject matter, and the 100 times higher specifications with respect to sensitivity, that is to say the 'figure of merit'.</t>
  </si>
  <si>
    <t>441-445</t>
  </si>
  <si>
    <t>Liesenkoetter, Bernhard</t>
  </si>
  <si>
    <t>Rosenheim</t>
  </si>
  <si>
    <t>Kathrein-Werke KG</t>
  </si>
  <si>
    <t>Liesenkoetter B.</t>
  </si>
  <si>
    <t>ASPECTS OF DESIGN OF TVRO FOR COMMUNICATIONS SATELLITES.</t>
  </si>
  <si>
    <t>2-s2.0-0021483306</t>
  </si>
  <si>
    <t>['transceiver equipment', 'system provides', 'strong demand', 'stations outside', 'specially important', 'new generation', 'merely comparable', 'may often', 'maximum consumption', 'local switching', 'local monitoring', 'flashing mode', 'antenna masts']</t>
  </si>
  <si>
    <t>The introduction of modern radio relay link trunk (RRLT) equipment, studies in RRLT design optimization, and the development of a new generation of RRLT, all presuppose a very strong demand for low-voltage light guard systems for the antenna masts. These systems are specially important in the case of stations in areas having no external power supplies, since the consumption of the transceiver equipment is not merely comparable with, but may often be less than, the light guard system consumption. For stations outside the zones of aerodromes, an automatic light guard system has been developed, with maximum consumption not exceeding 100 W, and supply from a 24 V dc source. The system provides for automatic, remote or local switching on and off of the light signaling devices, remote or local monitoring of 50% of devices going wrong, and a continuous or flashing mode of the devices.</t>
  </si>
  <si>
    <t>27-29</t>
  </si>
  <si>
    <t>6505886110;7006347657;7004545066</t>
  </si>
  <si>
    <t>Larik, V. Ye;Martynov, Ye V.;Tishchenko, M. P.</t>
  </si>
  <si>
    <t>Larik V.</t>
  </si>
  <si>
    <t>LIGHT GUARD SYSTEM FOR RADIO RELAY LINK ANTENNA MASTS.</t>
  </si>
  <si>
    <t>2-s2.0-0021483338</t>
  </si>
  <si>
    <t>['specifications issued', 'space segment', 'receiver terminal', 'prime considerations', 'noise ratio', 'first requirement', 'design parameters', 'consumers receiver', 'cable companies', 'adequate carrier']</t>
  </si>
  <si>
    <t>The prime considerations of a TV uplink designer are two-fold. The first requirement is to satisfy the satellite operating organisations' conditions for access to the space segment. The second is to provide the cable companies and other users' receiver terminal with an adequate carrier to noise ratio, to provide a satisfactory picture quality at the consumers receiver. To meet these objectives the uplink earth station designer must consider the design parameters of the satellite as detailed in the specifications issued by the satellite operating bodies such as Intelsat and Eutelsat.</t>
  </si>
  <si>
    <t>437-440</t>
  </si>
  <si>
    <t>Hope, Peter W.</t>
  </si>
  <si>
    <t>Marconi Communications</t>
  </si>
  <si>
    <t>Hope P.</t>
  </si>
  <si>
    <t>UPLINK EARTH STATIONS FOR PROGRAMME DISTRIBUTION TO CABLE HEADS.</t>
  </si>
  <si>
    <t>2-s2.0-0021483495</t>
  </si>
  <si>
    <t>['vf channels', 'signal received', 'relay link', 'receiver input', 'paper calculates', 'one cause', 'nonlinear noise', 'backward direction']</t>
  </si>
  <si>
    <t>One cause of nonlinear noise in VF channels of a radio-relay link is a foreign interfering signal at the receiver input. The inherent link noise is produced by the signal received in the backward direction. The paper calculates the nonlinear noise level in the link by employing statistical methods.</t>
  </si>
  <si>
    <t>35-37</t>
  </si>
  <si>
    <t>7003655363;6701715041</t>
  </si>
  <si>
    <t>Frolov, O. P.;Yampol'skiy, V. G.</t>
  </si>
  <si>
    <t>INCREASE OF NONLINEAR NOISE LEVEL IN VF CHANNELS DUE TO DIFFERENT LENGTHS.</t>
  </si>
  <si>
    <t>2-s2.0-0021483504</t>
  </si>
  <si>
    <t>['uniform theories', 'uniform methods', 'surface normals', 'scanning scheme', 'reflection points', 'present method', 'organized search', 'numerical procedure', 'new formula', 'main reflector', 'edge calculation', 'discrete points', 'current computations', 'certain advantages', 'beam launching']</t>
  </si>
  <si>
    <t>We describe a numerical procedure which combines the features of beam launching, organized search for reflection points by a scanning scheme, and the classical ray tracing. This numerical procedure is augmented by the inclusion of the edge diffraction effect which is computed by a new formula. The diffraction fields computed with this formula are compared with those derived from other uniform theories. The present method for edge calculation not only has certain advantages over the other uniform methods, but also is well-suited for current computations on the main reflector when the subreflector is specified only numerically, i. e. , both the surface and the rim of the subreflector are specified by coordinates and surface normals at discrete points.</t>
  </si>
  <si>
    <t>297-302</t>
  </si>
  <si>
    <t>7202288025;55197051100</t>
  </si>
  <si>
    <t>Ko, Wai L.;Mittra, Raj</t>
  </si>
  <si>
    <t>Ko W.</t>
  </si>
  <si>
    <t>COMPUTATION OF INDUCED SURFACE CURRENT OF THE MAIN REFLECTOR OF A SHAPED DUAL-REFLECTOR ANTENNA.</t>
  </si>
  <si>
    <t>2-s2.0-0021484165</t>
  </si>
  <si>
    <t>['wave number', 'symmetric modes', 'round waveguide', 'radiation pattern', 'physical theory', 'open end', 'inverse half', 'integer powers', 'dimensional problem', 'corresponding two', 'asymptotic approximation']</t>
  </si>
  <si>
    <t>On the basis of the method of the physical theory of diffraction, the first two terms were obtained (assuming axial symmetry) of the uniform asymptotic approximation of the fringe wave radiation pattern with respect to inverse half-integer powers of the wave number, as expressed in terms of the two-term uniform asymptotic approximation of the corresponding two-dimensional problem. As examples, a uniform asymptotic approximation was calculated of the correction refining Kirchhoff's approximation for the radiation pattern of an axially symmetric reflector antenna, as well as an asymptotic approximation of the radiation pattern of the radiation of symmetric modes from an open end of a round waveguide with a flange.</t>
  </si>
  <si>
    <t>23-30</t>
  </si>
  <si>
    <t>7003747598;7402985929</t>
  </si>
  <si>
    <t>Kaloshin, V. A.;Popov, A. P.</t>
  </si>
  <si>
    <t>Kaloshin V.</t>
  </si>
  <si>
    <t>SCATTERING ON AN AXIALLY SYMMETRIC EDGE.</t>
  </si>
  <si>
    <t>2-s2.0-0021484419</t>
  </si>
  <si>
    <t>['uhf systems', 'printed form', 'phase characteristics', 'permit realizing', 'multibeam pattern', 'independent elements', 'frequency characteristics', 'forming systems', 'couplers examined', 'antenna array']</t>
  </si>
  <si>
    <t>Multistepped directional couplers with nonminimal phase properties, which permit realizing a number of designs with different phase differences between signals for the same frequency characteristics of their moduli, are investigated. The characteristics of the synthesis of such couplers are clarified and an algorithm is proposed for analyzing their phase characteristics. It is shown that the couplers examined can be realized in a printed form, and can also be used as independent elements for uhf systems, as well as components of multibeam pattern-forming systems with stabilization of the position of the beam from the antenna array.</t>
  </si>
  <si>
    <t>7103379798;6508075519</t>
  </si>
  <si>
    <t>Gorbachev, A. P.;Neverov, S. G.</t>
  </si>
  <si>
    <t>Gorbachev A.</t>
  </si>
  <si>
    <t>SYNTHESIS OF STEPPED DIRECTIONAL COUPLERS WITH NONMINIMAL PHASE CHARACTERISTICS.</t>
  </si>
  <si>
    <t>2-s2.0-0021484740</t>
  </si>
  <si>
    <t>['zero wherever', 'transversally uniform', 'significant quantity', 'radiation pressure', 'poynting vector', 'physical meaning', 'curl may']</t>
  </si>
  <si>
    <t>The physical meaning of the Poynting vector s equals e multiplied by h is discussed and it is shown that even its curl may be a significant quantity, different from zero wherever s (and consequently the radiation pressure s/c) is not transversally uniform.</t>
  </si>
  <si>
    <t>287-289</t>
  </si>
  <si>
    <t>Latmiral, Gaetano</t>
  </si>
  <si>
    <t>Naples</t>
  </si>
  <si>
    <t>Universit√† degli Studi di Napoli Federico II</t>
  </si>
  <si>
    <t>Latmiral G.</t>
  </si>
  <si>
    <t>CURL OF POYNTING VECTOR AND DIFFERENTIAL RADIATION PRESSURE.</t>
  </si>
  <si>
    <t>2-s2.0-0021488594</t>
  </si>
  <si>
    <t>['special catalyst', 'silica sand', 'hyperbolic shapes', 'binding agent']</t>
  </si>
  <si>
    <t>Casting of 150-in. -diam aluminum castings with hyperbolic shapes for space probe antennas required accurate sand molds which used a mixture that consisted of silica sand, 5% binding agent, 2% oil and a special catalyst.</t>
  </si>
  <si>
    <t>84-85</t>
  </si>
  <si>
    <t>Foundry Management &amp; Technology</t>
  </si>
  <si>
    <t>WATERLESS BINDER IMPROVES LARGE SAND MOLD PRODUCTION.</t>
  </si>
  <si>
    <t>2-s2.0-0021488712</t>
  </si>
  <si>
    <t>['small components', 'sample panels', 'radome described', 'production basis', 'impact strength', 'aromatic polymers', 'antenna shells']</t>
  </si>
  <si>
    <t>Whilst great progress has been made in the development of advanced composite materials over the last 15 years, virtually all of this work has focussed on the use of thermoset matrix materials. Many of the disadvantages of 'convential' thermoplastics have now been overcome in the new engineering thermoplastics based on aromatic polymers. These new matrix systems offer positive advantages over thermosets - including much improved toughness and impact strength. Earlier small scale development work on sample panels and small components such as antenna shells has now led on to the manufacture on a production basis of much larger components such as the radome described in this paper.</t>
  </si>
  <si>
    <t>SAMPE Journal</t>
  </si>
  <si>
    <t>Willats, Donald J.</t>
  </si>
  <si>
    <t>Leominster</t>
  </si>
  <si>
    <t>Specmat Ltd</t>
  </si>
  <si>
    <t>Willats D.</t>
  </si>
  <si>
    <t>ADVANCES IN THE USE OF HIGH PERFORMANCE CONTINUOUS FIBRE REINFORCED THERMOPLASTICS.</t>
  </si>
  <si>
    <t>2-s2.0-0021489891</t>
  </si>
  <si>
    <t>852-854</t>
  </si>
  <si>
    <t>7801548610;16474604500</t>
  </si>
  <si>
    <t>Melekhov, M. E.;Ryzhkov, I. I.</t>
  </si>
  <si>
    <t>Melekhov M.</t>
  </si>
  <si>
    <t>Technique and apparatus for measuring strong electromagnetic fields</t>
  </si>
  <si>
    <t>10.1007/BF00863760</t>
  </si>
  <si>
    <t>2-s2.0-0021492316</t>
  </si>
  <si>
    <t>849-852</t>
  </si>
  <si>
    <t>6602223914;6506264809</t>
  </si>
  <si>
    <t>Letunov, L. A.;Skorov, V. G.</t>
  </si>
  <si>
    <t>Letunov L.</t>
  </si>
  <si>
    <t>Reduction of amplitude and phase distortions of a movable SHF channel during measurements of antenna fields</t>
  </si>
  <si>
    <t>10.1007/BF00863759</t>
  </si>
  <si>
    <t>2-s2.0-0021492406</t>
  </si>
  <si>
    <t>846-849</t>
  </si>
  <si>
    <t>6602541196;7102133433</t>
  </si>
  <si>
    <t>Gazazyan, E. D.;Panchenko, V. G.</t>
  </si>
  <si>
    <t>Gazazyan E.</t>
  </si>
  <si>
    <t>Errors in coordinate determination during measurement of on-board antenna radiation field characteristics of flying vehicles</t>
  </si>
  <si>
    <t>10.1007/BF00863758</t>
  </si>
  <si>
    <t>2-s2.0-0021495565</t>
  </si>
  <si>
    <t>['uniform distribution', 'specific ph', 'seven species', 'receptors could', 'probably located', 'previous workers', 'preference distribution', 'measurements taken', 'field match', 'distribution found', 'distal segments', 'different receptors', 'carabid beetles', 'angustatus changed', 'also effective']</t>
  </si>
  <si>
    <t>Seven species of carabid beetles were examined in different "pH-Orgeln" for pH-preferences. Five of these species showed significant preferences for specific pH-fields. Presumably, this parameter of distribution found in the laboratory is also effective in the field. We caught the beetles in the field on soil of the same pH-values which they prefered in the laboratory. The pH-measurements taken by previous workers in the field match our results. The receptors for H-ions are probably located on the antennae, because the preference distribution of Pt. angustatus changed into a uniform distribution after amputation of the distal segments of the antennae. The structure of these receptors could not be identified in electron microscope pictures (REM) among the multitude of different receptors on the antennae. ¬© 1984 Springer-Verlag.</t>
  </si>
  <si>
    <t>41-46</t>
  </si>
  <si>
    <t>Oecologia</t>
  </si>
  <si>
    <t>60008293;60008293</t>
  </si>
  <si>
    <t>6508154630;6506165731</t>
  </si>
  <si>
    <t>Paje, F.;Mossakowski, D.</t>
  </si>
  <si>
    <t>Bremen</t>
  </si>
  <si>
    <t>Universit√§t Bremen</t>
  </si>
  <si>
    <t>Paje F.</t>
  </si>
  <si>
    <t>pH-preferences and habitat selection in carabid beetles</t>
  </si>
  <si>
    <t>10.1007/BF00377541</t>
  </si>
  <si>
    <t>2-s2.0-0021544501</t>
  </si>
  <si>
    <t>['wind tunnel', 'ultimate maintenance', 'tonic type', 'tonic receptors', 'table 2a', 'still air', 'sensilla campaniformia', 'seems clear', "sagging ')", 'right sides', 'related interneurons', 'receptors perceived', 'receptors .)', 'prothoracic ganglia', 'prolonged flight', 'phasic receptors', 'phasic interneurons', 'periodically acting', 'pedicel receptors', 'pedicel mechanoreceptors', 'pedicel chordotonal', 'passive deflection', 'model describes', 'minimum velocity', 'microelectrode recording', 'mechanical stimulus', 'maximal sensitivity', 'mathematical model', 'mathematical expression', 'maintained flight', 'long time', 'levers acting', 'instantaneous cessation', 'incomplete adaptation', 'impulse bursts', 'functional asymmetry', 'flagellum weight', 'flagellum vibration', 'flagellum relatively', 'flagellum deflexion', 'estimate low', 'electrical activity', 'dorsally orientated', 'dorsal side', 'directional sensitivity', 'differently located', 'different velocity', 'descending interneurons', 'definite group', 'data showed', 'complete adaptation', 'cockroach flight', 'cockroach flagellum', 'cockroach brain', 'chordotonal sensilla', 'campaniform sensilla', 'b ).', 'antennal movements', 'angle determined', 'air current', 'active movements', '8 ).', '6 ),', '50 hz', '4 ).', '3b ).', '2 times', '1a ).', '135 ¬∞', '10 hz', '1 mm']</t>
  </si>
  <si>
    <t>1. In order to find the receptors that maintained flight in the cockroach Periplaneta americana a wind tunnel was used (Fig. 1A). 2. After removal of the antennal flagella prolonged flight was not possible. However, sticking of cut antenna restored flight capability (Table 2a, b). These data showed that for maintenance of cockroach flight antennal flagella were needed as levers acting on pedicel receptors: chordotonal sensilla (including the chordotonal sensilla of Johnston's organ) and sensilla campaniformia. 3. In the laminar airstream passive antennal vibration caused by the wing motor activity was absent and the observed antennal movements in flight were evoked only by antennal muscle activity. Fixation of active antennal movements by immobilization the head-scapus and scapus-pedicel joints leads to cessation of flight. Therefore, pedicel receptors are capable to maintain the cockroach flight only if active antennal movements in the airstream are present. 4. The frequency of active antennal movements with amplitude of more than 1 mm is in the cause of 3-10 Hz (Fig. 3B). Each of these active movements like at instantaneous cessation of {Mathematical expression}1 and {Mathematical expression}1 antennal joints evoked lash (passive deflection) of its flagellum relatively to the pedicel. To estimate low-amplitude passive deflexions which are defined by high-amplitude active movements due to the inertia, 'sail-property' and weight of the flagellum a mathematical model was developed. This model describes the displacements of the cockroach flagellum which are evoked by the active movements in the airstream of different velocity. 5. The application of the constructed mathematical model showed that at active antennal movements in the air current velocity of 1.5-2 m/s (minimum velocity at which the cockroach flight was possible) the angle determined by the flagellum weight (its 'sagging') was compensated and the angle of flagellum displacement relative to the pedicel at the active movements upward was increased by 1.5-2 times as compared with the same angles at the same antennal movements in still air (Fig. 4). It seems clear that just the redistribution of the load on the pedicel receptors was that mechanical stimulus which periodically acting with frequency of active antennal movements of 3-10 Hz led to alterate the mosaic of excitation of differently located in pedicel chordotonal and campaniform sensilla (functional asymmetry of the system of pedicel receptors) and ultimate maintenance of prolonged flight. 6. Microelectrode recording of electrical activity of the pedicel sensilla showed that three functional types of receptors (phasic-tonic receptors with slow and incomplete adaptation, phasic-tonic receptors with fast and complete adaptation and phasic receptors) were revealed. These receptors perceived the changes in amplitude (starting from 20-30 Œºm), the frequency (up to 50 Hz, Fig. 6), the flagellum movement velocity as well as they had directional sensitivity. (The sector of the maximal sensitivity was 90-135¬∞ in most receptors.) Thus, redistribution of the load in flight from the ventral to dorsal side of the pedicel evoked electrical activity of a definite group of receptors. The sectors of maximal sensitivity of these receptors were dorsally orientated. 7. The pedicel mechanoreceptors' responses in the cockroach head ganglia went over into the descending interneurons of three functional types including the phasic-tonic type with slow incomplete adaptation, the phasic-tonic type with fast and complete adaptation and phasic interneurons. In the cockroach brain the chiasma of the nervous tracts provides receiving the information about the flagellum deflexion to the left and right sides of the prothoracic ganglia. Interneurons were not able to respond for a long time to flagellum vibration, if its frequency exceeded 10 Hz (Fig. 8). Thus, it was evident that electrical activity maintaining the cockroach flight consisted of the impulse bursts of the pedicel receptors and related interneurons at each deflection of the flagellum with regard to the pedicel at the active antennal movements in the air current. ¬© 1984 Springer-Verlag.</t>
  </si>
  <si>
    <t>697-712</t>
  </si>
  <si>
    <t>60021712;60021712</t>
  </si>
  <si>
    <t>6602900500;6603537445</t>
  </si>
  <si>
    <t>Yagodin, Sergey V.;Kovbasa, Sergey I.</t>
  </si>
  <si>
    <t>Saint Petersburg (ex Leningrad)</t>
  </si>
  <si>
    <t>Pavlov Institute of Physiology, Russian Academy of Sciences</t>
  </si>
  <si>
    <t>Yagodin S.</t>
  </si>
  <si>
    <t>The flight maintenance mechanism in the cockroach Periplaneta americana L.</t>
  </si>
  <si>
    <t>10.1007/BF00610856</t>
  </si>
  <si>
    <t>2-s2.0-0242529179</t>
  </si>
  <si>
    <t>['single array', 'semicircular arrays', 'pointing directions', 'phased array', 'paper describes', 'future trends', 'full gain', 'formed simultaneously', 'fed type', 'fed arrays', 'entire set', 'dimensional arrays', 'contiguous beams', 'circular arrays', 'circuit lenses', 'beam processing', 'beam formation']</t>
  </si>
  <si>
    <t>This paper describes the lens-fed type of phased array, wherein an entire set of contiguous beams is formed simultaneously, with each beam processing the full gain of the projected array aperture. From a single array, multiple simultaneous beams can be formed, covering a large angular sector and an extremely wide frequency band. True time delay is used in the beam formation, so the beam-pointing directions in space remain invarient with frequency. The discussion covers linear arrays, conformal arc arrays, semicircular arrays, circular arrays, two-dimensional arrays, printed-circuit lenses, broadband array elements, lens-fed arrays for ECM and for ESM, and future trends.</t>
  </si>
  <si>
    <t>Archer, D. H.</t>
  </si>
  <si>
    <t>Archer D.</t>
  </si>
  <si>
    <t>LENS-FED MULTIPLE BEAM ARRAYS.</t>
  </si>
  <si>
    <t>2-s2.0-18544401124</t>
  </si>
  <si>
    <t>['¬© 1984', 'wave antenna', 'turn precedes', 'timing accuracy', 'time structures', 'time resolution', 'time evolutions', 'time delays', 'similar structures', 'rays throughout', 'ray observations', 'ray monitor', 'observed simultaneously', 'microwave polarization', 'microwave observations', 'itapetinga mm', 'hard x', 'clearly related', 'burst duration', '5 ms', '450 ms', '32 ut', '26 february', '22 ghz', '110 ms']</t>
  </si>
  <si>
    <t>A solar flare occurring on 26 February, 1981 at 19:32 UT was observed simultaneously in hard X-rays and microwaves with a time resolution of a fraction of a second. The X-ray observations were made with the Hard X-ray Monitor on Hinotori, and the microwave observations were made at 22 GHz with the 13.7 m Itapetinga mm-wave antenna. Timing accuracy was restricted to 62.5 ms, the best time resolution obtained in hard X-rays for this burst. We find that: (a) all 22 GHz flux structures were delayed by 0.2-0.9 s relative to similar structures in hard X-rays throughout the burst duration; (b) different burst structures showed different delays, suggesting that they are independent of each other; (c) the time structures of the degree of polarization at 22 GHz precede the total microwave flux time structures by 0.1-0.5 s; (d) The time evolutions of time delays of microwaves with respect to hard X-rays and also the degree of microwave polarization show fluctuations with are not clearly related to any other time structures. If we take mean values for the 32 s burst duration, we find that hard X-ray emission precedes the degree of microwave polarization by 450 ms, which in turn precedes the total microwave flux by 110 ms. ¬© 1984 D. Reidel Publishing Company.</t>
  </si>
  <si>
    <t>369-378</t>
  </si>
  <si>
    <t>60012729;60012729;60025272</t>
  </si>
  <si>
    <t>7402461263;7201921496;7004129817</t>
  </si>
  <si>
    <t>Costa, J. E.R.;Kaufmann, P.;Takakura, T.</t>
  </si>
  <si>
    <t>Japan;Brazil</t>
  </si>
  <si>
    <t>Tokyo;Sao Jose dos Campos</t>
  </si>
  <si>
    <t>The University of Tokyo;Instituto Nacional de Pesquisas Espaciais</t>
  </si>
  <si>
    <t>60025272;60012729</t>
  </si>
  <si>
    <t>Costa J.</t>
  </si>
  <si>
    <t>Timing analysis of hard X-ray emission and 22 GHz flux and polarization in a solar burst</t>
  </si>
  <si>
    <t>10.1007/BF00151324</t>
  </si>
  <si>
    <t>2-s2.0-3142574798</t>
  </si>
  <si>
    <t>['¬© 1984', 'total power', 'thermal electrons', 'successive observations', 'solar flares', 'plasma parameters', 'observing frequency', 'microwave spectra', 'locked receivers', 'interferometric amplitude', 'fully calibrated', 'early observations', 'cosmic sources', 'antennas equipped', 'agile operation', 'active regions', '50 ms', '18 ghz']</t>
  </si>
  <si>
    <t>A high-resolution microwave spectrometer has been developed by converting the Owens Valley solar interferometer to frequency-agile operation. The system uses 27 m antennas equipped with phase-locked receivers which can change their observing frequency in 25 or 50 ms. Microwave spectra between 1 and 18 GHz are obtained in a few seconds by successive observations at up to 86 discrete frequencies. At each frequency the data are equivalent to the total power from each antenna and the interferometric amplitude and phase. All data are fully calibrated with respect to cosmic sources. The instrument was motivated by the need for better microwave spectral resolution for the study of plasma parameters, non-thermal electrons and coronal magnetic field strengths in solar flares and active regions. Early observations with the system are illustrated by a sequence of flare spectra featuring cases with exceptionally narrow continuum bandwidths. ¬© 1984 D. Reidel Publishing Company.</t>
  </si>
  <si>
    <t>413-426</t>
  </si>
  <si>
    <t>7003316944;16473667800;7004164538</t>
  </si>
  <si>
    <t>Hurford, G. J.;Read, R. B.;Zirin, H.</t>
  </si>
  <si>
    <t>Hurford G.</t>
  </si>
  <si>
    <t>A frequency-agile interferometer for solar microwave spectroscopy</t>
  </si>
  <si>
    <t>10.1007/BF00151327</t>
  </si>
  <si>
    <t>2-s2.0-34250135997</t>
  </si>
  <si>
    <t>['whistler solitons', 'upperhybrid waves', 'short duration', 'radio flares', 'observed flux', 'observed features', 'nonlinear interaction', 'microwave spikes', 'low altitudes', 'localized antennae', 'isolated tadpole', 'gives rise', 'give rise', 'fine structures', "eyes '.", 'dynamic spectra', 'coronal loop', '109 solitons']</t>
  </si>
  <si>
    <t>microwave spikes | radiation mechanism | radio flares | Solar radio bursts | whistler solitons</t>
  </si>
  <si>
    <t>The radiation, resulting from the nonlinear interaction of whistler solitons, which act as localized antennae, with the upperhybrid waves in the coronal loop, is shown to give rise to fine structures in solar radio bursts. All the observed features of microwave spikes in radio flares, e.g. their frequency, polarization and short duration can be explained by the presence of about 106 solitons occupying a volume of ‚àº 108 m3, provided this interaction takes place at low altitudes. However, if this interaction takes place close to the top of the coronal loop, it gives rise to the isolated tadpole 'eyes' features in the dynamic spectra. About 109 solitons are needed to account for the observed flux of these 'eyes'. ¬© 1984 Indian Academy of Sciences.</t>
  </si>
  <si>
    <t>343-349</t>
  </si>
  <si>
    <t>Pramana</t>
  </si>
  <si>
    <t>60018641;60018641-60014901</t>
  </si>
  <si>
    <t>7006414754;7003357287</t>
  </si>
  <si>
    <t>Lakhina, G. S.;Buti, B.</t>
  </si>
  <si>
    <t>Mumbai;Ahmedabad</t>
  </si>
  <si>
    <t>Indian Institute of Geomagnetism;Physical Research Laboratory India</t>
  </si>
  <si>
    <t>60018641;60014901</t>
  </si>
  <si>
    <t>Lakhina G.S.</t>
  </si>
  <si>
    <t>Origin of fine structures in solar radio bursts</t>
  </si>
  <si>
    <t>10.1007/BF02846578</t>
  </si>
  <si>
    <t>2-s2.0-51649158426</t>
  </si>
  <si>
    <t>['¬© 1984', 'wave frequencies', 'rights reserved', 'electrical engineers', 'dielectric lens', 'described using', 'configuration leads', 'compact range']</t>
  </si>
  <si>
    <t>Antennas | Compact range | Measurement</t>
  </si>
  <si>
    <t>A compact range for millimetre-wave frequencies is described using a dielectric lens. This configuration leads to a number of advantages such as reduced tolerance requirements and costs, and can be implemented into standard antenna test chambers. ¬© 1984, The Institution of Electrical Engineers. All rights reserved.</t>
  </si>
  <si>
    <t>768-769</t>
  </si>
  <si>
    <t>60075697;60075697</t>
  </si>
  <si>
    <t>7102063968;6602297603</t>
  </si>
  <si>
    <t>Menzel, W.;Huder, B.</t>
  </si>
  <si>
    <t>Nurnberg</t>
  </si>
  <si>
    <t>AEG</t>
  </si>
  <si>
    <t>Menzel W.</t>
  </si>
  <si>
    <t>Compact range for millimetre-wave frequencies using a dielectric lens</t>
  </si>
  <si>
    <t>10.1049/el:19840523</t>
  </si>
  <si>
    <t>2-s2.0-0021494249</t>
  </si>
  <si>
    <t>['¬© 1984', 'rights reserved', 'potential application', 'electrical engineers', '300 mhz']</t>
  </si>
  <si>
    <t>Delay lines | Electromagnetic waves | Magnetostatic waves</t>
  </si>
  <si>
    <t>Variable constant time delay adjustable by 20% over a bandwidth of 300 MHz at X-band has been theoretically obtained using a single delay line consisting of two ground planes. This has been achieved by rotating the direction of the applied DC magnetic field in the forward volume wave to the backward volume wave plane and adjusting the magnitude. Electronically variable constant delay lines have potential application in broadband phased array antennas and microwave signal processing. ¬© 1984, The Institution of Electrical Engineers. All rights reserved.</t>
  </si>
  <si>
    <t>783-784</t>
  </si>
  <si>
    <t>Bajpai, S. N.</t>
  </si>
  <si>
    <t>Stony Brook</t>
  </si>
  <si>
    <t>Stony Brook University</t>
  </si>
  <si>
    <t>Bajpai S.</t>
  </si>
  <si>
    <t>Magnetostatic variable constant delay line consisting of metal-dielectric YIG-GGG metal</t>
  </si>
  <si>
    <t>10.1049/el:19840533</t>
  </si>
  <si>
    <t>2-s2.0-0021499717</t>
  </si>
  <si>
    <t>['¬© 1984', 'small antennas', 'shadow method', 'rights reserved', 'large antennas', 'electrical engineers', '4 ¬∞', '10 ¬∞.']</t>
  </si>
  <si>
    <t>Antennas | Equivalent current approach | Projected shadow method | Reflector antennas | Scattering cone | Sidelobes | Strut radiation</t>
  </si>
  <si>
    <t>The results of two convenient methods for calculating the sidelobe level caused by the feed support struts of paraboloidal reflector antennas have been compared. These methods are the simple ‚Äòprojected shadow method‚Äô and the more sophisticated ‚Äòequivalent current approach‚Äô. It turns out that the shadow method is applicable for the computation of the sidelobes of large antennas up to an angle of 3 to 4¬∞ from boresight and in the case of small antennas up to 8 to 10¬∞. ¬© 1984, The Institution of Electrical Engineers. All rights reserved.</t>
  </si>
  <si>
    <t>792-794</t>
  </si>
  <si>
    <t>7101932815;6603842614</t>
  </si>
  <si>
    <t>Hombach, V.;Thielen, H.</t>
  </si>
  <si>
    <t>Hombach V.</t>
  </si>
  <si>
    <t>Limitations of the projected shadow method for estimating the strut influence in paraboloidal antennas</t>
  </si>
  <si>
    <t>10.1049/el:19840539</t>
  </si>
  <si>
    <t>2-s2.0-0021500716</t>
  </si>
  <si>
    <t>['¬© 1984', 'vice versa', 'two photosystems', 'saturation curve', 'recovery process', 'reaction centers', 'reach ps', 'quantum requirement', 'quantitative analysis', 'photoacoustic method', 'obtained reversibly', 'new state', 'm2 ),', 'lower intensities', 'light state', 'light levels', 'last case', 'intact leaves', 'harvesting chlorophyll', 'extreme imbalance', 'excitonic interaction', 'enhancement ratio', 'broad band', 'brief preillumination', 'b protein', 'approaches zero', 'appears also', 'adaptation times', 'absorbing pigments', '700 nm', '600 nm', '10 hv']</t>
  </si>
  <si>
    <t>Excitation energy distribution | Fluorescence | Low-light state | Photoacoustic spectroscopy | Photosynthesis | Photosystem</t>
  </si>
  <si>
    <t>In intact leaves, a new physiological state is obtained reversibly at low light intensity (typically 1 W / m2), in which oxygen evolution yield, monitored by the photoacoustic method, approaches zero. In this 'low-light' state, irradiation with far-red (Œª &gt; 700 nm) background light immediately restores the normal oxygen yield, resulting in an unusually high Emerson enhancement ratio. Quantitative analysis of the enhancement ratio and the saturation curve of enhancement by far-red light shows that in the new state, short wavelength excitation does not reach PS I reaction centers, resulting in an extreme imbalance between the two photosystems. We suggest that adaptation to the low-light state occurs through loss of excitonic interaction between antennae of PS I and their reaction-centers. It appears also that the 'far-red' absorbing pigments do not participate in the disconnection and remain closely attached to the reaction centers of PS I. Their number is estimated to be less than 30 per reaction center. The disconnection of the antennae from the reaction center appears to be reversed by readaptation to 'normal' light levels, as well as by a brief preillumination with broad band (400-600 nm) light, acting as a trigger. In the last case, the transition to high oxygen yield state is transient. The quantum requirement of this recovery process is very small (approx. 10 hv / reaction center). The adaptation times after switching from higher to lower intensities and vice versa are in the range of minutes. The fluorescence yield remains virtually constant during adaptation to the low-light state in contrast to expectations, suggesting the possibility of cyclic electron flow around PS II in this state. In a chlorophyll-b-less barley mutant, which lacks the light-harvesting chlorophyll- a b protein (LHC) (and possibly the newly discovered light-harvesting chlorophyll- a b protein associated with PS I (LHC-I)), the 'low-light' state was absent. These results are consistent with the hypothesis that these antennae complexes participate directly in the adaptation to low light intensities. ¬© 1984.</t>
  </si>
  <si>
    <t>525-532</t>
  </si>
  <si>
    <t>60017563;60017563</t>
  </si>
  <si>
    <t>6602112112;24556969400</t>
  </si>
  <si>
    <t>Canaani, Ora;Malkin, Shmuel</t>
  </si>
  <si>
    <t>Rehovot</t>
  </si>
  <si>
    <t>Weizmann Institute of Science Israel</t>
  </si>
  <si>
    <t>Canaani O.</t>
  </si>
  <si>
    <t>Physiological adaptation to a newly observed low light intensity state in intact leaves, resulting in extreme imbalance in excitation energy distribution between the two photosystems</t>
  </si>
  <si>
    <t>10.1016/0005-2728(84)90110-5</t>
  </si>
  <si>
    <t>2-s2.0-0013122386</t>
  </si>
  <si>
    <t>['¬© 1984', 'white light', 'thylakoid membranes', 'regulatory effects', 'red lights', 'red light', 'plants grown', 'photosystem ii', 'photosynthetic rates', 'markedly increased', 'marked changes', 'light quantity', 'light quality', 'intact leaves', 'incorporating changes', 'harvesting complexes', 'greatly reduced', 'greater influence', 'exert well', 'electron carriers', 'direction opposite', 'cytochromes b', 'continuous blue', 'chlorophyll basis', 'blue light', 'atriplex grown', 'apparent light', 'also increased', '7 ],', '2 ¬∑', '1 ).']</t>
  </si>
  <si>
    <t>(Atriplex triangularis) | Chlorophyll - protein complex | Electron transport | Light quality | Photosynthetic rate | Thylakoid membrane</t>
  </si>
  <si>
    <t>Light quality was shown to exert well-coordinated regulatory effects on the composition and function of the thylakoid membranes as well as on the photosynthetic rates of intact leaves from Atriplex triangularis grown in continuous blue, white and red lights (50 ŒºE ¬∑ m-2 ¬∑ s-1). The higher photosynthetic rates in plants grown in blue light, as compared to those in white and red lights, resulted from marked changes in both light-harvesting complexes and electron carriers. The concentrations of electron carriers such as atrazine binding sites, plastoquinone, cytochromes b and f and P-700 on a chlorophyll basis were markedly increased in Atriplex grown in blue light; and the apparent light-harvesting antenna unit sizes of Photosystems I and II were greatly reduced. Consequently, the electron transport capacities of Photosystems I and II were also increased as was the coupling factor CF1 activity. Atriplex grown in red light had lower photosynthetic rates than those grown in blue or white light by incorporating changes in the composition and function of the thylakoids in a direction opposite to those caused by growth in blue light. When these regulatory effects of light quality were compared with those of light quantity [6,7], it is clear that Chla Chl b ratios, electron transport capacities of Photosystems I and II, concentrations of plastoquinone, atrazine binding sites, coupling factor CF1 activity and the apparent antenna unit size of Photosystem II are more affected by light quantity, whereas light quality has a greater influence on the concentration of P-700, the apparent antenna unit size of Photosystem I and the overall photosynthetic rates of intact leaves. ¬© 1984.</t>
  </si>
  <si>
    <t>533-541</t>
  </si>
  <si>
    <t>Effect of light quality on the composition and function of thylakoid membranes in atriplex triangularis</t>
  </si>
  <si>
    <t>0005-2728(84)90111-7</t>
  </si>
  <si>
    <t>10.1016/0005-2728(84)90111-7</t>
  </si>
  <si>
    <t>2-s2.0-0038668823</t>
  </si>
  <si>
    <t>Smithsonian Environmental Research Center</t>
  </si>
  <si>
    <t>SERC</t>
  </si>
  <si>
    <t>['œ ±-', '¬© 1984', 'type sequence', 'terminal threonine', 'previously obtained', 'position 24', 'phenylalanine residue', '9 ].']</t>
  </si>
  <si>
    <t>Light-harvesting complex | Photosynthetic bacteria | Rps. sphaeroides | Sequence comparison</t>
  </si>
  <si>
    <t>The Œ±- and Œ≤-apoproteins from the B800-850-complex of Rhodopseudomonas sphaeroides strain 2.4.1 have been sequenced. These results have been compared with those previously obtained with the analogous antenna apoproteins from the carotenoidless mutant R26.1 [9]. The Œ±-apoproteins differ at position 24, where a valine residue present in the wild-type sequence is replaced by a phenylalanine residue in the mutant. The Œ±-apoproteins differ at the N-terminus. In the wild-type Œ≤-apoprotein some chains have methionine at the N-terminus and some have an N-terminal threonine, while in the mutant the N-terminus is threonine. ¬© 1984.</t>
  </si>
  <si>
    <t>231-237</t>
  </si>
  <si>
    <t>60025858;60025858;60025858;60001490</t>
  </si>
  <si>
    <t>7005379893;7006674721;7006345218;7006465617</t>
  </si>
  <si>
    <t>Theiler, Rolf;Suter, Franz;Zuber, Herbert;Cogdell, Richard J.</t>
  </si>
  <si>
    <t>Switzerland;United Kingdom</t>
  </si>
  <si>
    <t>Zurich ZH,;Glasgow</t>
  </si>
  <si>
    <t>ETH Zurich;University of Glasgow</t>
  </si>
  <si>
    <t>60025858;60001490</t>
  </si>
  <si>
    <t>A comparison of the primary structures of the two B800-850-apoproteins from wild-type Rhodopseudomonas sphaeroides strain 2.4.1 and a carotenoidless mutant strain R26.1</t>
  </si>
  <si>
    <t>10.1016/0014-5793(84)80742-5</t>
  </si>
  <si>
    <t>2-s2.0-0001314995</t>
  </si>
  <si>
    <t>['wt cells', 'wild type', 'whereas rch', 'synechococcus 6301', 'strict structural', 'six phc', 'sensitized rci', 'reaction centers', 'rcii excitation', 'rci excitation', 'psii complexes', 'psii complex', 'pbs size', 'pbs excitation', 'mutant pbs', 'low rate', 'light absorption', 'harvesting antenna', 'functional association', 'experimental conditions', 'containing hexamers', 'containing core', 'chl light', 'associated exclusively', 'apparently independent', 'aphc ).', 'an112 mutant', 'an112 cells', 'absorbed primarily', '15 times']</t>
  </si>
  <si>
    <t>Cyanobacteria (Synechococcus) | Excitation transfer | Light-harvesting pigment | Photochemical apparatus | Photosystem | Phycobilisome | Thylakoid membrane organization</t>
  </si>
  <si>
    <t>The photochemical apparatus organization in Synechococcus 6301 (Cyanophyceae) was investigated under various experimental conditions. Wild type (WT) Synechococcus produced phycobilisomes (PBSs) containing normal levels of phycocyanin (Phc) and allophycocyanin (Aphc). The ratio of reaction centers(RC) RCII/RCI of 0.4 was the same in WT and the mutant strain AN112, whereas RCH/PBS was 1.9:1 in WT and 1:1 in AN112. Excitation of WT cells with broad-band 620 nm light, which is absorbed primarily by Phc and Aphc and to a much lesser extent by chlorophyll (Chl), sensitized the RC of photosystem (PS) II at about 15 times the rate it sensitized RCI. This implies that PBSs are associated exclusively with PSII complexes and that PBS excitation is not transferred to PSI. The AN112 mutant of Synechococcus produced smaller PBSs consisting of the Aphc-containing core and of only six Phc-containing hexamers, respectively. It lacked about 65% of the Phccontaining rod substractures. Under our experimental conditions, the effective absorption cross section of the mutant PBS was only about half that of the WT. In agreement, the rate of RCII excitation by 620 nm light was also about half of that measured in the WT. Thus, the rate of light absorption by PSII depends directly on PBS size and composition. The low rate of RCI excitation with 620 nm light was the same in WT and AN112 cells, apparently independent of the PBS effective absorption cross section. We propose a strict structural-functional association between PBS and PSII complex. PSI is a structurally distinct entity and it receives excitation independently from its own Chl light-harvesting antenna. ¬© 1984 Springer-Verlag.</t>
  </si>
  <si>
    <t>117-123</t>
  </si>
  <si>
    <t>1432072X</t>
  </si>
  <si>
    <t>Archives of Microbiology</t>
  </si>
  <si>
    <t>6602538304;6508223803;7101844846;57203081985</t>
  </si>
  <si>
    <t>Manodori, A.;Alhadeff, M.;Glazer, A. N.;Melis, A.</t>
  </si>
  <si>
    <t>Manodori A.</t>
  </si>
  <si>
    <t>Photochemical apparatus organization in Synechococcus 6301 (Anacystis nidulans). Effect of phycobilisome mutation</t>
  </si>
  <si>
    <t>10.1007/BF00401985</t>
  </si>
  <si>
    <t>2-s2.0-0021164123</t>
  </si>
  <si>
    <t>['unbalanced vertical', 'receiving points', 'ray connecting', 'horizontal dipole', 'finite conductivity', 'field strength', 'exact calculation', 'arbitrary angle']</t>
  </si>
  <si>
    <t>Formulas are presented for an exact calculation of the field strength of a balanced or unbalanced vertical or horizontal dipole, located above a uniform ground plane of finite conductivity, for an arbitrary angle of inclination of the ray connecting the transmitting and receiving points.</t>
  </si>
  <si>
    <t>EXACT COMPUTATIONAL FORMULAS FOR THE FIELD STRENGTH OF A DIPOLE LOCATED ABOVE A UNIFORM GROUND PLANE OF FINITE CONDUCTIVITY.</t>
  </si>
  <si>
    <t>2-s2.0-0021501185</t>
  </si>
  <si>
    <t>['radio links', 'noise immunity', 'microprocessor controller', 'adaptive processing']</t>
  </si>
  <si>
    <t>A type of microprocessor controller is described which makes it possible to improve the noise immunity of radio links by adaptive processing of antenna array signals.</t>
  </si>
  <si>
    <t>110-112</t>
  </si>
  <si>
    <t>6507633444;6602851818</t>
  </si>
  <si>
    <t>Gorodilin, V. V.;Glushankov, Ye I.</t>
  </si>
  <si>
    <t>Gorodilin V.</t>
  </si>
  <si>
    <t>MICROPROCESSOR CONTROLLER FOR ANTENNA ARRAY ADAPTIVE SIGNAL PROCESSING ALGORITHMS.</t>
  </si>
  <si>
    <t>2-s2.0-0021501436</t>
  </si>
  <si>
    <t>['theoretical study', 'rectenna systems', 'phase fluctuations', 'microwave beam']</t>
  </si>
  <si>
    <t>A theoretical study has been made of the effect of phase fluctuations in the cross-section of a microwave beam, resulting from traversal of the space-to-Earth signal path, on the characteristics of rectenna systems, particularly on their efficiency and beamwidth.</t>
  </si>
  <si>
    <t>120-122</t>
  </si>
  <si>
    <t>EFFECT OF PHASE FLUCTUATIONS IN THE INCIDENT BEAM ON THE CHARACTERISTICS OF A RECTENNA SYSTEM.</t>
  </si>
  <si>
    <t>2-s2.0-0021501772</t>
  </si>
  <si>
    <t>['signal radiated', 'polarized beam', 'polarization efficiency', 'current components', 'antenna radiation']</t>
  </si>
  <si>
    <t>Formulas are derived for determining the coefficients that characterize the contribution of one or another of the current components to the signal radiated by the antenna in the main or cross-polarized beam. These are necessary in order to determine the polarization efficiency of antenna radiation.</t>
  </si>
  <si>
    <t>118-120</t>
  </si>
  <si>
    <t>Narbut, V. P.</t>
  </si>
  <si>
    <t>Narbut V.</t>
  </si>
  <si>
    <t>POLARIZATION EFFICIENCY OF DISH ANTENNAS.</t>
  </si>
  <si>
    <t>2-s2.0-0021501847</t>
  </si>
  <si>
    <t>['point source', 'optical antenna', 'millimeter radiation', 'experimental investigations', 'aplanatic lens', 'actual radio', '7 refs']</t>
  </si>
  <si>
    <t>A method for design and results of experimental investigations are presented of the structure of the field in images of a point source of millimeter radiation of an actual radio-optical antenna. The capabilities of the method are illustrated on an example of an aplanatic lens with complex refracting surfaces. 7 refs.</t>
  </si>
  <si>
    <t>7801410619;6506517548</t>
  </si>
  <si>
    <t>Baibulatov, F. Kh;Kudryashov, M. I.</t>
  </si>
  <si>
    <t>Baibulatov F.</t>
  </si>
  <si>
    <t>INVESTIGATIONS OF THE STRUCTURE OF THE FIELD IN THE IMAGE OF A POINT SOURCE OF AN ACTUAL RADIO-OPTICAL ANTENNA.</t>
  </si>
  <si>
    <t>2-s2.0-0021503178</t>
  </si>
  <si>
    <t>['two parts', 'source fields', 'practical situation', 'physical interpretations', 'main objective', 'large compared', 'functionally depends', 'finite antenna', 'exact patterns', 'dirichlet problem', 'critical examination', 'complete solution', 'certain analytical', 'approximate patterns', 'aperture region', 'antenna size', 'acoustic wavelength', 'acoustic echosounding']</t>
  </si>
  <si>
    <t>The main objective of the paper is the determination of a complete solution to the Dirichlet problem of echosonde (acoustic echosounding) synthesis, as well as a critical examination of certain analytical and physical interpretations of the solution. Since the explicit solution obtained is characterized by the practical situation of limiting the source distributions within a finite antenna-aperture region, the paper carefully deals with the consequences of such restrictions of the source fields. A detailed analytical exposition shows clearly that these restricted source fields give only approximate patterns which tend to approach the exact patterns when the aperture is large compared with the acoustic wavelength. The general expression derived for the approximate pattern consists of two parts: one part depending on the antenna size only, while the other functionally depends on both the acoustic carrier frequency and the size of the antenna-aperture.</t>
  </si>
  <si>
    <t>105-113</t>
  </si>
  <si>
    <t>Acustica</t>
  </si>
  <si>
    <t>Adekola, S. A.</t>
  </si>
  <si>
    <t>ON THE COMPLETE SOLUTION TO THE DIRICHLET PROBLEM OF ECHOSONDE SYNTHESIS.</t>
  </si>
  <si>
    <t>2-s2.0-0021504087</t>
  </si>
  <si>
    <t>['transmission regime', 'surface surrounding', 'receive regime', 'obtained results', 'lossy medium', 'finite maximum']</t>
  </si>
  <si>
    <t>It is shown that for a fixed primary incident field in a lossy medium the maximum power received by an antenna is finite. It is then not necessary to confine the receiving antenna directivity as it must be done in order to obtain a finite maximum in the absence of losses in the medium. Formulas are given for the received power maximum and optimum field distribution which must be set up by the antenna, in the transmission regime on some surface surrounding the antenna so as to make it receive maximum power in the receive regime. The obtained results are illustrated on an example of a linear wire antenna.</t>
  </si>
  <si>
    <t>18-26</t>
  </si>
  <si>
    <t>Fel'd, Ya N.</t>
  </si>
  <si>
    <t>Fel'd Y.</t>
  </si>
  <si>
    <t>CONCERNING THE MAXIMUM POWER RECEIVED BY AN ANTENNA IN A LOSSY MEDIUM.</t>
  </si>
  <si>
    <t>2-s2.0-0021504666</t>
  </si>
  <si>
    <t>['suppression level', 'supplement method', 'subsequent stabilization', 'point arithmetic', 'floating point', 'correlation matrix', 'algorithm provides', 'adaptation algorithm', 'acting interferences']</t>
  </si>
  <si>
    <t>An adaptation algorithm for a PAA left bracket phased antenna array right bracket is proposed that is based on the inversion of the correlation matrix of the interference signal samples by the supplement method, implemented by means of a computer with a block-floating point. The algorithm provides for highly effective interference suppression for a learning sample volume equal to the number of acting interferences, with a subsequent stabilization of the suppression level by a further increase in the learning sample volume. Computer time required is close to that on a computer using fixed-point arithmetic.</t>
  </si>
  <si>
    <t>101-103</t>
  </si>
  <si>
    <t>7007111638;7003628215;6602430575;7102783071</t>
  </si>
  <si>
    <t>Kryuchkov, V. V.;Levshin, V. P.;Struchev, V. F.;Kharitonov, A. G.</t>
  </si>
  <si>
    <t>Kryuchkov V.</t>
  </si>
  <si>
    <t>USE OF OPERATIONS WITH A BLOCK-FLOATING POINT FOR THE ADAPTATION OF AN ANTENNA ARRAY.</t>
  </si>
  <si>
    <t>2-s2.0-0021505353</t>
  </si>
  <si>
    <t>['simple method', 'responsivity versus', 'power range', 'low frequency', 'laser radiation', 'generalized curve', 'fir wavelength', 'fir detection', 'curve defines', 'coupling efficiency', 'bias current', 'antenna point', 'also described']</t>
  </si>
  <si>
    <t>FIR Detector | Point-contact Schottky Diode | Submillimetric Wave Detection</t>
  </si>
  <si>
    <t>A detailed experimental study of the low frequency (video) response of a quasioptical Schottky diode detector over the microwave and FIR wavelength range is presented. An optimization of the responsivity versus the bias current is proposed and a generalized curve of the saturation power versus the FIR wavelength is given. This curve defines for any antenna point-contact Schottky diode detector, suitable for FIR detection, the power range for a linear detector response. A simple method is also described to calculate the coupling efficiency of the laser radiation into the antenna reception pattern. ¬© 1984 Plenum Publishing Corporation.</t>
  </si>
  <si>
    <t>1361-1379</t>
  </si>
  <si>
    <t>60079059;60079059;60079059</t>
  </si>
  <si>
    <t>7004915903;6603913552;16451753700</t>
  </si>
  <si>
    <t>Dr√®ze, C.;Waksberg, A.;Davis, B. W.</t>
  </si>
  <si>
    <t>Pointe-Claire</t>
  </si>
  <si>
    <t>MPB Technologies Inc.</t>
  </si>
  <si>
    <t>Dr√®ze C.</t>
  </si>
  <si>
    <t>Low frequency characteristics of a quasioptical Schottky diode detector part II: Experimental results</t>
  </si>
  <si>
    <t>10.1007/BF01013363</t>
  </si>
  <si>
    <t>2-s2.0-0021506233</t>
  </si>
  <si>
    <t>['mathematical feasibility', 'antenna bearing']</t>
  </si>
  <si>
    <t>This is an examination of the mathematical feasibility of the modified equatorial mount. Determination of the antenna bearing (angle) and the residual pointing error when using the modified equatorial mount are discussed.</t>
  </si>
  <si>
    <t>171-174</t>
  </si>
  <si>
    <t>Soc of Electronic &amp; Radio</t>
  </si>
  <si>
    <t>SATELLITE BROADCAST RECEPTION. THE MATHEMATICS OF ANTENNA ALIGNMENT - PART II.</t>
  </si>
  <si>
    <t>2-s2.0-0021506949</t>
  </si>
  <si>
    <t>['whereas gba', 'right bracket', 'resolution limits', 'overall evaluation', 'less sensitive', 'incoherent cases', 'estimation error', 'easily achieved', 'detection accuracy', 'coherent sources', 'burg algorithm', 'better resolution', 'bearing estimation']</t>
  </si>
  <si>
    <t>The resolution and estimation error are investigated for two linear prediction (LP) algorithms left bracket the Burg algorithm (BA) and the generalized Burg algorithm (GBA) right bracket for bearing estimation with a uniform linear array of sensors in the presence of incoherent and coherent sources. Superresolution is easily achieved with both algorithms when the sources are incoherent. An overall evaluation of simulation results show that for both coherent and incoherent cases, BA has better resolution in the low SNR region, whereas GBA has better detection accuracy within its own resolution limits. Also, the detection accuracy of GBA is less sensitive to complex intersignal correlation values compared to BA. Both techniques have comparable resolution properties in the high SNR region.</t>
  </si>
  <si>
    <t>AP-33</t>
  </si>
  <si>
    <t>60014662;60014662;60014662</t>
  </si>
  <si>
    <t>7006442646;6507284462;6603687062</t>
  </si>
  <si>
    <t>Kesler, Stanislav B.;Boodaghians, Samson;Kesler, Jelisaveta</t>
  </si>
  <si>
    <t>Drexel University</t>
  </si>
  <si>
    <t>Kesler S.</t>
  </si>
  <si>
    <t>RESOLVING UNCORRELATED AND CORRELATED SOURCES BY LINEAR PREDICTION.</t>
  </si>
  <si>
    <t>2-s2.0-0021507825</t>
  </si>
  <si>
    <t>['technique called', 'sum formula', 'nonuniform spacings', 'general formulation', 'fourier transform', 'form similar', 'forced modes', 'entire area', 'edge effects', 'current tapers', 'active impedance']</t>
  </si>
  <si>
    <t>A technique called the finite periodic structure method is presented and applied to represent the active impedance of an array. It involves two operations. The first is to convert the discrete array problem into a series of continuous aperture problems by the use of Poisson's sum formula. The second is to use spatial Fourier transforms to represent the impedance in a form similar to the infinite periodic structure approach. The active impedance is then given by a convolution integral involving the infinite periodic structure solution and the Fourier transform of the equivalent aperture distribution of the current over the entire area of the array. The formulation is useful for large finite arrays. Edge effects, current tapers, and nonuniform spacings can also be included in the general formulation. Although the general formulation is valid for both the free and forced modes of excitation, only the forced excitation problem is discussed.</t>
  </si>
  <si>
    <t>60015481;60015481;60015481;60015481</t>
  </si>
  <si>
    <t>7005122046;7005680345;7404979581;6507732141</t>
  </si>
  <si>
    <t>Ishimaru, Akira;Coe, Richard J.;Miller, Gary E.;Geren, W. Preston</t>
  </si>
  <si>
    <t>Seattle</t>
  </si>
  <si>
    <t>University of Washington</t>
  </si>
  <si>
    <t>Ishimaru A.</t>
  </si>
  <si>
    <t>FINITE PERIODIC STRUCTURE APPROACH TO LARGE SCANNING ARRAY PROBLEMS.</t>
  </si>
  <si>
    <t>2-s2.0-0021507846</t>
  </si>
  <si>
    <t>['useful frequencies', 'sea floor', 'relatively simple', 'radio communication', 'quite close', 'problems include', 'principal part', 'briefly reviewed', 'asymptotic parts', 'accurate formulas']</t>
  </si>
  <si>
    <t>Relatively simple and accurate formulas are presented for the complete electromagnetic field generated by vertical and horizontal dipoles located on or near the boundary between two electrically different half-spaces. The principal part of the field is an outward-traveling lateral wave. Unlike earlier approximate formulas, these provide a single continuous range over the distances from quite close to the dipole to infinity at all useful frequencies. The near, intermediate, and asymptotic parts of this range join smoothly and continuously. Application to a variety of problems is briefly reviewed. These problems include: radio communication over the surface of the earth, and the measurement of the conductivity of the sea floor.</t>
  </si>
  <si>
    <t>King, Ronold W.P.</t>
  </si>
  <si>
    <t>ELECTROMAGNETIC SURFACE WAVES: NEW FORMULAS AND APPLICATIONS.</t>
  </si>
  <si>
    <t>2-s2.0-0021507867</t>
  </si>
  <si>
    <t>['two designs', 'supergain phenomenon', 'substantially reduced', 'single feed', 'single element', 'reflector antenna', 'quite different', 'optimum directivity', 'insignificant amount', 'form solution', 'focal point', 'excitation coefficients', 'directivity design', 'cluster spacing', 'cluster feed', 'cluster excitation', 'cfm scheme', 'beam scanning', '8 db', '5 lambda', '12 db', '1 lambda']</t>
  </si>
  <si>
    <t>The excitation coefficients for a planar cluster feed of a reflector antenna are studied. The directivity of a reflector antenna deteriorates as the feed moves away from the focal point for beam scanning. This deterioration can be substantially reduced if a cluster feed, instead of a single feed, is used to control a beam. A closed-form solution is presented for the cluster excitation to achieve the optimum directivity. For an offset 108 lambda parabolic reflector scanning 10 beamwidths, the optimum directivity achieved by a 19-element (seven-element) cluster is found to be 12 dB (8 dB) higher than that of a single element. Comparison of the optimum-directivity design and the conjugate field matching (CFM) design is made. When the cluster spacing d is greater than 1 lambda , it is found that the optimum directivity is higher than that of the CFM scheme by an insignificant amount, although the excitations of two designs can be quite different. For d greater than 0. 5 lambda , the optimum design may exhibit the supergain phenomenon, namely, extremely high directivities will be achieved by an oscillatory cluster excitation.</t>
  </si>
  <si>
    <t>60000745;60000745;60000745;60000745</t>
  </si>
  <si>
    <t>7202365940;7601396617;56291355900;7201529879</t>
  </si>
  <si>
    <t>Lam, Peter T.;Lee, Shung Wu;Chang, Donald C.D.;Lang, K. C.</t>
  </si>
  <si>
    <t>Lam P.</t>
  </si>
  <si>
    <t>DIRECTIVITY OPTIMIZATION OF A REFLECTOR ANTENNA WITH CLUSTER FEEDS: A CLOSED-FORM SOLUTION.</t>
  </si>
  <si>
    <t>2-s2.0-0021507876</t>
  </si>
  <si>
    <t>['spherical waves', 'spherical near', 'specified explicitly', 'spatial derivatives', 'single point', 'output voltage', 'multipole coefficients', 'incident field', 'field measurements', 'differential operator', 'corrected equations']</t>
  </si>
  <si>
    <t>The general receiving antenna is represented as a linear differential operator converting the incident field and its spatial derivatives at a single point in space to an output voltage. The differential operator is specified explicitly in terms of the multipole coefficients of the antenna's complex receiving pattern. When the linear operator representation is applied to the special probes used in spherical near-field measurements, a probe-corrected spherical transmission formula is revealed that retains the form, applicability, and simplicity of the nonprobe-corrected equations. The spherical transmission formula is shown to be consistent with the previous transmission formula derived from the rotational and translational addition theorems for spherical waves.</t>
  </si>
  <si>
    <t>60001247;60001247</t>
  </si>
  <si>
    <t>7003451771;7005497310</t>
  </si>
  <si>
    <t>Yaghjian, Arthur D.;Wittmann, Ronald C.</t>
  </si>
  <si>
    <t>RECEIVING ANTENNA AS A LINEAR DIFFERENTIAL OPERATOR: APPLICATION TO SPHERICAL NEAR-FIELD SCANNING.</t>
  </si>
  <si>
    <t>2-s2.0-0021507893</t>
  </si>
  <si>
    <t>['wide field', 'still achievable', 'quadrufocal lenses', 'quadrufocal lens', 'produce high', 'principal plane', 'orthogonal planes', 'orthogonal plane', 'focal distribution', 'focal arc', 'dimensional scanning']</t>
  </si>
  <si>
    <t>It is shown that three-dimensional bootlace lens antennas with two and four focal points can be optimized to produce high-quality scanned beams over a wide field of view. For two-dimensional scanning, the planar feed locus is replaced by a curved feed locus designed to minimize path length errors. Comparisons with previous bootlace lens designs demonstrate the advantages of this focal distribution. The bifocal lens shows good scanning performance in both principal and orthogonal planes. The quadrufocal lens performs better in its principal plane than in its orthogonal plane. The authors also show that the quadrufocal lens can be realized with a planar outer surface and a circular focal arc, and improved scanning performance is still achievable. Further optimization of the focal arc and/or relaxation of the planar outer surface condition results in quadrufocal lenses with negligible phase errors in the principal plane.</t>
  </si>
  <si>
    <t>7004701432;7007059212</t>
  </si>
  <si>
    <t>Rappaport, Carey M.;Zaghloul, Amir I.</t>
  </si>
  <si>
    <t>OPTIMIZED THREE-DIMENSIONAL LENSES FOR WIDE-ANGLE SCANNING.</t>
  </si>
  <si>
    <t>2-s2.0-0021507961</t>
  </si>
  <si>
    <t>['squares algorithms', 'relative bandwidths', 'radiating element', 'method improves', 'frequency sensitivity', 'design variables', 'computational efficiency']</t>
  </si>
  <si>
    <t>A method is described for synthesis of planar array antennas where both the amplitude and phase of each radiating element are design variables. The method improves the computational efficiency of conventional optimization procedures based upon minimax or least-squares algorithms. Application of the proposed method demonstrates the feasibility of spacecraft frequency reuse array antennas with multiple contoured beams for typical Intelsat six-fold frequency reuse requirements. It is demonstrated that repetitive optimization reduces the number of array elements required. Finally, it is shown that the frequency sensitivity of an array beam coverage over relative bandwidths up to 20% can be minimized by orienting the antenna aperture approximately normal to the beam pointing direction.</t>
  </si>
  <si>
    <t>60004541;60004541;60004541</t>
  </si>
  <si>
    <t>6603160061;56284516500;7005905336</t>
  </si>
  <si>
    <t>Bornemann, Wilfried;Balling, Peter;English, William J.</t>
  </si>
  <si>
    <t>Bornemann W.</t>
  </si>
  <si>
    <t>SYNTHESIS OF SPACECRAFT ARRAY ANTENNAS FOR INTELSAT FREQUENCY REUSE MULTIPLE CONTOURED BEAMS.</t>
  </si>
  <si>
    <t>2-s2.0-0021507977</t>
  </si>
  <si>
    <t>['surface panels', 'simulated far', 'reflector antennas', 'recent measurement', 'model based', 'illumination tapers', 'field patterns', 'emphasis given', 'displaced panels', 'curved reflector', 'critically examining', 'also presented', 'also examined']</t>
  </si>
  <si>
    <t>Microwave holography techniques for the location and measurement of reflector antenna surface distortions are studied. Various simulation models for critically examining the accuracy of the constructed surface profiles are investigated, with emphasis given to a model based on the vector diffraction analysis of a curved reflector with displaced panels. The simulated far-field patterns are then used to reconstruct the location and amount of displacement of the surface panels by using a fast Fourier transform (FFT)/iterative procedure. The sensitivity of the microwave holography technique based on the number of far-field sampled points, level of distortions, polarizations, illumination tapers, etc. , is also examined. Most of the data are tailored to the dimensions of the NASA/JPL Deep Space Network (DSN) 64-m reflector antennas for which the result of a recent measurement is also presented.</t>
  </si>
  <si>
    <t>MICROWAVE HOLOGRAPHY OF LARGE REFLECTOR ANTENNAS - SIMULATION ALGORITHMS.</t>
  </si>
  <si>
    <t>2-s2.0-0021508231</t>
  </si>
  <si>
    <t>['wire antennas', 'vertical monopole', 'roof side', 'results obtained', 'reasonably accurate', 'rear window', 'radiation patterns', 'radiation pattern', 'grid method', 'fm radio', 'experimental studies', 'computational technique', 'antennas considered']</t>
  </si>
  <si>
    <t>The radiation patterns of wire antennas on an automobile are studied at FM radio frequencies in the presence of the earth. The computational technique is based on the wire-grid method and the reflection coefficient method. The antennas considered are a vertical monopole and a horizontal dipole mounted on the roof side and the rear window of the body, respectively. It is verified from experimental studies that the computation of the radiation pattern is reasonably accurate. The computational technique and the results obtained are useful in the design of the automobile antenna system for an FM radio.</t>
  </si>
  <si>
    <t>555-562</t>
  </si>
  <si>
    <t>Nishikawa, Kunitoshi</t>
  </si>
  <si>
    <t>Aichi District</t>
  </si>
  <si>
    <t>Toyota Central Research Development Laboratory Inc</t>
  </si>
  <si>
    <t>Nishikawa K.</t>
  </si>
  <si>
    <t>EFFECT OF AUTOMOBILE BODY AND EARTH ON RADIATION PATTERNS OF ANTENNAS FOR FM RADIO.</t>
  </si>
  <si>
    <t>2-s2.0-0021508290</t>
  </si>
  <si>
    <t>['two humps', 'sharp maxima', 'second harmonic', 'respectively ).', 'potential range', 'polarization cell', 'organic substances', 'much weaker', 'intensity described', 'higher harmonics', 'extreme cathodic', 'external signals', 'external signal', 'emr vs', 'emr appears', 'electrode potential', 'e curves', 'e curve', 'desorption peaks', 'capacitance changes', 'c vs', 'base electrolytes', 'anodic potentials', '800 hz', '1600 hz']</t>
  </si>
  <si>
    <t>It is shown that capacitance changes of the electric double layer (edl) caused by a change in electrode potential or by the adsorption of organic substances on the electrode, under the effect of ac produce electromagnetic radiation (EMR) that can be picked up by an antenna not connected to the polarization cell. Capacitance changes of the edl are reflected in the EMR value recorded by the antenna at the second harmonic of the external signal (at frequencies of 400, 800, and 1600 Hz, with external signals of 200, 400, and 800 Hz, respectively). The third, fourth, and higher harmonics are much weaker. An EMR vs. E curve can only be recorded with the second harmonic. One can see when comparing c vs. E and EMR vs. E curves that EMR appears only during capacitance changes of the edl. Thus, in base electrolytes (0. 1 M KCl or NaClO//4) one observes EMR with an intensity described by a curve with two humps at extreme cathodic and anodic potentials as the capacitance of the edl is varied with potential. In the presence of surfactants, sharp maxima in the potential range of the adsorption-desorption peaks in the C vs. E curves are seen in addition to the above humps in the EMR vs. E curves.</t>
  </si>
  <si>
    <t>Soviet electrochemistry</t>
  </si>
  <si>
    <t>106790789;106790789;106790789</t>
  </si>
  <si>
    <t>6603801649;6603578555;6603452333</t>
  </si>
  <si>
    <t>Khatiashvili, N. G.;Dzhaparidze, Dzh I.;Chagelishvili, V. A.</t>
  </si>
  <si>
    <t>SSR</t>
  </si>
  <si>
    <t>Khatiashvili N.</t>
  </si>
  <si>
    <t>ELECTROMAGNETIC RADIATION DURING CAPACITANCE CHANGES OF THE ELECTRIC DOUBLE LAYER.</t>
  </si>
  <si>
    <t>2-s2.0-0021511547</t>
  </si>
  <si>
    <t>['stimulus frequencies', 'smooth hair', 'second antennae', 'pronounced peaks', 'pronounced peak', 'order kernels', 'order kernel', 'orconectes virilis', 'noise analysis', 'mechanoreceptors show', 'mechanoreceptive hairs', 'linear behaviour', 'higher gain', 'great deal', 'freshwater crayfish', 'frequency response', 'frequency domain', 'feathered hair', 'effective appraoch', '60 hz', '110 hz']</t>
  </si>
  <si>
    <t>crayfish | mechanoreceptor | noise analysis | Stimulus coding</t>
  </si>
  <si>
    <t>Two different kinds of mechanoreceptive hairs (smooth and feathered) on the second antennae of the freshwater crayfish, Orconectes virilis, have been investigated for their stimulus coding propertics. These mechanoreceptors show a great deal of non-linear behaviour both in threshold and in directionality. An effective appraoch for the investigation of such systems is noise analysis in the frequency domain. This method has been used here to calculate zero-, first- and second-order kernels. Sensory cells reveal different first- and second-order kernels, depending on which type of hair is being stimulated. The first-order kernel has a pronounced peak in the frequency response at 110 Hz if a feathered hair is stimulated and at 60 Hz if a smooth hair is stimulated. The second-order kernel shows a number of pronounced peaks in the frequency response between 40 and 110 Hz, but only if a feathered hair is stimulated. Smooth hair stimulation results in less sharp peaks but in higher gain for the same range of stimulus frequencies. ¬© 1984 Springer-Verlag.</t>
  </si>
  <si>
    <t>111-115</t>
  </si>
  <si>
    <t>European Biophysics Journal</t>
  </si>
  <si>
    <t>60020739;60025525</t>
  </si>
  <si>
    <t>16136109700;7004559400</t>
  </si>
  <si>
    <t>Ebina, Y.;Tautz, J.</t>
  </si>
  <si>
    <t>Germany;Japan</t>
  </si>
  <si>
    <t>Konstanz;Yamaguchi</t>
  </si>
  <si>
    <t>Universit√§t Konstanz;Yamaguchi University</t>
  </si>
  <si>
    <t>60025525;60020739</t>
  </si>
  <si>
    <t>Ebina Y.</t>
  </si>
  <si>
    <t>Stimulus coding in crayfish antennal mechanoreceptors estimated by noise analysis</t>
  </si>
  <si>
    <t>10.1007/BF00276626</t>
  </si>
  <si>
    <t>2-s2.0-0021683599</t>
  </si>
  <si>
    <t>['temperature range', 'radiation experiment', 'acoustic q', '5056 bar', '10 k']</t>
  </si>
  <si>
    <t>62.40 | Anelasticity, internal friction and mechanical resonances</t>
  </si>
  <si>
    <t>We report the measurements of the acoustic Q-factor of an A1-5056 bar at the 35 kHz frequency of its first longitudinal resonance, in the temperature range (0.1√∑300) K. The data are characterized by a plateau below 10 K at Q = 4.1¬∑107. The interest of this result for a gravitational-radiation experiment is discussed. ¬© 1984 Societ\'a Italiana di Fisica.</t>
  </si>
  <si>
    <t>Lettere al Nuovo Cimento Series 2</t>
  </si>
  <si>
    <t>60032350-60021660;100835095</t>
  </si>
  <si>
    <t>7005568912;56808178200</t>
  </si>
  <si>
    <t>Coccia, E.;Niinikoski, T. O.</t>
  </si>
  <si>
    <t>Italy;Italy;Switzerland</t>
  </si>
  <si>
    <t>Rome;Rome;Geneve</t>
  </si>
  <si>
    <t>Sapienza Universit√† di Roma;Istituto Nazionale di Fisica Nucleare - INFN;GERN</t>
  </si>
  <si>
    <t>60032350;60021660;100835095</t>
  </si>
  <si>
    <t>Coccia E.</t>
  </si>
  <si>
    <t>Acoustic quality factor of an aluminium alloy for gravitational wave antennae below 1 K</t>
  </si>
  <si>
    <t>10.1007/BF02747011</t>
  </si>
  <si>
    <t>2-s2.0-51249180748</t>
  </si>
  <si>
    <t>['vector space', 'resolvent formulation', 'radiational pattern', 'paper deals', 'numerical results', 'null steering', 'null regions', 'interfering signals', 'forming nulls', 'following aspects', 'extensive property', 'dimensional arrays', 'adaptive arrays']</t>
  </si>
  <si>
    <t>The antenna array pattern null steering is one of the important current topics in the array synthesis theory, due to it's very effectiveness to suppress the interfering signals. Thus in this paper the problem of forming nulls in the radiational pattern of three-dimensional arrays is discussed. This paper deals with the following aspects: The essential relations forming multi-nulls in the arrays are analysed by the method of vector space. A method forming multi-null regions is presented in terms of the extensive property of null itself. The resolvent formulation of the radiational pattern of multi-null steering is derived. The numerical results are given and discussed. The resolvent formulation is analogous to the one of the adaptive arrays. ¬© 1984 Science Press.</t>
  </si>
  <si>
    <t>217-224</t>
  </si>
  <si>
    <t>Antenna array pattern null steering-A theoretical introduction</t>
  </si>
  <si>
    <t>10.1007/BF02778576</t>
  </si>
  <si>
    <t>2-s2.0-51649161417</t>
  </si>
  <si>
    <t>['symmetric lobe', 'radiation pattern', 'proved theoretically', 'problems concerning', 'previous works', 'phase theory', 'phase pattern', 'phase difference', 'phase characteristic', 'overall discussion', 'null level', 'modern science', 'linear source', 'general condition', 'equiphase lobe', 'current distribution', 'conventional requirements', 'antenna aperture', 'adjacent lobes']</t>
  </si>
  <si>
    <t>The conventional requirements on the antenna are reviewed. The importance of the phase pattern of the antenna in modern science and technology is pointed out. Under such a background, the problems concerning the phase characteristic of the radiation pattern and the current distribution of the antenna aperture are attempted to be systematized on the basis of previous works, namely, the phase reference point, the transformation of the radiation patterns corresponding to different phase reference points of an antenna, the null level and the phase difference between the adjacent lobes, and the resolution of current distribution of a linear source, are summarized and discussed. The general condition of the equiphase lobe and the condition of the symmetric lobe of a linear source are proposed and proved theoretically. Some theorems are proposed by induction from the above and the overall discussion is termed the phase theory of radiation pattern. ¬© 1984 Science Press.</t>
  </si>
  <si>
    <t>225-233</t>
  </si>
  <si>
    <t>Phase theory of radiation pattern</t>
  </si>
  <si>
    <t>10.1007/BF02778577</t>
  </si>
  <si>
    <t>2-s2.0-51649162505</t>
  </si>
  <si>
    <t>['¬© 1984', 'sideband suppressed', 'second harmonic', 'rights reserved', 'microwave transponder', 'lead diodes', 'inexpensive transmitter', 'electrical engineers']</t>
  </si>
  <si>
    <t>Microwave devices and components | Telemetry</t>
  </si>
  <si>
    <t>A microwave transponder is described which is suitable for short-range telemetry applications requiring an inexpensive transmitter. Two antiparallel beam-lead diodes at the terminals of a bow-tie antenna produce double-sideband suppressed-carrier modulation centred about the second harmonic of an externally supplied fundamental carrier. A simple theory predicting performance of the device is confirmed by experiment. ¬© 1984, The Institution of Electrical Engineers. All rights reserved.</t>
  </si>
  <si>
    <t>877-878</t>
  </si>
  <si>
    <t>60013372;60013372</t>
  </si>
  <si>
    <t>7102375534;36041035600</t>
  </si>
  <si>
    <t>Stephan, K. D.;Itoh, T.</t>
  </si>
  <si>
    <t>Stephan K.</t>
  </si>
  <si>
    <t>Inexpensive short-range microwave telemetry transponder</t>
  </si>
  <si>
    <t>10.1049/el:19840595</t>
  </si>
  <si>
    <t>2-s2.0-0021512713</t>
  </si>
  <si>
    <t>['¬© 1984', 'time domain', 'time differentiation', 'rights reserved', 'given explicitly', 'elevated dipole', 'electrical engineers', 'electric field']</t>
  </si>
  <si>
    <t>It is shown that the classical time Fourier transformed expression for the electric field of an elevated dipole above a plane earth model may be inverted into the time domain. The result is given explicitly for a time linear current; higherorder singularity functions may be handled by time differentiation. ¬© 1984, The Institution of Electrical Engineers. All rights reserved.</t>
  </si>
  <si>
    <t>889-890</t>
  </si>
  <si>
    <t>60019000;115487459</t>
  </si>
  <si>
    <t>56862729900;57202146401</t>
  </si>
  <si>
    <t>Walsh, J.;Rahman, M. H.</t>
  </si>
  <si>
    <t>St John's;Mississauga</t>
  </si>
  <si>
    <t>Memorial University of Newfoundland;MA Electronics Canada Limited</t>
  </si>
  <si>
    <t>Walsh J.</t>
  </si>
  <si>
    <t>Time-domain behaviour of electric field of an elevated dipole</t>
  </si>
  <si>
    <t>10.1049/el:19840603</t>
  </si>
  <si>
    <t>2-s2.0-0021515315</t>
  </si>
  <si>
    <t>['¬© 1984', 'rights reserved', 'microstrip array', 'experimental results', 'electrical engineers', 'antenna performance']</t>
  </si>
  <si>
    <t>Antenna arrays | Antennas | Microstrip antennas</t>
  </si>
  <si>
    <t>A microstrip array with mutual coupled rectangular patch radiators is described. By the avoidance of a corporate feeding network, advantages in the antenna performance and design are realisable. Experimental results are presented for both linearly and circularly polarised antennas which demonstrate the usefulness of this special antenna configuration. ¬© 1984, The Institution of Electrical Engineers. All rights reserved.</t>
  </si>
  <si>
    <t>931-933</t>
  </si>
  <si>
    <t>6602393280;36769060200</t>
  </si>
  <si>
    <t>Entschladen, H.;Nagel, U.</t>
  </si>
  <si>
    <t>Entschladen H.</t>
  </si>
  <si>
    <t>Microstrip patch array antenna</t>
  </si>
  <si>
    <t>10.1049/el:19840633</t>
  </si>
  <si>
    <t>2-s2.0-0021503951</t>
  </si>
  <si>
    <t>['¬© 1984', 'within limits', 'weight circuit', 'rights reserved', 'proper selection', 'null constraints', 'microwave signal', 'letter describes', 'experimental results', 'element beam', 'electrical engineers', 'controlled complex', 'complex weights', 'beam forming', 'antenna mainbeam', '5 ghz']</t>
  </si>
  <si>
    <t>The letter describes the construction of a four-element beam-forming antenna array operating at 10.5 GHz. Each element is connected to a microprocessor-controlled complex-weight circuit that can alter the amplitude and phase of a microwave signal. By proper selection of the complex weights, the antenna mainbeam can be steered in any direction, within limits, and null constraints can be applied. Some experimental results in beam forming are presented. ¬© 1984, The Institution of Electrical Engineers. All rights reserved.</t>
  </si>
  <si>
    <t>925-926</t>
  </si>
  <si>
    <t>7004846626;6701712174</t>
  </si>
  <si>
    <t>Cheah, Y. C.;Paoloni, F. J.</t>
  </si>
  <si>
    <t>Cheah Y.</t>
  </si>
  <si>
    <t>Four-element beam-forming antenna</t>
  </si>
  <si>
    <t>10.1049/el:19840629</t>
  </si>
  <si>
    <t>2-s2.0-0021505625</t>
  </si>
  <si>
    <t>['¬© 1984', 'theoretical predictions', 'rights reserved', 'order tm01', 'mutual coupling', 'measured results', 'investigated experimentally', 'electrical engineers', 'edge termination', 'also discussed']</t>
  </si>
  <si>
    <t>Antenna arrays | Antennas | Coupling | Horns</t>
  </si>
  <si>
    <t>Mutual coupling in a small dominant mode conical horn array is investigated experimentally and the measured results are compared with theoretical predictions. Degradation in crosspolar purity due to generation of higher-order TM01 and TE21 modes via crosscoupling is confirmed. The effects of edge termination and diffraction are also discussed. Finally, clean-beam cluster patterns are measured and compared with theory. ¬© 1984, The Institution of Electrical Engineers. All rights reserved.</t>
  </si>
  <si>
    <t>937-939</t>
  </si>
  <si>
    <t>60022109;60022109;60022109</t>
  </si>
  <si>
    <t>7003852396;7006192058;7005244140</t>
  </si>
  <si>
    <t>Tun, S. M.;Clarricoats, P. J.B.;Parini, C. G.</t>
  </si>
  <si>
    <t>Queen Mary University of London</t>
  </si>
  <si>
    <t>Tun S.M.</t>
  </si>
  <si>
    <t>Experimental investigation of mutual coupling in a conical horn array</t>
  </si>
  <si>
    <t>10.1049/el:19840637</t>
  </si>
  <si>
    <t>2-s2.0-0021506584</t>
  </si>
  <si>
    <t>['¬© 1984', 'wavelength component', 'using absorption', 'type c', 'structural component', 'related pigments', 'qy transition', 'ps i65', 'ps i110', 'protein complexes', 'polarized light', 'pigments inside', 'peripheral antenna', 'oriented samples', 'main light', 'low temperature', 'isolation procedure', 'isolated ps', 'isolated pigment', 'intrinsic orientation', 'intact thylakoids', 'high anisotropy', 'harvesting complex', 'green plants', 'following observations', 'fluorescence experiments', 'e .,', 'core pigments', 'chlamydomonas reinhardtii', 'chl b', 'antenna pigments', 'alter significantly', '725 nm']</t>
  </si>
  <si>
    <t>(Pea, Barley, C reinhardtii) | Chlorophyll-protein Polarized fluoresence emission | Linear dichroism | Photosystem I | Pigment orientation</t>
  </si>
  <si>
    <t>Using absorption and fluorescence experiments at low temperature with polarized light on oriented samples, the orientation of PS-I-related pigments, both in green plants and in Chlamydomonas reinhardtii, has been investigated on isolated pigment-protein complexes and intact thylakoids. The following observations have been made. (i) The isolation procedure of PS I110, PS I65, LHC I and CP0) particles from pea and C. reinhardtii do not alter significantly the intrinsic orientation of the pigments inside the complexes; (ii) Chl b is a structural component of PS I, linked to the peripheral antenna, with an orientation with respect to the thylakoid plane different from that observed in the main light-harvesting complex (iii) PS I65 (i.e., 'core' PS I) of pea and C. reinhardtii contains identical chromophores having the same orientation with respect to the geometrical longest axis (axes) of the complexes. (iv) LHC I and CP0 (i.e., PS I 'peripheral antenna') of pea and C. reinhardtii have identical oriented chromophores, except that a long-wavelength component with a high anisotropy is only present in green plants. This set of pigments, which absorbs at 705-725 nm, has the same orientation as the dipoles emitting F735 and also as the QY transition of P-700. (v) All the long-wavelength fluorescence properties of the various studied membranes are explained by these data on isolated PS I complexes: wild-type C. reinhardtii and Chl-b-less barely fluoresce from the core pigments, while a CP1 deficient mutant of C. reinhardtii and wild-type barley fluoresce from the antenna pigments. ¬© 1984.</t>
  </si>
  <si>
    <t>57-69</t>
  </si>
  <si>
    <t>60019615;60019615;60019615;60014849;60014849</t>
  </si>
  <si>
    <t>24520620200;7004225828;24310010600;6603693512;7006770347</t>
  </si>
  <si>
    <t>Tapie, P.;Choquet, Y.;Breton, J.;Delepelaire, P.;Wollman, F. A.</t>
  </si>
  <si>
    <t>CEA Saclay;Institut de Biologie Physico-Chimique</t>
  </si>
  <si>
    <t>60019615;60014849</t>
  </si>
  <si>
    <t>Tapie P.</t>
  </si>
  <si>
    <t>Orientation of photosystem-I pigments. Investigation by low-temperature linear dichroism and polarized fluorescence emission</t>
  </si>
  <si>
    <t>10.1016/0005-2728(84)90079-3</t>
  </si>
  <si>
    <t>2-s2.0-0002896622</t>
  </si>
  <si>
    <t>3.320.1402</t>
  </si>
  <si>
    <t>['¬© 1984', 'uv cd', 'transmembrane orientation', 'soluble bacteriochlorophyll', 'reaction centers', 'protein complexes', 'photosynthetic membranes', 'membrane normal', 'lhc ),', 'large variety', 'ir spectra', 'green plants', 'chl planes', 'chl molecules', 'angle suggests', 'also tilted', '45 %)']</t>
  </si>
  <si>
    <t>Chlorophyll-protein complex | Infrared dichroism | Transmembrane orientation | UV circular dichroism | Œ±-Helix | Œ≤-Sheet</t>
  </si>
  <si>
    <t>UV CD and IR spectra of the water-soluble bacteriochlorophyll-protein antenna isolated from Prosthecochloris aestuarii indicate that about 50% of the protein is in a Œ≤-sheet conformation while for the dominant antenna complexes isolated from bacteria (B800-850) and from green plants (LHC), the Œ±-helix (45%) is more abundant than the Œ≤-sheet (~ 10%) conformation. Furthermore, IR dichroism studies show that the Œ±-helical segments of a large variety of intrinsic membrane Chl-protein complexes (antenna and reaction centers) are tilted on the average at 30-35¬∞ away from the membrane normal. The observation that in these complexes the Chl planes are also tilted at about the same angle suggests that the transmembrane orientation of the Œ±-helices determines the positioning of the Chl molecules in photosynthetic membranes. ¬© 1984.</t>
  </si>
  <si>
    <t>355-359</t>
  </si>
  <si>
    <t>60019615;60019615</t>
  </si>
  <si>
    <t>24310010600;57196232486</t>
  </si>
  <si>
    <t>Breton, Jacques;Nabedryk, Eliane</t>
  </si>
  <si>
    <t>Gif-sur-Yvette</t>
  </si>
  <si>
    <t>CEA Saclay</t>
  </si>
  <si>
    <t>Breton J.</t>
  </si>
  <si>
    <t>Transmembrane orientation of Œ±-helices and the organization of chlorophylls in photosynthetic pigment-protein complexes</t>
  </si>
  <si>
    <t>10.1016/0014-5793(84)81196-5</t>
  </si>
  <si>
    <t>2-s2.0-48549113647</t>
  </si>
  <si>
    <t>['visual inputs', 'vice versa', 'three odors', 'tactile stimuli', 'sugar water', 'send projections', 'response characteristics', 'recordings suggest', 'recorded intracellularly', 'qualitative testing', 'process information', 'output cells', 'olfactory stimuli', 'mushroom body', 'mushroom bodies', 'mechanical stimuli', 'lucifer yellow', 'light stimuli', 'kenyon cells', 'isoamyl acetate', 'ipsilateral antennal', 'inner antenno', 'inhibitory responses', 'first combined', 'extrinsic neurons', 'excitatory responses', 'classified according', 'cerebral tract', 'axons project', 'applied ipsilaterally', 'antennal lobe', 'antennal information', 'abdominal mechanoreceptors']</t>
  </si>
  <si>
    <t>In the bee brain neural activity of interneurons of the inner antenno-cerebral tract (inputs to the mushroom body) and extrinsic neurons of the Œ≤-lobe (output cells) was recorded intracellularly. The cells were stained with Lucifer Yellow. The response characteristics of the neurons to light, various antennal stimuli and mechanical stimuli to thorax and abdomen were studied. The cells of the inner antenno-cerebral tract (ACT) have uniglomerular dendritic arborizations in the antennal lobe and send projections into the calyces of the ipsilateral mushroom body and the lateral protocerebral lobe. 93% of the neurons are bi- or multimodal. No responses to light stimuli were found. Tactile stimuli to the antennae are only effective when applied ipsilaterally. Only one neuron showed marked differences in the responses to the qualitative testing of three odors: rose, lavender and isoamyl acetate. The cells can be classified according to their response characteristics; the following response types were found: (1) inhibitory responses to the stimuli, (2) inhibitory responses to olfactory and excitatory responses to mechanical stimuli or vice versa, (3) excitatory responses to mechanical and sugar water stimuli, (4) excitation to olfactory stimuli and to touching the antenna with a drop of water or sugar water, (5) excitation to mechanical stimuli to head, thorax and abdomen and inhibition to sugar water stimuli. The recorded extrinsic Œ≤-lobe neurons have small dendritic bands perpendicular to the Kenyon cells, their axons project to the contralateral median protocerebrum. These cells have ipsilateral antennal and mostly ipsilateral optic inputs and process information from thoracic and abdominal mechanoreceptors. All responses are excitatory. The recordings suggest that the mushroom bodies are multimodal integration centers, where antennal information is first combined with visual inputs. ¬© 1984 Springer-Verlag.</t>
  </si>
  <si>
    <t>825-836</t>
  </si>
  <si>
    <t>Homberg, U.</t>
  </si>
  <si>
    <t>Homberg U.</t>
  </si>
  <si>
    <t>Processing of antennal information in extrinsic mushroom body neurons of the bee brain</t>
  </si>
  <si>
    <t>10.1007/BF00610683</t>
  </si>
  <si>
    <t>2-s2.0-0001276498</t>
  </si>
  <si>
    <t>['two discs', 'right eye', 'placed side', 'perfectly aligned', 'pattern regulation', 'new positions', 'median ocellus', 'initial contact', 'head capsule', 'fusion breaks', 'formed jointly', 'eye anlagen', 'either side', 'differentiate normally', 'different genotypes', 'cuticular structures', 'cells appearing', 'antennal discs', 'also found']</t>
  </si>
  <si>
    <t>Drosophila | Imaginal disc | Morphogenesis | Tissue culture</t>
  </si>
  <si>
    <t>The fusion of the eye-antennal discs during culture in vitro has been investigated, and the complex morphogenetic movements which occur during the formation of the head capsule of the insect are described. The initial contact between the eye anlagen is by means of cell processes spanning the gap between the two discs. Subsequently the two epithelia become firmly apposed, and then the integrity of the epithelium in the region of fusion breaks down, cells appearing to move to new positions in order to form an epithelium which unites the two discs. The epithelium eventually secretes a pattern of cuticular structures which is continuous between the derivatives of the two discs. Bristles on either side of the line of fusion are perfectly aligned, and structures such as the median ocellus, which are formed jointly by the cells of the two discs, differentiate normally. This is also found when left and right eye-antennal discs of different genotypes are placed side-by-side, indicating that processes of pattern regulation can occur in culture. ¬© 1984 Springer-Verlag.</t>
  </si>
  <si>
    <t>406-413</t>
  </si>
  <si>
    <t>1432041X</t>
  </si>
  <si>
    <t>Wilhelm Roux's Archives of Developmental Biology</t>
  </si>
  <si>
    <t>60022132;60022132;60022132</t>
  </si>
  <si>
    <t>7101779145;16471372800;55299697700</t>
  </si>
  <si>
    <t>Milner, Martin J.;Bleasby, Alison J.;Pyott, Andrew</t>
  </si>
  <si>
    <t>St Andrews</t>
  </si>
  <si>
    <t>University of St Andrews</t>
  </si>
  <si>
    <t>Milner M.J.</t>
  </si>
  <si>
    <t>Cell interactions during the fusion in vitro of Drosophila eye-antennal imaginal discs</t>
  </si>
  <si>
    <t>10.1007/BF00848232</t>
  </si>
  <si>
    <t>2-s2.0-0021176017</t>
  </si>
  <si>
    <t>['time domains', 'solution space', 'observation space', 'computational efficiency', 'arbitrary ratio', 'algorithms distinguished']</t>
  </si>
  <si>
    <t>Algorithms distinguished by the small computational load they impose are constructed for maximum likelihood digital processing in the space and time domains. The computational efficiency is estimated for an arbitrary ratio between the dimensions of the observation space and those of the solution space.</t>
  </si>
  <si>
    <t>63-65</t>
  </si>
  <si>
    <t>Chaykovskiy, V. I.</t>
  </si>
  <si>
    <t>Chaykovskiy V.</t>
  </si>
  <si>
    <t>FACTORIZED ALGORITHMS FOR COMBINED SPACE AND TIME PROCESSING OF LOCALIZED SIGNALS.</t>
  </si>
  <si>
    <t>2-s2.0-0021516160</t>
  </si>
  <si>
    <t>['transition steps', 'stepped transition', 'specified points', 'operating band', 'matching network', 'feeder line']</t>
  </si>
  <si>
    <t>For an arbitrary complex load a method of synthesizing a matching network that ensures that the load is matched to the feeder line at specified points of the operating band is considered. The matching line used is a stepped transition. The range of impedance variation may be regulated by varying the number of transition steps.</t>
  </si>
  <si>
    <t>58-62</t>
  </si>
  <si>
    <t>7801423364;6603839189</t>
  </si>
  <si>
    <t>Ayzenberg, G. Z.;Kurashov, A. G.</t>
  </si>
  <si>
    <t>Ayzenberg G.</t>
  </si>
  <si>
    <t>MATCHING A FEEDER LINE TO A COMPLEX LOAD.</t>
  </si>
  <si>
    <t>2-s2.0-0021516171</t>
  </si>
  <si>
    <t>['feeder link', 'article examines', 'antenna consists']</t>
  </si>
  <si>
    <t>The SGDRA-type antennas used at present for radio broadcasting operate with transmitters with balanced (push-pull) output. The feeder link of a push-pull transmitter takes the form of a tubular balanced bicoaxial feeder, while the feeder link of the antenna consists of balanced multiwire aerial feeders. This article examines the SGDRA-type antenna feeder system, which consists of rigid shunt dipoles and an unbalanced feeder link. Its principal electrical characteristics are mentioned.</t>
  </si>
  <si>
    <t>16-20</t>
  </si>
  <si>
    <t>7006168226;7004141244;7004694316</t>
  </si>
  <si>
    <t>Belousov, S. P.;Kliger, G. A.;Eskin, N. A.</t>
  </si>
  <si>
    <t>Belousov S.</t>
  </si>
  <si>
    <t>SGDRA-TYPE BROADSIDE ARRAYS FOR TRANSDUCERS WITH UNBALANCED OUTPUT.</t>
  </si>
  <si>
    <t>2-s2.0-0021516217</t>
  </si>
  <si>
    <t>['tested experimentally', 'radiators discussed', 'investigated numerically', 'intrinsic slowing', 'electrodynamic properties', 'data obtained', 'author assesses']</t>
  </si>
  <si>
    <t>The electrodynamic properties of cylindrical helical antennas designed around a conductor with intrinsic slowing are investigated numerically. The results of these computations are tested experimentally. The data obtained are used to determine when the system is in the axial radiation mode, and the author assesses the possibilities of reducing the size of the radiators discussed.</t>
  </si>
  <si>
    <t>Demidchik, V. I.</t>
  </si>
  <si>
    <t>Demidchik V.</t>
  </si>
  <si>
    <t>BANDWIDTH PROPERTIES OF A CYLINDRICAL HELICAL ANTENNA WITH ADDITIONAL BENDS.</t>
  </si>
  <si>
    <t>2-s2.0-0021516361</t>
  </si>
  <si>
    <t>['wave portion', 'video monitor', 'system makes', 'stratified structure', 'semiconductor layer', 'scanner screen', 'record rapidly', 'ray tube', 'rapid recording', 'phase structure', 'operating principle', 'near fields', 'microwave field', 'microwave band', 'localized region', 'increased conductivity', 'electron beam', 'electromagnetic field', 'dimensional distributions']</t>
  </si>
  <si>
    <t>A system is described that is designed for the rapid recording of the near fields of antennas in the short-wave portion of the microwave band. The system is a scanner in the form of a cathode-ray tube. The operating principle of the system is based on the passive probing method for an electromagnetic field. A probe in the form of a localized region of increased conductivity is produced by an electron beam in the semiconductor layer of the plane-stratified structure of the scanner screen. The system makes it possible to record rapidly the amplitude and amplitude-phase structure of the microwave field in the form of one-dimensional and two-dimensional distributions, observed on the screen of a video monitor.</t>
  </si>
  <si>
    <t>22-25</t>
  </si>
  <si>
    <t>7005145252;6506010173;57213726094;6602887660</t>
  </si>
  <si>
    <t>Dudkin, V. P.;Obtemperanskiy, Yu S.;Petrov, Yu N.;Chaykovskiy, V. Ye</t>
  </si>
  <si>
    <t>Dudkin V.P.</t>
  </si>
  <si>
    <t>SYSTEM FOR THE RAPID RECORDING OF THE SPATIAL STRUCTURE OF THE ELECTROMAGNETIC FIELDS OF ANTENNAS IN THE NEAR ZONE.</t>
  </si>
  <si>
    <t>2-s2.0-0021518847</t>
  </si>
  <si>
    <t>['synthetic image', 'resulting backscatter', 'followup experiments']</t>
  </si>
  <si>
    <t>Basically, the L-band microwave antenna directs a beam at the earth. A synthetic image is constructed from the resulting backscatter. SIR-A produced exciting data, and followup experiments are planned, using the larger Spaceborne Imaging Radar B configuration(SIR-B) antenna.</t>
  </si>
  <si>
    <t>90-92</t>
  </si>
  <si>
    <t>Design News (Boston)</t>
  </si>
  <si>
    <t>Hogan, Brian J.</t>
  </si>
  <si>
    <t>Newtown</t>
  </si>
  <si>
    <t>Design News</t>
  </si>
  <si>
    <t>Hogan B.</t>
  </si>
  <si>
    <t>TWO-FAILURE-TOLERANT SYSTEM DEPLOYS, STOWS, LATCHES ANTENNA.</t>
  </si>
  <si>
    <t>2-s2.0-0021519118</t>
  </si>
  <si>
    <t>['system enables', 'satellite tracking', 'program mode', 'overall control', 'microcomputer memory', 'hence achieved', 'elevation directions', 'authors report', 'antenna position', 'also controls']</t>
  </si>
  <si>
    <t>The authors report the development of the program mode of antenna position control using a microcomputer. This is developed to operate a telemetry antenna control system in program mode. The system enables the positioning of the antenna in both azimuth and elevation directions as per the pre-determined positional information stored in the microcomputer memory, and it also controls the movements of the antenna by giving the commands as and when required. Hardware is developed to allow proper system inputs and outputs. It accepts digital inputs corresponding to the position of the antenna and outputs the required analog signals to correct the antenna position. The software is developed to have an overall control of the system as required. The program mode of operation is hence achieved during the time of satellite tracking.</t>
  </si>
  <si>
    <t>43-45</t>
  </si>
  <si>
    <t>pt 2</t>
  </si>
  <si>
    <t>60023345;60023345;60023345</t>
  </si>
  <si>
    <t>15521115300;57213531290;57213399072</t>
  </si>
  <si>
    <t>Subba Rao, S. V.;Subramanyam, B.;Nandakumar, R.</t>
  </si>
  <si>
    <t>Subba Rao S.</t>
  </si>
  <si>
    <t>PROGRAMME MODE OF ANTENNA POSITION CONTROL USING MICROCOMPUTER.</t>
  </si>
  <si>
    <t>2-s2.0-0021519219</t>
  </si>
  <si>
    <t>['reflection coefficients', 'radome walls', 'power transmission', 'authors present', 'analysis based', 'also presented']</t>
  </si>
  <si>
    <t>The authors present an analysis of radome material behavior employing the thin film analogy. Computed results indicate waviness of power transmission and reflection coefficients. An analysis based on non-uniform linear array analogy is developed. The results of these two methods compare well with each other and also with Leaderman's analysis. The usefulness of these results for the design of radome walls is shown. Experimental work carried out on these lines is also presented.</t>
  </si>
  <si>
    <t>52-54</t>
  </si>
  <si>
    <t>100633305;100633305;100633305;100633305</t>
  </si>
  <si>
    <t>6603665624;6504491415;6504354319;57225320696</t>
  </si>
  <si>
    <t>Chandra Mouly, M. C.;Bhupathi Reddy, K.;Phani Raj Kumar, K.;Subba Rao, B. V.</t>
  </si>
  <si>
    <t>Dep of Electronics &amp; Communication Engineering</t>
  </si>
  <si>
    <t>INVESTIGATIONS INTO THE BEHAVIOUR OF RADOME MATERIALS.</t>
  </si>
  <si>
    <t>2-s2.0-0021519927</t>
  </si>
  <si>
    <t>['vertex plate', 'test paraboloid', 'reflector reflection', 'reflector apex', 'reflection without', 'radiation properties', 'properly choosing', 'polar values', 'polar patterns', 'polar level', 'polar fields', 'particularly sensitive', 'parabolic reflector', 'load positions', 'frequency range', 'found experimentally', 'choked small', 'choked feed', 'choke positions', 'beam circularity', 'also found', '65 lambda', '3 ghz']</t>
  </si>
  <si>
    <t>It has been found experimentally that in double-choked small-aperture circular waveguide antennas, the choke position influences greatly the radiation properties. The cross-polar level is found to be particularly sensitive to the choke positions. It is also found that the beam circularity of the double-choked feed is improvable by properly choosing the choke-load positions. However, the cross-polar patterns of the test paraboloid with the double-choked feed produced high cross-polar fields. Authors then measured the amount of the reflector reflection, and found that the value of the reflection without a vertex plate was as high as minus 18 db. However, by loading a vertex plate 0. 65 lambda from the reflector apex, the cross-polar values of the parabolic reflector was suppressed below minus 35 db over the frequency range of 11. 4GHz-12. 3 GHz.</t>
  </si>
  <si>
    <t>597-604</t>
  </si>
  <si>
    <t>60194543;60194543</t>
  </si>
  <si>
    <t>Akita</t>
  </si>
  <si>
    <t>National Institute of Technology, Akita College</t>
  </si>
  <si>
    <t>CROSS-POLAR PROPERTIES OF A FRONT-FED PARABOLIC ANTENNA FED BY A DOUBLE-CHOKED CIRCULAR WAVEGUIDE - AN EXPERIMENTAL STUDY.</t>
  </si>
  <si>
    <t>2-s2.0-0021520226</t>
  </si>
  <si>
    <t>['repeater spacing', 'paper describes', 'p1 ).', 'main features', 'ghz systems', 'field research', 'existing 20', 'designed using', 'design philosophy', 'd2 system']</t>
  </si>
  <si>
    <t>A 20-GHz digital radio system, the 20G-D2 system, has been developed. This system was designed using a newly developed microwave integrated circuit (MIC) technology, GaAs FET devices, and highly sophisticated system design technique. Repeater spacing is twice that of existing 20-GHz systems (20L-P1). This paper describes the main features of the system, the design philosophy, and the results of field research.</t>
  </si>
  <si>
    <t>1076-1082</t>
  </si>
  <si>
    <t>Reports of the Electrical Communication Laboratory</t>
  </si>
  <si>
    <t>60007887;60007887;60007887</t>
  </si>
  <si>
    <t>36912501400;11939749500;7004046433</t>
  </si>
  <si>
    <t>Kurita, Osamu;Suzuki, Ryota;Yago, Mamoru</t>
  </si>
  <si>
    <t>Musashino</t>
  </si>
  <si>
    <t>Musashino Electrical Communication Lab</t>
  </si>
  <si>
    <t>Kurita O.</t>
  </si>
  <si>
    <t>20G-D2 20 GHz DIGITAL RADIO SYSTEM.</t>
  </si>
  <si>
    <t>2-s2.0-0021521339</t>
  </si>
  <si>
    <t>1003-1006</t>
  </si>
  <si>
    <t>Butakova, S. V.</t>
  </si>
  <si>
    <t>Butakova S.</t>
  </si>
  <si>
    <t>A large-aperture shf blackbody noise generator with a brightness temperature of 10&lt;sup&gt;4&lt;/sup&gt; K</t>
  </si>
  <si>
    <t>10.1007/BF01037395</t>
  </si>
  <si>
    <t>2-s2.0-0021521514</t>
  </si>
  <si>
    <t>['transmitting station', 'radiated power', 'paper discusses', 'one wants', 'attenuation method']</t>
  </si>
  <si>
    <t>The paper discusses some methods of measuring ground conductivity resulting from radiated power of radio transmitting stations. The attenuation method is one of the most reliable because it takes into consideration all that has happened to the wave. However, when using the attenuation method, it is important to know the effective radiated power (e. r. p. ) from the antenna at the transmitting station. The cymomotive force method is convenient to use when one wants to measure the radiated power in any direction from an antenna.</t>
  </si>
  <si>
    <t>611-613</t>
  </si>
  <si>
    <t>Stokke, K. N.</t>
  </si>
  <si>
    <t>Norwegian</t>
  </si>
  <si>
    <t>Stokke K.</t>
  </si>
  <si>
    <t>GROUND CONDUCTIVITY MEASUREMENTS.</t>
  </si>
  <si>
    <t>2-s2.0-0021521886</t>
  </si>
  <si>
    <t>1443-1472</t>
  </si>
  <si>
    <t>60023254;60023254;60023254</t>
  </si>
  <si>
    <t>7004167561;6603028621;6603912460</t>
  </si>
  <si>
    <t>Gibbins, C. J.;Wrench, C. L.;Croom, D. L.</t>
  </si>
  <si>
    <t>Didcot</t>
  </si>
  <si>
    <t>Rutherford Appleton Laboratory</t>
  </si>
  <si>
    <t>Gibbins C.J.</t>
  </si>
  <si>
    <t>Clear sky atmospheric emission measurements at frequencies of 22, 95, 110, 123 and 150 GHz</t>
  </si>
  <si>
    <t>10.1007/BF01009703</t>
  </si>
  <si>
    <t>2-s2.0-0021522083</t>
  </si>
  <si>
    <t>['wave bands', 'upconversion system', 'unconventional approach', 'spurious sensitivities', 'source capacitance', 'production costs', 'novel type', 'noise match', 'new type', 'linear double', 'f //', 'conventional 400mhz', 'completely eliminated', 'complete long', 'bipolar process', 'band switches', 'amplitude control']</t>
  </si>
  <si>
    <t>A new type of monolithic AM receiver has been designed and integrated in a conventional 400MHz-f//T bipolar process. Adjustments and band switches are completely eliminated, and production costs can be reduced considerably thanks to the unconventional approach, which uses an upconversion system. A wideband, low-noise and low-distortion input amplifier providing a noise match to the source capacitance (antenna and cable) is followed by a low-pass filter suppressing the image and spurious sensitivities. The complete long-wave and medium-wave bands are converted to a 10. 7MHz intermediate frequency in a linear double-balanced switching mixer, driven from a low-phase-noise negative resistance oscillator with a novel type of amplitude control.</t>
  </si>
  <si>
    <t>Nordholt, Ernst H.;Nauta, Henk C.</t>
  </si>
  <si>
    <t>NEW INTEGRATED HIGH-PERFORMANCE AM RECEIVER FOR CAR RADIO.</t>
  </si>
  <si>
    <t>2-s2.0-0021522403</t>
  </si>
  <si>
    <t>['rf signals', 'phase shifters', 'phase arises', 'paper clarifies', 'microwave engineers', 'antenna circuits', 'always engaged']</t>
  </si>
  <si>
    <t>The phase of rf signals has always engaged the interest of rf and microwave engineers, and this interest grows yearly as signal processing systems become more sophisticated. Part of the confusion over phase arises from its relationship to time. The paper clarifies this topic and presents three types of phase shifters and their applications in antenna circuits.</t>
  </si>
  <si>
    <t>91-92, 94</t>
  </si>
  <si>
    <t>Sproul, Robert</t>
  </si>
  <si>
    <t>Inglewood</t>
  </si>
  <si>
    <t>Lorch Electronics</t>
  </si>
  <si>
    <t>Sproul R.</t>
  </si>
  <si>
    <t>WORKING MAN'S PHASE SHIFT PRIMER.</t>
  </si>
  <si>
    <t>2-s2.0-0021522472</t>
  </si>
  <si>
    <t>['theoretical synthesis', 'special form', 'sectoral rp', 'antenna array']</t>
  </si>
  <si>
    <t>The technique of theoretical synthesis of linear equidistant antenna arrays with symmetrical radiation patterns (RP) is extended to the case of RP of special form. An antenna array with an unsymmetrical, sectoral RP with small side lobes is calculated.</t>
  </si>
  <si>
    <t>Minkovich, B. M.</t>
  </si>
  <si>
    <t>Minkovich B.</t>
  </si>
  <si>
    <t>THEORETICAL SYNTHESIS OF LINEAR, EQUIDISTANT ANTENNA ARRAYS WITH RADIATION PATTERNS OF SPECIAL FORM.</t>
  </si>
  <si>
    <t>2-s2.0-0021522821</t>
  </si>
  <si>
    <t>['particular attention', 'new technologies', 'local networks', 'haul network', 'digital signals', 'complete range', 'article presents']</t>
  </si>
  <si>
    <t>For the transmission of digital signals over radio relay links, Siemens can supply a complete range of equipment. This equipment contains systems both for the long-haul network and for short-haul and local networks, the latter being also suitable particularly for mixed signal transmission (speech, text, video, and supervisory control signals). This article presents an overview of this range of digital radio relay systems, with particular attention to the underlying system conception and to the new technologies that have been applied.</t>
  </si>
  <si>
    <t>258-264</t>
  </si>
  <si>
    <t>Steinkamp, Jan</t>
  </si>
  <si>
    <t>Munich</t>
  </si>
  <si>
    <t>Siemens AG</t>
  </si>
  <si>
    <t>Steinkamp J.</t>
  </si>
  <si>
    <t>RADIO RELAY SYSTEMS FOR MODERN COMMUNICATIONS NETWORKS - AN INTRODUCTION. PART 2: DIGITAL RADIO RELAY SYSTEMS FOR DIFFERENT NETWORK LEVELS.</t>
  </si>
  <si>
    <t>2-s2.0-0021523004</t>
  </si>
  <si>
    <t>['within 0', 'warning beacons', 'transonic range', 'supersonic speeds', 'stub wings', 'simple expression', 'radar antennae', 'partially immersed', 'mounting struts', 'mach numbers', 'frontal area', 'fairing geometry', 'esdu documents', 'either wholly', 'drag ratio', 'boundary layer', 'blade aerials']</t>
  </si>
  <si>
    <t>ESDU 84035 provides simple empirical methods for estimating the drag of the excrescences, either wholly or partially immersed in a turbulent boundary layer, for Mach numbers up to 3 but excluding the transonic range from 0. 8 to 1. 2. The methods allow determination of the drag penalty due to such fittings as blade aerials, mounting struts, and fairings over warning beacons or radar antennae. Simple expression are given for the drag ratio (drag in the presence of the boundary layer on the mounting plate divided by drag in its absence) involving stub wing or fairing geometry, boundary layer thickness, and the effect of shear in the boundary layer for which data are provided. If not known, the drag in the absence of a boundary layer can be obtained from other ESDU documents in the Sub-series. The stub wings can have any profile but must be straight-tapered; drag coefficient based on frontal area is thought to be predicted to within 0. 02 or 0. 05 at subsonic or supersonic speeds, respectively. The fairings can have semi-circular or non-circular cross sections and their drag coefficients based on frontal area are predicted to within 0. 01 or 0. 1 at subsonic or supersonic speeds, respectively.</t>
  </si>
  <si>
    <t>Engineering Sciences Data Unit, Data Items</t>
  </si>
  <si>
    <t>ESDU International plc</t>
  </si>
  <si>
    <t>DRAG OF STUB WINGS AND FAIRINGS ON A FLAT PLATE WITH A TURBULENT BOUNDARY LAYER AT SUBSONIC AND SUPERSONIC SPEEDS.</t>
  </si>
  <si>
    <t>2-s2.0-0021523670</t>
  </si>
  <si>
    <t>['typical anomalies', 'recent years', 'magnitude improvement', 'locate oil', 'gas fields', 'electrical mthods', 'anomalies would', '10 %.']</t>
  </si>
  <si>
    <t>The possibility of using various types of electrical mthods to locate oil or gas fields has been proposed in recent years. In an effort to quantify the anomaly to be expected with electrical sounding methods, average geoelectrical parameters have been determined by studying electrical well logs from several oil fields characterized by different geoelectrical sections. Typical anomalies in apparent resistivity caused by these oil fields range from less than 0.1% to more than 10%. Such anomalies would be detectable only with an order of magnitude improvement in the capabilities of electrical sounding methods, or with considerably larger oil field targets.-from Authors</t>
  </si>
  <si>
    <t>1959-1967</t>
  </si>
  <si>
    <t>GEOPHYSICS</t>
  </si>
  <si>
    <t>100502456;100502456</t>
  </si>
  <si>
    <t>57214003661;7201829527</t>
  </si>
  <si>
    <t>Garg, N. R.;Keller, G. V.</t>
  </si>
  <si>
    <t>Golden</t>
  </si>
  <si>
    <t>Geopacific Resources Inc</t>
  </si>
  <si>
    <t>Garg N.R.</t>
  </si>
  <si>
    <t>Synthetic electric sounding surveys over known oil fields.</t>
  </si>
  <si>
    <t>10.1190/1.1441607</t>
  </si>
  <si>
    <t>2-s2.0-0021638488</t>
  </si>
  <si>
    <t>['result challenges', 'receptor cell', 'linearly proportional', 'different sizes', 'deposition rate', 'action potential']</t>
  </si>
  <si>
    <t>1-molecule-1-spike hypothesis | Insect antenna | odorant deposition</t>
  </si>
  <si>
    <t>The deposition rate of 2 tritiated odorants onto insect antennae of different sizes and shapes is linearly proportional to the product of odorant concentration times the antennal surface area. This result challenges an assumption in a commonly accepted hypothesis that sensillar shape affects odorant deposition and that a single odorant molecule can initiate an action potential in a receptor cell. Consequently the 1-molecule-1-spike hypothesis bears reinvestigation. ¬© 1984 Birkh√§user Verlag.</t>
  </si>
  <si>
    <t>1251-1252</t>
  </si>
  <si>
    <t>Experientia</t>
  </si>
  <si>
    <t>60103678;60103678</t>
  </si>
  <si>
    <t>7004006558;7402465354</t>
  </si>
  <si>
    <t>Mankin, R. W.;Mayer, M. S.</t>
  </si>
  <si>
    <t>USDA Agricultural Research Service, Gainesville</t>
  </si>
  <si>
    <t>Mankin R.</t>
  </si>
  <si>
    <t>The insect antenna is not a molecular sieve</t>
  </si>
  <si>
    <t>10.1007/BF01946658</t>
  </si>
  <si>
    <t>2-s2.0-10144238703</t>
  </si>
  <si>
    <t>['¬© 1984', 'transcriptional control', 'specific mrna', 'ribosomal rna', 'rhodopseudomonas capsulata', 'photosynthetic apparatus', 'limited cultures', '850 complex']</t>
  </si>
  <si>
    <t>B800-850 Antenna pigment complex Transcriptional control | Gene expression | Oxygen partial pressure | Rhodopseudomonas capsulata | Ribosomal RNA</t>
  </si>
  <si>
    <t>The synthesis of the photosynthetic apparatus was induced in chemotrophically grown cultures of the wild type strain 37b4 of Rhodopseudomonas capsulata by lowering of oxygen partial pressure. In these induced but growth-limited cultures the amount of total RNA per cell increased. Using specific DNA-probes for genes of the light-harvesting complex B800-850 and for ribosomal RNA it was shown that the levels of mRNA for the proteins of the light-harvesting complex B800-850 and for ribosomal RNA increased. In the mutant strain G1pho+, missing the B800-850 complex, but synthesizing small amounts of the Mr 10000 polypeptide of the complex, the B800-850-specific mRNA was not increased during induction. It is concluded that the synthesis of the B800-850 complex is under transcriptional control and that, under these conditions, the level of rRNA also increased. ¬© 1984.</t>
  </si>
  <si>
    <t>61-65</t>
  </si>
  <si>
    <t>16137779500;7004504174;7102742634</t>
  </si>
  <si>
    <t>Klug, Gabriele;Kaufmann, Norbert;Drews, Gerhart</t>
  </si>
  <si>
    <t>Klug G.</t>
  </si>
  <si>
    <t>The expression of genes encoding proteins of B800-850 antenna pigment complex and ribosomal RNA of Rhodopseudomonas capsulata</t>
  </si>
  <si>
    <t>10.1016/0014-5793(84)80981-3</t>
  </si>
  <si>
    <t>2-s2.0-0347132125</t>
  </si>
  <si>
    <t>['¬© 1984', 'wave resonance', 'rights reserved', 'radiation resistance', 'good agreement', 'experimental results', 'electrical engineers']</t>
  </si>
  <si>
    <t>A quasi TEM lossy transmission line model is used to calculate the effect on the radiation resistance which is produced by moving the feed-point location along a short-circuited flat dipole acting at quarter-wave resonance. Very good agreement is obtained between theoretical and experimental results. ¬© 1984, The Institution of Electrical Engineers. All rights reserved.</t>
  </si>
  <si>
    <t>980-981</t>
  </si>
  <si>
    <t>Dubost, G.</t>
  </si>
  <si>
    <t>Rennes</t>
  </si>
  <si>
    <t>Universite de Rennes 1</t>
  </si>
  <si>
    <t>Influence of feed-point location on radiation resistance of a short-circuited flat dipole</t>
  </si>
  <si>
    <t>10.1049/el:19840667</t>
  </si>
  <si>
    <t>2-s2.0-0021758103</t>
  </si>
  <si>
    <t>['¬© 1984', 'unstable equilibria', 'ponderomotive stabilization', 'poisson brackets', 'multifluid dynamics', 'generated field', 'frequency field', 'frequency evolution', 'frequency antenna', 'frequency amplitude', 'field hamiltonians', 'consistent interaction', 'casimir functionals']</t>
  </si>
  <si>
    <t>The self-consistent interaction of high-frequency antenna-generated field with low-frequency plasma motion is derived for multifluid dynamics and magnetohydrodynamics. Field hamiltonians and Poisson brackets are obtained, for the low-frequency evolution of plasma, low-frequency field, and high-frequency amplitude. Casimir functionals are combined with the hamiltonians to form Lyapunov functionals, yielding stability criteria. Application to ponderomotive stabilization of unstable equilibria is discussed. ¬© 1984.</t>
  </si>
  <si>
    <t>60025038;60025038;60006164</t>
  </si>
  <si>
    <t>22968857800;7201910294;7004916265</t>
  </si>
  <si>
    <t>Similon, Philippe L.;Kaufman, Allan N.;Holm, Darryl D.</t>
  </si>
  <si>
    <t>Berkeley;Los Alamos</t>
  </si>
  <si>
    <t>University of California, Berkeley;Los Alamos National Laboratory</t>
  </si>
  <si>
    <t>60025038;60006164</t>
  </si>
  <si>
    <t>Ponderomotive hamiltonian and Lyapunov stability for magnetically confined plasma in the presence of rf field</t>
  </si>
  <si>
    <t>0375-9601(84)90486-9</t>
  </si>
  <si>
    <t>10.1016/0375-9601(84)90486-9</t>
  </si>
  <si>
    <t>2-s2.0-22244447977</t>
  </si>
  <si>
    <t>['¬© 1984', 'singlet spectrum', 'several pigment', 'protein complexes', 'linear dichroism', 'least two', 'harvesting bacteriochlorophyll', 'decay rates', 'core complex', 'constituent bchl', 'bound photosystem', 'applied absorbance', 'absorbance increase', '837 nm', '808 nm']</t>
  </si>
  <si>
    <t>(Prosthecochloris) | ADMR | Bacterial photosynthesis | Pigment-protein complex | Reaction center | Triplet state</t>
  </si>
  <si>
    <t>We have applied absorbance-detected electron spin resonance in zero magnetic field to several pigment-protein complexes that belong to the membrane-bound photosystem of the green sulfur bacterium Prosthecochloris aestuarii. It was found that three triplet states can be discerned, that are formed in the light-harvesting bacteriochlorophyll a protein, the core complex and in the primary donor P-840, respectively. Triplet-minus-singlet absorbance difference spectra of the latter two states are presented. The spectrum of the core complex shows a bleaching at 837 nm and an absorbance increase at 808 nm. This suggests a strong electronic interaction between at least two of the constituent BChl a molecules of the complex. The triplet-minus-singlet spectrum of P-840 shows two negative bands at 826 and 837 nm, that, according to their linear dichroism, have almost parallel polarization. It is shown that no spectral evidence exists for the presence of two resolved dimer exciton bands of P-840. We conclude that P-840 either consists of two weakly coupled BChl a molecules or of a strongly coupled pair with one allowed exciton band at 837 nm, the other blue-shifted exciton component being very weak. Decay rates of PT-840 of 6790 (¬±500) s-1, 3920 (¬±300) s-1 and 1275 (¬±100) s-1 were observed for the x, y and z triplet sublevels, respectively. ¬© 1984.</t>
  </si>
  <si>
    <t>200-208</t>
  </si>
  <si>
    <t>60003878;60003878;60003878;60003878;60003878</t>
  </si>
  <si>
    <t>6506168927;6602416508;7006281412;7103325525;7004456032</t>
  </si>
  <si>
    <t>Vasmel, Henk;Den Blanken, Hubert J.;Dijkman, J. Ton;Hoff, Arnold J.;Amesz, Jan</t>
  </si>
  <si>
    <t>Leiden</t>
  </si>
  <si>
    <t>Sterrewacht Leiden</t>
  </si>
  <si>
    <t>Vasmel H.</t>
  </si>
  <si>
    <t>Triplet-minus-singlet absorbance difference spectra of reaction centers and antenna pigments of the green photosynthetic bacterium Prosthecochloris aestuarii</t>
  </si>
  <si>
    <t>10.1016/0005-2728(84)90188-9</t>
  </si>
  <si>
    <t>2-s2.0-0021739295</t>
  </si>
  <si>
    <t>['wave antennas', 'room temperature', 'cylindrical gravitational', 'acoustic isolation']</t>
  </si>
  <si>
    <t>We present here a nodal point suspension system for cylindrical gravitational-wave antennas, designed to get optimum seismic and acoustic isolation. The mechanical Q factor at room temperature of a test Al 6061 cylindrical bar with this support was 5.1√ó105.</t>
  </si>
  <si>
    <t>1980-1981</t>
  </si>
  <si>
    <t>Review of Scientific Instruments</t>
  </si>
  <si>
    <t>Coccia, Eugenio</t>
  </si>
  <si>
    <t>Nodal point supported gravitational-wave antennas</t>
  </si>
  <si>
    <t>10.1063/1.1137691</t>
  </si>
  <si>
    <t>2-s2.0-0001432041</t>
  </si>
  <si>
    <t>['significant influence', 'sagittaire accelerator', 'microwaves upon', 'microwave intensities', 'interference effects', 'electron energy', 'earlier findings', 'doubtful whether', 'dosimetry system', 'direct interference', 'control room', 'completely remove', 'clinical set', 'beam energy', 'antenna reduces', 'absorbing medium', '1980 ).']</t>
  </si>
  <si>
    <t>It has been shown that microwave intensities of about 0.4 mW cm -2 in the control room of the Sagittaire accelerator can interfere with the functioning of the accelerator and result in a higher beam energy. Increases in beam energy of up to 14% were measured. This was the result of direct interference with the beam bending system. However, the increase in beam bending current indirectly influences the acceleration of the electrons (and thus the electron energy) via feedback circuits for gun-emission and RF-power. No significant influence of microwaves upon the dosimetry system of this accelerator was found. This is in contrast with the earlier findings of Kopeckey and Purdy (1980). The TLD experiment showed that placing an absorbing medium in front of the antenna reduces the interference but does not completely remove it. In the clinical set-up the patient himself will be the absorbing medium for the microwaves. However, it is doubtful whether this will result in a further decrease or disappearance of the interference effects.</t>
  </si>
  <si>
    <t>719-723</t>
  </si>
  <si>
    <t>Physics in Medicine and Biology</t>
  </si>
  <si>
    <t>60085423;;;</t>
  </si>
  <si>
    <t>7004141026;6507440512;6506154683;35582670500</t>
  </si>
  <si>
    <t>Van Rhoon, G. C.;Van De Poel, J. A.;Van Der Heiden, J. A.;Reinhold, H. S.</t>
  </si>
  <si>
    <t>Rotterdam</t>
  </si>
  <si>
    <t>Rotterdam Radiotherapy Institute</t>
  </si>
  <si>
    <t>Van Rhoon G.</t>
  </si>
  <si>
    <t>Interference of 433 MHz microwaves with a megavoltage linear accelerator</t>
  </si>
  <si>
    <t>10.1088/0031-9155/29/6/008</t>
  </si>
  <si>
    <t>2-s2.0-0021179285</t>
  </si>
  <si>
    <t>['stage filter', 'springs made', 'fundamental mode', '2302 hz', '2 k', '130 db']</t>
  </si>
  <si>
    <t>We describe a support for the University of Rochester gravitational wave detector. The support is a two-stage filter with springs made of aluminum and a brass intermediate mass. With this support we have measured a mechanical quality factor for the fundamental mode of a 200-kg aluminum cylinder of 2.2√ó107 at 2302 Hz at 4.2 K. The filter attenuates vibrations by -130 dB at this frequency.</t>
  </si>
  <si>
    <t>103-106</t>
  </si>
  <si>
    <t>University of Rochester</t>
  </si>
  <si>
    <t>Low-dissipation support for a gravitational radiation antenna</t>
  </si>
  <si>
    <t>10.1063/1.1137579</t>
  </si>
  <si>
    <t>2-s2.0-0021201741</t>
  </si>
  <si>
    <t>['nonlinear mixing', 'infrared radiation', 'infrared band', 'fir power', 'fir difference', 'entire far', 'co2 lasers', '567 ghz', '5000 ghz', '5 line', '250 mw', '200 cm']</t>
  </si>
  <si>
    <t>Tunable, cw, far-infrared radiation has been generated by nonlinear mixing of radiation from two CO2 lasers in a metal-insulator-metal (MIM) diode. The FIR difference-frequency power radiated from the MIM diode antenna to a calibrated indium antimonide bolometer. Two-tenths of a microwatt of FIR power was generated by 250 mW from each of the CO2 lasers. The combination of lines from a waveguide CO2 laser, with its larger tuning range, with lines from CO2, N2O, and CO2 isotope lasers promises complete coverage of the entire far-infrared band from 100 to 5000 GHz (3-200 cm-1) with stepwise-tunable cw radiation. To demonstrate the usefulness of the technique, we observed the J=4-5 line of CO at 567 GHz.</t>
  </si>
  <si>
    <t>576-578</t>
  </si>
  <si>
    <t>Applied Physics Letters</t>
  </si>
  <si>
    <t>60023053;60023053;60023053</t>
  </si>
  <si>
    <t>7006414132;7103249766;7101845837</t>
  </si>
  <si>
    <t>Evenson, K. M.;Jennings, D. A.;Petersen, F. R.</t>
  </si>
  <si>
    <t>Evenson K.</t>
  </si>
  <si>
    <t>Tunable far-infrared spectroscopy</t>
  </si>
  <si>
    <t>10.1063/1.94845</t>
  </si>
  <si>
    <t>2-s2.0-0021390250</t>
  </si>
  <si>
    <t>['twelve metres', 'small size', 'sensor operates', 'receiving element', 'receiver sensitivity', 'noise ratio', 'mixer signal', 'low profile', 'instantaneous range', 'gunn diode', 'advanced microprocessor', 'active device', '5 mm']</t>
  </si>
  <si>
    <t>A sensor of small size and low profile (5 mm) has been developed for the detection of movement and instantaneous range of remotely located objects. The sensor operates as a short-range Doppler radar by producing microwave oscillations in the X-band frequency range. The construction uses RT-Duroid, a planar microstrip transmission line medium. A Gunn diode is used as the active device, with a self-biased Schottky mixer diode acting as the receiving element. The microstrip circuit comprising the sensor is described. Receiver sensitivity is presented for the principal antennae axis and measurements of mixer signal-to-noise ratio as a function of electronically generated Doppler return signals are given. The sensor has been used in the detection of man-targets at ranges in excess of twelve metres as part of an advanced microprocessor-based alarm system.</t>
  </si>
  <si>
    <t>359-362</t>
  </si>
  <si>
    <t>Journal of Physics E: Scientific Instruments</t>
  </si>
  <si>
    <t>101309215;</t>
  </si>
  <si>
    <t>7102894931;7404791012</t>
  </si>
  <si>
    <t>Fusco, V. F.;Stewart, J. A.C.</t>
  </si>
  <si>
    <t>Newtownabbey</t>
  </si>
  <si>
    <t>School of Electrical and Electronic Engng.</t>
  </si>
  <si>
    <t>Fusco V.</t>
  </si>
  <si>
    <t>An integrated X-band microstrip movement sensor and its application in a microprocessor-based alarm system</t>
  </si>
  <si>
    <t>10.1088/0022-3735/17/5/009</t>
  </si>
  <si>
    <t>2-s2.0-0021421849</t>
  </si>
  <si>
    <t>['overcomes many', 'open geometry', 'limitations imposed', 'ideally suited', 'generation transmission', 'free behavior', '6 ps']</t>
  </si>
  <si>
    <t>The generation transmission, and detection of extremely rapid electromagnetic pulses have been achieved using fast photoconducting materials as time-varying Hertzian dipoles. This approach, which has a measured time response of 1.6 ps, overcomes many of the limitations imposed by transmission line structures, and due to its jitter-free behavior and open geometry is ideally suited for transient electromagnetic measurements of materials.</t>
  </si>
  <si>
    <t>284-286</t>
  </si>
  <si>
    <t>7003905455;56693743500;57214269177</t>
  </si>
  <si>
    <t>Auston, D. H.;Cheung, K. P.;Smith, P. R.</t>
  </si>
  <si>
    <t>Auston D.</t>
  </si>
  <si>
    <t>Picosecond photoconducting Hertzian dipoles</t>
  </si>
  <si>
    <t>10.1063/1.95174</t>
  </si>
  <si>
    <t>2-s2.0-0021475072</t>
  </si>
  <si>
    <t>['test mass', 'particular attention', 'isolation system', '8 hz', '04 hz']</t>
  </si>
  <si>
    <t>We discuss an active vibration isolation system which is a prototype of an isolation system for an interferometric gravitational wave antenna. Particular attention is paid to factors which limit the isolation which can be achieved. We were able to reduce the effective resonant frequency of the test mass to 0.04 Hz. Between 3 and 8 Hz, this was sufficient to bring the motion of the test mass within a factor of 2 of its Brownian motion amplitude.</t>
  </si>
  <si>
    <t>1315-1320</t>
  </si>
  <si>
    <t>Saulson P.</t>
  </si>
  <si>
    <t>Vibration isolation for broadband gravitational wave antennas</t>
  </si>
  <si>
    <t>10.1063/1.1137923</t>
  </si>
  <si>
    <t>2-s2.0-0021477359</t>
  </si>
  <si>
    <t>['usually formed', 'transversal filter', 'sufficient condition', 'optimally adjusting', 'one filter', 'interference sources', 'array element']</t>
  </si>
  <si>
    <t>Coherent sidelobe cancellers have been and continue to be of interest for radar, sonar, and communication system applications. Typical sidelobe cancellers employ an adaptive antenna array to produce spatial nulls in the direction of interference sources. These nulls are usually formed by optimally adjusting the coefficients of a transversal filter, one filter being used with each array element. In this paper a necessary and sufficient condition is given for a filter to exist so as to produce complete cancellation of weakly stationary interference sources. It is then shown how this optimal filter may be approximated by a transversal filter.</t>
  </si>
  <si>
    <t>601-607</t>
  </si>
  <si>
    <t>Journal of Applied Physics</t>
  </si>
  <si>
    <t>105225064;60003892</t>
  </si>
  <si>
    <t>57212499011;16490072000</t>
  </si>
  <si>
    <t>Peterson, Kenneth M.;Weiss, Neil A.</t>
  </si>
  <si>
    <t>Tempe;Tempe</t>
  </si>
  <si>
    <t>Arizona State University;National Analytic Services Corporation</t>
  </si>
  <si>
    <t>60003892;105225064</t>
  </si>
  <si>
    <t>Peterson K.</t>
  </si>
  <si>
    <t>Coherent sidelobe cancelling</t>
  </si>
  <si>
    <t>10.1063/1.333989</t>
  </si>
  <si>
    <t>2-s2.0-0021481387</t>
  </si>
  <si>
    <t>['rectenna obtained', 'photoetching technique', 'paper proposes', 'microstrip antenna', 'linear antenna', 'integer multiples', 'higher resonance', 'easy adaptation']</t>
  </si>
  <si>
    <t>This paper proposes the use of a microstrip antenna as a competitor to the linear antenna for a 'Rectenna' in a SPS (Solar Power Satellite) project. The microstrip antenna features high-Q and higher resonance-harmonics which are not integer multiples of the dominant resonance frequency if a circular microstrip antenna (CMSA) is chosen. This paper experimentally clarifies wide frequency band characteristics of the CMSA. The rectenna obtained in this paper is low in profile, light in weight, compact and conformable in structure, easy to fabricate, and easy adaptation to the photoetching technique in fabrication.</t>
  </si>
  <si>
    <t>149-162</t>
  </si>
  <si>
    <t>Space Solar Power Review</t>
  </si>
  <si>
    <t>60014652;60014652;60014652;60014652</t>
  </si>
  <si>
    <t>7404897527;7102233445;7003280529;35516180700</t>
  </si>
  <si>
    <t>Itoh, Kiyohiko;Akiba, Yasuhiro;Ohgane, Takeo;Ogawa, Yasutaka</t>
  </si>
  <si>
    <t>FUNDAMENTAL STUDY ON SPS RECTENNA PRINTED ON A SHEET OF COPPER CLAD LAMINATE.</t>
  </si>
  <si>
    <t>2-s2.0-0021550282</t>
  </si>
  <si>
    <t>['universal characteristic', 'suitable description', 'receiving features', 'polarization ellipse', 'effective ellipse', 'close relation']</t>
  </si>
  <si>
    <t>In this paper the interaction of elliptically polarized electromagnetic field and generalized receiving antenna is described by means of complex effective lengths. In the analysis the effective ellipse, similar to the polarization ellipse, is introduced, which gives physical interpretation of complex effective length. The complex effective length - having close relation to the polarization of the antenna - is used for describing the characteristics of elliptically polarised antennas. Based on this analysis it can be stated that the complex effective length is a universal characteristic of antennas and from it all the important antenna parameters can be derived. The complex effective length gives a suitable description of the receiving features of the antenna.</t>
  </si>
  <si>
    <t>215-225</t>
  </si>
  <si>
    <t>Acta Technica (Budapest)</t>
  </si>
  <si>
    <t>Kapor, J.</t>
  </si>
  <si>
    <t>Kapor J.</t>
  </si>
  <si>
    <t>CHARACTERIZATION OF ELLIPTICALLY POLARIZED ANTENNA BY COMPLEX EFFECTIVE LENGTH.</t>
  </si>
  <si>
    <t>2-s2.0-0021556467</t>
  </si>
  <si>
    <t>['unwanted signals', 'space may', 'several points', 'selective system', 'quantitative characteristics', 'compensation effectiveness', 'coherently processing', 'channel filter', 'central frequencies', 'additive mixture']</t>
  </si>
  <si>
    <t>Wideband interference arriving from several points in space may be compensated by using a single compensation channel and coherently processing the additive mixture of wanted and unwanted signals. For a frequency-selective system, quantitative characteristics of the compensation effectiveness are determied as a function of the separation between the central frequencies and the gain and bandwidth of the main-channel and compensation-channel filter.</t>
  </si>
  <si>
    <t>6701658328;6602476496</t>
  </si>
  <si>
    <t>Dobykin, V. D.;Lazutkin, A. B.</t>
  </si>
  <si>
    <t>Dobykin V.</t>
  </si>
  <si>
    <t>COHERENT INTERFERENCE COMPENSATOR USING AN OFF-TUNE CHANNEL.</t>
  </si>
  <si>
    <t>2-s2.0-0021559193</t>
  </si>
  <si>
    <t>['theoretically investigated', 'theoretical results', 'spurious radiation', 'rectenna array', 'microwave energy', 'harmonics generated', 'experimental study', 'conversion efficiency', 'authors describe', 'authors composed']</t>
  </si>
  <si>
    <t>In this paper, the authors describe a theoretical and experimental study on a rectenna array for microwave power transmission. The conversion efficiency of microwave energy to dc and a spurious radiation of harmonics generated by the rectenna were theoretically investigated. The authors composed the rectenna and measured the conversion efficiency. It was shown that experimental results agree with the theoretical results.</t>
  </si>
  <si>
    <t>56779495700;7004294644</t>
  </si>
  <si>
    <t>Adachi, Saburo;Shimanuki, Yasushi</t>
  </si>
  <si>
    <t>Adachi S.</t>
  </si>
  <si>
    <t>THEORETICAL AND EXPERIMENTAL STUDY ON RECTENNA ARRAY FOR MICROWAVE POWER TRANSMISSION.</t>
  </si>
  <si>
    <t>2-s2.0-0021563449</t>
  </si>
  <si>
    <t>['shape control', 'preliminary study', 'local measurements', 'feeding back', 'feedback gains', 'designed based', 'design procedure']</t>
  </si>
  <si>
    <t>This preliminary study is intended to investigate the possibility of applying the local decentralized feedback control technique to the Solar Power Satellite attitude/shape control. controller is implemented by feeding back only the local measurements, and its feedback gains are designed based on the small-size subsystem model. A simple numerical model is introduced to illustrate the design procedure and the stability evaluation results.</t>
  </si>
  <si>
    <t>171-177</t>
  </si>
  <si>
    <t>60022990;60022990</t>
  </si>
  <si>
    <t>7102598557;55722460800</t>
  </si>
  <si>
    <t>Kida, T.;Ohkami, Y.</t>
  </si>
  <si>
    <t>Chofu</t>
  </si>
  <si>
    <t>Japan Aerospace Exploration Agency</t>
  </si>
  <si>
    <t>Kida T.</t>
  </si>
  <si>
    <t>PRELIMINARY STUDY ON DECENTRALIZED CONTROL OF LARGE-SCALE FLEXIBLE SPS.</t>
  </si>
  <si>
    <t>2-s2.0-0021568233</t>
  </si>
  <si>
    <t>['sum beam', 'results show', 'precisely cross', 'polarized state', 'polarized patterns', 'polarized feeds', 'obtained without', 'method presented', 'measuring cross', 'measure low', 'low cross', 'level patterns', 'independently calibrating', 'either limited', 'current techniques', 'conventional fashion', 'conical geometry', 'alternate technique', 'absolute polarization']</t>
  </si>
  <si>
    <t>Current techniques for measuring cross-polarized antenna patterns are either limited in their ability to measure low-level patterns or are very time-consuming to perform. An alternate technique is presented that permits rapid measurement of low-level left bracket minus 50 to minus 70 dB right bracket , cross-polarized patterns. The method presented here uses a variable polarization source antenna left bracket VPSA right bracket . The VPSA is adjusted to be precisely cross-polarized to the peak of the sum beam of the antenna under test left bracket AUT right bracket . The VPSA is designed such that the co-polarized state of the AUT can be obtained by throwing a switch in the VPSA. The difference in polarization is then measured in a conventional fashion. Absolute polarization can be obtained by independently calibrating the polarization of the VPSA at boresight. This technique is demonstrated by applying it to the measurement of the co- and cross-polarized patterns of a four-horn, multi-mode monopulse feed. The results show that low cross-polarized feeds can be obtained without the use of corrugations or a conical geometry.</t>
  </si>
  <si>
    <t>Bodnar, Donald G.</t>
  </si>
  <si>
    <t>Bodnar D.</t>
  </si>
  <si>
    <t>POLARIZATION CHARACTERIZATION OF A MONOPULSE TRACKING FEED.</t>
  </si>
  <si>
    <t>2-s2.0-0021568417</t>
  </si>
  <si>
    <t>['transmitting antenna', 'total efficiency', 'sps ),', 'space station', 'solar cells', 'project mett', 'ground station', 'environmental effects', 'energy transmission', 'energy generated', 'developed system']</t>
  </si>
  <si>
    <t>An outline of a project METT (Microwave Energy Transmission Test) using the Space Station is described. The objectives of the METT are to develop and test the technology of microwave energy transmission for the future Solar Power Satellite (SPS), and to estimate the environmental effects of the high power microwaves on the ionosphere and the atmosphere. Energy generated with solar cells is transmitted from a transmitting antenna on the bus platform near the Space Station to a rectenna on the sub-satellite or the ground station in order to test the total efficiency and the functions of the developed system of the energy transmission.</t>
  </si>
  <si>
    <t>163-169</t>
  </si>
  <si>
    <t>60011418;60011418;60011418;60011418;60011418</t>
  </si>
  <si>
    <t>7005013333;7404313846;7006973378;7402952086;7006212148</t>
  </si>
  <si>
    <t>Kaya, N.;Matsumoto, H.;Miyatake, S.;Kimura, I.;Nagatomo, M.</t>
  </si>
  <si>
    <t>Kobe</t>
  </si>
  <si>
    <t>Kobe University</t>
  </si>
  <si>
    <t>Kaya N.</t>
  </si>
  <si>
    <t>MICROWAVE ENERGY TRANSMISSION TEST TOWARD THE SPS USING THE SPACE STATION.</t>
  </si>
  <si>
    <t>2-s2.0-0021572767</t>
  </si>
  <si>
    <t>['urban areas', 'technological developments', 'planners face', 'eg banks', 'dish antennas']</t>
  </si>
  <si>
    <t>Looks at the problems that planners face in dealing with technological developments in urban areas. Examples are provided of responses to the problem of increased home working, the proliferation of dish antennas, and street-based self service machines, eg banks and newspaper vending machines.-R.Land</t>
  </si>
  <si>
    <t>28-32</t>
  </si>
  <si>
    <t>Planning (APA)</t>
  </si>
  <si>
    <t>Longhini, G.</t>
  </si>
  <si>
    <t>Longhini G.</t>
  </si>
  <si>
    <t>Coping with high-tech headaches.</t>
  </si>
  <si>
    <t>2-s2.0-0021574582</t>
  </si>
  <si>
    <t>['wave devices', 'technique known', 'primary lens', 'pattern intensity', 'often coupled', 'numerical aperture', 'maximum value', 'lens aberrations', 'general expression', 'focussing errors', 'feed pattern', 'coupler design', 'coupler depends', 'approximately sin']</t>
  </si>
  <si>
    <t>antennas | millimeter waves</t>
  </si>
  <si>
    <t>Millimeter-wave devices are often coupled to radiation by means of a feed antenna placed at the focus of a primary lens or mirror, a technique known as "quasioptical coupling". A general expression for the efficiency of such a coupler is derived. The efficiency of such a coupler depends on the relationship of the feed antenna pattern to the numerical aperture of the primary lens. An approximate general rule for coupler design is obtained. This rule is as follows. Let Œ∏o be the angle between the direction in which the feed pattern is maximum and the direction in which the pattern intensity has one-half its maximum value. Then the optimum numerical aperture of the primary lens is approximately sin (1.67 Œ∏o). The effects of focussing errors and lens aberrations can also be calculated by this technique. ¬© 1984 Plenum Publishing Corporation.</t>
  </si>
  <si>
    <t>1517-1525</t>
  </si>
  <si>
    <t>Schwarz, S. E.</t>
  </si>
  <si>
    <t>Schwarz S.</t>
  </si>
  <si>
    <t>Efficiency of quasi-optical couplers</t>
  </si>
  <si>
    <t>10.1007/BF01040503</t>
  </si>
  <si>
    <t>2-s2.0-0021576726</t>
  </si>
  <si>
    <t>['tropospheric scatter', 'transoceanic communication', 'technical requirements', 'satellites could', 'polar orbit', 'noise temperature', 'noise ratio', 'mutually visible', 'interesting alternative', 'db signal', 'could provide', 'classic paper', '85 kw', '5 kw', '25 degree', '000 mc']</t>
  </si>
  <si>
    <t>In this classic paper, the technical requirements of transoceanic communication by means of passive or active earth satellites are discussed. The existence of artificial earth satellites and of very low-noise maser amplifiers makes microwave links using spherical satellites as passive reflectors seem an interesting alternative to cable or tropospheric scatter for broad-band transatlantic communication. A satellite in a polar orbit at a height of 3,000 miles would be mutually visible from Newfoundland and the Hebrides for 22. 0 per cent of the time and would be over 7. 25 degree above the horizon at each point for 17. 7 per cent of the time. Out of 24 such satellites, some would be mutually visible over 7. 25 degree above the horizon 99 per cent of the time. With 100-foot diameter spheres, 150-foot diameter antennas, and a noise temperature of 20 degree K, 85 kw at 2,000 mc or 9. 5 kw at 6,000 mc, could provide a 5-mc base band with a 40-db signal-to-noise ratio. The same system of satellites could be used to provide further communication at other frequencies or over other paths.</t>
  </si>
  <si>
    <t>1704-1713</t>
  </si>
  <si>
    <t>Pierce, John R.;Kompfner, Rudolf</t>
  </si>
  <si>
    <t>TRANSOCEANIC COMMUNICATION BY MEANS OF SATELLITES.</t>
  </si>
  <si>
    <t>10.1109/PROC.1984.13077</t>
  </si>
  <si>
    <t>2-s2.0-0021578072</t>
  </si>
  <si>
    <t>['strength beamwidth', 'particularly suitable', 'omnidirectional radiation', 'large half', 'horizontal pattern', 'hf 305', 'building blocks', 'antenna systems', '312 series', '2 db']</t>
  </si>
  <si>
    <t>The HF 305 to 312 series of VHF Directional Arrays - antennas for the TV channels 5 to 12 - are building blocks for transmitting-antenna systems with omnidirectional or directional radiation patterns. Their large half-field-strength beamwidth of plus or minus 60 degree makes them particularly suitable for use on three-sided supporting structures, but they can also be mounted on structures with other cross-sections. With omnidirectional radiation, departures from circularity of less than 2 db in the horizontal pattern can be achieved.</t>
  </si>
  <si>
    <t>18-20</t>
  </si>
  <si>
    <t>News from Rohde &amp; Schwarz</t>
  </si>
  <si>
    <t>Moll, Ludwig</t>
  </si>
  <si>
    <t>Moll L.</t>
  </si>
  <si>
    <t>TV-CHANNEL ANTENNAS HF 305 TO HF 312 FOR 174 TO 230 MHz.</t>
  </si>
  <si>
    <t>2-s2.0-0021579551</t>
  </si>
  <si>
    <t>['vertical polarization', 'transmitting antenna', '400 w', '400 mhz', '200 w', '1300 mhz']</t>
  </si>
  <si>
    <t>The VHF-UHF Coaxial Dipole HK 014 is designed as a broadband omnidirectional antenna for vertical polarization with only one antenna connection. It is suitable for use both as a receiving and a transmitting antenna for cw output power of up to 400 w in the frequency range 100 to 400 MHz and up to 200 w between 100 and 1300 MHz. VSWR is better than 2 over the entire frequency range, with typical maximum values in the region of 1. 8.</t>
  </si>
  <si>
    <t>33-34</t>
  </si>
  <si>
    <t>6603755714;35851626600</t>
  </si>
  <si>
    <t>Anders, Wolfgang;Demmel, Franz</t>
  </si>
  <si>
    <t>Anders W.</t>
  </si>
  <si>
    <t>VHF-UHF COAXIAL DIPOLE HK 014 FOR 100 TO 1300 MHz.</t>
  </si>
  <si>
    <t>2-s2.0-0021583204</t>
  </si>
  <si>
    <t>['time domain', 'scale models', 'practical operating', 'near zone', 'modern methods', 'measuring conditions', 'making measurements', 'foreign papers', 'external parameters', 'distorting factors', 'antennas taking', 'account rereflections']</t>
  </si>
  <si>
    <t>The theory and technique of modern methods of measuring the external parameters of antennas taking into account the distorting factors that occur under practical operating and measuring conditions are reviewed. Soviet and foreign papers and patents are considered and analyzed in the following promising areas: natural tests taking into account rereflections from the ground, measurements on scale models, consideration of rereflections in the time domain, and the elimination of the effect of rereflections when making measurements in the near zone.</t>
  </si>
  <si>
    <t>Radioelectronics and Communications Systems (English translation of Izvestiya Vysshikh Uchebnykh Z</t>
  </si>
  <si>
    <t>8217709300;7005899824;7202434523;15769363300</t>
  </si>
  <si>
    <t>Voskresenskii, D. I.;Voronin, E. N.;Komarov, V. N.;Nechaev, E. E.</t>
  </si>
  <si>
    <t>Voskresenskii D.I.</t>
  </si>
  <si>
    <t>MEASUREMENTS OF THE EXTERNAL CHARACTERISTICS OF ANTENNAS TAKING DISTORTING FACTORS INTO ACCOUNT (REVIEW).</t>
  </si>
  <si>
    <t>2-s2.0-0021584939</t>
  </si>
  <si>
    <t>['transportable applications', 'take advantage', 'specified envelope', 'paper describes', 'maximizes gain', 'geostationary orbit']</t>
  </si>
  <si>
    <t>New sidelobe regulations are being introduced for earth station antennas to allow closer satellite spacing. Conventional axisymmetric antennas can meet the lower sidelobe levels only with difficulty, and offset reflector systems are therefore receiving increasing attention. This paper describes an offset Gregorian antenna for transportable applications in the 11/14 GHz bands, designed to take advantage of an elliptical radiating aperture to reduce sidelobes preferentially in the plane of the geostationary orbit. A sophisticated profile optimization method is described which maximizes gain while keeping all sidelobes below a specified envelope.</t>
  </si>
  <si>
    <t>186-197</t>
  </si>
  <si>
    <t>GEC Journal of Research</t>
  </si>
  <si>
    <t>Henderson, R. I.</t>
  </si>
  <si>
    <t>Henderson R.</t>
  </si>
  <si>
    <t>ELLIPTICAL OFFSET GREGORIAN ANTENNA FOR A TRANSPORTABLE EARTH STATION.</t>
  </si>
  <si>
    <t>2-s2.0-0021585604</t>
  </si>
  <si>
    <t>['power divider', 'limited sector', 'interact via', 'external space', 'element phasing', 'effective algorithm', 'describing investigations']</t>
  </si>
  <si>
    <t>The majority of publications, describing investigations of infinite phased antenna arrays are based on the assumption that the radiators do not interact via the power divider. The proposed approach enables one to construct an effective algorithm for calculating the characteristics of block phased antenna arrays for scanning over a limited sector of angles, and of ordinary phased antenna arrays with element-by-element phasing, taking into account the interaction between the radiators both in external space, and via the power division circuits.</t>
  </si>
  <si>
    <t>67-70</t>
  </si>
  <si>
    <t>7202667195;7103366081</t>
  </si>
  <si>
    <t>Filippov, V. S.;Pavlov, S. A.</t>
  </si>
  <si>
    <t>Filippov V.</t>
  </si>
  <si>
    <t>INVESTIGATION OF THE CHARACTERISTICS OF A PHASED ANTENNA ARRAY TAKING INTO ACCOUNT THE INTERACTION BETWEEN THE RADIATORS AND THE PROPERTIES OF THE POWER DIVIDER.</t>
  </si>
  <si>
    <t>2-s2.0-0021586323</t>
  </si>
  <si>
    <t>['sufficiently critical', 'rf match', 'radio frequencies', 'model consists', 'mmic device', 'mmic ).', 'abrupt discontinuities', '20 ghz']</t>
  </si>
  <si>
    <t>Some considerations are proposed that lead to preserving the inherently reproducible characteristics of the monolithic microwave integrated circuit devices (MMIC). It is highlighted that at radio frequencies (RF) greater than 20 GHz, the transition from the MMIC device to other trasmission media must be an accurate RF match. It is proposed that the RF match is sufficiently critical to include the transition as part of the delivered MMIC package. The model for analyzing several transitions is presented. This model consists of a succession of abrupt discontinuities in printed circuit transmission lines. The analysis of these discontinuities is achieved with the Spectral Galerkin technique. Preliminary results achieved with this method are presented.</t>
  </si>
  <si>
    <t>60026717;60026717;60026717</t>
  </si>
  <si>
    <t>7006450617;6603844288;55197051100</t>
  </si>
  <si>
    <t>Smetana, Jerry;Farr, Everett;Mittra, Raj</t>
  </si>
  <si>
    <t>NASA Glenn Research Center</t>
  </si>
  <si>
    <t>Smetana J.</t>
  </si>
  <si>
    <t>CHARACTERIZATION OF MMIC DEVICES FOR ACTIVE ARRAY ANTENNAS.</t>
  </si>
  <si>
    <t>2-s2.0-0021586399</t>
  </si>
  <si>
    <t>['rectangular waveguides', 'calculations illustrating']</t>
  </si>
  <si>
    <t>An effective mathematical model of a finite multielement antenna consisting of radiators in the form of rectangular waveguides is developed. Examples of the calculations illustrating the 'blinding' effect are given.</t>
  </si>
  <si>
    <t>40-44</t>
  </si>
  <si>
    <t>Khzmalyan, A. D.</t>
  </si>
  <si>
    <t>Khzmalyan A.</t>
  </si>
  <si>
    <t>ANALYSIS OF A PLANAR FINITE MULTIELEMENT ANTENNA OF WAVEGUIDE RADIATORS.</t>
  </si>
  <si>
    <t>2-s2.0-0021586717</t>
  </si>
  <si>
    <t>['traditional one', 'simplified equations', 'representation takes', 'radiation pattern', 'radiating aperture', 'magnitude less', 'finite nature']</t>
  </si>
  <si>
    <t>A set of simplified equations is presented for the radiation pattern of an antenna. The representation takes into account the finite nature of a radiating aperture. The proposed method gives an error that is an order of magnitude less than the traditional one, and provides a wider reconstruction sector.</t>
  </si>
  <si>
    <t>83-84</t>
  </si>
  <si>
    <t>Solovtsov, S. L.</t>
  </si>
  <si>
    <t>Solovtsov S.</t>
  </si>
  <si>
    <t>SET OF EQUATIONS FOR DETERMINING THE RADIATION PATTERN OF AN ANTENNA FROM NEAR-FIELD READINGS.</t>
  </si>
  <si>
    <t>2-s2.0-0021587460</t>
  </si>
  <si>
    <t>['stay insulators', 'solution adopted', 'radio beograd', 'problems caused', 'article explains', 'antenna used']</t>
  </si>
  <si>
    <t>Problems caused by static discharges occurring across the stay insulators of MF transmitting antennas during thunderstorms can become more serious - and may even jeopardize mast safety - as higher transmitter powers are used. The article explains these phenomena, reviews possible solutions and their results, and reports on the solution adopted in the case of the antenna used with the 2000 kw transmitter operated by Radio Beograd, Yugoslavia.</t>
  </si>
  <si>
    <t>240-245</t>
  </si>
  <si>
    <t>60068815;60068815</t>
  </si>
  <si>
    <t>6603332849;6701435063</t>
  </si>
  <si>
    <t>Surutka, J. V.;Velickovic, D. M.</t>
  </si>
  <si>
    <t>Serbia</t>
  </si>
  <si>
    <t>Belgrade</t>
  </si>
  <si>
    <t>University of Belgrade</t>
  </si>
  <si>
    <t>Surutka J.</t>
  </si>
  <si>
    <t>ELIMINATION OF STATIC DISCHARGES ON THE STAYS OF HIGH-POWER MF ANTENNAS.</t>
  </si>
  <si>
    <t>2-s2.0-0021589641</t>
  </si>
  <si>
    <t>['vehicle runs', 'using microwaves', 'train leaves', 'train coming', 'tag storing', 'start transmission', 'signal repeatedly', 'railway track', 'microwave signal', 'ground equipment', 'car receives', 'antenna activates', '120 km']</t>
  </si>
  <si>
    <t>An automatic car identification system (ACI) using microwaves has been developed for the purpose of detecting car identifies at speeds of 120 km/hr. The ACI is composed of ground equipment and tags. The ground equipment consists of a transmitter, a receiver and an antenna and is set up near the railway track. On each car a tag storing an identifier in a ROM (Read Only Memory) is attached to both sides of the car. A train coming up to the antenna activates the ground equipment to start transmission of the microwave signal. As the transmission continues till the train leaves there, each tag on the car receives the signal repeatedly. When a vehicle runs in front of the antenna, for example, at a speed of 120 km/h, the ground equipment scans one identifier signal four times.</t>
  </si>
  <si>
    <t>129-132</t>
  </si>
  <si>
    <t>Quarterly Report of RTRI (Railway Technical Research Institute) (Japan)</t>
  </si>
  <si>
    <t>60007410;60007410;60007410</t>
  </si>
  <si>
    <t>6602676926;7005408865;7003946899</t>
  </si>
  <si>
    <t>Todoriki, Masafumi;Yuge, Tetsuya;Ushiyama, Chizuru</t>
  </si>
  <si>
    <t>Kokubunji</t>
  </si>
  <si>
    <t>Railway Technical Research Institute</t>
  </si>
  <si>
    <t>Todoriki M.</t>
  </si>
  <si>
    <t>AUTOMATIC CAR IDENTIFICATION SYSTEM USING MICROWAVE AND ITS APPLICATIONS TO RAILWAY TRANSPORTATION.</t>
  </si>
  <si>
    <t>2-s2.0-0021590664</t>
  </si>
  <si>
    <t>['realistic design', 'radomes designed', 'paper discusses', 'high interdependence', 'flexibility drastically', 'electrical aspects', 'designing radomes', 'considered individually', 'competing criteria']</t>
  </si>
  <si>
    <t>Radomes designed for electronic warfare systems are more than 'just pieces of plastic' that protect the antennas. Both the mechanical and electrical aspects of radome design allow much flexibility when considered individually. In a realistic design, however, the high interdependence of the two areas usually cuts that flexibility drastically. The paper discusses the tradeoffs between competing criteria that must be made when designing radomes.</t>
  </si>
  <si>
    <t>Mani, G. S.</t>
  </si>
  <si>
    <t>Dehradun</t>
  </si>
  <si>
    <t>Defence Research and Development Organisation India</t>
  </si>
  <si>
    <t>Mani G.</t>
  </si>
  <si>
    <t>EW RADOMES PRESENT RIGOROUS CHALLENGES.</t>
  </si>
  <si>
    <t>2-s2.0-0021595963</t>
  </si>
  <si>
    <t>['specified pattern', 'special profile', 'radiator obtained', 'radiation field', 'optimized mirror', 'objective function', 'mathematical programming', 'diffraction field']</t>
  </si>
  <si>
    <t>The use of mathematical programming to optimize the geometry of a mirror with a special profile is described. Optimization is carried out for a minimum of the objective function, which expresses the deviation of the mirror radiation pattern from the specified pattern. It is shown that it is necessary to minimize the secondary-diffraction field at the radiator obtained as a result of the optimization. An estimate is made of the limits of applicability of this method when calculating the radiation field of the optimized mirror.</t>
  </si>
  <si>
    <t>7006251489;6701741465</t>
  </si>
  <si>
    <t>Vorob'ev, M. S.;Frantsuzov, A. D.</t>
  </si>
  <si>
    <t>Vorob'ev M.</t>
  </si>
  <si>
    <t>METHOD OF OPTIMIZING THE GEOMETRY OF MIRROR ANTENNAS.</t>
  </si>
  <si>
    <t>2-s2.0-0021597430</t>
  </si>
  <si>
    <t>['z2n double', 'total failure', 'six cameras', 'power car', 'partial failure', 'installed along', 'every precaution', 'decker emus', 'cab monitors']</t>
  </si>
  <si>
    <t>Since November 1983, the cabs of Z2N double-decker EMUs have been equipped with monitors enabling drivers to observe the platform-side of their trains. For this purpose, six cameras are installed along the platform. A video processing system reduces the number of carrier frequencies transmitted from six to three and the signals are picked up by a receiving antenna mounted beneath the power car and displayed on the cab monitors which can be adjusted by the driver. Every precaution has been taken to minimize the risk of total failure and to enable the driver to overcome a partial failure.</t>
  </si>
  <si>
    <t>395-400</t>
  </si>
  <si>
    <t>French Railway Review</t>
  </si>
  <si>
    <t>Boulanger, Jacques</t>
  </si>
  <si>
    <t>SNCF</t>
  </si>
  <si>
    <t>Boulanger J.</t>
  </si>
  <si>
    <t>SEMI-TRAINBORNE T. V. SYSTEM FOR DOUBLE-DECKER SUBURBAN SETS IN THE PARIS SUD-EST REGION.</t>
  </si>
  <si>
    <t>2-s2.0-0021597451</t>
  </si>
  <si>
    <t>['present paper', 'mutual distortions', 'investigated using', 'integral equations', 'directional characteristics', 'different frequency', 'combined dual']</t>
  </si>
  <si>
    <t>Some results of an analysis of the directional characteristics of combined dual-frequency dipole antenna arrays were investigated using the method of integral equations. In the present paper we give some further results of an investigation of the characteristics of dual-frequency combined dipole antenna arrays, in particular, an analysis of the mutual distortions in such arrays as a function of the thickness and arrangement of the dipoles of different frequency.</t>
  </si>
  <si>
    <t>57096791300;16437068800;6507926801;7801315659</t>
  </si>
  <si>
    <t>Il'inskii, A. S.;Ponomarev, L. I.;Berezhnaya, I. V.;Dolgii, A. V.</t>
  </si>
  <si>
    <t>Il'inskii A.</t>
  </si>
  <si>
    <t>CHARACTERISTICS OF DUAL-FREQUENCY COMBINED DIPOLE ANTENNA ARRAYS.</t>
  </si>
  <si>
    <t>2-s2.0-0021602612</t>
  </si>
  <si>
    <t>['uniquely establish', 'rigorously take', 'probing device', 'near zone', 'linear operator', 'incident waves', 'electrodynamic interaction', 'distributor circuit', 'approximate method', 'antenna system', 'antenna array', 'amplitude distribution']</t>
  </si>
  <si>
    <t>The effects of the interaction between the probing device and an antenna system consisting of an antenna array and a distributor circuit are investigated. A linear operator is constructed which, from the responses of an amplitude-phase-meter probe placed in the near zone of the antenna array, can uniquely establish the complex-amplitude distribution of the incident waves in the feeders of its radiators, and rigorously take into account the electrodynamic interaction between the probe and the antenna system. An estimate is made of the error of an approximate method of establishing the amplitude distribution, which ignores the interaction between the probe and the antenna system.</t>
  </si>
  <si>
    <t>14-20</t>
  </si>
  <si>
    <t>6602712814;7202284570</t>
  </si>
  <si>
    <t>Guzeev, I. V.;Demidov, V. V.</t>
  </si>
  <si>
    <t>Guzeev I.</t>
  </si>
  <si>
    <t>LONG DISTANCE PROBING OF THE FIELD IN THE RADIATOR FEEDERS OF A MULTIELEMENT ANTENNA SYSTEM TAKING INTO ACCOUNT ITS INTERACTION WITH THE PROBING DEVICE.</t>
  </si>
  <si>
    <t>2-s2.0-0021603362</t>
  </si>
  <si>
    <t>['using phase', 'system could', 'sound broadcasting', 'shadow effects', 'satellite e', 'satellite antennas', 'receiver comprises', 'operating frequency', 'locations corresponding', 'inexpensive fixed', 'frequency errors', 'direct reception', 'different coverages', 'building attenuation', '5 degree', '5 channels', '45 degree', '20 degree']</t>
  </si>
  <si>
    <t>Considering various technical factors such as operating frequency, polarization, different coverages for equatorial and high latitude locations, building attenuation and shadow effects at 20 and 45 degree elevation, it has been demonstrated that the sound broadcasting-satellite system intended for direct reception by the inexpensive fixed or portable home receiver (not mobile) is feasible. Such a system could be realized with 80 or 150 w transmitting power, 3. 11 or 7 m satellite antennas, 1. 3 or 2. 5 kw primary power (overall efficiency 30%) for 5 channels, respectively, 4. 5 degree 33 4. 5 degree or 2 degree multiplied by 2 degree satellite coverage and locations corresponding to angles of elevation of 45 degree and 20 degree . The receiver comprises a 10 db gain helix antenna, 6 db noise figure front end and is compatible with existing FM terrestrial receivers. The economy in satellite e. i. r. p. is achieved by using phase-lock loop demodulation and the receiver is further simplified by compensation of frequency errors at the transmitting earth station.</t>
  </si>
  <si>
    <t>645-649</t>
  </si>
  <si>
    <t>60023345;60023345</t>
  </si>
  <si>
    <t>6701476838;7101933415</t>
  </si>
  <si>
    <t>Arora, Om Prakash;Narayanan, K.</t>
  </si>
  <si>
    <t>Arora O.P.</t>
  </si>
  <si>
    <t>SOUND BROADCASTING-SATELLITE SYSTEM FOR A NATIONAL COVERAGE IN DEVELOPING COUNTRIES.</t>
  </si>
  <si>
    <t>2-s2.0-0021607442</t>
  </si>
  <si>
    <t>['one meter', 'covering 20', '500 mhz', '1000 mhz']</t>
  </si>
  <si>
    <t>The Active Receiving Dipole HE202 for the frequency range 200 to 1000 MHz is only about half a meter in length, and the HE302, covering 20 to 500 MHz, has a length of one meter. These antennas feature high sensitivity, constant directional patterns, a constantly low noise figure, low nonlinear distortions and optimized, frequency-dependent electronic gain for a maximum dynamic range.</t>
  </si>
  <si>
    <t>21-23</t>
  </si>
  <si>
    <t>35851626600;6503853312</t>
  </si>
  <si>
    <t>Demmel, Franz;Steghafner, Herbert</t>
  </si>
  <si>
    <t>Demmel F.</t>
  </si>
  <si>
    <t>ACTIVE VHF-UHF RECEIVING DIPOLES HE202 AND HE302.</t>
  </si>
  <si>
    <t>2-s2.0-0021607484</t>
  </si>
  <si>
    <t>['signal distribution', 'relevant current', 'phased arrays', 'paper considers', 'higher performance', 'critical areas', 'array elements', 'array assume']</t>
  </si>
  <si>
    <t>As phased array antennas become more cost effective following the development of higher performance, lower cost microwave components for the array elements, so the problems of signal distribution to the array assume a greater relative importance. This paper considers the suitability of optical fiber techniques for signal distribution in phased arrays. The critical areas are highlighted and a number of promising techniques analyzed with reference to typical radar parameters. Relevant current and future work within the GEC Research Laboratories is described.</t>
  </si>
  <si>
    <t>60032139;60032139</t>
  </si>
  <si>
    <t>6701672464;7403423158</t>
  </si>
  <si>
    <t>Wallington, J. R.;Griffin, J. M.</t>
  </si>
  <si>
    <t>Wallington J.</t>
  </si>
  <si>
    <t>OPTICAL TECHNIQUES FOR SIGNAL DISTRIBUTION IN PHASED ARRAYS.</t>
  </si>
  <si>
    <t>2-s2.0-0021607578</t>
  </si>
  <si>
    <t>['wide bandwidth', 'two devices', 'system designer', 'small size', 'signal distribution', 'paper considers', 'optical techniques', 'optical fibers', 'integrated optics', 'increasing importance', 'electromagnetic interference']</t>
  </si>
  <si>
    <t>Optical techniques for signal distribution in phased array antennas are of increasing importance as the trend towards higher system operating frequencies reduces the back-plane area available for each element. The small size, wide bandwidth and immunity to electromagnetic interference of optical fibers are attractive to the system designer. A number of key components need to be developed, however, before these methods can be used at X-band and above. This paper considers the role of integrated optics in such systems, and discusses the potential of two devices: the travelling wave electrooptic modulator, and the equiphase power splitter.</t>
  </si>
  <si>
    <t>76-81</t>
  </si>
  <si>
    <t>Parsons, N. J.</t>
  </si>
  <si>
    <t>Parsons N.J.</t>
  </si>
  <si>
    <t>INTEGRATED OPTICAL COMPONENTS FOR PHASED ARRAYS.</t>
  </si>
  <si>
    <t>2-s2.0-0021608196</t>
  </si>
  <si>
    <t>['resonant length', 'radiation pattern', 'printed dipole', 'present formulation', 'moment method', 'integral form', 'input impedance', 'infinite substrate', 'generalized impedance', 'current distributions', 'accurate determination']</t>
  </si>
  <si>
    <t>The printed dipole on a semi-infinite substrate is investigated. The solution is based on the moment method in the Fourier transform domain. The generalized impedance can be expressed in rapidly converging infinite-integral form, allowing the accurate determination of the current distributions. Using the present formulation, the input impedance, resonant length, and radiation pattern for printed dipole are calculated.</t>
  </si>
  <si>
    <t>89-104</t>
  </si>
  <si>
    <t>Bulletin of the University of Osaka Prefecture, Series A Engineering and Natural Sciences</t>
  </si>
  <si>
    <t>INPUT IMPEDANCE AND RADIATION FIELDS OF A PRINTED-DIPOLE ON A SEMI-INFINITE SUBSTRATE.</t>
  </si>
  <si>
    <t>2-s2.0-0021608619</t>
  </si>
  <si>
    <t>['widely used', 'scattering matrix', 'obtain expressions', 'matrix methods']</t>
  </si>
  <si>
    <t>Matrix methods, which are easy to evaluate on a computer, are widely used to investigate and optimize antenna arrays. In this communication we obtain expressions for the elements of the scattering matrix of an antenna array taking the losses in the radiators into account.</t>
  </si>
  <si>
    <t>Tokarskii, P. L.</t>
  </si>
  <si>
    <t>Tokarskii P.</t>
  </si>
  <si>
    <t>SCATTERING MATRIX OF AN ANTENNA ARRAY WITH JOULE LOSSES IN THE RADIATORS.</t>
  </si>
  <si>
    <t>2-s2.0-0021609854</t>
  </si>
  <si>
    <t>['scanning angles', 'polarization characteristics', 'numerical investigation', 'geometrical dimensions', 'frequency band', 'characteristics depend', 'antenna array']</t>
  </si>
  <si>
    <t>The results of a numerical investigation of the impedance and polarization characteristics of a single-channel circularly polarized printed radiator in an antenna array are described. It is shown that these characteristics depend on the geometrical dimensions of the radiator. The possibility of optimizing the characteristics over a frequency band and within the sector of scanning angles is pointed out.</t>
  </si>
  <si>
    <t>49-52</t>
  </si>
  <si>
    <t>7202667195;7801353051</t>
  </si>
  <si>
    <t>Filippov, V. S.;Shatokhin, B. V.</t>
  </si>
  <si>
    <t>CHARACTERISTICS OF CIRCULARLY POLARIZED PRINTED RADIATORS IN A PLANAR PHASED ANTENNA ARRAY.</t>
  </si>
  <si>
    <t>2-s2.0-0021610313</t>
  </si>
  <si>
    <t>['variational method', 'present paper', 'fourier components', 'formulas describing', 'final result', 'expression obtained', 'experimental data', 'dipole parameters', 'computations using', 'comprehend formulas', 'application purposes']</t>
  </si>
  <si>
    <t>The purpose of the present paper is to solve the problem of excitation of a nonideally conducting dipole by a plane electromagnetic wave, leading to formulas describing the dipole parameters that are convenient for application purposes. The expression obtained here for the effective scattering surface of a nonideally conducting dipole shows quite excellent agreement with experimental data. Moreover, the results of computations using the simple formulas obtained by means of perturbation theory agree well with the results of the variational method and the method of expanding in terms of Fourier components, where the final result is expressed by more cumbersome and difficult-to-comprehend formulas.</t>
  </si>
  <si>
    <t>114-115</t>
  </si>
  <si>
    <t>Filimonov, A. A.</t>
  </si>
  <si>
    <t>Filimonov A.</t>
  </si>
  <si>
    <t>EXCITATION OF A NONIDEALLY CONDUCTING DIPOLE OF FINITE LENGTH.</t>
  </si>
  <si>
    <t>2-s2.0-0021610844</t>
  </si>
  <si>
    <t>['sufficiently developed', 'quantitative description', 'discussed earlier', 'date developments', 'analytical solution', 'acoustic turbulence']</t>
  </si>
  <si>
    <t>The progress of the theory of ion-acoustic turbulence (IAT), made possible by an analytical solution of the fundamental kinetic equations, gave a quantitative description of numerous physical phenomena. Some of these phenomena were discussed earlier, but could not be analyzed in detail because the theory of IAT was not sufficiently developed. The present note presents theoretical results for the response of an antenna to a field of plasma with developed IAT using up-to-date developments in the theory of IAT.</t>
  </si>
  <si>
    <t>Soviet Physics - Lebedev Institute Reports (English Translation of Sbornik Kratkie Soobshcheniya p</t>
  </si>
  <si>
    <t>7201852128;7102226433</t>
  </si>
  <si>
    <t>Kovalev, V. F.;Silin, V. P.</t>
  </si>
  <si>
    <t>Kovalev V.</t>
  </si>
  <si>
    <t>RESPONSE OF ANTENNA TO THE FIELD OF ION-ACOUSTIC TURBULENCE OF PLASMA.</t>
  </si>
  <si>
    <t>2-s2.0-0021611418</t>
  </si>
  <si>
    <t>['zero g', 'structural design', 'preliminary investigation', 'precise near', 'pattern testing', 'mechanical design', 'heavy machinery', 'field measurements', 'challenging near', 'antenna systems', 'antenna system', 'accurately move', '60 ghz']</t>
  </si>
  <si>
    <t>A large very precise near-field planar scanner has been proposed for NASA Lewis Research Center. This scanner would permit near-field measurements over a horizontal scan plane measuring 18. 3 m by 18. 3 m. Large aperture antennas mounted with antenna boresight vertical could be tested up to 60 GHz. When such a large near field scanner is used for pattern testing, the antenna or antenna system under test does not have to be moved. Hence, such antennas and antenna systems can be positioned and supported to simulate their configuration in zero g. Thus, very large and heavy machinery that would be needed to accurately move the antennas can be avoided. A preliminary investigation has been undertaken to address the mechanical design of such a challenging near-field antenna scanner. The configuration, structural design and results of a parametric NASTRAN structural optimization analysis are contained in this report.</t>
  </si>
  <si>
    <t>7202512629;6507541798;6507880763</t>
  </si>
  <si>
    <t>Sharp, G. Richard;Trimarchi, Paul A.;Wanhainen, Joyce S.</t>
  </si>
  <si>
    <t>Sharp G.</t>
  </si>
  <si>
    <t>STRUCTURAL DESIGN OF A VERTICAL ANTENNA BORESIGHT 18. 3- BY 18. 3-m PLANAR NEAR-FIELD ANTENNA MEASUREMENT SYSTEM.</t>
  </si>
  <si>
    <t>2-s2.0-0021613650</t>
  </si>
  <si>
    <t>['vertical motion', 'support near', 'summary data', 'special emphasis', 'scan plane', 'resulting accuracy', 'repeatable horizontal', 'rail alignment', 'probe tip', 'probe positioning', 'probe cart', 'precise 6', 'plane described', 'planar near', 'phase data', 'field scanner', 'field measurements', 'discrete points', 'dimensional stability', 'design phase']</t>
  </si>
  <si>
    <t>A very precise 6. 7- by 6. 7-m planar near-field scanner has recently become operational at the NASA Lewis Research Center. The scanner acquires amplitude and phase data at discrete points over a vertical rectangular grid. During the design phase for this scanner, special emphasis was given to the dimensional stability of the structures and the ease of adjustment of the rails that determine the accuracy of the scan plane. A laser measurement system is used for rail alignment and probe positioning. This has resulted in very repeatable horizontal and vertical motion of the probe cart and hence precise positioning in the plane described by the probe tip. The resulting accuracy will support near-field measurements at 60 GHz without corrections. Subsystem design including laser, electronic and mechanical and their performance is described. Summary data are presented on the scan plane flatness and environmental temperature stability.</t>
  </si>
  <si>
    <t>60026717;60026717;60026717;60026717;60026717</t>
  </si>
  <si>
    <t>7202512629;6507285114;6701808541;6506178908;57213912968</t>
  </si>
  <si>
    <t>Sharp, G. R.;Zakrajsek, R. J.;Kunath, R. R.;Raquet, C. A.;Alexovich, R. W.</t>
  </si>
  <si>
    <t>CHARACTERISTICS AND CAPABILITIES OF THE NASA LEWIS RESEARCH CENTER HIGH PRECISION 6. 7- BY 6. 7-m PLANAR NEAR-FIELD SCANNER.</t>
  </si>
  <si>
    <t>2-s2.0-0021613960</t>
  </si>
  <si>
    <t>['multibeam antennas', 'main features', 'forming circuits']</t>
  </si>
  <si>
    <t>The main features of the design and arrangement of planar distributing devices and pattern-forming circuits for multibeam antennas are considered. Calculated frequency characteristics of a planar Butler matrix and of a checkerboard circuit constructed using microstrip transmission lines for an eight-element antenna array are given.</t>
  </si>
  <si>
    <t>45-48</t>
  </si>
  <si>
    <t>7005226160;6602444693</t>
  </si>
  <si>
    <t>Blokhina, N. A.;Mishustin, B. A.</t>
  </si>
  <si>
    <t>Blokhina N.</t>
  </si>
  <si>
    <t>DESIGN OF PLANAR BEAM-SHAPING CIRCUITS.</t>
  </si>
  <si>
    <t>2-s2.0-0021621508</t>
  </si>
  <si>
    <t>['triple open', 'search radar', 'paper describes', 'main antenna', 'jamming power', 'high prf', '25 db']</t>
  </si>
  <si>
    <t>This paper describes the construction and operation of a triple open-loop interference canceller for a high PRF, high rotation rate, search radar. Experimental results show that a reduction in jamming power of up to 25 db can be achieved when countering the effects of one, two or three jammers present in the sidelobes of the main antenna, without significantly affecting target detection. The results also show substantial benefits even with strong main beam jamming.</t>
  </si>
  <si>
    <t>37-41</t>
  </si>
  <si>
    <t>MULTIPLE OPEN-LOOP INTERFERENCE CANCELLER FOR A ROTATING SEARCH RADAR.</t>
  </si>
  <si>
    <t>2-s2.0-0021622478</t>
  </si>
  <si>
    <t>['region extending', 'local value']</t>
  </si>
  <si>
    <t>coherent scattering | hybrid waves | microwaves | plasma heating density fluctuations</t>
  </si>
  <si>
    <t>The scattering of 2 mm radiation by the density fluctuation associated with lower hybrid waves is used to localize the injected waves within a cross-section of the plasma. A translating antenna setup scores a region extending from the center of the plasma to the boundary with two fixed scattering angles. The measured amplitudes allow one to determine the local value of certain spectral components of n" in the plasma. ¬© 1984 Plenum Publishing Corporation.</t>
  </si>
  <si>
    <t>1543-1569</t>
  </si>
  <si>
    <t>60011447;60025160;60005040;60005040</t>
  </si>
  <si>
    <t>6602741172;7101839268;6602738436;6603873865</t>
  </si>
  <si>
    <t>Ichtchenko, G.;O'Connor, W. P.;Moresco, M.;Zilli, E.</t>
  </si>
  <si>
    <t>Ireland;France;Italy</t>
  </si>
  <si>
    <t>Cork;Grenoble;Frascati</t>
  </si>
  <si>
    <t>University College Cork;CEA Grenoble;Associazione EURATOM-ENEA sulla Fusione</t>
  </si>
  <si>
    <t>60025160;60011447;60005040</t>
  </si>
  <si>
    <t>Ichtchenko G.</t>
  </si>
  <si>
    <t>Coherent scattering of microwaves by plasma density fluctuations. Application: Observation of lower hybrid waves in wega</t>
  </si>
  <si>
    <t>10.1007/BF01040505</t>
  </si>
  <si>
    <t>2-s2.0-0021626665</t>
  </si>
  <si>
    <t>['succeeds bs', 'remote islands', 'rectangular one', 'possible candidate', 'new type', 'japanese mainland', 'elliptical shape', 'beam antenna', 'antenna gain', 'antenna covers', '39 db', '35 db', '28 db']</t>
  </si>
  <si>
    <t>A new type of shaped-beam antenna has been studied as a possible candidate for the antenna for the next generation Japanese broadcasting satellite which succeeds BS-2, launched January 23, 1984. The studied antenna employs an offset paraboloidal reflector with elliptical shape, an elliptical corrugated horn and a rectangular one. The antenna covers most of the Japanese mainland with antenna gain of more than 39 db, Okinawa with more than 35 db and remote islands with more than 28 db. The sidelobe and cross-polar components radiated outside the service area satisfies the WARC-BS on the basis of power flux density on the earth assuming 200W output power of the transponder.</t>
  </si>
  <si>
    <t>645-652</t>
  </si>
  <si>
    <t>60103907;60103907</t>
  </si>
  <si>
    <t>7005418157;6701717991</t>
  </si>
  <si>
    <t>Toyama, Noboru;Shogen, Kazuyoshi</t>
  </si>
  <si>
    <t>Toyama N.</t>
  </si>
  <si>
    <t>CIRCULARLY POLARIZED SHAPED-BEAM ANTENNA FOR BROADCASTING SATELLITES.</t>
  </si>
  <si>
    <t>2-s2.0-0021627321</t>
  </si>
  <si>
    <t>['whose bandwidth', 'well known', 'periodic antennas', 'operating principle', 'obtain frequency', 'microwave devices', 'logarithmic periodicity', 'independent characteristics', 'backward wave', 'backward radiation', 'author considers']</t>
  </si>
  <si>
    <t>The operating principle of log-periodic antennas, whose bandwidth is, in principle, unlimited, can be extended to microwave devices. To obtain frequency-independent characteristics, in addition to the principle of logarithmic periodicity, the conditions for a backward wave to exist in the structure, which is well known in the theory of log-periodic antennas as the principle of backward radiation or the 'cutoff' principle, must be satisfied. The author considers a device in which both these principles are satisfied.</t>
  </si>
  <si>
    <t>71-73</t>
  </si>
  <si>
    <t>Yatskevich, V. A.</t>
  </si>
  <si>
    <t>Yatskevich V.</t>
  </si>
  <si>
    <t>BROADBAND MICROWAVE DEVICE BASED ON A LOG-PERIODIC STRUCTURE.</t>
  </si>
  <si>
    <t>2-s2.0-0021627458</t>
  </si>
  <si>
    <t>['using green', 'radiation characteristics', 'radiating devices', 'particularly suitable', 'enables us', 'brief account']</t>
  </si>
  <si>
    <t>This brief account of an investigation of the radiation of a microstrip antenna confirms the possibilities of using Green's functions and its universality. The components of Green's functions can also be written for Floquet channels containing layered dielectrics, which enables us to investigate the radiation characteristics of linear and two-dimensional phased antenna arrays. This method is particularly suitable for investigating volume integrated circuits containing both wave-guiding and radiating devices.</t>
  </si>
  <si>
    <t>59-62</t>
  </si>
  <si>
    <t>Panchenko, B. A.</t>
  </si>
  <si>
    <t>Panchenko B.</t>
  </si>
  <si>
    <t>GREEN'S FUNCTIONS IN THE THEORY OF MICROSTRIP ANTENNAS.</t>
  </si>
  <si>
    <t>2-s2.0-0021627460</t>
  </si>
  <si>
    <t>['widely used', 'various areas', 'radio methods', 'radio hygrometer', 'natural resources', 'natural media', 'national economy', 'antenna system', 'agricultural aircraft', '2 cm', '18 cm']</t>
  </si>
  <si>
    <t>Radio methods are widely used to investigate the natural resources of the earth. The results of an investigation of natural media from the nature of the natural radio waves has shown that it is possible to use such methods in various areas of the national economy, particularly in agriculture. An example of such a method is the radio hygrometer in the 2 cm, 18 cm, and 30 cm bands, for installation on agricultural aircraft. Certain specific requirements are imposed on the antenna system which is fastened to the fuselage of the aircraft, namely, minimum aerodynamic resistance, and stability to vibrations and overloading. In addition, for the antenna system of a radio hygrometer it is important that there should be the minimum possible losses (since the sensitivity and temperature contrast depend on these) and there should be no sidelobes oriented along the horizontal. These requirements are satisfied by a specially developed antenna described in the paper.</t>
  </si>
  <si>
    <t>88-89</t>
  </si>
  <si>
    <t>23993993200;7004451355;6701772560</t>
  </si>
  <si>
    <t>Knyazev, S. T.;Nefedov, E. I.;Panchenko, B. A.</t>
  </si>
  <si>
    <t>Knyazev S.T.</t>
  </si>
  <si>
    <t>MICROSTRIP ANTENNA FOR A MULTICHANNEL RADIOMETER.</t>
  </si>
  <si>
    <t>2-s2.0-0021629759</t>
  </si>
  <si>
    <t>['uv observations', 'ultraviolet photographs', 'travel aloft', 'stabilized planet', 'several months', 'scanners made', 'perihelion phase', 'particular interest', 'observe halley', 'nec corporation', 'march 8', 'least one', 'isas specialists', 'immediate post', 'final preparations', 'diameter tracking', 'detecting ccd', 'completed 64', 'comet early', 'closest approach', 'august 14', 'astronautical science', '70 cm', '000 km']</t>
  </si>
  <si>
    <t>Professors at the Institute of Space and Astronautical Science (ISAS) in Japan are completing the final preparations for their first interplanetary probes, a pair of spacecraft that will observe Halley's comet early in 1986. Three major new projects support the missions: an upgraded launch vehicle, a new launch building at the Kagoshima Space Centre and a newly-completed 64 m diameter tracking, telemetry and command dish antenna. The main Japanese probe, 'Planet-A,' is scheduled to make its closest approach to the comet on March 8, 1986. The spin-stabilized Planet-A, 1. 4 m in diameter and 70 cm in height, is scheduled to travel aloft on August 14, 1985, several months after the launching of a test probe MS-T5. Planet-A will approach to within approximately 2-3 million km of the comet, though at least one of the more optimistic senior professors is confident that a distance of 200,000 km is possible. It will obtain a series of ultraviolet photographs of the hydrogen cloud using image-detecting CCD (charge coupled device) scanners made by the NEC Corporation. UV observations during the comet's immediate post-perihelion phase are of particular interest to ISAS specialists.</t>
  </si>
  <si>
    <t>467-468</t>
  </si>
  <si>
    <t>Davis, Neil W.</t>
  </si>
  <si>
    <t>Davis N.W.</t>
  </si>
  <si>
    <t>JAPAN'S HALLEY PROBES.</t>
  </si>
  <si>
    <t>2-s2.0-0021631360</t>
  </si>
  <si>
    <t>['time obtain', 'time compared', 'radiation pattern', 'problems also', 'nonequidistant systems', 'method considered', 'initial function', 'fair degree', 'equidistant system', 'directivity factor', 'direct calculations', 'considerable saving', 'calculate approximately']</t>
  </si>
  <si>
    <t>When calculating the radiation pattern of nonequidistant systems of radiators it is not possible to use the fast Fourier transform method directly. However, by using the method considered in this paper, it is possible to use the fast Fourier transform, and one can calculate approximately, but with a fair degree of accuracy, the values of the directivity factor, and at the same time obtain a considerable saving in time compared with the direct calculations. The fast Fourier transform can be used not only to calculate radiation patterns, but in many other problems also, where the initial function is specified by an equidistant system of readings.</t>
  </si>
  <si>
    <t>77-79</t>
  </si>
  <si>
    <t>55168098300;6504364664</t>
  </si>
  <si>
    <t>Danilenko, A. I.;Kischenkov, M. O.</t>
  </si>
  <si>
    <t>Danilenko A.</t>
  </si>
  <si>
    <t>METHOD FOR THE RAPID CALCULATION OF THE RADIATION PATTERNS OF NONEQUIDISTANT SYSTEMS OF RADIATORS.</t>
  </si>
  <si>
    <t>2-s2.0-0021636210</t>
  </si>
  <si>
    <t>['two co', 'transfer power', 'taper analyses', 'rectenna trade', 'possible uses', 'possible applications', 'orbiting satellites', 'orbital considerations', 'microwave system']</t>
  </si>
  <si>
    <t>The use of low-earth-orbit microwave transmission systems to transfer power between two co-orbiting satellites is investigated. A microwave system with a 20 m antenna and 30 m rectenna over a 5-10 km operating range could have possible applications for transmitting 100 kW of power. Antenna/rectenna trade-off sizings, taper analyses, orbital considerations, and possible uses are discussed.</t>
  </si>
  <si>
    <t>137-155</t>
  </si>
  <si>
    <t>Space Power</t>
  </si>
  <si>
    <t>60016296;60016296</t>
  </si>
  <si>
    <t>7004987262;6602981953</t>
  </si>
  <si>
    <t>Arndt, G. D.;Kerwin, E. M.</t>
  </si>
  <si>
    <t>Arndt G.</t>
  </si>
  <si>
    <t>APPLICATIONS OF LOW-EARTH-ORBIT POWER TRANSMISSION.</t>
  </si>
  <si>
    <t>2-s2.0-0021649342</t>
  </si>
  <si>
    <t>['transmitting antenna', 'remaining problems', 'conceptual design', 'beaming power']</t>
  </si>
  <si>
    <t>A number of remaining problems in the conceptual design of the transmitting antenna for the Solar Power Satellite have been solved as a result of additional technology development. Much of the technology was derived from the conceptual design of a ground-based transmitting antenna for beaming power to a high altitude airship or airplane.</t>
  </si>
  <si>
    <t>123-135</t>
  </si>
  <si>
    <t>Brown, William C.</t>
  </si>
  <si>
    <t>Brown W.</t>
  </si>
  <si>
    <t>UPDATE ON THE SOLAR POWER SATELLITE TRANSMITTER DESIGN.</t>
  </si>
  <si>
    <t>2-s2.0-0021656249</t>
  </si>
  <si>
    <t>577-579</t>
  </si>
  <si>
    <t>Acta Physiologica Polonica</t>
  </si>
  <si>
    <t>Kozlowski, M. W.</t>
  </si>
  <si>
    <t>Poland</t>
  </si>
  <si>
    <t>Warsaw</t>
  </si>
  <si>
    <t>Szko≈Ça G≈Ç√≥wna Gospodarstwa Wiejskiego</t>
  </si>
  <si>
    <t>Kozlowski M.</t>
  </si>
  <si>
    <t>Selective responsiveness of the antennal olfactory system in the cabbage seed weevil, Ceutorhynchus assimilis towards host plant volatiles</t>
  </si>
  <si>
    <t>2-s2.0-0021659461</t>
  </si>
  <si>
    <t>['structure considered', 'semiconductor transducers', 'resonance frequencies', 'periodic array', 'metal bars', 'frequency characteristics', 'electrodynamic coupling', 'dispersion equation', 'dielectric inserts']</t>
  </si>
  <si>
    <t>An open-type filter based on a periodic array of metal bars of rectangular cross section with wave-guiding channels filled with dielectric inserts is analyzed. Solutions are obtained for determining the amplitude-frequency characteristics, and the dispersion equation for the resonance frequencies, the electrodynamic coupling between the dielectric inserts is investigated, and recommendations are made on optimizing the passband. It is shown that the structure considered can effectively provide frequency-resonance and bandpass field selection, and can operate as a matched phased array in the radiation or reception mode together with semiconductor transducers.</t>
  </si>
  <si>
    <t>6505945421;6602624705</t>
  </si>
  <si>
    <t>Vodolazhenko, A. V.;Kazanskii, V. B.</t>
  </si>
  <si>
    <t>Vodolazhenko A.</t>
  </si>
  <si>
    <t>DIELECTRIC GRATING BANDPASS FILTERS.</t>
  </si>
  <si>
    <t>2-s2.0-0021660531</t>
  </si>
  <si>
    <t>['several beams', 'possible method', 'phase errors', 'optimized simultaneously', 'optimized beams', 'noise ratio', 'noise level', 'forming circuit', 'computer simulation', 'adaptive algorithm', 'adaptation circuit']</t>
  </si>
  <si>
    <t>An adaptation circuit for a multiple-beam antenna array is proposed which enables the signal/noise ratio of the output of several beams to be optimized simultaneously. A possible method of orthogonalizing the optimized beams is described. The effect of amplitude-phase errors of the beam-forming circuit on the residual-noise level is analyzed. The results of a computer simulation of an adaptive algorithm are presented.</t>
  </si>
  <si>
    <t>36-40</t>
  </si>
  <si>
    <t>Novikov, V. I.</t>
  </si>
  <si>
    <t>Novikov V.</t>
  </si>
  <si>
    <t>ADAPTIVE MULTIPLE-BEAM ANTENNA ARRAY.</t>
  </si>
  <si>
    <t>2-s2.0-0021660828</t>
  </si>
  <si>
    <t>1085-1093</t>
  </si>
  <si>
    <t>Skobelev, S. P.</t>
  </si>
  <si>
    <t>Skobelev S.</t>
  </si>
  <si>
    <t>Analysis and synthesis of a modulated rooded structure excited by electric and magnetic currents</t>
  </si>
  <si>
    <t>10.1007/BF01039223</t>
  </si>
  <si>
    <t>2-s2.0-0021663170</t>
  </si>
  <si>
    <t>['¬© 1984', 'telephony equipment', 'rights reserved', 'radio operator', 'radio officers', 'minimum distance', 'measurement location', 'least 0', 'hf transmitters', 'francis group', 'five measurements', 'field measurements', 'ansi c95', '400 khz', '1200 w']</t>
  </si>
  <si>
    <t>Exposure of radio officers to radio frequency radiation from telegraphy and telephony equipment on ships was investigated. Eighy-five measurements were made of 12 radio transmitters operating in the 400 kHz to 25 MHz range (power up to 1200 W) and three VHF telephony transmitters in the 150 MHz band. Field measurements were made at positions normally occupied by radio officers approximately 1 m, 0.5m and 0.25 m from the antenna feed lines. The distance between the radio operator and the measurement location was at least 0.5 m. The ratio of the electric and magnetic field strength squared (MF and HF transmitters) to ANSI C95.1-1982 radio frequency protection guides ranged from 0.001 to 0.26 (geometric mean 0.02) at the location of the seated radio officer's head. A minimum distance of 0.5 m between antenna feed lines and personnel is recommended. This would normally ensure an exposure below the ANSI safety levels. ¬© 1984, Taylor &amp; Francis Group, LLC. All rights reserved.</t>
  </si>
  <si>
    <t>791-795</t>
  </si>
  <si>
    <t>American Industrial Hygiene Association Journal</t>
  </si>
  <si>
    <t>Skotte, Jorgen</t>
  </si>
  <si>
    <t>Det Nationale Forskningscenter for Arbejdsmilj√∏</t>
  </si>
  <si>
    <t>Skotte J.</t>
  </si>
  <si>
    <t>Exposure of Radio Officers to Radio Frequency Radiation on Danish Merchant Ships</t>
  </si>
  <si>
    <t>10.1080/15298668491400656</t>
  </si>
  <si>
    <t>2-s2.0-0021684715</t>
  </si>
  <si>
    <t>['strongly bound', 'red algae', 'quite different', 'orthorhombic crystals', 'observations indicate', 'enantiomorphic p3221', 'crystals reported', 'crystal forms', 'chroomonas species', 'asymmetric units']</t>
  </si>
  <si>
    <t>Chroomonas | Cryptomonad biliprotein | Crystallization | Phycocyanin-645 | Protein crystallography | X-ray diffraction</t>
  </si>
  <si>
    <t>The water-soluble antenna chromoprotein phycocyanin-645 from a Chroomonas species (Cryptophyceae) has been crystallized. X-ray precession photographs prove space groups P3121 (or the enantiomorphic P3221) for the trigonal and P212121 for the orthorhombic crystals. Density measurements indicate that the asymmetric units of these crystals contain three or two heterotetrameric units (Œ±Œ¨Œ≤2), respectively. The packing of both crystal forms is quite different to that of any other crystals reported so far for phycobiliproteins of blue-green and red algae. The cationic detergent benzalkonium chloride (BAC) is strongly bound in the crystals. Both observations indicate a considerable membrane affinity and a unique association behaviour of the phycobiliproteins from cryptomonads. ¬© 1984 Springer-Verlag.</t>
  </si>
  <si>
    <t>202-205</t>
  </si>
  <si>
    <t>60012556;60012556;60006070;60006070</t>
  </si>
  <si>
    <t>6505695926;6701797914;57217367964;7101803636</t>
  </si>
  <si>
    <t>Morisset, Walter;Wehrmeyer, Werner;Schirmer, Tilman;Bode, Wolfram</t>
  </si>
  <si>
    <t>Marburg;Planegg</t>
  </si>
  <si>
    <t>Philipps-Universit√§t Marburg;Max Planck Institute for Biochemistry</t>
  </si>
  <si>
    <t>60012556;60006070</t>
  </si>
  <si>
    <t>Morisset W.</t>
  </si>
  <si>
    <t>Crystallization and preliminary x-ray diffraction data of the cryptomonad biliprotein phycocyanin-645 from a Chroomonas spec.</t>
  </si>
  <si>
    <t>10.1007/BF00454927</t>
  </si>
  <si>
    <t>2-s2.0-0021688545</t>
  </si>
  <si>
    <t>['plasma formation', 'nonsteady stage', 'developed scheme', '5 transmitters', '20 detectors']</t>
  </si>
  <si>
    <t>It is shown that the nonsteady stage of plasma formation in the trail of an extensive atmospheric shower at energies 10**1**9-10**2**0 ev can be studied by a high-precision phase interferometer at frequencies of the order 100 MHz. The developed scheme of the interferometer (5 transmitters, 20 detectors) makes it possible, in principle, to go to energies 5 multiplied by (times) 10**2**0 ev.</t>
  </si>
  <si>
    <t>43-47</t>
  </si>
  <si>
    <t>60031546;60031546;60031546</t>
  </si>
  <si>
    <t>57197167594;6701496578;6603564538</t>
  </si>
  <si>
    <t>Gusev, G. A.;Dedenko, L. G.;Zheleznykh, I. M.</t>
  </si>
  <si>
    <t>Institute for Nuclear Research of the Russian Academy of Sciences</t>
  </si>
  <si>
    <t>Gusev G.</t>
  </si>
  <si>
    <t>STUDY OF VERY-HIGH-ENERGY COSMIC RAYS (ABOUT 10**2**0 ev) WITH A PHASE INTERFEROMETER.</t>
  </si>
  <si>
    <t>2-s2.0-0021696130</t>
  </si>
  <si>
    <t>['user spacecraft', 'system using', 'small number', 'paper proposes', 'multiple access', 'multibeam antenna', 'key device', 'japanese tracking']</t>
  </si>
  <si>
    <t>The development of a multibeam antenna, a key device for multiple access (MA) link is reported. This paper proposes an MA system using an on-board multibeam array antenna, which provides high transmission efficiency for the Japanese Tracking and Data Relay Satellite System (TSRSS) small number of user spacecraft.</t>
  </si>
  <si>
    <t>47-51</t>
  </si>
  <si>
    <t>Denshi Tokyo</t>
  </si>
  <si>
    <t>60092258;60092258;60092258;60092258;60092258</t>
  </si>
  <si>
    <t>7004285304;7006680804;7006126805;6602281424;7403255038</t>
  </si>
  <si>
    <t>Teshirogi, Tasuku;Chujo, Wataru;Komuro, Hideo;Akaishi, Akira;Hirose, Kozo</t>
  </si>
  <si>
    <t>Koganei</t>
  </si>
  <si>
    <t>Ministry of Posts and Telecommunications, Japan</t>
  </si>
  <si>
    <t>Teshirogi T.</t>
  </si>
  <si>
    <t>DEVELOPMENT OF 19-MULTIBEAM ARRAY ANTENNA FOR DATA RELAY SATELLITE.</t>
  </si>
  <si>
    <t>2-s2.0-0021724338</t>
  </si>
  <si>
    <t>['tuft organ', 'supravital staining', 'sensory hairs', 'sensory cluster', 'sensilla occurring', 'pore organ', 'methylene blue', 'medium types', 'hair plates', 'first time', 'developmental states', 'chordotonal organ', 'campaniform sensilla', 'also described']</t>
  </si>
  <si>
    <t>The sense organs distributed on the antennae of the post-embryonic development stages of P. h. humanus were examined by means of a scanning electron microscope and the method of supravital staining with methylene blue. The innervation of the antenna, and structure and distribution of the chordotonal organ and Johnston's organ are described. For the first time, the campaniform sensilla on the antennae of Anoplura are demonstrated and described, and a division of sensory hairs into long sensory hairs, medium types A and B, and hair plates, is proposed. Also described are the sensory cluster of the antenna, tuft organ and pore organ, these sensilla occurring on the antennae of all developmental states of P. h. humanus.</t>
  </si>
  <si>
    <t>395-404</t>
  </si>
  <si>
    <t>30-43</t>
  </si>
  <si>
    <t>Acta Parasitologica Polonica</t>
  </si>
  <si>
    <t>Szczesna, Z.</t>
  </si>
  <si>
    <t>Gda≈Ñsk</t>
  </si>
  <si>
    <t>Uniwersytet Gdanski</t>
  </si>
  <si>
    <t>Szczesna Z.</t>
  </si>
  <si>
    <t>The sense organs on antennae of Pediculus humanus humanus (L.) (Anoplura, Pediculidae) in post-embryonic development stages</t>
  </si>
  <si>
    <t>2-s2.0-0021729871</t>
  </si>
  <si>
    <t>['use high', 'service simple', 'satellites near', 'satellites must', 'inclination orbits', 'future examination', 'equatorial orbits', 'cost receivers', 'communications needs']</t>
  </si>
  <si>
    <t>To date, it has been assumed that direct sound broadcasts would be made from satellites in equatorial orbits. However, it is proposed that it would be economically more attractive to use high-eccentricity, high-inclination orbits over the northern temperate zones for such services. Direct sound broadcasting will have to service simple, low-cost receivers and antennas that will only function with satellites near the zenith. With this in mind, the performance of 26 MHz broadcasts to extend current international broadcasts and 1500 MHz domestic FM stereo transmissions is examined. It is concluded that such satellites must be considered in any future examination of Canada's communications needs.</t>
  </si>
  <si>
    <t>347-353</t>
  </si>
  <si>
    <t>Canadian Aeronautics and Space Journal</t>
  </si>
  <si>
    <t>Stephenson, D. G.</t>
  </si>
  <si>
    <t>Stephenson D.</t>
  </si>
  <si>
    <t>HIGH LATITUDE SOUND BROADCASTING FROM SATELLITES.</t>
  </si>
  <si>
    <t>2-s2.0-0021730345</t>
  </si>
  <si>
    <t>['vesicle surface', 'thus indicating', 'sucrose buffers', 'sensory hairs', 'petri dish', 'membrane pellet', 'membrane isolation', 'maximal density', 'hair fragments', 'glass beads', 'differential adhesion', 'dendritic membrane', 'antheraea polyphemus', '3 nm']</t>
  </si>
  <si>
    <t>chemoreceptive membrane | membrane vesicle | moth (Antheraea polyphemus) | olfactory hairs | surface coat</t>
  </si>
  <si>
    <t>1. Sensory hairs from antennae of male saturniid moths (Antheraea polyphemus) were separated while deep-frozen by shaking antennal branches with glass beads. The hairs were collected through their differential adhesion to the surface of a petri dish. The yield, determined by the length of the isolated hair fragments, was about 38% of the estimated total hair length per antenna. 2. The dendritic membrane was separated from the hair fragments by centrifugation through Sephadex and further purified by ultracentrifugation in sucrose buffers. 3. Transmission electron microscopy was used to monitor the steps of the hair and membrane isolation and to investigate the membrane pellet. 4. Some membrane vesicles bound cationized ferritin, thus indicating a negatively charged cell surface coat. 5. Negatively stained membrane vesicles exhibited a pattern of repetitive substructures irregularly distributed over the vesicle surface. The units had a diameter of about 3 nm and a maximal density of 30,000/Œºm2. ¬© 1984 Plenum Publishing Corporation.</t>
  </si>
  <si>
    <t>385-396</t>
  </si>
  <si>
    <t>Cellular and Molecular Neurobiology</t>
  </si>
  <si>
    <t>60005460;60005460</t>
  </si>
  <si>
    <t>57198155491;26643587600</t>
  </si>
  <si>
    <t>Klein, Ulla;Keil, Thomas A.</t>
  </si>
  <si>
    <t>Klein U.</t>
  </si>
  <si>
    <t>Dendritic membrane from insect olfactory hairs: Isolation method and electron microscopic observations</t>
  </si>
  <si>
    <t>10.1007/BF00733599</t>
  </si>
  <si>
    <t>2-s2.0-0021733145</t>
  </si>
  <si>
    <t>['free space', 'evanescent waves', 'electrons moving', 'diffraction gratings', 'curved paths', 'cherenkov radiation']</t>
  </si>
  <si>
    <t>The properties of plane electromagnetic waves in free space, and evanescent waves which can exist near planar boundaries are discussed in detail, and their physical characteristics compared. The discussion is then generalised to other configurations, and with the help of Fourier synthesis several problems are considered from a unified physical viewpoint. Topics covered include particle accelerators, antennas, diffraction gratings, the radiation from curved surface guides, from atoms, from electrons moving in curved paths and Cherenkov radiation.</t>
  </si>
  <si>
    <t>104-111</t>
  </si>
  <si>
    <t>European Journal of Physics</t>
  </si>
  <si>
    <t>Lawson, J. D.</t>
  </si>
  <si>
    <t>Lawson J.D.</t>
  </si>
  <si>
    <t>A synthetic approach to some electromagnetic wave phenomena</t>
  </si>
  <si>
    <t>10.1088/0143-0807/5/2/008</t>
  </si>
  <si>
    <t>2-s2.0-33644990412</t>
  </si>
  <si>
    <t>['theoretical predictions', 'slab model', 'reasonable agreement', 'power coupled', 'plasma loading', 'loading measurements', 'injected plasmas', 'also serves', '500 kw', '50 ev', '3 plasma', '3 mhz', '1012 cm', '10 ms']</t>
  </si>
  <si>
    <t>Ion cyclotron resonance heating has been investigated, both experimentally and theoretically, on the Wisconsin Levitated Octupole. Heating of both ions and electrons has been observed. Typically, a two component ion energy distribution is produced (300 and 50 eV) with 500 kW of r.f. power coupled into a 5*1012 cm-3 plasma. Power is coupled to the plasma with an antenna that also serves as the inductor of an oscillator tank circuit. The oscillator is tunable from 1 to 3 MHz and can be applied for periods up to 10 ms. The experiments were performed with hydrogen, gun-injected plasmas. Most of the theoretical work presented deals with a calculation that predicts the plasma loading. A slab model is used, and the questions of accessibility, polarization and damping of the evanescent radio frequency electromagnetic fields are addressed. It is found that cold plasma theory cannot account for the heating, and therefore hot plasma theory is invoked to explain the results. The loading measurements and theoretical predictions are found to be in reasonable agreement.</t>
  </si>
  <si>
    <t>589-602</t>
  </si>
  <si>
    <t>Plasma Physics and Controlled Fusion</t>
  </si>
  <si>
    <t>6603815439;7004365996;7005469624</t>
  </si>
  <si>
    <t>Fortgang, C. M.;Sprott, J. C.;Strait, E. J.</t>
  </si>
  <si>
    <t>Fortgang C.M.</t>
  </si>
  <si>
    <t>Ion cyclotron resonance heating in the Wisconsin levitated octupole</t>
  </si>
  <si>
    <t>10.1088/0741-3335/26/4/001</t>
  </si>
  <si>
    <t>2-s2.0-36149037893</t>
  </si>
  <si>
    <t>['wave fields', 'wave energy', 'similar unless', 'plasma edge', 'mhd equations', 'insulating boundary', 'calculated using', 'btheta field', 'antenna resistance', '1 cm']</t>
  </si>
  <si>
    <t>The first radial eigenmode of a non-axisymmetric compressional wave in a cylindrical plasma surrounded by an insulating boundary has surface wave properties at low to ion cyclotron frequency. These waves are important for Alfven resonance heating because they couple to the spatial Alfven resonance which leads to thermalization of the wave energy. Antenna resistance and wave fields are calculated for a plasma with a temperature sufficiently low that the quasi-electrostatic waves excited at the Alfven resonance undergo strong resistive damping. The antenna resistance is calculated using the MHD equations and compared with the solution of the two fluid equations. The results are similar unless the Alfven resonance lies within about 1 cm of the plasma edge. The two fluid equations show that the btheta field, in particular, is enhanced for several centimetres around the Alfven resonance position. Experiments to test the theory are proposed.</t>
  </si>
  <si>
    <t>769-787</t>
  </si>
  <si>
    <t>60023748;</t>
  </si>
  <si>
    <t>6603704472;7006739882</t>
  </si>
  <si>
    <t>Donnelly, I. J.;Cramer, N. F.</t>
  </si>
  <si>
    <t>Lucas Heights</t>
  </si>
  <si>
    <t>Australian Nuclear Science and Technology Organisation</t>
  </si>
  <si>
    <t>Donnelly I.</t>
  </si>
  <si>
    <t>MHD surface waves in a cylindrical plasma with a spatial density variation</t>
  </si>
  <si>
    <t>10.1088/0741-3335/26/6/001</t>
  </si>
  <si>
    <t>2-s2.0-36149043529</t>
  </si>
  <si>
    <t>['theoretical description', 'slot antenna', 'shaped antenna', 'frequency cut', 'fed directly', 'coupling properties', 'coaxial line']</t>
  </si>
  <si>
    <t>A U-shaped antenna which is integrated in the wall of the Tokamak is proposed for use in the ion cyclotron frequency range. A theoretical description is given of this new launching system which presents no frequency cut-off and can be fed directly from a coaxial line. The coupling properties of this slot antenna are very similar to those of the conventional antenna presently used for ICRH in Tokamaks.</t>
  </si>
  <si>
    <t>525-538</t>
  </si>
  <si>
    <t>60004280;60004280</t>
  </si>
  <si>
    <t>7006450633;7004079277</t>
  </si>
  <si>
    <t>Messiaen, A. M.;Weynants, R. R.</t>
  </si>
  <si>
    <t>Koninklijke Militaire School - Ecole Royale Militaire</t>
  </si>
  <si>
    <t>Messiaen A.</t>
  </si>
  <si>
    <t>Slot excitation without frequency cut-off for ICRH in Tokamaks</t>
  </si>
  <si>
    <t>10.1088/0741-3335/26/3/003</t>
  </si>
  <si>
    <t>2-s2.0-36149045640</t>
  </si>
  <si>
    <t>['small resistivity', 'localized disturbances', 'localized antenna', 'dominant effect']</t>
  </si>
  <si>
    <t>The influence of resistivity on the propagation of axisymmetric shear Alfven waves excited by a localized antenna in a cylindrical nonuniform plasma is discussed. It is shown that the dominant effect of a small resistivity on localized disturbances is the diffusion of the nonuniform wave fields. The result is compared to a recent laboratory experiment.</t>
  </si>
  <si>
    <t>915-920</t>
  </si>
  <si>
    <t>Sy, W. N.C.</t>
  </si>
  <si>
    <t>Canberra</t>
  </si>
  <si>
    <t>The Australian National University</t>
  </si>
  <si>
    <t>Sy W.</t>
  </si>
  <si>
    <t>Influence of resistivity on localized shear Alfven wave propagation in a nonuniform plasma</t>
  </si>
  <si>
    <t>10.1088/0741-3335/26/7/006</t>
  </si>
  <si>
    <t>2-s2.0-4243117269</t>
  </si>
  <si>
    <t>['temperature associated', 'significant decrease', 'rf wave', 'previous results', 'power radiated', 'plasma core', 'metallic ions', 'metallic impurities', 'important influx', 'different materials', 'appreciable fraction', 'antenna generating', '1981 experiments']</t>
  </si>
  <si>
    <t>The efficiency of ICRH in TFR was limited in the 1981 experiments by an important influx of metallic impurities in the plasma core. Using carbon limiters and different materials for the antennas Faraday shield leads to a significant decrease of the metallic impurity content: in contrast with the previous results, the increase of temperature associated with the RF pulse remains now constant for more than 0.1 s. However, the power radiated by the metallic ions at the end of the RF pulse still reaches an appreciable fraction of the total RF power, particularly when using an antenna generating the RF wave from the low magnetic field side of the plasma. This effect is attributed to an interaction of the RF wave with the low density plasma located in the scrape off layer.</t>
  </si>
  <si>
    <t>165-172</t>
  </si>
  <si>
    <t>Adam, J.</t>
  </si>
  <si>
    <t>Adam J.</t>
  </si>
  <si>
    <t>ICRF heating in TFR and the problem of impurity release</t>
  </si>
  <si>
    <t>10.1088/0741-3335/26/1A/315</t>
  </si>
  <si>
    <t>2-s2.0-4644373199</t>
  </si>
  <si>
    <t>['¬© 1985', 'rubrum using', 'room temperature', 'reaction centres', 'chromatophores may', 'bacteriochlorophyll b880', 'absorption spectra', '895 nm', '12th derivatives']</t>
  </si>
  <si>
    <t>The authors have studied the structure of the absorption spectra of the chromatophores and reaction centres in Rh. rubrum using the fourth, eighth and 12th derivatives at room temperature. It is shown that the asymmetry of these derivatives of bacteriochlorophyll B880 of the light collecting antenna of the chromatophores may be explained by the influence of the weak absorption band with a maximum ‚àº-895 nm. ¬© 1985.</t>
  </si>
  <si>
    <t>1045-1047</t>
  </si>
  <si>
    <t>60007457;60007457;60007457</t>
  </si>
  <si>
    <t>6603436020;57193814733;7005152303</t>
  </si>
  <si>
    <t>Razzhivin, A. P.;Sidel'nikov, V. I.;Kharchenko, S. G.</t>
  </si>
  <si>
    <t>Lomonosov Moscow State University</t>
  </si>
  <si>
    <t>Razzhivin A.</t>
  </si>
  <si>
    <t>Measurement of the fourth, eighth and twelfth derivatives of the absorption spectra of the reaction centres and chromatophores of Rhodospirillum rubrum</t>
  </si>
  <si>
    <t>000635098490156X</t>
  </si>
  <si>
    <t>2-s2.0-48749138051</t>
  </si>
  <si>
    <t>['¬© 1984', 'time resolution', 'rise time', 'redox state', 'reaction centers', 'protein complexes', 'fast component', 'excited states', 'excitation energy', 'component kinetics', 'chlorophyll p', 'charge separation', 'bean leaves', 'antenna pigments', 'antenna chlorophylls', '720 nm', '700 photooxidation', '667 nm', '60 ).', '500 ps', '30 ps', '10 ps']</t>
  </si>
  <si>
    <t>(Bean chloroplast) | Charge separation | Energy transfer | Photosystem I | Picosecond spectroscopy | Pigment-protein complex</t>
  </si>
  <si>
    <t>Using a difference picosecond spectrophotometer with a time resolution of 10 ps, we investigated excitation energy transfer and charge separation in pigment-protein complexes of Photosystem I from bean leaves ( chlorophyll P-700 = 60). Under 20 ps excitation at 650 or 667 nm, the difference absorption spectra in the spectral region 600-720 nm were measured. They are associated with transition of antenna chlorophylls into singlet excited states and P-700 photooxidation. It was shown that the excited states in the whole inhomogeneous antenna were generated within 10 ps and deactivated with three-component kinetics, the t 1 e values being 20-45, 100-300 and over 500 ps. Formation of P-700+ has a rise time of 15-30 ps. The fast component of the depletion of the antenna excited states is suggested to be due to transfer of excitation energy from antenna pigments to reaction centers and its trapping. The kinetics of the fast component is independent of excitation energy and a redox state of P-700. ¬© 1984.</t>
  </si>
  <si>
    <t>501-506</t>
  </si>
  <si>
    <t>60007457;60059987;60059987;60007457</t>
  </si>
  <si>
    <t>7006750694;6507483412;6701655918;15049241600</t>
  </si>
  <si>
    <t>Il'ina, Marina D.;Krasauskas, Vitautas V.;Rotomskis, Richardas J.;Borisov, Alexander Yu</t>
  </si>
  <si>
    <t>Il'ina M.</t>
  </si>
  <si>
    <t>Difference picosecond spectroscopy of pigment-protein complexes of photosystem I from higher plants</t>
  </si>
  <si>
    <t>10.1016/0005-2728(84)90048-3</t>
  </si>
  <si>
    <t>2-s2.0-5544254418</t>
  </si>
  <si>
    <t>['¬© 1984', 'specific glomeruli', 'receptor axons', 'postsynaptic activity', 'odor detection', 'lobe interneurons', 'ipsilateral side', 'enhanced uptake', 'drosophila melanogaster', 'contralateral lobe', 'antennal lobes', 'also active']</t>
  </si>
  <si>
    <t>2-deoxyglucose | Drosophila | glomeruli | olfaction | spatial pattern</t>
  </si>
  <si>
    <t>Olfactory stimultion results in an enhanced uptake of [3H]2-deoxyglucose in specific glomeruli in the antennal lobes of Drosophila melanogaster. Unilateral stimulation induces activity in receptor axons and lobe interneurons on the ipsilateral side. Collaterals from the receptor axons to the contralateral lobe are also active but stimulate either weak or no postsynaptic activity. This difference in signal transfer properties could be relevant to odor detection by flies. ¬© 1984.</t>
  </si>
  <si>
    <t>374-378</t>
  </si>
  <si>
    <t>Brain Research</t>
  </si>
  <si>
    <t>60004898;60004898</t>
  </si>
  <si>
    <t>7101600459;55294764000</t>
  </si>
  <si>
    <t>Rodrigues, Veronica;Buchner, Erich</t>
  </si>
  <si>
    <t>Tubingen</t>
  </si>
  <si>
    <t>Max Planck Institute for Biological Cybernetics</t>
  </si>
  <si>
    <t>Rodrigues V.</t>
  </si>
  <si>
    <t>[&lt;sup&gt;3&lt;/sup&gt;H]2-Deoxyglucose mapping of odor-induced neuronal activity in the antennal lobes of Drosophila melanogaster</t>
  </si>
  <si>
    <t>10.1016/0006-8993(84)90053-2</t>
  </si>
  <si>
    <t>2-s2.0-0021647694</t>
  </si>
  <si>
    <t>['ventral cirri', 'third segments', 'tentacular segments', 'segment 3', 'segment 2', 'red eyes', 'punctata spawns', 'polluted oslofjord', 'pelagic larvae', 'ophiodromus flexuosus', 'nereimyra punctata', 'life history', 'larval stages', 'incompletely known', 'important component', 'gyptis rosea', 'growth elapse', 'francis group', 'diagnostic characters', 'developmental stages', 'described based', 'caught planktonic', 'briefly illustrated', 'bottom stage', 'benthic larvae', 'anal cirri', 'adult stage', '5 mm']</t>
  </si>
  <si>
    <t>Nereimyra punctata, which occurs in two colour varieties in the polluted Oslofjord, is an important component of the fauna, but its life history has been incompletely known. The adult stage is briefly illustrated and described to define the diagnostic characters of larvae and juveniles. A series of developmental stages is figured and described based on wild-caught planktonic and benthic larvae. N. punctata spawns in spring, and the pelagic larvae develop transitory setae on the second and third segments (tentacular segments in adults) before they settle on the bottom between April and August. A median prostomial antenna develops early in the bottom stage but is lost in adults. The benthic larvae grow fast and increase from c. 0.5 mm to 2‚Äì3 mm (juveniles) in 4‚Äì6 months. A further 1¬Ω years of growth elapse before spawning takes place. The pelagic larvae can be distinguished from other hesionids by their poorly developed head appendages, red eyes, long dorsal cirri on segment 2, lack of ventral cirri on segment 3 only, and the presence of a projection between the anal cirri. The larval stages of Ophiodromus flexuosus, Gyptis rosea, and Nereimyra punctata are compared. ¬© 1984 Taylor &amp; Francis Group, LLC.</t>
  </si>
  <si>
    <t>169-181</t>
  </si>
  <si>
    <t>60010348;60010348</t>
  </si>
  <si>
    <t>7003744517;56965726200</t>
  </si>
  <si>
    <t>Schram, Thomas A.;Haaland, Bj√∏rg</t>
  </si>
  <si>
    <t>Oslo</t>
  </si>
  <si>
    <t>Universitetet i Oslo</t>
  </si>
  <si>
    <t>Schram T.</t>
  </si>
  <si>
    <t>Larval development and metamorphosis of nereimyra punctata (O.F. m√ºller) (hesionidae, polychaeta)</t>
  </si>
  <si>
    <t>10.1080/00364827.1984.10420603</t>
  </si>
  <si>
    <t>2-s2.0-0001120943</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</si>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</sst>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18" fontId="0" fillId="0" borderId="0" xfId="0" applyNumberFormat="1"/>
    <xf numFmtId="0" fontId="0" fillId="7" borderId="0" xfId="0" applyFill="1"/>
    <xf numFmtId="0" fontId="5" fillId="0" borderId="1" xfId="3" applyFont="1" applyFill="1"/>
    <xf numFmtId="0" fontId="6" fillId="0" borderId="2" xfId="0" applyFont="1" applyBorder="1" applyAlignment="1">
      <alignment horizontal="center" vertical="top"/>
    </xf>
    <xf numFmtId="0" fontId="4" fillId="0" borderId="0" xfId="0" applyFont="1"/>
    <xf numFmtId="2" fontId="7" fillId="0" borderId="0" xfId="1" applyNumberFormat="1" applyFont="1" applyFill="1"/>
    <xf numFmtId="2" fontId="4" fillId="0" borderId="0" xfId="0" applyNumberFormat="1" applyFont="1"/>
    <xf numFmtId="0" fontId="6" fillId="0" borderId="0" xfId="0" applyFont="1" applyAlignment="1">
      <alignment horizontal="center" vertical="top"/>
    </xf>
    <xf numFmtId="0" fontId="8" fillId="0" borderId="0" xfId="2" applyFont="1" applyFill="1" applyBorder="1" applyAlignment="1">
      <alignment horizontal="center" vertical="top"/>
    </xf>
    <xf numFmtId="164" fontId="4"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1983"/>
      <sheetName val="1982"/>
      <sheetName val="198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2C19-E6D6-F541-9407-754278A0650D}">
  <dimension ref="A1:AW211"/>
  <sheetViews>
    <sheetView tabSelected="1" topLeftCell="W1" workbookViewId="0">
      <selection activeCell="O13" sqref="O13"/>
    </sheetView>
  </sheetViews>
  <sheetFormatPr baseColWidth="10" defaultRowHeight="16" x14ac:dyDescent="0.2"/>
  <sheetData>
    <row r="1" spans="1:49" s="12" customFormat="1" x14ac:dyDescent="0.2">
      <c r="A1" s="15"/>
      <c r="B1" s="15" t="s">
        <v>2224</v>
      </c>
      <c r="C1" s="15" t="s">
        <v>2223</v>
      </c>
      <c r="D1" s="15" t="s">
        <v>2222</v>
      </c>
      <c r="E1" s="15" t="s">
        <v>2221</v>
      </c>
      <c r="F1" s="15" t="s">
        <v>2220</v>
      </c>
      <c r="G1" s="15" t="s">
        <v>2219</v>
      </c>
      <c r="H1" s="15" t="s">
        <v>2218</v>
      </c>
      <c r="I1" s="15" t="s">
        <v>2217</v>
      </c>
      <c r="J1" s="15" t="s">
        <v>2216</v>
      </c>
      <c r="K1" s="15" t="s">
        <v>2215</v>
      </c>
      <c r="L1" s="15" t="s">
        <v>2214</v>
      </c>
      <c r="M1" s="15" t="s">
        <v>2213</v>
      </c>
      <c r="N1" s="15" t="s">
        <v>2212</v>
      </c>
      <c r="O1" s="15" t="s">
        <v>2211</v>
      </c>
      <c r="P1" s="15" t="s">
        <v>2210</v>
      </c>
      <c r="Q1" s="15" t="s">
        <v>2209</v>
      </c>
      <c r="R1" s="20" t="s">
        <v>2208</v>
      </c>
      <c r="S1" s="15" t="s">
        <v>2207</v>
      </c>
      <c r="T1" s="15" t="s">
        <v>2207</v>
      </c>
      <c r="U1" s="15" t="s">
        <v>2206</v>
      </c>
      <c r="V1" s="20" t="s">
        <v>2205</v>
      </c>
      <c r="W1" s="15" t="s">
        <v>2204</v>
      </c>
      <c r="X1" s="14" t="s">
        <v>2203</v>
      </c>
      <c r="Y1" s="19" t="s">
        <v>2202</v>
      </c>
      <c r="Z1" s="18" t="s">
        <v>2187</v>
      </c>
      <c r="AA1" s="15" t="s">
        <v>2201</v>
      </c>
      <c r="AB1" s="15" t="s">
        <v>2200</v>
      </c>
      <c r="AC1" s="15" t="s">
        <v>2199</v>
      </c>
      <c r="AD1" s="15" t="s">
        <v>2198</v>
      </c>
      <c r="AE1" s="15" t="s">
        <v>2197</v>
      </c>
      <c r="AF1" s="15" t="s">
        <v>2196</v>
      </c>
      <c r="AG1" s="15" t="s">
        <v>2195</v>
      </c>
      <c r="AH1" s="15" t="s">
        <v>2194</v>
      </c>
      <c r="AI1" s="15" t="s">
        <v>2193</v>
      </c>
      <c r="AJ1" s="15" t="s">
        <v>2192</v>
      </c>
      <c r="AK1" s="14" t="s">
        <v>2191</v>
      </c>
      <c r="AL1" s="15" t="s">
        <v>2190</v>
      </c>
      <c r="AM1" s="17" t="s">
        <v>2189</v>
      </c>
      <c r="AN1" s="16" t="s">
        <v>2188</v>
      </c>
      <c r="AO1" s="16" t="s">
        <v>2187</v>
      </c>
      <c r="AP1" s="15" t="s">
        <v>2186</v>
      </c>
      <c r="AQ1" s="15" t="s">
        <v>2185</v>
      </c>
      <c r="AR1" s="15" t="s">
        <v>2184</v>
      </c>
      <c r="AS1" s="15" t="s">
        <v>2183</v>
      </c>
      <c r="AT1" s="14" t="s">
        <v>2182</v>
      </c>
      <c r="AU1" s="13" t="s">
        <v>2181</v>
      </c>
      <c r="AV1" s="13" t="s">
        <v>2180</v>
      </c>
      <c r="AW1" s="13" t="s">
        <v>2179</v>
      </c>
    </row>
    <row r="2" spans="1:49" x14ac:dyDescent="0.2">
      <c r="A2">
        <v>0</v>
      </c>
      <c r="B2" t="s">
        <v>2178</v>
      </c>
      <c r="C2" t="s">
        <v>2177</v>
      </c>
      <c r="F2" t="s">
        <v>2176</v>
      </c>
      <c r="G2" t="s">
        <v>4</v>
      </c>
      <c r="H2" t="s">
        <v>3</v>
      </c>
      <c r="I2" t="s">
        <v>2175</v>
      </c>
      <c r="J2">
        <v>60010348</v>
      </c>
      <c r="K2" t="s">
        <v>2174</v>
      </c>
      <c r="L2" t="s">
        <v>2173</v>
      </c>
      <c r="M2" t="s">
        <v>134</v>
      </c>
      <c r="N2">
        <v>2</v>
      </c>
      <c r="O2" t="s">
        <v>2172</v>
      </c>
      <c r="P2" t="s">
        <v>2171</v>
      </c>
      <c r="Q2" t="s">
        <v>2170</v>
      </c>
      <c r="R2" s="7">
        <v>31045</v>
      </c>
      <c r="S2" s="8">
        <f t="shared" ref="S2:S65" si="0">YEAR(R2)</f>
        <v>1984</v>
      </c>
      <c r="T2" s="8">
        <v>1984</v>
      </c>
      <c r="U2" s="8">
        <f t="shared" ref="U2:U65" si="1">2022-T2</f>
        <v>38</v>
      </c>
      <c r="V2" s="7">
        <v>31045</v>
      </c>
      <c r="W2" t="s">
        <v>242</v>
      </c>
      <c r="X2" s="2" t="s">
        <v>8</v>
      </c>
      <c r="Y2" s="6" t="e">
        <f t="shared" ref="Y2:Y65" si="2">(X2-$Z$4)/($Z$3-$Z$4)</f>
        <v>#VALUE!</v>
      </c>
      <c r="AA2">
        <v>364827</v>
      </c>
      <c r="AB2">
        <v>13626</v>
      </c>
      <c r="AD2" t="s">
        <v>1</v>
      </c>
      <c r="AE2">
        <v>69</v>
      </c>
      <c r="AF2" s="9">
        <v>44289</v>
      </c>
      <c r="AH2" t="s">
        <v>2169</v>
      </c>
      <c r="AI2" t="s">
        <v>2168</v>
      </c>
      <c r="AK2" t="s">
        <v>2167</v>
      </c>
      <c r="AL2">
        <v>18</v>
      </c>
      <c r="AM2" s="5">
        <f t="shared" ref="AM2:AM65" si="3">AL2/U2</f>
        <v>0.47368421052631576</v>
      </c>
      <c r="AN2" s="4">
        <f t="shared" ref="AN2:AN65" si="4">(AM2-$AO$4)/($AO$3-$AO$4)</f>
        <v>7.1743159489029266E-4</v>
      </c>
      <c r="AO2" s="3"/>
      <c r="AP2">
        <v>0</v>
      </c>
      <c r="AR2" t="s">
        <v>0</v>
      </c>
      <c r="AT2" s="2" t="s">
        <v>8</v>
      </c>
      <c r="AU2" s="1" t="e">
        <f t="shared" ref="AU2:AU65" si="5">(Y2*0.7+AN2*0.3)*100</f>
        <v>#VALUE!</v>
      </c>
      <c r="AV2" s="1" t="e">
        <f t="shared" ref="AV2:AV65" si="6">(Y2*0.5+AN2*0.5)*100</f>
        <v>#VALUE!</v>
      </c>
      <c r="AW2" s="1" t="e">
        <f t="shared" ref="AW2:AW65" si="7">(Y2*0.3+AN2*0.7)*100</f>
        <v>#VALUE!</v>
      </c>
    </row>
    <row r="3" spans="1:49" x14ac:dyDescent="0.2">
      <c r="A3">
        <v>1</v>
      </c>
      <c r="B3" t="s">
        <v>2166</v>
      </c>
      <c r="C3" t="s">
        <v>2165</v>
      </c>
      <c r="D3">
        <v>6899384900532</v>
      </c>
      <c r="E3">
        <v>6442179</v>
      </c>
      <c r="F3" t="s">
        <v>2164</v>
      </c>
      <c r="G3" t="s">
        <v>4</v>
      </c>
      <c r="H3" t="s">
        <v>3</v>
      </c>
      <c r="I3" t="s">
        <v>2163</v>
      </c>
      <c r="J3">
        <v>60004898</v>
      </c>
      <c r="K3" t="s">
        <v>2162</v>
      </c>
      <c r="L3" t="s">
        <v>2161</v>
      </c>
      <c r="M3" t="s">
        <v>17</v>
      </c>
      <c r="N3">
        <v>2</v>
      </c>
      <c r="O3" t="s">
        <v>2160</v>
      </c>
      <c r="P3" t="s">
        <v>2159</v>
      </c>
      <c r="Q3" t="s">
        <v>2158</v>
      </c>
      <c r="R3" s="7">
        <v>31040</v>
      </c>
      <c r="S3" s="8">
        <f t="shared" si="0"/>
        <v>1984</v>
      </c>
      <c r="T3" s="8">
        <v>1984</v>
      </c>
      <c r="U3" s="8">
        <f t="shared" si="1"/>
        <v>38</v>
      </c>
      <c r="V3" s="7">
        <v>31040</v>
      </c>
      <c r="W3" t="s">
        <v>2157</v>
      </c>
      <c r="X3" s="2">
        <v>1.0369999999999999</v>
      </c>
      <c r="Y3" s="6">
        <f t="shared" si="2"/>
        <v>2.7682122740983955E-2</v>
      </c>
      <c r="Z3">
        <v>37.460999999999999</v>
      </c>
      <c r="AA3">
        <v>68993</v>
      </c>
      <c r="AB3">
        <v>14346</v>
      </c>
      <c r="AD3" t="s">
        <v>1</v>
      </c>
      <c r="AE3">
        <v>324</v>
      </c>
      <c r="AF3">
        <v>2</v>
      </c>
      <c r="AH3" t="s">
        <v>2156</v>
      </c>
      <c r="AI3" t="s">
        <v>2155</v>
      </c>
      <c r="AJ3" t="s">
        <v>2154</v>
      </c>
      <c r="AK3" t="s">
        <v>2153</v>
      </c>
      <c r="AL3">
        <v>54</v>
      </c>
      <c r="AM3" s="5">
        <f t="shared" si="3"/>
        <v>1.4210526315789473</v>
      </c>
      <c r="AN3" s="4">
        <f t="shared" si="4"/>
        <v>2.1522947846708781E-3</v>
      </c>
      <c r="AO3" s="3">
        <v>660.25</v>
      </c>
      <c r="AP3">
        <v>0</v>
      </c>
      <c r="AR3" t="s">
        <v>0</v>
      </c>
      <c r="AT3" s="2">
        <v>3.2519999999999998</v>
      </c>
      <c r="AU3" s="1">
        <f t="shared" si="5"/>
        <v>2.0023174354090028</v>
      </c>
      <c r="AV3" s="1">
        <f t="shared" si="6"/>
        <v>1.4917208762827416</v>
      </c>
      <c r="AW3" s="1">
        <f t="shared" si="7"/>
        <v>0.98112431715647996</v>
      </c>
    </row>
    <row r="4" spans="1:49" x14ac:dyDescent="0.2">
      <c r="A4">
        <v>2</v>
      </c>
      <c r="B4" t="s">
        <v>2152</v>
      </c>
      <c r="C4" t="s">
        <v>2151</v>
      </c>
      <c r="D4">
        <v>5272884900483</v>
      </c>
      <c r="F4" t="s">
        <v>2150</v>
      </c>
      <c r="G4" t="s">
        <v>4</v>
      </c>
      <c r="H4" t="s">
        <v>3</v>
      </c>
      <c r="I4" t="s">
        <v>2149</v>
      </c>
      <c r="J4" t="s">
        <v>192</v>
      </c>
      <c r="K4" t="s">
        <v>191</v>
      </c>
      <c r="L4" t="s">
        <v>190</v>
      </c>
      <c r="M4" t="s">
        <v>189</v>
      </c>
      <c r="N4">
        <v>4</v>
      </c>
      <c r="O4" t="s">
        <v>2148</v>
      </c>
      <c r="P4" t="s">
        <v>2147</v>
      </c>
      <c r="Q4" t="s">
        <v>2146</v>
      </c>
      <c r="R4" s="7">
        <v>31034</v>
      </c>
      <c r="S4" s="8">
        <f t="shared" si="0"/>
        <v>1984</v>
      </c>
      <c r="T4" s="8">
        <v>1984</v>
      </c>
      <c r="U4" s="8">
        <f t="shared" si="1"/>
        <v>38</v>
      </c>
      <c r="V4" s="7">
        <v>31034</v>
      </c>
      <c r="W4" t="s">
        <v>210</v>
      </c>
      <c r="X4" s="2">
        <v>1.59</v>
      </c>
      <c r="Y4" s="6">
        <f t="shared" si="2"/>
        <v>4.2444141907583888E-2</v>
      </c>
      <c r="Z4">
        <v>0</v>
      </c>
      <c r="AA4">
        <v>52728</v>
      </c>
      <c r="AB4">
        <v>16791</v>
      </c>
      <c r="AD4" t="s">
        <v>1</v>
      </c>
      <c r="AE4">
        <v>767</v>
      </c>
      <c r="AF4">
        <v>3</v>
      </c>
      <c r="AH4" t="s">
        <v>2145</v>
      </c>
      <c r="AI4" t="s">
        <v>2144</v>
      </c>
      <c r="AJ4" t="s">
        <v>2143</v>
      </c>
      <c r="AK4" t="s">
        <v>2142</v>
      </c>
      <c r="AL4">
        <v>6</v>
      </c>
      <c r="AM4" s="5">
        <f t="shared" si="3"/>
        <v>0.15789473684210525</v>
      </c>
      <c r="AN4" s="4">
        <f t="shared" si="4"/>
        <v>2.3914386496343091E-4</v>
      </c>
      <c r="AO4" s="3">
        <v>0</v>
      </c>
      <c r="AP4">
        <v>0</v>
      </c>
      <c r="AR4" t="s">
        <v>0</v>
      </c>
      <c r="AT4" s="2" t="s">
        <v>8</v>
      </c>
      <c r="AU4" s="1">
        <f t="shared" si="5"/>
        <v>2.9782642494797749</v>
      </c>
      <c r="AV4" s="1">
        <f t="shared" si="6"/>
        <v>2.1341642886273657</v>
      </c>
      <c r="AW4" s="1">
        <f t="shared" si="7"/>
        <v>1.2900643277749566</v>
      </c>
    </row>
    <row r="5" spans="1:49" x14ac:dyDescent="0.2">
      <c r="A5">
        <v>3</v>
      </c>
      <c r="B5" t="s">
        <v>2141</v>
      </c>
      <c r="D5" t="s">
        <v>2140</v>
      </c>
      <c r="F5" t="s">
        <v>2139</v>
      </c>
      <c r="G5" t="s">
        <v>4</v>
      </c>
      <c r="H5" t="s">
        <v>3</v>
      </c>
      <c r="I5" t="s">
        <v>2138</v>
      </c>
      <c r="J5">
        <v>60007457</v>
      </c>
      <c r="K5" t="s">
        <v>2137</v>
      </c>
      <c r="L5" t="s">
        <v>60</v>
      </c>
      <c r="M5" t="s">
        <v>59</v>
      </c>
      <c r="N5">
        <v>3</v>
      </c>
      <c r="O5" t="s">
        <v>2136</v>
      </c>
      <c r="P5" t="s">
        <v>2135</v>
      </c>
      <c r="Q5" t="s">
        <v>2134</v>
      </c>
      <c r="R5" s="7">
        <v>31017</v>
      </c>
      <c r="S5" s="8">
        <f t="shared" si="0"/>
        <v>1984</v>
      </c>
      <c r="T5" s="8">
        <v>1984</v>
      </c>
      <c r="U5" s="8">
        <f t="shared" si="1"/>
        <v>38</v>
      </c>
      <c r="V5" s="7">
        <v>1984</v>
      </c>
      <c r="W5" t="s">
        <v>188</v>
      </c>
      <c r="X5" s="2" t="s">
        <v>8</v>
      </c>
      <c r="Y5" s="6" t="e">
        <f t="shared" si="2"/>
        <v>#VALUE!</v>
      </c>
      <c r="AA5">
        <v>63509</v>
      </c>
      <c r="AB5">
        <v>14860</v>
      </c>
      <c r="AD5" t="s">
        <v>1</v>
      </c>
      <c r="AE5">
        <v>29</v>
      </c>
      <c r="AF5">
        <v>6</v>
      </c>
      <c r="AH5" t="s">
        <v>2133</v>
      </c>
      <c r="AI5" t="s">
        <v>2132</v>
      </c>
      <c r="AK5" t="s">
        <v>2131</v>
      </c>
      <c r="AL5">
        <v>0</v>
      </c>
      <c r="AM5" s="5">
        <f t="shared" si="3"/>
        <v>0</v>
      </c>
      <c r="AN5" s="4">
        <f t="shared" si="4"/>
        <v>0</v>
      </c>
      <c r="AO5" s="3"/>
      <c r="AP5">
        <v>0</v>
      </c>
      <c r="AR5" t="s">
        <v>0</v>
      </c>
      <c r="AT5" s="2" t="s">
        <v>8</v>
      </c>
      <c r="AU5" s="1" t="e">
        <f t="shared" si="5"/>
        <v>#VALUE!</v>
      </c>
      <c r="AV5" s="1" t="e">
        <f t="shared" si="6"/>
        <v>#VALUE!</v>
      </c>
      <c r="AW5" s="1" t="e">
        <f t="shared" si="7"/>
        <v>#VALUE!</v>
      </c>
    </row>
    <row r="6" spans="1:49" x14ac:dyDescent="0.2">
      <c r="A6">
        <v>4</v>
      </c>
      <c r="B6" t="s">
        <v>2130</v>
      </c>
      <c r="C6" t="s">
        <v>2129</v>
      </c>
      <c r="F6" t="s">
        <v>2128</v>
      </c>
      <c r="G6" t="s">
        <v>4</v>
      </c>
      <c r="H6" t="s">
        <v>3</v>
      </c>
      <c r="I6" t="s">
        <v>2127</v>
      </c>
      <c r="J6">
        <v>60009386</v>
      </c>
      <c r="K6" t="s">
        <v>122</v>
      </c>
      <c r="L6" t="s">
        <v>121</v>
      </c>
      <c r="M6" t="s">
        <v>5</v>
      </c>
      <c r="N6">
        <v>1</v>
      </c>
      <c r="O6" t="s">
        <v>2126</v>
      </c>
      <c r="P6">
        <v>7202414699</v>
      </c>
      <c r="Q6">
        <v>60009386</v>
      </c>
      <c r="R6" s="7">
        <v>31017</v>
      </c>
      <c r="S6" s="8">
        <f t="shared" si="0"/>
        <v>1984</v>
      </c>
      <c r="T6" s="8">
        <v>1984</v>
      </c>
      <c r="U6" s="8">
        <f t="shared" si="1"/>
        <v>38</v>
      </c>
      <c r="V6" s="7">
        <v>1984</v>
      </c>
      <c r="W6" t="s">
        <v>2083</v>
      </c>
      <c r="X6" s="2">
        <v>1.3280000000000001</v>
      </c>
      <c r="Y6" s="6">
        <f t="shared" si="2"/>
        <v>3.5450201542937994E-2</v>
      </c>
      <c r="AA6">
        <v>7413335</v>
      </c>
      <c r="AB6">
        <v>29251</v>
      </c>
      <c r="AD6" t="s">
        <v>1</v>
      </c>
      <c r="AE6">
        <v>26</v>
      </c>
      <c r="AF6" s="11">
        <v>4.1666666666666664E-2</v>
      </c>
      <c r="AG6">
        <v>315</v>
      </c>
      <c r="AH6" t="s">
        <v>2125</v>
      </c>
      <c r="AI6" t="s">
        <v>2124</v>
      </c>
      <c r="AK6" t="s">
        <v>2123</v>
      </c>
      <c r="AL6">
        <v>10</v>
      </c>
      <c r="AM6" s="5">
        <f t="shared" si="3"/>
        <v>0.26315789473684209</v>
      </c>
      <c r="AN6" s="4">
        <f t="shared" si="4"/>
        <v>3.9857310827238487E-4</v>
      </c>
      <c r="AO6" s="3"/>
      <c r="AP6">
        <v>0</v>
      </c>
      <c r="AR6" t="s">
        <v>0</v>
      </c>
      <c r="AT6" s="2">
        <v>2.4580000000000002</v>
      </c>
      <c r="AU6" s="1">
        <f t="shared" si="5"/>
        <v>2.4934713012538312</v>
      </c>
      <c r="AV6" s="1">
        <f t="shared" si="6"/>
        <v>1.7924387325605189</v>
      </c>
      <c r="AW6" s="1">
        <f t="shared" si="7"/>
        <v>1.0914061638672068</v>
      </c>
    </row>
    <row r="7" spans="1:49" x14ac:dyDescent="0.2">
      <c r="A7">
        <v>5</v>
      </c>
      <c r="B7" t="s">
        <v>2122</v>
      </c>
      <c r="C7" t="s">
        <v>2121</v>
      </c>
      <c r="F7" t="s">
        <v>2120</v>
      </c>
      <c r="G7" t="s">
        <v>4</v>
      </c>
      <c r="H7" t="s">
        <v>3</v>
      </c>
      <c r="I7" t="s">
        <v>2119</v>
      </c>
      <c r="J7">
        <v>60008950</v>
      </c>
      <c r="K7" t="s">
        <v>2118</v>
      </c>
      <c r="L7" t="s">
        <v>2117</v>
      </c>
      <c r="M7" t="s">
        <v>13</v>
      </c>
      <c r="N7">
        <v>1</v>
      </c>
      <c r="O7" t="s">
        <v>2116</v>
      </c>
      <c r="P7">
        <v>22999053900</v>
      </c>
      <c r="Q7">
        <v>60008950</v>
      </c>
      <c r="R7" s="7">
        <v>31017</v>
      </c>
      <c r="S7" s="8">
        <f t="shared" si="0"/>
        <v>1984</v>
      </c>
      <c r="T7" s="8">
        <v>1984</v>
      </c>
      <c r="U7" s="8">
        <f t="shared" si="1"/>
        <v>38</v>
      </c>
      <c r="V7" s="7">
        <v>1984</v>
      </c>
      <c r="W7" t="s">
        <v>2083</v>
      </c>
      <c r="X7" s="2">
        <v>1.3280000000000001</v>
      </c>
      <c r="Y7" s="6">
        <f t="shared" si="2"/>
        <v>3.5450201542937994E-2</v>
      </c>
      <c r="AA7">
        <v>7413335</v>
      </c>
      <c r="AB7">
        <v>29251</v>
      </c>
      <c r="AD7" t="s">
        <v>1</v>
      </c>
      <c r="AE7">
        <v>26</v>
      </c>
      <c r="AF7">
        <v>7</v>
      </c>
      <c r="AG7">
        <v>6</v>
      </c>
      <c r="AH7" t="s">
        <v>2115</v>
      </c>
      <c r="AI7" t="s">
        <v>2114</v>
      </c>
      <c r="AK7" t="s">
        <v>2113</v>
      </c>
      <c r="AL7">
        <v>8</v>
      </c>
      <c r="AM7" s="5">
        <f t="shared" si="3"/>
        <v>0.21052631578947367</v>
      </c>
      <c r="AN7" s="4">
        <f t="shared" si="4"/>
        <v>3.1885848661790785E-4</v>
      </c>
      <c r="AO7" s="3"/>
      <c r="AP7">
        <v>0</v>
      </c>
      <c r="AR7" t="s">
        <v>0</v>
      </c>
      <c r="AT7" s="2">
        <v>2.4580000000000002</v>
      </c>
      <c r="AU7" s="1">
        <f t="shared" si="5"/>
        <v>2.491079862604197</v>
      </c>
      <c r="AV7" s="1">
        <f t="shared" si="6"/>
        <v>1.7884530014777953</v>
      </c>
      <c r="AW7" s="1">
        <f t="shared" si="7"/>
        <v>1.0858261403513934</v>
      </c>
    </row>
    <row r="8" spans="1:49" x14ac:dyDescent="0.2">
      <c r="A8">
        <v>6</v>
      </c>
      <c r="B8" t="s">
        <v>2112</v>
      </c>
      <c r="C8" t="s">
        <v>2111</v>
      </c>
      <c r="F8" t="s">
        <v>2110</v>
      </c>
      <c r="G8" t="s">
        <v>4</v>
      </c>
      <c r="H8" t="s">
        <v>3</v>
      </c>
      <c r="I8" t="s">
        <v>2109</v>
      </c>
      <c r="J8">
        <v>60004280</v>
      </c>
      <c r="K8" t="s">
        <v>2108</v>
      </c>
      <c r="L8" t="s">
        <v>547</v>
      </c>
      <c r="M8" t="s">
        <v>174</v>
      </c>
      <c r="N8">
        <v>2</v>
      </c>
      <c r="O8" t="s">
        <v>2107</v>
      </c>
      <c r="P8" t="s">
        <v>2106</v>
      </c>
      <c r="Q8" t="s">
        <v>2105</v>
      </c>
      <c r="R8" s="7">
        <v>31017</v>
      </c>
      <c r="S8" s="8">
        <f t="shared" si="0"/>
        <v>1984</v>
      </c>
      <c r="T8" s="8">
        <v>1984</v>
      </c>
      <c r="U8" s="8">
        <f t="shared" si="1"/>
        <v>38</v>
      </c>
      <c r="V8" s="7">
        <v>1984</v>
      </c>
      <c r="W8" t="s">
        <v>2083</v>
      </c>
      <c r="X8" s="2">
        <v>1.3280000000000001</v>
      </c>
      <c r="Y8" s="6">
        <f t="shared" si="2"/>
        <v>3.5450201542937994E-2</v>
      </c>
      <c r="AA8">
        <v>7413335</v>
      </c>
      <c r="AB8">
        <v>29251</v>
      </c>
      <c r="AD8" t="s">
        <v>1</v>
      </c>
      <c r="AE8">
        <v>26</v>
      </c>
      <c r="AF8">
        <v>3</v>
      </c>
      <c r="AG8">
        <v>3</v>
      </c>
      <c r="AH8" t="s">
        <v>2104</v>
      </c>
      <c r="AI8" t="s">
        <v>2103</v>
      </c>
      <c r="AK8" t="s">
        <v>2102</v>
      </c>
      <c r="AL8">
        <v>1</v>
      </c>
      <c r="AM8" s="5">
        <f t="shared" si="3"/>
        <v>2.6315789473684209E-2</v>
      </c>
      <c r="AN8" s="4">
        <f t="shared" si="4"/>
        <v>3.9857310827238481E-5</v>
      </c>
      <c r="AO8" s="3"/>
      <c r="AP8">
        <v>0</v>
      </c>
      <c r="AR8" t="s">
        <v>0</v>
      </c>
      <c r="AT8" s="2">
        <v>2.4580000000000002</v>
      </c>
      <c r="AU8" s="1">
        <f t="shared" si="5"/>
        <v>2.4827098273304768</v>
      </c>
      <c r="AV8" s="1">
        <f t="shared" si="6"/>
        <v>1.7745029426882615</v>
      </c>
      <c r="AW8" s="1">
        <f t="shared" si="7"/>
        <v>1.0662960580460465</v>
      </c>
    </row>
    <row r="9" spans="1:49" x14ac:dyDescent="0.2">
      <c r="A9">
        <v>7</v>
      </c>
      <c r="B9" t="s">
        <v>2101</v>
      </c>
      <c r="C9" t="s">
        <v>2100</v>
      </c>
      <c r="F9" t="s">
        <v>2099</v>
      </c>
      <c r="G9" t="s">
        <v>4</v>
      </c>
      <c r="H9" t="s">
        <v>3</v>
      </c>
      <c r="I9" t="s">
        <v>2098</v>
      </c>
      <c r="J9">
        <v>60023748</v>
      </c>
      <c r="K9" t="s">
        <v>2097</v>
      </c>
      <c r="L9" t="s">
        <v>2096</v>
      </c>
      <c r="M9" t="s">
        <v>13</v>
      </c>
      <c r="N9">
        <v>2</v>
      </c>
      <c r="O9" t="s">
        <v>2095</v>
      </c>
      <c r="P9" t="s">
        <v>2094</v>
      </c>
      <c r="Q9" t="s">
        <v>2093</v>
      </c>
      <c r="R9" s="7">
        <v>31017</v>
      </c>
      <c r="S9" s="8">
        <f t="shared" si="0"/>
        <v>1984</v>
      </c>
      <c r="T9" s="8">
        <v>1984</v>
      </c>
      <c r="U9" s="8">
        <f t="shared" si="1"/>
        <v>38</v>
      </c>
      <c r="V9" s="7">
        <v>1984</v>
      </c>
      <c r="W9" t="s">
        <v>2083</v>
      </c>
      <c r="X9" s="2">
        <v>1.3280000000000001</v>
      </c>
      <c r="Y9" s="6">
        <f t="shared" si="2"/>
        <v>3.5450201542937994E-2</v>
      </c>
      <c r="AA9">
        <v>7413335</v>
      </c>
      <c r="AB9">
        <v>29251</v>
      </c>
      <c r="AD9" t="s">
        <v>1</v>
      </c>
      <c r="AE9">
        <v>26</v>
      </c>
      <c r="AF9">
        <v>6</v>
      </c>
      <c r="AG9">
        <v>1</v>
      </c>
      <c r="AH9" t="s">
        <v>2092</v>
      </c>
      <c r="AI9" t="s">
        <v>2091</v>
      </c>
      <c r="AK9" t="s">
        <v>2090</v>
      </c>
      <c r="AL9">
        <v>21</v>
      </c>
      <c r="AM9" s="5">
        <f t="shared" si="3"/>
        <v>0.55263157894736847</v>
      </c>
      <c r="AN9" s="4">
        <f t="shared" si="4"/>
        <v>8.3700352737200827E-4</v>
      </c>
      <c r="AO9" s="3"/>
      <c r="AP9">
        <v>0</v>
      </c>
      <c r="AR9" t="s">
        <v>0</v>
      </c>
      <c r="AT9" s="2">
        <v>2.4580000000000002</v>
      </c>
      <c r="AU9" s="1">
        <f t="shared" si="5"/>
        <v>2.5066242138268198</v>
      </c>
      <c r="AV9" s="1">
        <f t="shared" si="6"/>
        <v>1.8143602535155001</v>
      </c>
      <c r="AW9" s="1">
        <f t="shared" si="7"/>
        <v>1.1220962932041805</v>
      </c>
    </row>
    <row r="10" spans="1:49" x14ac:dyDescent="0.2">
      <c r="A10">
        <v>8</v>
      </c>
      <c r="B10" t="s">
        <v>2089</v>
      </c>
      <c r="C10" t="s">
        <v>2088</v>
      </c>
      <c r="F10" t="s">
        <v>2087</v>
      </c>
      <c r="G10" t="s">
        <v>4</v>
      </c>
      <c r="H10" t="s">
        <v>3</v>
      </c>
      <c r="I10" t="s">
        <v>2086</v>
      </c>
      <c r="J10">
        <v>60032179</v>
      </c>
      <c r="K10" t="s">
        <v>53</v>
      </c>
      <c r="L10" t="s">
        <v>52</v>
      </c>
      <c r="M10" t="s">
        <v>11</v>
      </c>
      <c r="N10">
        <v>3</v>
      </c>
      <c r="O10" t="s">
        <v>2085</v>
      </c>
      <c r="P10" t="s">
        <v>2084</v>
      </c>
      <c r="Q10" t="s">
        <v>194</v>
      </c>
      <c r="R10" s="7">
        <v>31017</v>
      </c>
      <c r="S10" s="8">
        <f t="shared" si="0"/>
        <v>1984</v>
      </c>
      <c r="T10" s="8">
        <v>1984</v>
      </c>
      <c r="U10" s="8">
        <f t="shared" si="1"/>
        <v>38</v>
      </c>
      <c r="V10" s="7">
        <v>1984</v>
      </c>
      <c r="W10" t="s">
        <v>2083</v>
      </c>
      <c r="X10" s="2">
        <v>1.3280000000000001</v>
      </c>
      <c r="Y10" s="6">
        <f t="shared" si="2"/>
        <v>3.5450201542937994E-2</v>
      </c>
      <c r="AA10">
        <v>7413335</v>
      </c>
      <c r="AB10">
        <v>29251</v>
      </c>
      <c r="AD10" t="s">
        <v>1</v>
      </c>
      <c r="AE10">
        <v>26</v>
      </c>
      <c r="AF10">
        <v>4</v>
      </c>
      <c r="AG10">
        <v>1</v>
      </c>
      <c r="AH10" t="s">
        <v>2082</v>
      </c>
      <c r="AI10" t="s">
        <v>2081</v>
      </c>
      <c r="AK10" t="s">
        <v>2080</v>
      </c>
      <c r="AL10">
        <v>1</v>
      </c>
      <c r="AM10" s="5">
        <f t="shared" si="3"/>
        <v>2.6315789473684209E-2</v>
      </c>
      <c r="AN10" s="4">
        <f t="shared" si="4"/>
        <v>3.9857310827238481E-5</v>
      </c>
      <c r="AO10" s="3"/>
      <c r="AP10">
        <v>0</v>
      </c>
      <c r="AR10" t="s">
        <v>0</v>
      </c>
      <c r="AT10" s="2">
        <v>2.4580000000000002</v>
      </c>
      <c r="AU10" s="1">
        <f t="shared" si="5"/>
        <v>2.4827098273304768</v>
      </c>
      <c r="AV10" s="1">
        <f t="shared" si="6"/>
        <v>1.7745029426882615</v>
      </c>
      <c r="AW10" s="1">
        <f t="shared" si="7"/>
        <v>1.0662960580460465</v>
      </c>
    </row>
    <row r="11" spans="1:49" x14ac:dyDescent="0.2">
      <c r="A11">
        <v>9</v>
      </c>
      <c r="B11" t="s">
        <v>2079</v>
      </c>
      <c r="C11" t="s">
        <v>2078</v>
      </c>
      <c r="F11" t="s">
        <v>2077</v>
      </c>
      <c r="G11" t="s">
        <v>4</v>
      </c>
      <c r="H11" t="s">
        <v>3</v>
      </c>
      <c r="I11" t="s">
        <v>2076</v>
      </c>
      <c r="J11">
        <v>60023254</v>
      </c>
      <c r="K11" t="s">
        <v>1393</v>
      </c>
      <c r="L11" t="s">
        <v>1392</v>
      </c>
      <c r="M11" t="s">
        <v>18</v>
      </c>
      <c r="N11">
        <v>1</v>
      </c>
      <c r="O11" t="s">
        <v>2075</v>
      </c>
      <c r="P11">
        <v>23001689700</v>
      </c>
      <c r="Q11">
        <v>60023254</v>
      </c>
      <c r="R11" s="7">
        <v>31017</v>
      </c>
      <c r="S11" s="8">
        <f t="shared" si="0"/>
        <v>1984</v>
      </c>
      <c r="T11" s="8">
        <v>1984</v>
      </c>
      <c r="U11" s="8">
        <f t="shared" si="1"/>
        <v>38</v>
      </c>
      <c r="V11" s="7">
        <v>1984</v>
      </c>
      <c r="W11" t="s">
        <v>2074</v>
      </c>
      <c r="X11" s="2">
        <v>0.42099999999999999</v>
      </c>
      <c r="Y11" s="6">
        <f t="shared" si="2"/>
        <v>1.1238354555404288E-2</v>
      </c>
      <c r="AA11">
        <v>1430807</v>
      </c>
      <c r="AB11">
        <v>27536</v>
      </c>
      <c r="AD11" t="s">
        <v>1</v>
      </c>
      <c r="AE11">
        <v>5</v>
      </c>
      <c r="AF11">
        <v>2</v>
      </c>
      <c r="AG11">
        <v>8</v>
      </c>
      <c r="AH11" t="s">
        <v>2073</v>
      </c>
      <c r="AI11" t="s">
        <v>2072</v>
      </c>
      <c r="AK11" t="s">
        <v>2071</v>
      </c>
      <c r="AL11">
        <v>14</v>
      </c>
      <c r="AM11" s="5">
        <f t="shared" si="3"/>
        <v>0.36842105263157893</v>
      </c>
      <c r="AN11" s="4">
        <f t="shared" si="4"/>
        <v>5.5800235158133874E-4</v>
      </c>
      <c r="AO11" s="3"/>
      <c r="AP11">
        <v>0</v>
      </c>
      <c r="AR11" t="s">
        <v>0</v>
      </c>
      <c r="AT11" s="2">
        <v>0.78100000000000003</v>
      </c>
      <c r="AU11" s="1">
        <f t="shared" si="5"/>
        <v>0.8034248894257402</v>
      </c>
      <c r="AV11" s="1">
        <f t="shared" si="6"/>
        <v>0.58981784534928128</v>
      </c>
      <c r="AW11" s="1">
        <f t="shared" si="7"/>
        <v>0.3762108012728223</v>
      </c>
    </row>
    <row r="12" spans="1:49" x14ac:dyDescent="0.2">
      <c r="A12">
        <v>10</v>
      </c>
      <c r="B12" t="s">
        <v>2070</v>
      </c>
      <c r="C12" t="s">
        <v>2069</v>
      </c>
      <c r="E12">
        <v>6532523</v>
      </c>
      <c r="F12" t="s">
        <v>2068</v>
      </c>
      <c r="G12" t="s">
        <v>4</v>
      </c>
      <c r="H12" t="s">
        <v>3</v>
      </c>
      <c r="I12" t="s">
        <v>2067</v>
      </c>
      <c r="J12">
        <v>60005460</v>
      </c>
      <c r="K12" t="s">
        <v>185</v>
      </c>
      <c r="L12" t="s">
        <v>184</v>
      </c>
      <c r="M12" t="s">
        <v>17</v>
      </c>
      <c r="N12">
        <v>2</v>
      </c>
      <c r="O12" t="s">
        <v>2066</v>
      </c>
      <c r="P12" t="s">
        <v>2065</v>
      </c>
      <c r="Q12" t="s">
        <v>2064</v>
      </c>
      <c r="R12" s="7">
        <v>31017</v>
      </c>
      <c r="S12" s="8">
        <f t="shared" si="0"/>
        <v>1984</v>
      </c>
      <c r="T12" s="8">
        <v>1984</v>
      </c>
      <c r="U12" s="8">
        <f t="shared" si="1"/>
        <v>38</v>
      </c>
      <c r="V12" s="7">
        <v>31017</v>
      </c>
      <c r="W12" t="s">
        <v>2063</v>
      </c>
      <c r="X12" s="2">
        <v>1.2549999999999999</v>
      </c>
      <c r="Y12" s="6">
        <f t="shared" si="2"/>
        <v>3.3501508235231306E-2</v>
      </c>
      <c r="AA12">
        <v>2724340</v>
      </c>
      <c r="AB12">
        <v>14840</v>
      </c>
      <c r="AC12">
        <v>15736830</v>
      </c>
      <c r="AD12" t="s">
        <v>1</v>
      </c>
      <c r="AE12">
        <v>4</v>
      </c>
      <c r="AF12">
        <v>4</v>
      </c>
      <c r="AH12" t="s">
        <v>2062</v>
      </c>
      <c r="AI12" t="s">
        <v>2061</v>
      </c>
      <c r="AJ12" t="s">
        <v>2060</v>
      </c>
      <c r="AK12" t="s">
        <v>2059</v>
      </c>
      <c r="AL12">
        <v>17</v>
      </c>
      <c r="AM12" s="5">
        <f t="shared" si="3"/>
        <v>0.44736842105263158</v>
      </c>
      <c r="AN12" s="4">
        <f t="shared" si="4"/>
        <v>6.7757428406305424E-4</v>
      </c>
      <c r="AO12" s="3"/>
      <c r="AP12">
        <v>0</v>
      </c>
      <c r="AR12" t="s">
        <v>0</v>
      </c>
      <c r="AT12" s="2">
        <v>5.0460000000000003</v>
      </c>
      <c r="AU12" s="1">
        <f t="shared" si="5"/>
        <v>2.3654328049880826</v>
      </c>
      <c r="AV12" s="1">
        <f t="shared" si="6"/>
        <v>1.7089541259647179</v>
      </c>
      <c r="AW12" s="1">
        <f t="shared" si="7"/>
        <v>1.0524754469413529</v>
      </c>
    </row>
    <row r="13" spans="1:49" x14ac:dyDescent="0.2">
      <c r="A13">
        <v>11</v>
      </c>
      <c r="B13" t="s">
        <v>2058</v>
      </c>
      <c r="F13" t="s">
        <v>2057</v>
      </c>
      <c r="G13" t="s">
        <v>4</v>
      </c>
      <c r="H13" t="s">
        <v>3</v>
      </c>
      <c r="I13" t="s">
        <v>2056</v>
      </c>
      <c r="N13">
        <v>1</v>
      </c>
      <c r="O13" t="s">
        <v>2055</v>
      </c>
      <c r="P13">
        <v>57198387345</v>
      </c>
      <c r="R13" s="7">
        <v>31017</v>
      </c>
      <c r="S13" s="8">
        <f t="shared" si="0"/>
        <v>1984</v>
      </c>
      <c r="T13" s="8">
        <v>1984</v>
      </c>
      <c r="U13" s="8">
        <f t="shared" si="1"/>
        <v>38</v>
      </c>
      <c r="V13" s="7">
        <v>31017</v>
      </c>
      <c r="W13" t="s">
        <v>2054</v>
      </c>
      <c r="X13" s="2" t="s">
        <v>8</v>
      </c>
      <c r="Y13" s="6" t="e">
        <f t="shared" si="2"/>
        <v>#VALUE!</v>
      </c>
      <c r="AA13">
        <v>82821</v>
      </c>
      <c r="AB13">
        <v>13808</v>
      </c>
      <c r="AD13" t="s">
        <v>1</v>
      </c>
      <c r="AE13">
        <v>30</v>
      </c>
      <c r="AF13">
        <v>4</v>
      </c>
      <c r="AH13" t="s">
        <v>2053</v>
      </c>
      <c r="AI13" t="s">
        <v>2052</v>
      </c>
      <c r="AK13" t="s">
        <v>2051</v>
      </c>
      <c r="AL13">
        <v>1</v>
      </c>
      <c r="AM13" s="5">
        <f t="shared" si="3"/>
        <v>2.6315789473684209E-2</v>
      </c>
      <c r="AN13" s="4">
        <f t="shared" si="4"/>
        <v>3.9857310827238481E-5</v>
      </c>
      <c r="AO13" s="3"/>
      <c r="AP13">
        <v>0</v>
      </c>
      <c r="AR13" t="s">
        <v>0</v>
      </c>
      <c r="AT13" s="2" t="s">
        <v>8</v>
      </c>
      <c r="AU13" s="1" t="e">
        <f t="shared" si="5"/>
        <v>#VALUE!</v>
      </c>
      <c r="AV13" s="1" t="e">
        <f t="shared" si="6"/>
        <v>#VALUE!</v>
      </c>
      <c r="AW13" s="1" t="e">
        <f t="shared" si="7"/>
        <v>#VALUE!</v>
      </c>
    </row>
    <row r="14" spans="1:49" x14ac:dyDescent="0.2">
      <c r="A14">
        <v>12</v>
      </c>
      <c r="B14" t="s">
        <v>2050</v>
      </c>
      <c r="F14" t="s">
        <v>2049</v>
      </c>
      <c r="G14" t="s">
        <v>4</v>
      </c>
      <c r="H14" t="s">
        <v>3</v>
      </c>
      <c r="I14" t="s">
        <v>2048</v>
      </c>
      <c r="J14">
        <v>60026000</v>
      </c>
      <c r="K14" t="s">
        <v>2047</v>
      </c>
      <c r="L14" t="s">
        <v>2046</v>
      </c>
      <c r="M14" t="s">
        <v>1968</v>
      </c>
      <c r="N14">
        <v>1</v>
      </c>
      <c r="O14" t="s">
        <v>2045</v>
      </c>
      <c r="P14">
        <v>6507596381</v>
      </c>
      <c r="Q14">
        <v>60026000</v>
      </c>
      <c r="R14" s="7">
        <v>31017</v>
      </c>
      <c r="S14" s="8">
        <f t="shared" si="0"/>
        <v>1984</v>
      </c>
      <c r="T14" s="8">
        <v>1984</v>
      </c>
      <c r="U14" s="8">
        <f t="shared" si="1"/>
        <v>38</v>
      </c>
      <c r="V14" s="7">
        <v>1984</v>
      </c>
      <c r="W14" t="s">
        <v>2044</v>
      </c>
      <c r="X14" s="2" t="s">
        <v>8</v>
      </c>
      <c r="Y14" s="6" t="e">
        <f t="shared" si="2"/>
        <v>#VALUE!</v>
      </c>
      <c r="AA14">
        <v>651478</v>
      </c>
      <c r="AB14">
        <v>36774</v>
      </c>
      <c r="AD14" t="s">
        <v>1</v>
      </c>
      <c r="AE14">
        <v>29</v>
      </c>
      <c r="AF14" t="s">
        <v>2043</v>
      </c>
      <c r="AH14" t="s">
        <v>2042</v>
      </c>
      <c r="AI14" t="s">
        <v>2041</v>
      </c>
      <c r="AK14" t="s">
        <v>2040</v>
      </c>
      <c r="AL14">
        <v>4</v>
      </c>
      <c r="AM14" s="5">
        <f t="shared" si="3"/>
        <v>0.10526315789473684</v>
      </c>
      <c r="AN14" s="4">
        <f t="shared" si="4"/>
        <v>1.5942924330895392E-4</v>
      </c>
      <c r="AO14" s="3"/>
      <c r="AP14">
        <v>0</v>
      </c>
      <c r="AR14" t="s">
        <v>0</v>
      </c>
      <c r="AT14" s="2" t="s">
        <v>8</v>
      </c>
      <c r="AU14" s="1" t="e">
        <f t="shared" si="5"/>
        <v>#VALUE!</v>
      </c>
      <c r="AV14" s="1" t="e">
        <f t="shared" si="6"/>
        <v>#VALUE!</v>
      </c>
      <c r="AW14" s="1" t="e">
        <f t="shared" si="7"/>
        <v>#VALUE!</v>
      </c>
    </row>
    <row r="15" spans="1:49" x14ac:dyDescent="0.2">
      <c r="A15">
        <v>13</v>
      </c>
      <c r="B15" t="s">
        <v>2039</v>
      </c>
      <c r="F15" t="s">
        <v>2038</v>
      </c>
      <c r="G15" t="s">
        <v>4</v>
      </c>
      <c r="H15" t="s">
        <v>3</v>
      </c>
      <c r="I15" t="s">
        <v>2037</v>
      </c>
      <c r="J15">
        <v>60092258</v>
      </c>
      <c r="K15" t="s">
        <v>2036</v>
      </c>
      <c r="L15" t="s">
        <v>2035</v>
      </c>
      <c r="M15" t="s">
        <v>49</v>
      </c>
      <c r="N15">
        <v>5</v>
      </c>
      <c r="O15" t="s">
        <v>2034</v>
      </c>
      <c r="P15" t="s">
        <v>2033</v>
      </c>
      <c r="Q15" t="s">
        <v>2032</v>
      </c>
      <c r="R15" s="7">
        <v>31017</v>
      </c>
      <c r="S15" s="8">
        <f t="shared" si="0"/>
        <v>1984</v>
      </c>
      <c r="T15" s="8">
        <v>1984</v>
      </c>
      <c r="U15" s="8">
        <f t="shared" si="1"/>
        <v>38</v>
      </c>
      <c r="V15" s="7">
        <v>1984</v>
      </c>
      <c r="W15" t="s">
        <v>2031</v>
      </c>
      <c r="X15" s="2" t="s">
        <v>8</v>
      </c>
      <c r="Y15" s="6" t="e">
        <f t="shared" si="2"/>
        <v>#VALUE!</v>
      </c>
      <c r="AA15">
        <v>2851903</v>
      </c>
      <c r="AB15">
        <v>38260</v>
      </c>
      <c r="AD15" t="s">
        <v>1</v>
      </c>
      <c r="AF15">
        <v>23</v>
      </c>
      <c r="AH15" t="s">
        <v>2030</v>
      </c>
      <c r="AI15" t="s">
        <v>2029</v>
      </c>
      <c r="AK15" t="s">
        <v>2028</v>
      </c>
      <c r="AL15">
        <v>0</v>
      </c>
      <c r="AM15" s="5">
        <f t="shared" si="3"/>
        <v>0</v>
      </c>
      <c r="AN15" s="4">
        <f t="shared" si="4"/>
        <v>0</v>
      </c>
      <c r="AO15" s="3"/>
      <c r="AP15">
        <v>0</v>
      </c>
      <c r="AR15" t="s">
        <v>0</v>
      </c>
      <c r="AT15" s="2" t="s">
        <v>8</v>
      </c>
      <c r="AU15" s="1" t="e">
        <f t="shared" si="5"/>
        <v>#VALUE!</v>
      </c>
      <c r="AV15" s="1" t="e">
        <f t="shared" si="6"/>
        <v>#VALUE!</v>
      </c>
      <c r="AW15" s="1" t="e">
        <f t="shared" si="7"/>
        <v>#VALUE!</v>
      </c>
    </row>
    <row r="16" spans="1:49" x14ac:dyDescent="0.2">
      <c r="A16">
        <v>14</v>
      </c>
      <c r="B16" t="s">
        <v>2027</v>
      </c>
      <c r="F16" t="s">
        <v>2026</v>
      </c>
      <c r="G16" t="s">
        <v>4</v>
      </c>
      <c r="H16" t="s">
        <v>3</v>
      </c>
      <c r="I16" t="s">
        <v>2025</v>
      </c>
      <c r="J16">
        <v>60031546</v>
      </c>
      <c r="K16" t="s">
        <v>2024</v>
      </c>
      <c r="L16" t="s">
        <v>60</v>
      </c>
      <c r="M16" t="s">
        <v>59</v>
      </c>
      <c r="N16">
        <v>3</v>
      </c>
      <c r="O16" t="s">
        <v>2023</v>
      </c>
      <c r="P16" t="s">
        <v>2022</v>
      </c>
      <c r="Q16" t="s">
        <v>2021</v>
      </c>
      <c r="R16" s="7">
        <v>31017</v>
      </c>
      <c r="S16" s="8">
        <f t="shared" si="0"/>
        <v>1984</v>
      </c>
      <c r="T16" s="8">
        <v>1984</v>
      </c>
      <c r="U16" s="8">
        <f t="shared" si="1"/>
        <v>38</v>
      </c>
      <c r="V16" s="7">
        <v>1984</v>
      </c>
      <c r="W16" t="s">
        <v>1854</v>
      </c>
      <c r="X16" s="2" t="s">
        <v>8</v>
      </c>
      <c r="Y16" s="6" t="e">
        <f t="shared" si="2"/>
        <v>#VALUE!</v>
      </c>
      <c r="AA16">
        <v>1476858</v>
      </c>
      <c r="AB16">
        <v>30293</v>
      </c>
      <c r="AD16" t="s">
        <v>1</v>
      </c>
      <c r="AF16">
        <v>10</v>
      </c>
      <c r="AH16" t="s">
        <v>2020</v>
      </c>
      <c r="AI16" t="s">
        <v>2019</v>
      </c>
      <c r="AK16" t="s">
        <v>2018</v>
      </c>
      <c r="AL16">
        <v>0</v>
      </c>
      <c r="AM16" s="5">
        <f t="shared" si="3"/>
        <v>0</v>
      </c>
      <c r="AN16" s="4">
        <f t="shared" si="4"/>
        <v>0</v>
      </c>
      <c r="AO16" s="3"/>
      <c r="AP16">
        <v>0</v>
      </c>
      <c r="AR16" t="s">
        <v>0</v>
      </c>
      <c r="AT16" s="2" t="s">
        <v>8</v>
      </c>
      <c r="AU16" s="1" t="e">
        <f t="shared" si="5"/>
        <v>#VALUE!</v>
      </c>
      <c r="AV16" s="1" t="e">
        <f t="shared" si="6"/>
        <v>#VALUE!</v>
      </c>
      <c r="AW16" s="1" t="e">
        <f t="shared" si="7"/>
        <v>#VALUE!</v>
      </c>
    </row>
    <row r="17" spans="1:49" x14ac:dyDescent="0.2">
      <c r="A17">
        <v>15</v>
      </c>
      <c r="B17" t="s">
        <v>2017</v>
      </c>
      <c r="C17" t="s">
        <v>2016</v>
      </c>
      <c r="F17" t="s">
        <v>2015</v>
      </c>
      <c r="G17" t="s">
        <v>4</v>
      </c>
      <c r="H17" t="s">
        <v>3</v>
      </c>
      <c r="I17" t="s">
        <v>2014</v>
      </c>
      <c r="J17" t="s">
        <v>2013</v>
      </c>
      <c r="K17" t="s">
        <v>2012</v>
      </c>
      <c r="L17" t="s">
        <v>2011</v>
      </c>
      <c r="M17" t="s">
        <v>48</v>
      </c>
      <c r="N17">
        <v>4</v>
      </c>
      <c r="O17" t="s">
        <v>2010</v>
      </c>
      <c r="P17" t="s">
        <v>2009</v>
      </c>
      <c r="Q17" t="s">
        <v>2008</v>
      </c>
      <c r="R17" s="7">
        <v>31017</v>
      </c>
      <c r="S17" s="8">
        <f t="shared" si="0"/>
        <v>1984</v>
      </c>
      <c r="T17" s="8">
        <v>1984</v>
      </c>
      <c r="U17" s="8">
        <f t="shared" si="1"/>
        <v>38</v>
      </c>
      <c r="V17" s="7">
        <v>31017</v>
      </c>
      <c r="W17" t="s">
        <v>985</v>
      </c>
      <c r="X17" s="2">
        <v>0.64800000000000002</v>
      </c>
      <c r="Y17" s="6">
        <f t="shared" si="2"/>
        <v>1.7297989909505887E-2</v>
      </c>
      <c r="AA17">
        <v>3028933</v>
      </c>
      <c r="AB17">
        <v>19623</v>
      </c>
      <c r="AC17" t="s">
        <v>984</v>
      </c>
      <c r="AD17" t="s">
        <v>1</v>
      </c>
      <c r="AE17">
        <v>140</v>
      </c>
      <c r="AF17" s="9">
        <v>44257</v>
      </c>
      <c r="AH17" t="s">
        <v>2007</v>
      </c>
      <c r="AI17" t="s">
        <v>2006</v>
      </c>
      <c r="AJ17" t="s">
        <v>2005</v>
      </c>
      <c r="AK17" t="s">
        <v>2004</v>
      </c>
      <c r="AL17">
        <v>15</v>
      </c>
      <c r="AM17" s="5">
        <f t="shared" si="3"/>
        <v>0.39473684210526316</v>
      </c>
      <c r="AN17" s="4">
        <f t="shared" si="4"/>
        <v>5.9785966240857727E-4</v>
      </c>
      <c r="AO17" s="3"/>
      <c r="AP17">
        <v>0</v>
      </c>
      <c r="AR17" t="s">
        <v>0</v>
      </c>
      <c r="AT17" s="2">
        <v>2.552</v>
      </c>
      <c r="AU17" s="1">
        <f t="shared" si="5"/>
        <v>1.2287950835376693</v>
      </c>
      <c r="AV17" s="1">
        <f t="shared" si="6"/>
        <v>0.89479247859572331</v>
      </c>
      <c r="AW17" s="1">
        <f t="shared" si="7"/>
        <v>0.56078987365377697</v>
      </c>
    </row>
    <row r="18" spans="1:49" x14ac:dyDescent="0.2">
      <c r="A18">
        <v>16</v>
      </c>
      <c r="B18" t="s">
        <v>2003</v>
      </c>
      <c r="C18" t="s">
        <v>2002</v>
      </c>
      <c r="E18">
        <v>6517023</v>
      </c>
      <c r="F18" t="s">
        <v>2001</v>
      </c>
      <c r="G18" t="s">
        <v>4</v>
      </c>
      <c r="H18" t="s">
        <v>3</v>
      </c>
      <c r="I18" t="s">
        <v>2000</v>
      </c>
      <c r="J18">
        <v>60012953</v>
      </c>
      <c r="K18" t="s">
        <v>1999</v>
      </c>
      <c r="L18" t="s">
        <v>181</v>
      </c>
      <c r="M18" t="s">
        <v>67</v>
      </c>
      <c r="N18">
        <v>1</v>
      </c>
      <c r="O18" t="s">
        <v>1998</v>
      </c>
      <c r="P18">
        <v>6701627941</v>
      </c>
      <c r="Q18">
        <v>60012953</v>
      </c>
      <c r="R18" s="7">
        <v>31017</v>
      </c>
      <c r="S18" s="8">
        <f t="shared" si="0"/>
        <v>1984</v>
      </c>
      <c r="T18" s="8">
        <v>1984</v>
      </c>
      <c r="U18" s="8">
        <f t="shared" si="1"/>
        <v>38</v>
      </c>
      <c r="V18" s="7">
        <v>31017</v>
      </c>
      <c r="W18" t="s">
        <v>1997</v>
      </c>
      <c r="X18" s="2" t="s">
        <v>8</v>
      </c>
      <c r="Y18" s="6" t="e">
        <f t="shared" si="2"/>
        <v>#VALUE!</v>
      </c>
      <c r="AA18">
        <v>28894</v>
      </c>
      <c r="AB18">
        <v>30764</v>
      </c>
      <c r="AD18" t="s">
        <v>1</v>
      </c>
      <c r="AE18">
        <v>45</v>
      </c>
      <c r="AF18">
        <v>12</v>
      </c>
      <c r="AH18" t="s">
        <v>1996</v>
      </c>
      <c r="AI18" t="s">
        <v>1995</v>
      </c>
      <c r="AK18" t="s">
        <v>1994</v>
      </c>
      <c r="AL18">
        <v>2</v>
      </c>
      <c r="AM18" s="5">
        <f t="shared" si="3"/>
        <v>5.2631578947368418E-2</v>
      </c>
      <c r="AN18" s="4">
        <f t="shared" si="4"/>
        <v>7.9714621654476962E-5</v>
      </c>
      <c r="AO18" s="3"/>
      <c r="AP18">
        <v>0</v>
      </c>
      <c r="AR18" t="s">
        <v>0</v>
      </c>
      <c r="AT18" s="2" t="s">
        <v>8</v>
      </c>
      <c r="AU18" s="1" t="e">
        <f t="shared" si="5"/>
        <v>#VALUE!</v>
      </c>
      <c r="AV18" s="1" t="e">
        <f t="shared" si="6"/>
        <v>#VALUE!</v>
      </c>
      <c r="AW18" s="1" t="e">
        <f t="shared" si="7"/>
        <v>#VALUE!</v>
      </c>
    </row>
    <row r="19" spans="1:49" x14ac:dyDescent="0.2">
      <c r="A19">
        <v>17</v>
      </c>
      <c r="B19" t="s">
        <v>1993</v>
      </c>
      <c r="C19" t="s">
        <v>1992</v>
      </c>
      <c r="F19" t="s">
        <v>1991</v>
      </c>
      <c r="G19" t="s">
        <v>4</v>
      </c>
      <c r="H19" t="s">
        <v>3</v>
      </c>
      <c r="I19" t="s">
        <v>1990</v>
      </c>
      <c r="N19">
        <v>1</v>
      </c>
      <c r="O19" t="s">
        <v>1989</v>
      </c>
      <c r="P19">
        <v>7004164152</v>
      </c>
      <c r="R19" s="7">
        <v>31017</v>
      </c>
      <c r="S19" s="8">
        <f t="shared" si="0"/>
        <v>1984</v>
      </c>
      <c r="T19" s="8">
        <v>1984</v>
      </c>
      <c r="U19" s="8">
        <f t="shared" si="1"/>
        <v>38</v>
      </c>
      <c r="V19" s="7">
        <v>31017</v>
      </c>
      <c r="W19" t="s">
        <v>58</v>
      </c>
      <c r="X19" s="2">
        <v>0.318</v>
      </c>
      <c r="Y19" s="6">
        <f t="shared" si="2"/>
        <v>8.4888283815167786E-3</v>
      </c>
      <c r="AA19">
        <v>338443</v>
      </c>
      <c r="AB19">
        <v>27160</v>
      </c>
      <c r="AC19">
        <v>15739120</v>
      </c>
      <c r="AD19" t="s">
        <v>1</v>
      </c>
      <c r="AE19">
        <v>27</v>
      </c>
      <c r="AF19">
        <v>12</v>
      </c>
      <c r="AH19" t="s">
        <v>1988</v>
      </c>
      <c r="AL19">
        <v>0</v>
      </c>
      <c r="AM19" s="5">
        <f t="shared" si="3"/>
        <v>0</v>
      </c>
      <c r="AN19" s="4">
        <f t="shared" si="4"/>
        <v>0</v>
      </c>
      <c r="AO19" s="3"/>
      <c r="AP19">
        <v>0</v>
      </c>
      <c r="AR19" t="s">
        <v>0</v>
      </c>
      <c r="AT19" s="2">
        <v>0.77</v>
      </c>
      <c r="AU19" s="1">
        <f t="shared" si="5"/>
        <v>0.59421798670617454</v>
      </c>
      <c r="AV19" s="1">
        <f t="shared" si="6"/>
        <v>0.42444141907583893</v>
      </c>
      <c r="AW19" s="1">
        <f t="shared" si="7"/>
        <v>0.25466485144550338</v>
      </c>
    </row>
    <row r="20" spans="1:49" x14ac:dyDescent="0.2">
      <c r="A20">
        <v>18</v>
      </c>
      <c r="B20" t="s">
        <v>1987</v>
      </c>
      <c r="F20" t="s">
        <v>1986</v>
      </c>
      <c r="G20" t="s">
        <v>4</v>
      </c>
      <c r="H20" t="s">
        <v>3</v>
      </c>
      <c r="I20" t="s">
        <v>1985</v>
      </c>
      <c r="N20">
        <v>1</v>
      </c>
      <c r="O20" t="s">
        <v>1984</v>
      </c>
      <c r="P20">
        <v>57189446265</v>
      </c>
      <c r="R20" s="7">
        <v>31017</v>
      </c>
      <c r="S20" s="8">
        <f t="shared" si="0"/>
        <v>1984</v>
      </c>
      <c r="T20" s="8">
        <v>1984</v>
      </c>
      <c r="U20" s="8">
        <f t="shared" si="1"/>
        <v>38</v>
      </c>
      <c r="V20" s="7">
        <v>1984</v>
      </c>
      <c r="W20" t="s">
        <v>1686</v>
      </c>
      <c r="X20" s="2" t="s">
        <v>8</v>
      </c>
      <c r="Y20" s="6" t="e">
        <f t="shared" si="2"/>
        <v>#VALUE!</v>
      </c>
      <c r="AB20">
        <v>32478</v>
      </c>
      <c r="AD20" t="s">
        <v>1</v>
      </c>
      <c r="AE20">
        <v>27</v>
      </c>
      <c r="AF20">
        <v>1</v>
      </c>
      <c r="AH20" t="s">
        <v>1983</v>
      </c>
      <c r="AI20" t="s">
        <v>1982</v>
      </c>
      <c r="AK20" t="s">
        <v>1981</v>
      </c>
      <c r="AL20">
        <v>0</v>
      </c>
      <c r="AM20" s="5">
        <f t="shared" si="3"/>
        <v>0</v>
      </c>
      <c r="AN20" s="4">
        <f t="shared" si="4"/>
        <v>0</v>
      </c>
      <c r="AO20" s="3"/>
      <c r="AP20">
        <v>0</v>
      </c>
      <c r="AR20" t="s">
        <v>0</v>
      </c>
      <c r="AT20" s="2" t="s">
        <v>8</v>
      </c>
      <c r="AU20" s="1" t="e">
        <f t="shared" si="5"/>
        <v>#VALUE!</v>
      </c>
      <c r="AV20" s="1" t="e">
        <f t="shared" si="6"/>
        <v>#VALUE!</v>
      </c>
      <c r="AW20" s="1" t="e">
        <f t="shared" si="7"/>
        <v>#VALUE!</v>
      </c>
    </row>
    <row r="21" spans="1:49" x14ac:dyDescent="0.2">
      <c r="A21">
        <v>19</v>
      </c>
      <c r="B21" t="s">
        <v>1980</v>
      </c>
      <c r="F21" t="s">
        <v>1979</v>
      </c>
      <c r="G21" t="s">
        <v>4</v>
      </c>
      <c r="H21" t="s">
        <v>3</v>
      </c>
      <c r="I21" t="s">
        <v>1978</v>
      </c>
      <c r="N21">
        <v>2</v>
      </c>
      <c r="O21" t="s">
        <v>1977</v>
      </c>
      <c r="P21" t="s">
        <v>1976</v>
      </c>
      <c r="Q21" t="s">
        <v>29</v>
      </c>
      <c r="R21" s="7">
        <v>31017</v>
      </c>
      <c r="S21" s="8">
        <f t="shared" si="0"/>
        <v>1984</v>
      </c>
      <c r="T21" s="8">
        <v>1984</v>
      </c>
      <c r="U21" s="8">
        <f t="shared" si="1"/>
        <v>38</v>
      </c>
      <c r="V21" s="7">
        <v>1984</v>
      </c>
      <c r="W21" t="s">
        <v>1686</v>
      </c>
      <c r="X21" s="2" t="s">
        <v>8</v>
      </c>
      <c r="Y21" s="6" t="e">
        <f t="shared" si="2"/>
        <v>#VALUE!</v>
      </c>
      <c r="AB21">
        <v>32478</v>
      </c>
      <c r="AD21" t="s">
        <v>1</v>
      </c>
      <c r="AE21">
        <v>27</v>
      </c>
      <c r="AF21">
        <v>1</v>
      </c>
      <c r="AH21" s="9">
        <v>44476</v>
      </c>
      <c r="AI21" t="s">
        <v>1975</v>
      </c>
      <c r="AK21" t="s">
        <v>1974</v>
      </c>
      <c r="AL21">
        <v>0</v>
      </c>
      <c r="AM21" s="5">
        <f t="shared" si="3"/>
        <v>0</v>
      </c>
      <c r="AN21" s="4">
        <f t="shared" si="4"/>
        <v>0</v>
      </c>
      <c r="AO21" s="3"/>
      <c r="AP21">
        <v>0</v>
      </c>
      <c r="AR21" t="s">
        <v>0</v>
      </c>
      <c r="AT21" s="2" t="s">
        <v>8</v>
      </c>
      <c r="AU21" s="1" t="e">
        <f t="shared" si="5"/>
        <v>#VALUE!</v>
      </c>
      <c r="AV21" s="1" t="e">
        <f t="shared" si="6"/>
        <v>#VALUE!</v>
      </c>
      <c r="AW21" s="1" t="e">
        <f t="shared" si="7"/>
        <v>#VALUE!</v>
      </c>
    </row>
    <row r="22" spans="1:49" x14ac:dyDescent="0.2">
      <c r="A22">
        <v>20</v>
      </c>
      <c r="B22" t="s">
        <v>1973</v>
      </c>
      <c r="E22">
        <v>6545999</v>
      </c>
      <c r="F22" t="s">
        <v>1972</v>
      </c>
      <c r="G22" t="s">
        <v>4</v>
      </c>
      <c r="H22" t="s">
        <v>3</v>
      </c>
      <c r="I22" t="s">
        <v>1971</v>
      </c>
      <c r="J22">
        <v>60085173</v>
      </c>
      <c r="K22" t="s">
        <v>1970</v>
      </c>
      <c r="L22" t="s">
        <v>1969</v>
      </c>
      <c r="M22" t="s">
        <v>1968</v>
      </c>
      <c r="N22">
        <v>1</v>
      </c>
      <c r="O22" t="s">
        <v>1967</v>
      </c>
      <c r="P22">
        <v>7102544583</v>
      </c>
      <c r="Q22">
        <v>60085173</v>
      </c>
      <c r="R22" s="7">
        <v>31017</v>
      </c>
      <c r="S22" s="8">
        <f t="shared" si="0"/>
        <v>1984</v>
      </c>
      <c r="T22" s="8">
        <v>1984</v>
      </c>
      <c r="U22" s="8">
        <f t="shared" si="1"/>
        <v>38</v>
      </c>
      <c r="V22" s="7">
        <v>1984</v>
      </c>
      <c r="W22" t="s">
        <v>1966</v>
      </c>
      <c r="X22" s="2" t="s">
        <v>8</v>
      </c>
      <c r="Y22" s="6" t="e">
        <f t="shared" si="2"/>
        <v>#VALUE!</v>
      </c>
      <c r="AA22">
        <v>446033</v>
      </c>
      <c r="AB22">
        <v>34417</v>
      </c>
      <c r="AD22" t="s">
        <v>1</v>
      </c>
      <c r="AE22">
        <v>35</v>
      </c>
      <c r="AF22" s="9">
        <v>44352</v>
      </c>
      <c r="AH22" t="s">
        <v>1965</v>
      </c>
      <c r="AL22">
        <v>8</v>
      </c>
      <c r="AM22" s="5">
        <f t="shared" si="3"/>
        <v>0.21052631578947367</v>
      </c>
      <c r="AN22" s="4">
        <f t="shared" si="4"/>
        <v>3.1885848661790785E-4</v>
      </c>
      <c r="AO22" s="3"/>
      <c r="AP22">
        <v>0</v>
      </c>
      <c r="AR22" t="s">
        <v>0</v>
      </c>
      <c r="AT22" s="2" t="s">
        <v>8</v>
      </c>
      <c r="AU22" s="1" t="e">
        <f t="shared" si="5"/>
        <v>#VALUE!</v>
      </c>
      <c r="AV22" s="1" t="e">
        <f t="shared" si="6"/>
        <v>#VALUE!</v>
      </c>
      <c r="AW22" s="1" t="e">
        <f t="shared" si="7"/>
        <v>#VALUE!</v>
      </c>
    </row>
    <row r="23" spans="1:49" x14ac:dyDescent="0.2">
      <c r="A23">
        <v>21</v>
      </c>
      <c r="B23" t="s">
        <v>1964</v>
      </c>
      <c r="F23" t="s">
        <v>1963</v>
      </c>
      <c r="G23" t="s">
        <v>4</v>
      </c>
      <c r="H23" t="s">
        <v>3</v>
      </c>
      <c r="I23" t="s">
        <v>1962</v>
      </c>
      <c r="J23">
        <v>60005304</v>
      </c>
      <c r="K23" t="s">
        <v>37</v>
      </c>
      <c r="L23" t="s">
        <v>36</v>
      </c>
      <c r="M23" t="s">
        <v>11</v>
      </c>
      <c r="N23">
        <v>1</v>
      </c>
      <c r="O23" t="s">
        <v>1961</v>
      </c>
      <c r="P23">
        <v>56731344100</v>
      </c>
      <c r="Q23">
        <v>60005304</v>
      </c>
      <c r="R23" s="7">
        <v>31017</v>
      </c>
      <c r="S23" s="8">
        <f t="shared" si="0"/>
        <v>1984</v>
      </c>
      <c r="T23" s="8">
        <v>1984</v>
      </c>
      <c r="U23" s="8">
        <f t="shared" si="1"/>
        <v>38</v>
      </c>
      <c r="V23" s="7">
        <v>1984</v>
      </c>
      <c r="W23" t="s">
        <v>1951</v>
      </c>
      <c r="X23" s="2" t="s">
        <v>8</v>
      </c>
      <c r="Y23" s="6" t="e">
        <f t="shared" si="2"/>
        <v>#VALUE!</v>
      </c>
      <c r="AA23">
        <v>8836272</v>
      </c>
      <c r="AB23">
        <v>77323</v>
      </c>
      <c r="AD23" t="s">
        <v>1</v>
      </c>
      <c r="AE23">
        <v>6</v>
      </c>
      <c r="AF23">
        <v>2</v>
      </c>
      <c r="AH23" t="s">
        <v>1960</v>
      </c>
      <c r="AI23" t="s">
        <v>1959</v>
      </c>
      <c r="AK23" t="s">
        <v>1958</v>
      </c>
      <c r="AL23">
        <v>10</v>
      </c>
      <c r="AM23" s="5">
        <f t="shared" si="3"/>
        <v>0.26315789473684209</v>
      </c>
      <c r="AN23" s="4">
        <f t="shared" si="4"/>
        <v>3.9857310827238487E-4</v>
      </c>
      <c r="AO23" s="3"/>
      <c r="AP23">
        <v>0</v>
      </c>
      <c r="AR23" t="s">
        <v>0</v>
      </c>
      <c r="AT23" s="2" t="s">
        <v>8</v>
      </c>
      <c r="AU23" s="1" t="e">
        <f t="shared" si="5"/>
        <v>#VALUE!</v>
      </c>
      <c r="AV23" s="1" t="e">
        <f t="shared" si="6"/>
        <v>#VALUE!</v>
      </c>
      <c r="AW23" s="1" t="e">
        <f t="shared" si="7"/>
        <v>#VALUE!</v>
      </c>
    </row>
    <row r="24" spans="1:49" x14ac:dyDescent="0.2">
      <c r="A24">
        <v>22</v>
      </c>
      <c r="B24" t="s">
        <v>1957</v>
      </c>
      <c r="F24" t="s">
        <v>1956</v>
      </c>
      <c r="G24" t="s">
        <v>4</v>
      </c>
      <c r="H24" t="s">
        <v>3</v>
      </c>
      <c r="I24" t="s">
        <v>1955</v>
      </c>
      <c r="J24">
        <v>60016296</v>
      </c>
      <c r="K24" t="s">
        <v>12</v>
      </c>
      <c r="L24" t="s">
        <v>80</v>
      </c>
      <c r="M24" t="s">
        <v>11</v>
      </c>
      <c r="N24">
        <v>2</v>
      </c>
      <c r="O24" t="s">
        <v>1954</v>
      </c>
      <c r="P24" t="s">
        <v>1953</v>
      </c>
      <c r="Q24" t="s">
        <v>1952</v>
      </c>
      <c r="R24" s="7">
        <v>31017</v>
      </c>
      <c r="S24" s="8">
        <f t="shared" si="0"/>
        <v>1984</v>
      </c>
      <c r="T24" s="8">
        <v>1984</v>
      </c>
      <c r="U24" s="8">
        <f t="shared" si="1"/>
        <v>38</v>
      </c>
      <c r="V24" s="7">
        <v>1984</v>
      </c>
      <c r="W24" t="s">
        <v>1951</v>
      </c>
      <c r="X24" s="2" t="s">
        <v>8</v>
      </c>
      <c r="Y24" s="6" t="e">
        <f t="shared" si="2"/>
        <v>#VALUE!</v>
      </c>
      <c r="AA24">
        <v>8836272</v>
      </c>
      <c r="AB24">
        <v>77323</v>
      </c>
      <c r="AD24" t="s">
        <v>1</v>
      </c>
      <c r="AE24">
        <v>6</v>
      </c>
      <c r="AF24">
        <v>2</v>
      </c>
      <c r="AH24" t="s">
        <v>1950</v>
      </c>
      <c r="AI24" t="s">
        <v>1949</v>
      </c>
      <c r="AK24" t="s">
        <v>1948</v>
      </c>
      <c r="AL24">
        <v>4</v>
      </c>
      <c r="AM24" s="5">
        <f t="shared" si="3"/>
        <v>0.10526315789473684</v>
      </c>
      <c r="AN24" s="4">
        <f t="shared" si="4"/>
        <v>1.5942924330895392E-4</v>
      </c>
      <c r="AO24" s="3"/>
      <c r="AP24">
        <v>0</v>
      </c>
      <c r="AR24" t="s">
        <v>0</v>
      </c>
      <c r="AT24" s="2" t="s">
        <v>8</v>
      </c>
      <c r="AU24" s="1" t="e">
        <f t="shared" si="5"/>
        <v>#VALUE!</v>
      </c>
      <c r="AV24" s="1" t="e">
        <f t="shared" si="6"/>
        <v>#VALUE!</v>
      </c>
      <c r="AW24" s="1" t="e">
        <f t="shared" si="7"/>
        <v>#VALUE!</v>
      </c>
    </row>
    <row r="25" spans="1:49" x14ac:dyDescent="0.2">
      <c r="A25">
        <v>23</v>
      </c>
      <c r="B25" t="s">
        <v>1947</v>
      </c>
      <c r="F25" t="s">
        <v>1946</v>
      </c>
      <c r="G25" t="s">
        <v>4</v>
      </c>
      <c r="H25" t="s">
        <v>3</v>
      </c>
      <c r="I25" t="s">
        <v>1945</v>
      </c>
      <c r="N25">
        <v>2</v>
      </c>
      <c r="O25" t="s">
        <v>1944</v>
      </c>
      <c r="P25" t="s">
        <v>1943</v>
      </c>
      <c r="Q25" t="s">
        <v>29</v>
      </c>
      <c r="R25" s="7">
        <v>31017</v>
      </c>
      <c r="S25" s="8">
        <f t="shared" si="0"/>
        <v>1984</v>
      </c>
      <c r="T25" s="8">
        <v>1984</v>
      </c>
      <c r="U25" s="8">
        <f t="shared" si="1"/>
        <v>38</v>
      </c>
      <c r="V25" s="7">
        <v>1984</v>
      </c>
      <c r="W25" t="s">
        <v>1686</v>
      </c>
      <c r="X25" s="2" t="s">
        <v>8</v>
      </c>
      <c r="Y25" s="6" t="e">
        <f t="shared" si="2"/>
        <v>#VALUE!</v>
      </c>
      <c r="AB25">
        <v>32478</v>
      </c>
      <c r="AD25" t="s">
        <v>1</v>
      </c>
      <c r="AE25">
        <v>27</v>
      </c>
      <c r="AF25">
        <v>2</v>
      </c>
      <c r="AH25" t="s">
        <v>1942</v>
      </c>
      <c r="AI25" t="s">
        <v>1941</v>
      </c>
      <c r="AK25" t="s">
        <v>1940</v>
      </c>
      <c r="AL25">
        <v>0</v>
      </c>
      <c r="AM25" s="5">
        <f t="shared" si="3"/>
        <v>0</v>
      </c>
      <c r="AN25" s="4">
        <f t="shared" si="4"/>
        <v>0</v>
      </c>
      <c r="AO25" s="3"/>
      <c r="AP25">
        <v>0</v>
      </c>
      <c r="AR25" t="s">
        <v>0</v>
      </c>
      <c r="AT25" s="2" t="s">
        <v>8</v>
      </c>
      <c r="AU25" s="1" t="e">
        <f t="shared" si="5"/>
        <v>#VALUE!</v>
      </c>
      <c r="AV25" s="1" t="e">
        <f t="shared" si="6"/>
        <v>#VALUE!</v>
      </c>
      <c r="AW25" s="1" t="e">
        <f t="shared" si="7"/>
        <v>#VALUE!</v>
      </c>
    </row>
    <row r="26" spans="1:49" x14ac:dyDescent="0.2">
      <c r="A26">
        <v>24</v>
      </c>
      <c r="B26" t="s">
        <v>1939</v>
      </c>
      <c r="F26" t="s">
        <v>1938</v>
      </c>
      <c r="G26" t="s">
        <v>4</v>
      </c>
      <c r="H26" t="s">
        <v>3</v>
      </c>
      <c r="I26" t="s">
        <v>1937</v>
      </c>
      <c r="N26">
        <v>1</v>
      </c>
      <c r="O26" t="s">
        <v>1936</v>
      </c>
      <c r="P26">
        <v>7202359008</v>
      </c>
      <c r="R26" s="7">
        <v>31017</v>
      </c>
      <c r="S26" s="8">
        <f t="shared" si="0"/>
        <v>1984</v>
      </c>
      <c r="T26" s="8">
        <v>1984</v>
      </c>
      <c r="U26" s="8">
        <f t="shared" si="1"/>
        <v>38</v>
      </c>
      <c r="V26" s="7">
        <v>31017</v>
      </c>
      <c r="W26" t="s">
        <v>111</v>
      </c>
      <c r="X26" s="2" t="s">
        <v>8</v>
      </c>
      <c r="Y26" s="6" t="e">
        <f t="shared" si="2"/>
        <v>#VALUE!</v>
      </c>
      <c r="AA26">
        <v>386340</v>
      </c>
      <c r="AB26">
        <v>12937</v>
      </c>
      <c r="AD26" t="s">
        <v>1</v>
      </c>
      <c r="AE26">
        <v>26</v>
      </c>
      <c r="AF26">
        <v>12</v>
      </c>
      <c r="AH26" t="s">
        <v>1935</v>
      </c>
      <c r="AI26" t="s">
        <v>1934</v>
      </c>
      <c r="AK26" t="s">
        <v>1933</v>
      </c>
      <c r="AL26">
        <v>0</v>
      </c>
      <c r="AM26" s="5">
        <f t="shared" si="3"/>
        <v>0</v>
      </c>
      <c r="AN26" s="4">
        <f t="shared" si="4"/>
        <v>0</v>
      </c>
      <c r="AO26" s="3"/>
      <c r="AP26">
        <v>0</v>
      </c>
      <c r="AR26" t="s">
        <v>0</v>
      </c>
      <c r="AT26" s="2" t="s">
        <v>8</v>
      </c>
      <c r="AU26" s="1" t="e">
        <f t="shared" si="5"/>
        <v>#VALUE!</v>
      </c>
      <c r="AV26" s="1" t="e">
        <f t="shared" si="6"/>
        <v>#VALUE!</v>
      </c>
      <c r="AW26" s="1" t="e">
        <f t="shared" si="7"/>
        <v>#VALUE!</v>
      </c>
    </row>
    <row r="27" spans="1:49" x14ac:dyDescent="0.2">
      <c r="A27">
        <v>25</v>
      </c>
      <c r="B27" t="s">
        <v>1932</v>
      </c>
      <c r="F27" t="s">
        <v>1931</v>
      </c>
      <c r="G27" t="s">
        <v>4</v>
      </c>
      <c r="H27" t="s">
        <v>3</v>
      </c>
      <c r="I27" t="s">
        <v>1930</v>
      </c>
      <c r="N27">
        <v>3</v>
      </c>
      <c r="O27" t="s">
        <v>1929</v>
      </c>
      <c r="P27" t="s">
        <v>1928</v>
      </c>
      <c r="Q27" t="s">
        <v>2</v>
      </c>
      <c r="R27" s="7">
        <v>31017</v>
      </c>
      <c r="S27" s="8">
        <f t="shared" si="0"/>
        <v>1984</v>
      </c>
      <c r="T27" s="8">
        <v>1984</v>
      </c>
      <c r="U27" s="8">
        <f t="shared" si="1"/>
        <v>38</v>
      </c>
      <c r="V27" s="7">
        <v>1984</v>
      </c>
      <c r="W27" t="s">
        <v>1686</v>
      </c>
      <c r="X27" s="2" t="s">
        <v>8</v>
      </c>
      <c r="Y27" s="6" t="e">
        <f t="shared" si="2"/>
        <v>#VALUE!</v>
      </c>
      <c r="AB27">
        <v>32478</v>
      </c>
      <c r="AD27" t="s">
        <v>1</v>
      </c>
      <c r="AE27">
        <v>27</v>
      </c>
      <c r="AF27">
        <v>2</v>
      </c>
      <c r="AH27" t="s">
        <v>1927</v>
      </c>
      <c r="AI27" t="s">
        <v>1926</v>
      </c>
      <c r="AK27" t="s">
        <v>1925</v>
      </c>
      <c r="AL27">
        <v>0</v>
      </c>
      <c r="AM27" s="5">
        <f t="shared" si="3"/>
        <v>0</v>
      </c>
      <c r="AN27" s="4">
        <f t="shared" si="4"/>
        <v>0</v>
      </c>
      <c r="AO27" s="3"/>
      <c r="AP27">
        <v>0</v>
      </c>
      <c r="AR27" t="s">
        <v>0</v>
      </c>
      <c r="AT27" s="2" t="s">
        <v>8</v>
      </c>
      <c r="AU27" s="1" t="e">
        <f t="shared" si="5"/>
        <v>#VALUE!</v>
      </c>
      <c r="AV27" s="1" t="e">
        <f t="shared" si="6"/>
        <v>#VALUE!</v>
      </c>
      <c r="AW27" s="1" t="e">
        <f t="shared" si="7"/>
        <v>#VALUE!</v>
      </c>
    </row>
    <row r="28" spans="1:49" x14ac:dyDescent="0.2">
      <c r="A28">
        <v>26</v>
      </c>
      <c r="B28" t="s">
        <v>1924</v>
      </c>
      <c r="F28" t="s">
        <v>1923</v>
      </c>
      <c r="G28" t="s">
        <v>4</v>
      </c>
      <c r="H28" t="s">
        <v>3</v>
      </c>
      <c r="I28" t="s">
        <v>1922</v>
      </c>
      <c r="N28">
        <v>1</v>
      </c>
      <c r="O28" t="s">
        <v>1921</v>
      </c>
      <c r="P28">
        <v>6701772560</v>
      </c>
      <c r="R28" s="7">
        <v>31017</v>
      </c>
      <c r="S28" s="8">
        <f t="shared" si="0"/>
        <v>1984</v>
      </c>
      <c r="T28" s="8">
        <v>1984</v>
      </c>
      <c r="U28" s="8">
        <f t="shared" si="1"/>
        <v>38</v>
      </c>
      <c r="V28" s="7">
        <v>1984</v>
      </c>
      <c r="W28" t="s">
        <v>1686</v>
      </c>
      <c r="X28" s="2" t="s">
        <v>8</v>
      </c>
      <c r="Y28" s="6" t="e">
        <f t="shared" si="2"/>
        <v>#VALUE!</v>
      </c>
      <c r="AB28">
        <v>32478</v>
      </c>
      <c r="AD28" t="s">
        <v>1</v>
      </c>
      <c r="AE28">
        <v>27</v>
      </c>
      <c r="AF28">
        <v>2</v>
      </c>
      <c r="AH28" t="s">
        <v>1920</v>
      </c>
      <c r="AI28" t="s">
        <v>1919</v>
      </c>
      <c r="AK28" t="s">
        <v>1918</v>
      </c>
      <c r="AL28">
        <v>0</v>
      </c>
      <c r="AM28" s="5">
        <f t="shared" si="3"/>
        <v>0</v>
      </c>
      <c r="AN28" s="4">
        <f t="shared" si="4"/>
        <v>0</v>
      </c>
      <c r="AO28" s="3"/>
      <c r="AP28">
        <v>0</v>
      </c>
      <c r="AR28" t="s">
        <v>0</v>
      </c>
      <c r="AT28" s="2" t="s">
        <v>8</v>
      </c>
      <c r="AU28" s="1" t="e">
        <f t="shared" si="5"/>
        <v>#VALUE!</v>
      </c>
      <c r="AV28" s="1" t="e">
        <f t="shared" si="6"/>
        <v>#VALUE!</v>
      </c>
      <c r="AW28" s="1" t="e">
        <f t="shared" si="7"/>
        <v>#VALUE!</v>
      </c>
    </row>
    <row r="29" spans="1:49" x14ac:dyDescent="0.2">
      <c r="A29">
        <v>27</v>
      </c>
      <c r="B29" t="s">
        <v>1917</v>
      </c>
      <c r="F29" t="s">
        <v>1916</v>
      </c>
      <c r="G29" t="s">
        <v>4</v>
      </c>
      <c r="H29" t="s">
        <v>3</v>
      </c>
      <c r="I29" t="s">
        <v>1915</v>
      </c>
      <c r="N29">
        <v>1</v>
      </c>
      <c r="O29" t="s">
        <v>1914</v>
      </c>
      <c r="P29">
        <v>7003580445</v>
      </c>
      <c r="R29" s="7">
        <v>31017</v>
      </c>
      <c r="S29" s="8">
        <f t="shared" si="0"/>
        <v>1984</v>
      </c>
      <c r="T29" s="8">
        <v>1984</v>
      </c>
      <c r="U29" s="8">
        <f t="shared" si="1"/>
        <v>38</v>
      </c>
      <c r="V29" s="7">
        <v>1984</v>
      </c>
      <c r="W29" t="s">
        <v>1686</v>
      </c>
      <c r="X29" s="2" t="s">
        <v>8</v>
      </c>
      <c r="Y29" s="6" t="e">
        <f t="shared" si="2"/>
        <v>#VALUE!</v>
      </c>
      <c r="AB29">
        <v>32478</v>
      </c>
      <c r="AD29" t="s">
        <v>1</v>
      </c>
      <c r="AE29">
        <v>27</v>
      </c>
      <c r="AF29">
        <v>2</v>
      </c>
      <c r="AH29" t="s">
        <v>1913</v>
      </c>
      <c r="AI29" t="s">
        <v>1912</v>
      </c>
      <c r="AK29" t="s">
        <v>1911</v>
      </c>
      <c r="AL29">
        <v>0</v>
      </c>
      <c r="AM29" s="5">
        <f t="shared" si="3"/>
        <v>0</v>
      </c>
      <c r="AN29" s="4">
        <f t="shared" si="4"/>
        <v>0</v>
      </c>
      <c r="AO29" s="3"/>
      <c r="AP29">
        <v>0</v>
      </c>
      <c r="AR29" t="s">
        <v>0</v>
      </c>
      <c r="AT29" s="2" t="s">
        <v>8</v>
      </c>
      <c r="AU29" s="1" t="e">
        <f t="shared" si="5"/>
        <v>#VALUE!</v>
      </c>
      <c r="AV29" s="1" t="e">
        <f t="shared" si="6"/>
        <v>#VALUE!</v>
      </c>
      <c r="AW29" s="1" t="e">
        <f t="shared" si="7"/>
        <v>#VALUE!</v>
      </c>
    </row>
    <row r="30" spans="1:49" x14ac:dyDescent="0.2">
      <c r="A30">
        <v>28</v>
      </c>
      <c r="B30" t="s">
        <v>1910</v>
      </c>
      <c r="F30" t="s">
        <v>1909</v>
      </c>
      <c r="G30" t="s">
        <v>4</v>
      </c>
      <c r="H30" t="s">
        <v>3</v>
      </c>
      <c r="I30" t="s">
        <v>1908</v>
      </c>
      <c r="J30">
        <v>60103907</v>
      </c>
      <c r="K30" t="s">
        <v>159</v>
      </c>
      <c r="L30" t="s">
        <v>50</v>
      </c>
      <c r="M30" t="s">
        <v>49</v>
      </c>
      <c r="N30">
        <v>2</v>
      </c>
      <c r="O30" t="s">
        <v>1907</v>
      </c>
      <c r="P30" t="s">
        <v>1906</v>
      </c>
      <c r="Q30" t="s">
        <v>1905</v>
      </c>
      <c r="R30" s="7">
        <v>31017</v>
      </c>
      <c r="S30" s="8">
        <f t="shared" si="0"/>
        <v>1984</v>
      </c>
      <c r="T30" s="8">
        <v>1984</v>
      </c>
      <c r="U30" s="8">
        <f t="shared" si="1"/>
        <v>38</v>
      </c>
      <c r="V30" s="7">
        <v>31017</v>
      </c>
      <c r="W30" t="s">
        <v>93</v>
      </c>
      <c r="X30" s="2" t="s">
        <v>8</v>
      </c>
      <c r="Y30" s="6" t="e">
        <f t="shared" si="2"/>
        <v>#VALUE!</v>
      </c>
      <c r="AA30" t="s">
        <v>92</v>
      </c>
      <c r="AB30">
        <v>30906</v>
      </c>
      <c r="AD30" t="s">
        <v>1</v>
      </c>
      <c r="AE30" t="s">
        <v>91</v>
      </c>
      <c r="AF30">
        <v>12</v>
      </c>
      <c r="AH30" t="s">
        <v>1904</v>
      </c>
      <c r="AI30" t="s">
        <v>1903</v>
      </c>
      <c r="AK30" t="s">
        <v>1902</v>
      </c>
      <c r="AL30">
        <v>2</v>
      </c>
      <c r="AM30" s="5">
        <f t="shared" si="3"/>
        <v>5.2631578947368418E-2</v>
      </c>
      <c r="AN30" s="4">
        <f t="shared" si="4"/>
        <v>7.9714621654476962E-5</v>
      </c>
      <c r="AO30" s="3"/>
      <c r="AP30">
        <v>0</v>
      </c>
      <c r="AR30" t="s">
        <v>0</v>
      </c>
      <c r="AT30" s="2" t="s">
        <v>8</v>
      </c>
      <c r="AU30" s="1" t="e">
        <f t="shared" si="5"/>
        <v>#VALUE!</v>
      </c>
      <c r="AV30" s="1" t="e">
        <f t="shared" si="6"/>
        <v>#VALUE!</v>
      </c>
      <c r="AW30" s="1" t="e">
        <f t="shared" si="7"/>
        <v>#VALUE!</v>
      </c>
    </row>
    <row r="31" spans="1:49" x14ac:dyDescent="0.2">
      <c r="A31">
        <v>29</v>
      </c>
      <c r="B31" t="s">
        <v>1901</v>
      </c>
      <c r="C31" t="s">
        <v>1900</v>
      </c>
      <c r="F31" t="s">
        <v>1899</v>
      </c>
      <c r="G31" t="s">
        <v>4</v>
      </c>
      <c r="H31" t="s">
        <v>3</v>
      </c>
      <c r="I31" t="s">
        <v>1898</v>
      </c>
      <c r="J31" t="s">
        <v>1897</v>
      </c>
      <c r="K31" t="s">
        <v>1896</v>
      </c>
      <c r="L31" t="s">
        <v>1895</v>
      </c>
      <c r="M31" t="s">
        <v>1894</v>
      </c>
      <c r="N31">
        <v>4</v>
      </c>
      <c r="O31" t="s">
        <v>1893</v>
      </c>
      <c r="P31" t="s">
        <v>1892</v>
      </c>
      <c r="Q31" t="s">
        <v>1891</v>
      </c>
      <c r="R31" s="7">
        <v>31017</v>
      </c>
      <c r="S31" s="8">
        <f t="shared" si="0"/>
        <v>1984</v>
      </c>
      <c r="T31" s="8">
        <v>1984</v>
      </c>
      <c r="U31" s="8">
        <f t="shared" si="1"/>
        <v>38</v>
      </c>
      <c r="V31" s="7">
        <v>31017</v>
      </c>
      <c r="W31" t="s">
        <v>46</v>
      </c>
      <c r="X31" s="2">
        <v>0.61499999999999999</v>
      </c>
      <c r="Y31" s="6">
        <f t="shared" si="2"/>
        <v>1.6417073756706976E-2</v>
      </c>
      <c r="AA31">
        <v>1959271</v>
      </c>
      <c r="AB31">
        <v>12141</v>
      </c>
      <c r="AC31">
        <v>15729559</v>
      </c>
      <c r="AD31" t="s">
        <v>1</v>
      </c>
      <c r="AE31">
        <v>5</v>
      </c>
      <c r="AF31">
        <v>12</v>
      </c>
      <c r="AH31" t="s">
        <v>1890</v>
      </c>
      <c r="AI31" t="s">
        <v>1889</v>
      </c>
      <c r="AJ31" t="s">
        <v>1888</v>
      </c>
      <c r="AK31" t="s">
        <v>1887</v>
      </c>
      <c r="AL31">
        <v>0</v>
      </c>
      <c r="AM31" s="5">
        <f t="shared" si="3"/>
        <v>0</v>
      </c>
      <c r="AN31" s="4">
        <f t="shared" si="4"/>
        <v>0</v>
      </c>
      <c r="AO31" s="3"/>
      <c r="AP31">
        <v>0</v>
      </c>
      <c r="AR31" t="s">
        <v>0</v>
      </c>
      <c r="AT31" s="2" t="s">
        <v>8</v>
      </c>
      <c r="AU31" s="1">
        <f t="shared" si="5"/>
        <v>1.1491951629694881</v>
      </c>
      <c r="AV31" s="1">
        <f t="shared" si="6"/>
        <v>0.82085368783534873</v>
      </c>
      <c r="AW31" s="1">
        <f t="shared" si="7"/>
        <v>0.49251221270120926</v>
      </c>
    </row>
    <row r="32" spans="1:49" x14ac:dyDescent="0.2">
      <c r="A32">
        <v>30</v>
      </c>
      <c r="B32" t="s">
        <v>1886</v>
      </c>
      <c r="F32" t="s">
        <v>1885</v>
      </c>
      <c r="G32" t="s">
        <v>4</v>
      </c>
      <c r="H32" t="s">
        <v>3</v>
      </c>
      <c r="I32" t="s">
        <v>103</v>
      </c>
      <c r="J32">
        <v>60018829</v>
      </c>
      <c r="K32" t="s">
        <v>132</v>
      </c>
      <c r="L32" t="s">
        <v>131</v>
      </c>
      <c r="M32" t="s">
        <v>18</v>
      </c>
      <c r="N32">
        <v>1</v>
      </c>
      <c r="O32" t="s">
        <v>100</v>
      </c>
      <c r="P32">
        <v>7006568034</v>
      </c>
      <c r="Q32">
        <v>60018829</v>
      </c>
      <c r="R32" s="7">
        <v>31017</v>
      </c>
      <c r="S32" s="8">
        <f t="shared" si="0"/>
        <v>1984</v>
      </c>
      <c r="T32" s="8">
        <v>1984</v>
      </c>
      <c r="U32" s="8">
        <f t="shared" si="1"/>
        <v>38</v>
      </c>
      <c r="V32" s="7">
        <v>1984</v>
      </c>
      <c r="W32" t="s">
        <v>1695</v>
      </c>
      <c r="X32" s="2" t="s">
        <v>8</v>
      </c>
      <c r="Y32" s="6" t="e">
        <f t="shared" si="2"/>
        <v>#VALUE!</v>
      </c>
      <c r="AA32">
        <v>2649187</v>
      </c>
      <c r="AB32">
        <v>36931</v>
      </c>
      <c r="AD32" t="s">
        <v>1</v>
      </c>
      <c r="AE32">
        <v>2</v>
      </c>
      <c r="AF32">
        <v>1</v>
      </c>
      <c r="AH32" t="s">
        <v>1884</v>
      </c>
      <c r="AI32" t="s">
        <v>1883</v>
      </c>
      <c r="AK32" t="s">
        <v>1882</v>
      </c>
      <c r="AL32">
        <v>0</v>
      </c>
      <c r="AM32" s="5">
        <f t="shared" si="3"/>
        <v>0</v>
      </c>
      <c r="AN32" s="4">
        <f t="shared" si="4"/>
        <v>0</v>
      </c>
      <c r="AO32" s="3"/>
      <c r="AP32">
        <v>0</v>
      </c>
      <c r="AR32" t="s">
        <v>0</v>
      </c>
      <c r="AT32" s="2" t="s">
        <v>8</v>
      </c>
      <c r="AU32" s="1" t="e">
        <f t="shared" si="5"/>
        <v>#VALUE!</v>
      </c>
      <c r="AV32" s="1" t="e">
        <f t="shared" si="6"/>
        <v>#VALUE!</v>
      </c>
      <c r="AW32" s="1" t="e">
        <f t="shared" si="7"/>
        <v>#VALUE!</v>
      </c>
    </row>
    <row r="33" spans="1:49" x14ac:dyDescent="0.2">
      <c r="A33">
        <v>31</v>
      </c>
      <c r="B33" t="s">
        <v>1881</v>
      </c>
      <c r="F33" t="s">
        <v>1880</v>
      </c>
      <c r="G33" t="s">
        <v>4</v>
      </c>
      <c r="H33" t="s">
        <v>3</v>
      </c>
      <c r="I33" t="s">
        <v>1879</v>
      </c>
      <c r="N33">
        <v>2</v>
      </c>
      <c r="O33" t="s">
        <v>1878</v>
      </c>
      <c r="P33" t="s">
        <v>1877</v>
      </c>
      <c r="Q33" t="s">
        <v>29</v>
      </c>
      <c r="R33" s="7">
        <v>31017</v>
      </c>
      <c r="S33" s="8">
        <f t="shared" si="0"/>
        <v>1984</v>
      </c>
      <c r="T33" s="8">
        <v>1984</v>
      </c>
      <c r="U33" s="8">
        <f t="shared" si="1"/>
        <v>38</v>
      </c>
      <c r="V33" s="7">
        <v>1984</v>
      </c>
      <c r="W33" t="s">
        <v>1686</v>
      </c>
      <c r="X33" s="2" t="s">
        <v>8</v>
      </c>
      <c r="Y33" s="6" t="e">
        <f t="shared" si="2"/>
        <v>#VALUE!</v>
      </c>
      <c r="AB33">
        <v>32478</v>
      </c>
      <c r="AD33" t="s">
        <v>1</v>
      </c>
      <c r="AE33">
        <v>27</v>
      </c>
      <c r="AF33">
        <v>2</v>
      </c>
      <c r="AH33" t="s">
        <v>1876</v>
      </c>
      <c r="AI33" t="s">
        <v>1875</v>
      </c>
      <c r="AK33" t="s">
        <v>1874</v>
      </c>
      <c r="AL33">
        <v>1</v>
      </c>
      <c r="AM33" s="5">
        <f t="shared" si="3"/>
        <v>2.6315789473684209E-2</v>
      </c>
      <c r="AN33" s="4">
        <f t="shared" si="4"/>
        <v>3.9857310827238481E-5</v>
      </c>
      <c r="AO33" s="3"/>
      <c r="AP33">
        <v>0</v>
      </c>
      <c r="AR33" t="s">
        <v>0</v>
      </c>
      <c r="AT33" s="2" t="s">
        <v>8</v>
      </c>
      <c r="AU33" s="1" t="e">
        <f t="shared" si="5"/>
        <v>#VALUE!</v>
      </c>
      <c r="AV33" s="1" t="e">
        <f t="shared" si="6"/>
        <v>#VALUE!</v>
      </c>
      <c r="AW33" s="1" t="e">
        <f t="shared" si="7"/>
        <v>#VALUE!</v>
      </c>
    </row>
    <row r="34" spans="1:49" x14ac:dyDescent="0.2">
      <c r="A34">
        <v>32</v>
      </c>
      <c r="B34" t="s">
        <v>1873</v>
      </c>
      <c r="F34" t="s">
        <v>1872</v>
      </c>
      <c r="G34" t="s">
        <v>4</v>
      </c>
      <c r="H34" t="s">
        <v>3</v>
      </c>
      <c r="I34" t="s">
        <v>1864</v>
      </c>
      <c r="J34">
        <v>60026717</v>
      </c>
      <c r="K34" t="s">
        <v>1713</v>
      </c>
      <c r="L34" t="s">
        <v>76</v>
      </c>
      <c r="M34" t="s">
        <v>11</v>
      </c>
      <c r="N34">
        <v>5</v>
      </c>
      <c r="O34" t="s">
        <v>1871</v>
      </c>
      <c r="P34" t="s">
        <v>1870</v>
      </c>
      <c r="Q34" t="s">
        <v>1869</v>
      </c>
      <c r="R34" s="7">
        <v>31017</v>
      </c>
      <c r="S34" s="8">
        <f t="shared" si="0"/>
        <v>1984</v>
      </c>
      <c r="T34" s="8">
        <v>1984</v>
      </c>
      <c r="U34" s="8">
        <f t="shared" si="1"/>
        <v>38</v>
      </c>
      <c r="V34" s="7">
        <v>1984</v>
      </c>
      <c r="W34" t="s">
        <v>205</v>
      </c>
      <c r="X34" s="2" t="s">
        <v>8</v>
      </c>
      <c r="Y34" s="6" t="e">
        <f t="shared" si="2"/>
        <v>#VALUE!</v>
      </c>
      <c r="AA34">
        <v>4999320</v>
      </c>
      <c r="AB34">
        <v>13083</v>
      </c>
      <c r="AD34" t="s">
        <v>1</v>
      </c>
      <c r="AI34" t="s">
        <v>1868</v>
      </c>
      <c r="AK34" t="s">
        <v>1867</v>
      </c>
      <c r="AL34">
        <v>0</v>
      </c>
      <c r="AM34" s="5">
        <f t="shared" si="3"/>
        <v>0</v>
      </c>
      <c r="AN34" s="4">
        <f t="shared" si="4"/>
        <v>0</v>
      </c>
      <c r="AO34" s="3"/>
      <c r="AP34">
        <v>0</v>
      </c>
      <c r="AR34" t="s">
        <v>0</v>
      </c>
      <c r="AT34" s="2" t="s">
        <v>8</v>
      </c>
      <c r="AU34" s="1" t="e">
        <f t="shared" si="5"/>
        <v>#VALUE!</v>
      </c>
      <c r="AV34" s="1" t="e">
        <f t="shared" si="6"/>
        <v>#VALUE!</v>
      </c>
      <c r="AW34" s="1" t="e">
        <f t="shared" si="7"/>
        <v>#VALUE!</v>
      </c>
    </row>
    <row r="35" spans="1:49" x14ac:dyDescent="0.2">
      <c r="A35">
        <v>33</v>
      </c>
      <c r="B35" t="s">
        <v>1866</v>
      </c>
      <c r="F35" t="s">
        <v>1865</v>
      </c>
      <c r="G35" t="s">
        <v>4</v>
      </c>
      <c r="H35" t="s">
        <v>3</v>
      </c>
      <c r="I35" t="s">
        <v>1864</v>
      </c>
      <c r="J35">
        <v>60026717</v>
      </c>
      <c r="K35" t="s">
        <v>1713</v>
      </c>
      <c r="L35" t="s">
        <v>76</v>
      </c>
      <c r="M35" t="s">
        <v>11</v>
      </c>
      <c r="N35">
        <v>3</v>
      </c>
      <c r="O35" t="s">
        <v>1863</v>
      </c>
      <c r="P35" t="s">
        <v>1862</v>
      </c>
      <c r="Q35" t="s">
        <v>1710</v>
      </c>
      <c r="R35" s="7">
        <v>31017</v>
      </c>
      <c r="S35" s="8">
        <f t="shared" si="0"/>
        <v>1984</v>
      </c>
      <c r="T35" s="8">
        <v>1984</v>
      </c>
      <c r="U35" s="8">
        <f t="shared" si="1"/>
        <v>38</v>
      </c>
      <c r="V35" s="7">
        <v>1984</v>
      </c>
      <c r="W35" t="s">
        <v>205</v>
      </c>
      <c r="X35" s="2" t="s">
        <v>8</v>
      </c>
      <c r="Y35" s="6" t="e">
        <f t="shared" si="2"/>
        <v>#VALUE!</v>
      </c>
      <c r="AA35">
        <v>4999320</v>
      </c>
      <c r="AB35">
        <v>13083</v>
      </c>
      <c r="AD35" t="s">
        <v>1</v>
      </c>
      <c r="AI35" t="s">
        <v>1861</v>
      </c>
      <c r="AK35" t="s">
        <v>1860</v>
      </c>
      <c r="AL35">
        <v>0</v>
      </c>
      <c r="AM35" s="5">
        <f t="shared" si="3"/>
        <v>0</v>
      </c>
      <c r="AN35" s="4">
        <f t="shared" si="4"/>
        <v>0</v>
      </c>
      <c r="AO35" s="3"/>
      <c r="AP35">
        <v>0</v>
      </c>
      <c r="AR35" t="s">
        <v>0</v>
      </c>
      <c r="AT35" s="2" t="s">
        <v>8</v>
      </c>
      <c r="AU35" s="1" t="e">
        <f t="shared" si="5"/>
        <v>#VALUE!</v>
      </c>
      <c r="AV35" s="1" t="e">
        <f t="shared" si="6"/>
        <v>#VALUE!</v>
      </c>
      <c r="AW35" s="1" t="e">
        <f t="shared" si="7"/>
        <v>#VALUE!</v>
      </c>
    </row>
    <row r="36" spans="1:49" x14ac:dyDescent="0.2">
      <c r="A36">
        <v>34</v>
      </c>
      <c r="B36" t="s">
        <v>1859</v>
      </c>
      <c r="F36" t="s">
        <v>1858</v>
      </c>
      <c r="G36" t="s">
        <v>4</v>
      </c>
      <c r="H36" t="s">
        <v>3</v>
      </c>
      <c r="I36" t="s">
        <v>1857</v>
      </c>
      <c r="N36">
        <v>2</v>
      </c>
      <c r="O36" t="s">
        <v>1856</v>
      </c>
      <c r="P36" t="s">
        <v>1855</v>
      </c>
      <c r="Q36" t="s">
        <v>29</v>
      </c>
      <c r="R36" s="7">
        <v>31017</v>
      </c>
      <c r="S36" s="8">
        <f t="shared" si="0"/>
        <v>1984</v>
      </c>
      <c r="T36" s="8">
        <v>1984</v>
      </c>
      <c r="U36" s="8">
        <f t="shared" si="1"/>
        <v>38</v>
      </c>
      <c r="V36" s="7">
        <v>1984</v>
      </c>
      <c r="W36" t="s">
        <v>1854</v>
      </c>
      <c r="X36" s="2" t="s">
        <v>8</v>
      </c>
      <c r="Y36" s="6" t="e">
        <f t="shared" si="2"/>
        <v>#VALUE!</v>
      </c>
      <c r="AA36">
        <v>1476858</v>
      </c>
      <c r="AB36">
        <v>30293</v>
      </c>
      <c r="AD36" t="s">
        <v>1</v>
      </c>
      <c r="AF36">
        <v>3</v>
      </c>
      <c r="AH36" t="s">
        <v>1719</v>
      </c>
      <c r="AI36" t="s">
        <v>1853</v>
      </c>
      <c r="AK36" t="s">
        <v>1852</v>
      </c>
      <c r="AL36">
        <v>0</v>
      </c>
      <c r="AM36" s="5">
        <f t="shared" si="3"/>
        <v>0</v>
      </c>
      <c r="AN36" s="4">
        <f t="shared" si="4"/>
        <v>0</v>
      </c>
      <c r="AO36" s="3"/>
      <c r="AP36">
        <v>0</v>
      </c>
      <c r="AR36" t="s">
        <v>0</v>
      </c>
      <c r="AT36" s="2" t="s">
        <v>8</v>
      </c>
      <c r="AU36" s="1" t="e">
        <f t="shared" si="5"/>
        <v>#VALUE!</v>
      </c>
      <c r="AV36" s="1" t="e">
        <f t="shared" si="6"/>
        <v>#VALUE!</v>
      </c>
      <c r="AW36" s="1" t="e">
        <f t="shared" si="7"/>
        <v>#VALUE!</v>
      </c>
    </row>
    <row r="37" spans="1:49" x14ac:dyDescent="0.2">
      <c r="A37">
        <v>35</v>
      </c>
      <c r="B37" t="s">
        <v>1851</v>
      </c>
      <c r="F37" t="s">
        <v>1850</v>
      </c>
      <c r="G37" t="s">
        <v>4</v>
      </c>
      <c r="H37" t="s">
        <v>3</v>
      </c>
      <c r="I37" t="s">
        <v>1849</v>
      </c>
      <c r="N37">
        <v>1</v>
      </c>
      <c r="O37" t="s">
        <v>1848</v>
      </c>
      <c r="P37">
        <v>7006442477</v>
      </c>
      <c r="R37" s="7">
        <v>31017</v>
      </c>
      <c r="S37" s="8">
        <f t="shared" si="0"/>
        <v>1984</v>
      </c>
      <c r="T37" s="8">
        <v>1984</v>
      </c>
      <c r="U37" s="8">
        <f t="shared" si="1"/>
        <v>38</v>
      </c>
      <c r="V37" s="7">
        <v>31017</v>
      </c>
      <c r="W37" t="s">
        <v>63</v>
      </c>
      <c r="X37" s="2" t="s">
        <v>8</v>
      </c>
      <c r="Y37" s="6" t="e">
        <f t="shared" si="2"/>
        <v>#VALUE!</v>
      </c>
      <c r="AA37">
        <v>337889</v>
      </c>
      <c r="AB37">
        <v>40920</v>
      </c>
      <c r="AD37" t="s">
        <v>1</v>
      </c>
      <c r="AE37">
        <v>29</v>
      </c>
      <c r="AF37">
        <v>12</v>
      </c>
      <c r="AH37" t="s">
        <v>1847</v>
      </c>
      <c r="AI37" t="s">
        <v>1846</v>
      </c>
      <c r="AK37" t="s">
        <v>1845</v>
      </c>
      <c r="AL37">
        <v>0</v>
      </c>
      <c r="AM37" s="5">
        <f t="shared" si="3"/>
        <v>0</v>
      </c>
      <c r="AN37" s="4">
        <f t="shared" si="4"/>
        <v>0</v>
      </c>
      <c r="AO37" s="3"/>
      <c r="AP37">
        <v>0</v>
      </c>
      <c r="AR37" t="s">
        <v>0</v>
      </c>
      <c r="AT37" s="2" t="s">
        <v>8</v>
      </c>
      <c r="AU37" s="1" t="e">
        <f t="shared" si="5"/>
        <v>#VALUE!</v>
      </c>
      <c r="AV37" s="1" t="e">
        <f t="shared" si="6"/>
        <v>#VALUE!</v>
      </c>
      <c r="AW37" s="1" t="e">
        <f t="shared" si="7"/>
        <v>#VALUE!</v>
      </c>
    </row>
    <row r="38" spans="1:49" x14ac:dyDescent="0.2">
      <c r="A38">
        <v>36</v>
      </c>
      <c r="B38" t="s">
        <v>1844</v>
      </c>
      <c r="F38" t="s">
        <v>1843</v>
      </c>
      <c r="G38" t="s">
        <v>4</v>
      </c>
      <c r="H38" t="s">
        <v>3</v>
      </c>
      <c r="I38" t="s">
        <v>1705</v>
      </c>
      <c r="N38">
        <v>2</v>
      </c>
      <c r="O38" t="s">
        <v>1842</v>
      </c>
      <c r="P38" t="s">
        <v>1841</v>
      </c>
      <c r="Q38" t="s">
        <v>29</v>
      </c>
      <c r="R38" s="7">
        <v>31017</v>
      </c>
      <c r="S38" s="8">
        <f t="shared" si="0"/>
        <v>1984</v>
      </c>
      <c r="T38" s="8">
        <v>1984</v>
      </c>
      <c r="U38" s="8">
        <f t="shared" si="1"/>
        <v>38</v>
      </c>
      <c r="V38" s="7">
        <v>1984</v>
      </c>
      <c r="W38" t="s">
        <v>1686</v>
      </c>
      <c r="X38" s="2" t="s">
        <v>8</v>
      </c>
      <c r="Y38" s="6" t="e">
        <f t="shared" si="2"/>
        <v>#VALUE!</v>
      </c>
      <c r="AB38">
        <v>32478</v>
      </c>
      <c r="AD38" t="s">
        <v>1</v>
      </c>
      <c r="AE38">
        <v>27</v>
      </c>
      <c r="AF38">
        <v>2</v>
      </c>
      <c r="AH38" t="s">
        <v>1840</v>
      </c>
      <c r="AI38" t="s">
        <v>1839</v>
      </c>
      <c r="AK38" t="s">
        <v>1838</v>
      </c>
      <c r="AL38">
        <v>0</v>
      </c>
      <c r="AM38" s="5">
        <f t="shared" si="3"/>
        <v>0</v>
      </c>
      <c r="AN38" s="4">
        <f t="shared" si="4"/>
        <v>0</v>
      </c>
      <c r="AO38" s="3"/>
      <c r="AP38">
        <v>0</v>
      </c>
      <c r="AR38" t="s">
        <v>0</v>
      </c>
      <c r="AT38" s="2" t="s">
        <v>8</v>
      </c>
      <c r="AU38" s="1" t="e">
        <f t="shared" si="5"/>
        <v>#VALUE!</v>
      </c>
      <c r="AV38" s="1" t="e">
        <f t="shared" si="6"/>
        <v>#VALUE!</v>
      </c>
      <c r="AW38" s="1" t="e">
        <f t="shared" si="7"/>
        <v>#VALUE!</v>
      </c>
    </row>
    <row r="39" spans="1:49" x14ac:dyDescent="0.2">
      <c r="A39">
        <v>37</v>
      </c>
      <c r="B39" t="s">
        <v>1837</v>
      </c>
      <c r="F39" t="s">
        <v>1836</v>
      </c>
      <c r="G39" t="s">
        <v>4</v>
      </c>
      <c r="H39" t="s">
        <v>3</v>
      </c>
      <c r="I39" t="s">
        <v>1835</v>
      </c>
      <c r="N39">
        <v>1</v>
      </c>
      <c r="O39" t="s">
        <v>1834</v>
      </c>
      <c r="P39">
        <v>7801598365</v>
      </c>
      <c r="R39" s="7">
        <v>31017</v>
      </c>
      <c r="S39" s="8">
        <f t="shared" si="0"/>
        <v>1984</v>
      </c>
      <c r="T39" s="8">
        <v>1984</v>
      </c>
      <c r="U39" s="8">
        <f t="shared" si="1"/>
        <v>38</v>
      </c>
      <c r="V39" s="7">
        <v>1984</v>
      </c>
      <c r="W39" t="s">
        <v>1686</v>
      </c>
      <c r="X39" s="2" t="s">
        <v>8</v>
      </c>
      <c r="Y39" s="6" t="e">
        <f t="shared" si="2"/>
        <v>#VALUE!</v>
      </c>
      <c r="AB39">
        <v>32478</v>
      </c>
      <c r="AD39" t="s">
        <v>1</v>
      </c>
      <c r="AE39">
        <v>27</v>
      </c>
      <c r="AF39">
        <v>2</v>
      </c>
      <c r="AH39" t="s">
        <v>214</v>
      </c>
      <c r="AI39" t="s">
        <v>1833</v>
      </c>
      <c r="AK39" t="s">
        <v>1832</v>
      </c>
      <c r="AL39">
        <v>2</v>
      </c>
      <c r="AM39" s="5">
        <f t="shared" si="3"/>
        <v>5.2631578947368418E-2</v>
      </c>
      <c r="AN39" s="4">
        <f t="shared" si="4"/>
        <v>7.9714621654476962E-5</v>
      </c>
      <c r="AO39" s="3"/>
      <c r="AP39">
        <v>0</v>
      </c>
      <c r="AR39" t="s">
        <v>0</v>
      </c>
      <c r="AT39" s="2" t="s">
        <v>8</v>
      </c>
      <c r="AU39" s="1" t="e">
        <f t="shared" si="5"/>
        <v>#VALUE!</v>
      </c>
      <c r="AV39" s="1" t="e">
        <f t="shared" si="6"/>
        <v>#VALUE!</v>
      </c>
      <c r="AW39" s="1" t="e">
        <f t="shared" si="7"/>
        <v>#VALUE!</v>
      </c>
    </row>
    <row r="40" spans="1:49" x14ac:dyDescent="0.2">
      <c r="A40">
        <v>38</v>
      </c>
      <c r="B40" t="s">
        <v>1831</v>
      </c>
      <c r="F40" t="s">
        <v>1830</v>
      </c>
      <c r="G40" t="s">
        <v>4</v>
      </c>
      <c r="H40" t="s">
        <v>3</v>
      </c>
      <c r="I40" t="s">
        <v>75</v>
      </c>
      <c r="J40">
        <v>60008107</v>
      </c>
      <c r="K40" t="s">
        <v>74</v>
      </c>
      <c r="L40" t="s">
        <v>73</v>
      </c>
      <c r="M40" t="s">
        <v>49</v>
      </c>
      <c r="N40">
        <v>2</v>
      </c>
      <c r="O40" t="s">
        <v>72</v>
      </c>
      <c r="P40" t="s">
        <v>71</v>
      </c>
      <c r="Q40" t="s">
        <v>70</v>
      </c>
      <c r="R40" s="7">
        <v>31017</v>
      </c>
      <c r="S40" s="8">
        <f t="shared" si="0"/>
        <v>1984</v>
      </c>
      <c r="T40" s="8">
        <v>1984</v>
      </c>
      <c r="U40" s="8">
        <f t="shared" si="1"/>
        <v>38</v>
      </c>
      <c r="V40" s="7">
        <v>1984</v>
      </c>
      <c r="W40" t="s">
        <v>1829</v>
      </c>
      <c r="X40" s="2" t="s">
        <v>8</v>
      </c>
      <c r="Y40" s="6" t="e">
        <f t="shared" si="2"/>
        <v>#VALUE!</v>
      </c>
      <c r="AA40">
        <v>4747844</v>
      </c>
      <c r="AB40">
        <v>15062</v>
      </c>
      <c r="AD40" t="s">
        <v>1</v>
      </c>
      <c r="AE40">
        <v>33</v>
      </c>
      <c r="AF40">
        <v>2</v>
      </c>
      <c r="AH40" t="s">
        <v>1828</v>
      </c>
      <c r="AI40" t="s">
        <v>1827</v>
      </c>
      <c r="AK40" t="s">
        <v>1826</v>
      </c>
      <c r="AL40">
        <v>0</v>
      </c>
      <c r="AM40" s="5">
        <f t="shared" si="3"/>
        <v>0</v>
      </c>
      <c r="AN40" s="4">
        <f t="shared" si="4"/>
        <v>0</v>
      </c>
      <c r="AO40" s="3"/>
      <c r="AP40">
        <v>0</v>
      </c>
      <c r="AR40" t="s">
        <v>0</v>
      </c>
      <c r="AT40" s="2" t="s">
        <v>8</v>
      </c>
      <c r="AU40" s="1" t="e">
        <f t="shared" si="5"/>
        <v>#VALUE!</v>
      </c>
      <c r="AV40" s="1" t="e">
        <f t="shared" si="6"/>
        <v>#VALUE!</v>
      </c>
      <c r="AW40" s="1" t="e">
        <f t="shared" si="7"/>
        <v>#VALUE!</v>
      </c>
    </row>
    <row r="41" spans="1:49" x14ac:dyDescent="0.2">
      <c r="A41">
        <v>39</v>
      </c>
      <c r="B41" t="s">
        <v>1825</v>
      </c>
      <c r="F41" t="s">
        <v>1824</v>
      </c>
      <c r="G41" t="s">
        <v>4</v>
      </c>
      <c r="H41" t="s">
        <v>3</v>
      </c>
      <c r="I41" t="s">
        <v>1823</v>
      </c>
      <c r="J41">
        <v>60018829</v>
      </c>
      <c r="K41" t="s">
        <v>132</v>
      </c>
      <c r="L41" t="s">
        <v>131</v>
      </c>
      <c r="M41" t="s">
        <v>18</v>
      </c>
      <c r="N41">
        <v>1</v>
      </c>
      <c r="O41" t="s">
        <v>1822</v>
      </c>
      <c r="P41">
        <v>35550570600</v>
      </c>
      <c r="Q41">
        <v>60018829</v>
      </c>
      <c r="R41" s="7">
        <v>31017</v>
      </c>
      <c r="S41" s="8">
        <f t="shared" si="0"/>
        <v>1984</v>
      </c>
      <c r="T41" s="8">
        <v>1984</v>
      </c>
      <c r="U41" s="8">
        <f t="shared" si="1"/>
        <v>38</v>
      </c>
      <c r="V41" s="7">
        <v>1984</v>
      </c>
      <c r="W41" t="s">
        <v>1695</v>
      </c>
      <c r="X41" s="2" t="s">
        <v>8</v>
      </c>
      <c r="Y41" s="6" t="e">
        <f t="shared" si="2"/>
        <v>#VALUE!</v>
      </c>
      <c r="AA41">
        <v>2649187</v>
      </c>
      <c r="AB41">
        <v>36931</v>
      </c>
      <c r="AD41" t="s">
        <v>1</v>
      </c>
      <c r="AE41">
        <v>2</v>
      </c>
      <c r="AF41">
        <v>2</v>
      </c>
      <c r="AH41" t="s">
        <v>1821</v>
      </c>
      <c r="AI41" t="s">
        <v>1820</v>
      </c>
      <c r="AK41" t="s">
        <v>1819</v>
      </c>
      <c r="AL41">
        <v>1</v>
      </c>
      <c r="AM41" s="5">
        <f t="shared" si="3"/>
        <v>2.6315789473684209E-2</v>
      </c>
      <c r="AN41" s="4">
        <f t="shared" si="4"/>
        <v>3.9857310827238481E-5</v>
      </c>
      <c r="AO41" s="3"/>
      <c r="AP41">
        <v>0</v>
      </c>
      <c r="AR41" t="s">
        <v>0</v>
      </c>
      <c r="AT41" s="2" t="s">
        <v>8</v>
      </c>
      <c r="AU41" s="1" t="e">
        <f t="shared" si="5"/>
        <v>#VALUE!</v>
      </c>
      <c r="AV41" s="1" t="e">
        <f t="shared" si="6"/>
        <v>#VALUE!</v>
      </c>
      <c r="AW41" s="1" t="e">
        <f t="shared" si="7"/>
        <v>#VALUE!</v>
      </c>
    </row>
    <row r="42" spans="1:49" x14ac:dyDescent="0.2">
      <c r="A42">
        <v>40</v>
      </c>
      <c r="B42" t="s">
        <v>1818</v>
      </c>
      <c r="F42" t="s">
        <v>1817</v>
      </c>
      <c r="G42" t="s">
        <v>4</v>
      </c>
      <c r="H42" t="s">
        <v>3</v>
      </c>
      <c r="I42" t="s">
        <v>1816</v>
      </c>
      <c r="J42">
        <v>60032139</v>
      </c>
      <c r="K42" t="s">
        <v>102</v>
      </c>
      <c r="L42" t="s">
        <v>101</v>
      </c>
      <c r="M42" t="s">
        <v>18</v>
      </c>
      <c r="N42">
        <v>2</v>
      </c>
      <c r="O42" t="s">
        <v>1815</v>
      </c>
      <c r="P42" t="s">
        <v>1814</v>
      </c>
      <c r="Q42" t="s">
        <v>1813</v>
      </c>
      <c r="R42" s="7">
        <v>31017</v>
      </c>
      <c r="S42" s="8">
        <f t="shared" si="0"/>
        <v>1984</v>
      </c>
      <c r="T42" s="8">
        <v>1984</v>
      </c>
      <c r="U42" s="8">
        <f t="shared" si="1"/>
        <v>38</v>
      </c>
      <c r="V42" s="7">
        <v>1984</v>
      </c>
      <c r="W42" t="s">
        <v>1695</v>
      </c>
      <c r="X42" s="2" t="s">
        <v>8</v>
      </c>
      <c r="Y42" s="6" t="e">
        <f t="shared" si="2"/>
        <v>#VALUE!</v>
      </c>
      <c r="AA42">
        <v>2649187</v>
      </c>
      <c r="AB42">
        <v>36931</v>
      </c>
      <c r="AD42" t="s">
        <v>1</v>
      </c>
      <c r="AE42">
        <v>2</v>
      </c>
      <c r="AF42">
        <v>2</v>
      </c>
      <c r="AH42" t="s">
        <v>105</v>
      </c>
      <c r="AI42" t="s">
        <v>1812</v>
      </c>
      <c r="AK42" t="s">
        <v>1811</v>
      </c>
      <c r="AL42">
        <v>7</v>
      </c>
      <c r="AM42" s="5">
        <f t="shared" si="3"/>
        <v>0.18421052631578946</v>
      </c>
      <c r="AN42" s="4">
        <f t="shared" si="4"/>
        <v>2.7900117579066937E-4</v>
      </c>
      <c r="AO42" s="3"/>
      <c r="AP42">
        <v>0</v>
      </c>
      <c r="AR42" t="s">
        <v>0</v>
      </c>
      <c r="AT42" s="2" t="s">
        <v>8</v>
      </c>
      <c r="AU42" s="1" t="e">
        <f t="shared" si="5"/>
        <v>#VALUE!</v>
      </c>
      <c r="AV42" s="1" t="e">
        <f t="shared" si="6"/>
        <v>#VALUE!</v>
      </c>
      <c r="AW42" s="1" t="e">
        <f t="shared" si="7"/>
        <v>#VALUE!</v>
      </c>
    </row>
    <row r="43" spans="1:49" x14ac:dyDescent="0.2">
      <c r="A43">
        <v>41</v>
      </c>
      <c r="B43" t="s">
        <v>1810</v>
      </c>
      <c r="F43" t="s">
        <v>1809</v>
      </c>
      <c r="G43" t="s">
        <v>4</v>
      </c>
      <c r="H43" t="s">
        <v>3</v>
      </c>
      <c r="I43" t="s">
        <v>1808</v>
      </c>
      <c r="N43">
        <v>2</v>
      </c>
      <c r="O43" t="s">
        <v>1807</v>
      </c>
      <c r="P43" t="s">
        <v>1806</v>
      </c>
      <c r="Q43" t="s">
        <v>29</v>
      </c>
      <c r="R43" s="7">
        <v>31017</v>
      </c>
      <c r="S43" s="8">
        <f t="shared" si="0"/>
        <v>1984</v>
      </c>
      <c r="T43" s="8">
        <v>1984</v>
      </c>
      <c r="U43" s="8">
        <f t="shared" si="1"/>
        <v>38</v>
      </c>
      <c r="V43" s="7">
        <v>1984</v>
      </c>
      <c r="W43" t="s">
        <v>1671</v>
      </c>
      <c r="X43" s="2" t="s">
        <v>8</v>
      </c>
      <c r="Y43" s="6" t="e">
        <f t="shared" si="2"/>
        <v>#VALUE!</v>
      </c>
      <c r="AA43">
        <v>289108</v>
      </c>
      <c r="AB43">
        <v>78703</v>
      </c>
      <c r="AD43" t="s">
        <v>1</v>
      </c>
      <c r="AE43">
        <v>24</v>
      </c>
      <c r="AF43">
        <v>104</v>
      </c>
      <c r="AH43" t="s">
        <v>1805</v>
      </c>
      <c r="AI43" t="s">
        <v>1804</v>
      </c>
      <c r="AK43" t="s">
        <v>1803</v>
      </c>
      <c r="AL43">
        <v>0</v>
      </c>
      <c r="AM43" s="5">
        <f t="shared" si="3"/>
        <v>0</v>
      </c>
      <c r="AN43" s="4">
        <f t="shared" si="4"/>
        <v>0</v>
      </c>
      <c r="AO43" s="3"/>
      <c r="AP43">
        <v>0</v>
      </c>
      <c r="AR43" t="s">
        <v>0</v>
      </c>
      <c r="AT43" s="2" t="s">
        <v>8</v>
      </c>
      <c r="AU43" s="1" t="e">
        <f t="shared" si="5"/>
        <v>#VALUE!</v>
      </c>
      <c r="AV43" s="1" t="e">
        <f t="shared" si="6"/>
        <v>#VALUE!</v>
      </c>
      <c r="AW43" s="1" t="e">
        <f t="shared" si="7"/>
        <v>#VALUE!</v>
      </c>
    </row>
    <row r="44" spans="1:49" x14ac:dyDescent="0.2">
      <c r="A44">
        <v>42</v>
      </c>
      <c r="B44" t="s">
        <v>1802</v>
      </c>
      <c r="F44" t="s">
        <v>1801</v>
      </c>
      <c r="G44" t="s">
        <v>4</v>
      </c>
      <c r="H44" t="s">
        <v>3</v>
      </c>
      <c r="I44" t="s">
        <v>1800</v>
      </c>
      <c r="J44">
        <v>60023345</v>
      </c>
      <c r="K44" t="s">
        <v>203</v>
      </c>
      <c r="L44" t="s">
        <v>202</v>
      </c>
      <c r="M44" t="s">
        <v>16</v>
      </c>
      <c r="N44">
        <v>2</v>
      </c>
      <c r="O44" t="s">
        <v>1799</v>
      </c>
      <c r="P44" t="s">
        <v>1798</v>
      </c>
      <c r="Q44" t="s">
        <v>1797</v>
      </c>
      <c r="R44" s="7">
        <v>31017</v>
      </c>
      <c r="S44" s="8">
        <f t="shared" si="0"/>
        <v>1984</v>
      </c>
      <c r="T44" s="8">
        <v>1984</v>
      </c>
      <c r="U44" s="8">
        <f t="shared" si="1"/>
        <v>38</v>
      </c>
      <c r="V44" s="7">
        <v>31017</v>
      </c>
      <c r="W44" t="s">
        <v>161</v>
      </c>
      <c r="X44" s="2" t="s">
        <v>8</v>
      </c>
      <c r="Y44" s="6" t="e">
        <f t="shared" si="2"/>
        <v>#VALUE!</v>
      </c>
      <c r="AA44" t="s">
        <v>160</v>
      </c>
      <c r="AB44">
        <v>35968</v>
      </c>
      <c r="AD44" t="s">
        <v>1</v>
      </c>
      <c r="AE44">
        <v>51</v>
      </c>
      <c r="AF44">
        <v>12</v>
      </c>
      <c r="AH44" t="s">
        <v>1796</v>
      </c>
      <c r="AI44" t="s">
        <v>1795</v>
      </c>
      <c r="AK44" t="s">
        <v>1794</v>
      </c>
      <c r="AL44">
        <v>2</v>
      </c>
      <c r="AM44" s="5">
        <f t="shared" si="3"/>
        <v>5.2631578947368418E-2</v>
      </c>
      <c r="AN44" s="4">
        <f t="shared" si="4"/>
        <v>7.9714621654476962E-5</v>
      </c>
      <c r="AO44" s="3"/>
      <c r="AP44">
        <v>0</v>
      </c>
      <c r="AR44" t="s">
        <v>0</v>
      </c>
      <c r="AT44" s="2" t="s">
        <v>8</v>
      </c>
      <c r="AU44" s="1" t="e">
        <f t="shared" si="5"/>
        <v>#VALUE!</v>
      </c>
      <c r="AV44" s="1" t="e">
        <f t="shared" si="6"/>
        <v>#VALUE!</v>
      </c>
      <c r="AW44" s="1" t="e">
        <f t="shared" si="7"/>
        <v>#VALUE!</v>
      </c>
    </row>
    <row r="45" spans="1:49" x14ac:dyDescent="0.2">
      <c r="A45">
        <v>43</v>
      </c>
      <c r="B45" t="s">
        <v>1793</v>
      </c>
      <c r="F45" t="s">
        <v>1792</v>
      </c>
      <c r="G45" t="s">
        <v>4</v>
      </c>
      <c r="H45" t="s">
        <v>3</v>
      </c>
      <c r="I45" t="s">
        <v>1791</v>
      </c>
      <c r="N45">
        <v>2</v>
      </c>
      <c r="O45" t="s">
        <v>1790</v>
      </c>
      <c r="P45" t="s">
        <v>1789</v>
      </c>
      <c r="Q45" t="s">
        <v>29</v>
      </c>
      <c r="R45" s="7">
        <v>31017</v>
      </c>
      <c r="S45" s="8">
        <f t="shared" si="0"/>
        <v>1984</v>
      </c>
      <c r="T45" s="8">
        <v>1984</v>
      </c>
      <c r="U45" s="8">
        <f t="shared" si="1"/>
        <v>38</v>
      </c>
      <c r="V45" s="7">
        <v>1984</v>
      </c>
      <c r="W45" t="s">
        <v>1686</v>
      </c>
      <c r="X45" s="2" t="s">
        <v>8</v>
      </c>
      <c r="Y45" s="6" t="e">
        <f t="shared" si="2"/>
        <v>#VALUE!</v>
      </c>
      <c r="AB45">
        <v>32478</v>
      </c>
      <c r="AD45" t="s">
        <v>1</v>
      </c>
      <c r="AE45">
        <v>27</v>
      </c>
      <c r="AF45">
        <v>2</v>
      </c>
      <c r="AH45" t="s">
        <v>1788</v>
      </c>
      <c r="AI45" t="s">
        <v>1787</v>
      </c>
      <c r="AK45" t="s">
        <v>1786</v>
      </c>
      <c r="AL45">
        <v>0</v>
      </c>
      <c r="AM45" s="5">
        <f t="shared" si="3"/>
        <v>0</v>
      </c>
      <c r="AN45" s="4">
        <f t="shared" si="4"/>
        <v>0</v>
      </c>
      <c r="AO45" s="3"/>
      <c r="AP45">
        <v>0</v>
      </c>
      <c r="AR45" t="s">
        <v>0</v>
      </c>
      <c r="AT45" s="2" t="s">
        <v>8</v>
      </c>
      <c r="AU45" s="1" t="e">
        <f t="shared" si="5"/>
        <v>#VALUE!</v>
      </c>
      <c r="AV45" s="1" t="e">
        <f t="shared" si="6"/>
        <v>#VALUE!</v>
      </c>
      <c r="AW45" s="1" t="e">
        <f t="shared" si="7"/>
        <v>#VALUE!</v>
      </c>
    </row>
    <row r="46" spans="1:49" x14ac:dyDescent="0.2">
      <c r="A46">
        <v>44</v>
      </c>
      <c r="B46" t="s">
        <v>1785</v>
      </c>
      <c r="F46" t="s">
        <v>1784</v>
      </c>
      <c r="G46" t="s">
        <v>4</v>
      </c>
      <c r="H46" t="s">
        <v>3</v>
      </c>
      <c r="I46" t="s">
        <v>1783</v>
      </c>
      <c r="N46">
        <v>4</v>
      </c>
      <c r="O46" t="s">
        <v>1782</v>
      </c>
      <c r="P46" t="s">
        <v>1781</v>
      </c>
      <c r="Q46" t="s">
        <v>42</v>
      </c>
      <c r="R46" s="7">
        <v>31017</v>
      </c>
      <c r="S46" s="8">
        <f t="shared" si="0"/>
        <v>1984</v>
      </c>
      <c r="T46" s="8">
        <v>1984</v>
      </c>
      <c r="U46" s="8">
        <f t="shared" si="1"/>
        <v>38</v>
      </c>
      <c r="V46" s="7">
        <v>1984</v>
      </c>
      <c r="W46" t="s">
        <v>1686</v>
      </c>
      <c r="X46" s="2" t="s">
        <v>8</v>
      </c>
      <c r="Y46" s="6" t="e">
        <f t="shared" si="2"/>
        <v>#VALUE!</v>
      </c>
      <c r="AB46">
        <v>32478</v>
      </c>
      <c r="AD46" t="s">
        <v>1</v>
      </c>
      <c r="AE46">
        <v>27</v>
      </c>
      <c r="AF46">
        <v>2</v>
      </c>
      <c r="AH46" t="s">
        <v>227</v>
      </c>
      <c r="AI46" t="s">
        <v>1780</v>
      </c>
      <c r="AK46" t="s">
        <v>1779</v>
      </c>
      <c r="AL46">
        <v>1</v>
      </c>
      <c r="AM46" s="5">
        <f t="shared" si="3"/>
        <v>2.6315789473684209E-2</v>
      </c>
      <c r="AN46" s="4">
        <f t="shared" si="4"/>
        <v>3.9857310827238481E-5</v>
      </c>
      <c r="AO46" s="3"/>
      <c r="AP46">
        <v>0</v>
      </c>
      <c r="AR46" t="s">
        <v>0</v>
      </c>
      <c r="AT46" s="2" t="s">
        <v>8</v>
      </c>
      <c r="AU46" s="1" t="e">
        <f t="shared" si="5"/>
        <v>#VALUE!</v>
      </c>
      <c r="AV46" s="1" t="e">
        <f t="shared" si="6"/>
        <v>#VALUE!</v>
      </c>
      <c r="AW46" s="1" t="e">
        <f t="shared" si="7"/>
        <v>#VALUE!</v>
      </c>
    </row>
    <row r="47" spans="1:49" x14ac:dyDescent="0.2">
      <c r="A47">
        <v>45</v>
      </c>
      <c r="B47" t="s">
        <v>1778</v>
      </c>
      <c r="F47" t="s">
        <v>1777</v>
      </c>
      <c r="G47" t="s">
        <v>4</v>
      </c>
      <c r="H47" t="s">
        <v>3</v>
      </c>
      <c r="I47" t="s">
        <v>1776</v>
      </c>
      <c r="J47">
        <v>60032456</v>
      </c>
      <c r="K47" t="s">
        <v>1775</v>
      </c>
      <c r="L47" t="s">
        <v>6</v>
      </c>
      <c r="M47" t="s">
        <v>5</v>
      </c>
      <c r="N47">
        <v>1</v>
      </c>
      <c r="O47" t="s">
        <v>1774</v>
      </c>
      <c r="P47">
        <v>7102628859</v>
      </c>
      <c r="Q47">
        <v>60032456</v>
      </c>
      <c r="R47" s="7">
        <v>31017</v>
      </c>
      <c r="S47" s="8">
        <f t="shared" si="0"/>
        <v>1984</v>
      </c>
      <c r="T47" s="8">
        <v>1984</v>
      </c>
      <c r="U47" s="8">
        <f t="shared" si="1"/>
        <v>38</v>
      </c>
      <c r="V47" s="7">
        <v>31017</v>
      </c>
      <c r="W47" t="s">
        <v>1773</v>
      </c>
      <c r="X47" s="2" t="s">
        <v>8</v>
      </c>
      <c r="Y47" s="6" t="e">
        <f t="shared" si="2"/>
        <v>#VALUE!</v>
      </c>
      <c r="AA47">
        <v>2645769</v>
      </c>
      <c r="AB47">
        <v>75060</v>
      </c>
      <c r="AD47" t="s">
        <v>1</v>
      </c>
      <c r="AE47">
        <v>2</v>
      </c>
      <c r="AF47">
        <v>6</v>
      </c>
      <c r="AH47" t="s">
        <v>1772</v>
      </c>
      <c r="AI47" t="s">
        <v>1771</v>
      </c>
      <c r="AK47" t="s">
        <v>1770</v>
      </c>
      <c r="AL47">
        <v>0</v>
      </c>
      <c r="AM47" s="5">
        <f t="shared" si="3"/>
        <v>0</v>
      </c>
      <c r="AN47" s="4">
        <f t="shared" si="4"/>
        <v>0</v>
      </c>
      <c r="AO47" s="3"/>
      <c r="AP47">
        <v>0</v>
      </c>
      <c r="AR47" t="s">
        <v>0</v>
      </c>
      <c r="AT47" s="2" t="s">
        <v>8</v>
      </c>
      <c r="AU47" s="1" t="e">
        <f t="shared" si="5"/>
        <v>#VALUE!</v>
      </c>
      <c r="AV47" s="1" t="e">
        <f t="shared" si="6"/>
        <v>#VALUE!</v>
      </c>
      <c r="AW47" s="1" t="e">
        <f t="shared" si="7"/>
        <v>#VALUE!</v>
      </c>
    </row>
    <row r="48" spans="1:49" x14ac:dyDescent="0.2">
      <c r="A48">
        <v>46</v>
      </c>
      <c r="B48" t="s">
        <v>1769</v>
      </c>
      <c r="F48" t="s">
        <v>1768</v>
      </c>
      <c r="G48" t="s">
        <v>4</v>
      </c>
      <c r="H48" t="s">
        <v>3</v>
      </c>
      <c r="I48" t="s">
        <v>1767</v>
      </c>
      <c r="N48">
        <v>2</v>
      </c>
      <c r="O48" t="s">
        <v>1766</v>
      </c>
      <c r="P48" t="s">
        <v>1765</v>
      </c>
      <c r="Q48" t="s">
        <v>29</v>
      </c>
      <c r="R48" s="7">
        <v>31017</v>
      </c>
      <c r="S48" s="8">
        <f t="shared" si="0"/>
        <v>1984</v>
      </c>
      <c r="T48" s="8">
        <v>1984</v>
      </c>
      <c r="U48" s="8">
        <f t="shared" si="1"/>
        <v>38</v>
      </c>
      <c r="V48" s="7">
        <v>1984</v>
      </c>
      <c r="W48" t="s">
        <v>1686</v>
      </c>
      <c r="X48" s="2" t="s">
        <v>8</v>
      </c>
      <c r="Y48" s="6" t="e">
        <f t="shared" si="2"/>
        <v>#VALUE!</v>
      </c>
      <c r="AB48">
        <v>32478</v>
      </c>
      <c r="AD48" t="s">
        <v>1</v>
      </c>
      <c r="AE48">
        <v>27</v>
      </c>
      <c r="AF48">
        <v>2</v>
      </c>
      <c r="AH48" t="s">
        <v>133</v>
      </c>
      <c r="AI48" t="s">
        <v>1764</v>
      </c>
      <c r="AK48" t="s">
        <v>1763</v>
      </c>
      <c r="AL48">
        <v>0</v>
      </c>
      <c r="AM48" s="5">
        <f t="shared" si="3"/>
        <v>0</v>
      </c>
      <c r="AN48" s="4">
        <f t="shared" si="4"/>
        <v>0</v>
      </c>
      <c r="AO48" s="3"/>
      <c r="AP48">
        <v>0</v>
      </c>
      <c r="AR48" t="s">
        <v>0</v>
      </c>
      <c r="AT48" s="2" t="s">
        <v>8</v>
      </c>
      <c r="AU48" s="1" t="e">
        <f t="shared" si="5"/>
        <v>#VALUE!</v>
      </c>
      <c r="AV48" s="1" t="e">
        <f t="shared" si="6"/>
        <v>#VALUE!</v>
      </c>
      <c r="AW48" s="1" t="e">
        <f t="shared" si="7"/>
        <v>#VALUE!</v>
      </c>
    </row>
    <row r="49" spans="1:49" x14ac:dyDescent="0.2">
      <c r="A49">
        <v>47</v>
      </c>
      <c r="B49" t="s">
        <v>1762</v>
      </c>
      <c r="F49" t="s">
        <v>1761</v>
      </c>
      <c r="G49" t="s">
        <v>4</v>
      </c>
      <c r="H49" t="s">
        <v>3</v>
      </c>
      <c r="I49" t="s">
        <v>1760</v>
      </c>
      <c r="J49">
        <v>60015465</v>
      </c>
      <c r="K49" t="s">
        <v>1759</v>
      </c>
      <c r="L49" t="s">
        <v>1758</v>
      </c>
      <c r="M49" t="s">
        <v>16</v>
      </c>
      <c r="N49">
        <v>1</v>
      </c>
      <c r="O49" t="s">
        <v>1757</v>
      </c>
      <c r="P49">
        <v>7006068019</v>
      </c>
      <c r="Q49">
        <v>60015465</v>
      </c>
      <c r="R49" s="7">
        <v>31017</v>
      </c>
      <c r="S49" s="8">
        <f t="shared" si="0"/>
        <v>1984</v>
      </c>
      <c r="T49" s="8">
        <v>1984</v>
      </c>
      <c r="U49" s="8">
        <f t="shared" si="1"/>
        <v>38</v>
      </c>
      <c r="V49" s="7">
        <v>31017</v>
      </c>
      <c r="W49" t="s">
        <v>51</v>
      </c>
      <c r="X49" s="2">
        <v>0.10100000000000001</v>
      </c>
      <c r="Y49" s="6">
        <f t="shared" si="2"/>
        <v>2.6961373161421215E-3</v>
      </c>
      <c r="AA49">
        <v>7452883</v>
      </c>
      <c r="AB49">
        <v>18563</v>
      </c>
      <c r="AD49" t="s">
        <v>1</v>
      </c>
      <c r="AE49">
        <v>23</v>
      </c>
      <c r="AF49">
        <v>13</v>
      </c>
      <c r="AI49" t="s">
        <v>1756</v>
      </c>
      <c r="AK49" t="s">
        <v>1755</v>
      </c>
      <c r="AL49">
        <v>0</v>
      </c>
      <c r="AM49" s="5">
        <f t="shared" si="3"/>
        <v>0</v>
      </c>
      <c r="AN49" s="4">
        <f t="shared" si="4"/>
        <v>0</v>
      </c>
      <c r="AO49" s="3"/>
      <c r="AP49">
        <v>0</v>
      </c>
      <c r="AR49" t="s">
        <v>0</v>
      </c>
      <c r="AT49" s="2" t="s">
        <v>8</v>
      </c>
      <c r="AU49" s="1">
        <f t="shared" si="5"/>
        <v>0.18872961212994849</v>
      </c>
      <c r="AV49" s="1">
        <f t="shared" si="6"/>
        <v>0.13480686580710607</v>
      </c>
      <c r="AW49" s="1">
        <f t="shared" si="7"/>
        <v>8.0884119484263647E-2</v>
      </c>
    </row>
    <row r="50" spans="1:49" x14ac:dyDescent="0.2">
      <c r="A50">
        <v>48</v>
      </c>
      <c r="B50" t="s">
        <v>1754</v>
      </c>
      <c r="F50" t="s">
        <v>1753</v>
      </c>
      <c r="G50" t="s">
        <v>4</v>
      </c>
      <c r="H50" t="s">
        <v>3</v>
      </c>
      <c r="I50" t="s">
        <v>1752</v>
      </c>
      <c r="J50">
        <v>60007410</v>
      </c>
      <c r="K50" t="s">
        <v>1751</v>
      </c>
      <c r="L50" t="s">
        <v>1750</v>
      </c>
      <c r="M50" t="s">
        <v>49</v>
      </c>
      <c r="N50">
        <v>3</v>
      </c>
      <c r="O50" t="s">
        <v>1749</v>
      </c>
      <c r="P50" t="s">
        <v>1748</v>
      </c>
      <c r="Q50" t="s">
        <v>1747</v>
      </c>
      <c r="R50" s="7">
        <v>31017</v>
      </c>
      <c r="S50" s="8">
        <f t="shared" si="0"/>
        <v>1984</v>
      </c>
      <c r="T50" s="8">
        <v>1984</v>
      </c>
      <c r="U50" s="8">
        <f t="shared" si="1"/>
        <v>38</v>
      </c>
      <c r="V50" s="7">
        <v>31017</v>
      </c>
      <c r="W50" t="s">
        <v>1746</v>
      </c>
      <c r="X50" s="2">
        <v>0.24099999999999999</v>
      </c>
      <c r="Y50" s="6">
        <f t="shared" si="2"/>
        <v>6.4333573583193185E-3</v>
      </c>
      <c r="AA50">
        <v>339008</v>
      </c>
      <c r="AB50">
        <v>25732</v>
      </c>
      <c r="AD50" t="s">
        <v>1</v>
      </c>
      <c r="AE50">
        <v>25</v>
      </c>
      <c r="AF50">
        <v>4</v>
      </c>
      <c r="AH50" t="s">
        <v>1745</v>
      </c>
      <c r="AI50" t="s">
        <v>1744</v>
      </c>
      <c r="AK50" t="s">
        <v>1743</v>
      </c>
      <c r="AL50">
        <v>0</v>
      </c>
      <c r="AM50" s="5">
        <f t="shared" si="3"/>
        <v>0</v>
      </c>
      <c r="AN50" s="4">
        <f t="shared" si="4"/>
        <v>0</v>
      </c>
      <c r="AO50" s="3"/>
      <c r="AP50">
        <v>0</v>
      </c>
      <c r="AR50" t="s">
        <v>0</v>
      </c>
      <c r="AT50" s="2" t="s">
        <v>8</v>
      </c>
      <c r="AU50" s="1">
        <f t="shared" si="5"/>
        <v>0.45033501508235224</v>
      </c>
      <c r="AV50" s="1">
        <f t="shared" si="6"/>
        <v>0.32166786791596591</v>
      </c>
      <c r="AW50" s="1">
        <f t="shared" si="7"/>
        <v>0.19300072074957952</v>
      </c>
    </row>
    <row r="51" spans="1:49" x14ac:dyDescent="0.2">
      <c r="A51">
        <v>49</v>
      </c>
      <c r="B51" t="s">
        <v>1742</v>
      </c>
      <c r="F51" t="s">
        <v>1741</v>
      </c>
      <c r="G51" t="s">
        <v>4</v>
      </c>
      <c r="H51" t="s">
        <v>3</v>
      </c>
      <c r="I51" t="s">
        <v>1740</v>
      </c>
      <c r="J51">
        <v>60068815</v>
      </c>
      <c r="K51" t="s">
        <v>1739</v>
      </c>
      <c r="L51" t="s">
        <v>1738</v>
      </c>
      <c r="M51" t="s">
        <v>1737</v>
      </c>
      <c r="N51">
        <v>2</v>
      </c>
      <c r="O51" t="s">
        <v>1736</v>
      </c>
      <c r="P51" t="s">
        <v>1735</v>
      </c>
      <c r="Q51" t="s">
        <v>1734</v>
      </c>
      <c r="R51" s="7">
        <v>31017</v>
      </c>
      <c r="S51" s="8">
        <f t="shared" si="0"/>
        <v>1984</v>
      </c>
      <c r="T51" s="8">
        <v>1984</v>
      </c>
      <c r="U51" s="8">
        <f t="shared" si="1"/>
        <v>38</v>
      </c>
      <c r="V51" s="7">
        <v>31017</v>
      </c>
      <c r="W51" t="s">
        <v>545</v>
      </c>
      <c r="X51" s="2" t="s">
        <v>8</v>
      </c>
      <c r="Y51" s="6" t="e">
        <f t="shared" si="2"/>
        <v>#VALUE!</v>
      </c>
      <c r="AA51">
        <v>10196587</v>
      </c>
      <c r="AB51">
        <v>18354</v>
      </c>
      <c r="AD51" t="s">
        <v>1</v>
      </c>
      <c r="AF51">
        <v>208</v>
      </c>
      <c r="AH51" t="s">
        <v>1733</v>
      </c>
      <c r="AI51" t="s">
        <v>1732</v>
      </c>
      <c r="AK51" t="s">
        <v>1731</v>
      </c>
      <c r="AL51">
        <v>0</v>
      </c>
      <c r="AM51" s="5">
        <f t="shared" si="3"/>
        <v>0</v>
      </c>
      <c r="AN51" s="4">
        <f t="shared" si="4"/>
        <v>0</v>
      </c>
      <c r="AO51" s="3"/>
      <c r="AP51">
        <v>0</v>
      </c>
      <c r="AR51" t="s">
        <v>0</v>
      </c>
      <c r="AT51" s="2" t="s">
        <v>8</v>
      </c>
      <c r="AU51" s="1" t="e">
        <f t="shared" si="5"/>
        <v>#VALUE!</v>
      </c>
      <c r="AV51" s="1" t="e">
        <f t="shared" si="6"/>
        <v>#VALUE!</v>
      </c>
      <c r="AW51" s="1" t="e">
        <f t="shared" si="7"/>
        <v>#VALUE!</v>
      </c>
    </row>
    <row r="52" spans="1:49" x14ac:dyDescent="0.2">
      <c r="A52">
        <v>50</v>
      </c>
      <c r="B52" t="s">
        <v>1730</v>
      </c>
      <c r="F52" t="s">
        <v>1729</v>
      </c>
      <c r="G52" t="s">
        <v>4</v>
      </c>
      <c r="H52" t="s">
        <v>3</v>
      </c>
      <c r="I52" t="s">
        <v>1728</v>
      </c>
      <c r="N52">
        <v>1</v>
      </c>
      <c r="O52" t="s">
        <v>1727</v>
      </c>
      <c r="P52">
        <v>7801642644</v>
      </c>
      <c r="R52" s="7">
        <v>31017</v>
      </c>
      <c r="S52" s="8">
        <f t="shared" si="0"/>
        <v>1984</v>
      </c>
      <c r="T52" s="8">
        <v>1984</v>
      </c>
      <c r="U52" s="8">
        <f t="shared" si="1"/>
        <v>38</v>
      </c>
      <c r="V52" s="7">
        <v>1984</v>
      </c>
      <c r="W52" t="s">
        <v>1686</v>
      </c>
      <c r="X52" s="2" t="s">
        <v>8</v>
      </c>
      <c r="Y52" s="6" t="e">
        <f t="shared" si="2"/>
        <v>#VALUE!</v>
      </c>
      <c r="AB52">
        <v>32478</v>
      </c>
      <c r="AD52" t="s">
        <v>1</v>
      </c>
      <c r="AE52">
        <v>27</v>
      </c>
      <c r="AF52">
        <v>2</v>
      </c>
      <c r="AH52" t="s">
        <v>1726</v>
      </c>
      <c r="AI52" t="s">
        <v>1725</v>
      </c>
      <c r="AK52" t="s">
        <v>1724</v>
      </c>
      <c r="AL52">
        <v>0</v>
      </c>
      <c r="AM52" s="5">
        <f t="shared" si="3"/>
        <v>0</v>
      </c>
      <c r="AN52" s="4">
        <f t="shared" si="4"/>
        <v>0</v>
      </c>
      <c r="AO52" s="3"/>
      <c r="AP52">
        <v>0</v>
      </c>
      <c r="AR52" t="s">
        <v>0</v>
      </c>
      <c r="AT52" s="2" t="s">
        <v>8</v>
      </c>
      <c r="AU52" s="1" t="e">
        <f t="shared" si="5"/>
        <v>#VALUE!</v>
      </c>
      <c r="AV52" s="1" t="e">
        <f t="shared" si="6"/>
        <v>#VALUE!</v>
      </c>
      <c r="AW52" s="1" t="e">
        <f t="shared" si="7"/>
        <v>#VALUE!</v>
      </c>
    </row>
    <row r="53" spans="1:49" x14ac:dyDescent="0.2">
      <c r="A53">
        <v>51</v>
      </c>
      <c r="B53" t="s">
        <v>1723</v>
      </c>
      <c r="F53" t="s">
        <v>1722</v>
      </c>
      <c r="G53" t="s">
        <v>4</v>
      </c>
      <c r="H53" t="s">
        <v>3</v>
      </c>
      <c r="I53" t="s">
        <v>1721</v>
      </c>
      <c r="N53">
        <v>1</v>
      </c>
      <c r="O53" t="s">
        <v>1720</v>
      </c>
      <c r="P53">
        <v>7003513371</v>
      </c>
      <c r="R53" s="7">
        <v>31017</v>
      </c>
      <c r="S53" s="8">
        <f t="shared" si="0"/>
        <v>1984</v>
      </c>
      <c r="T53" s="8">
        <v>1984</v>
      </c>
      <c r="U53" s="8">
        <f t="shared" si="1"/>
        <v>38</v>
      </c>
      <c r="V53" s="7">
        <v>1984</v>
      </c>
      <c r="W53" t="s">
        <v>1686</v>
      </c>
      <c r="X53" s="2" t="s">
        <v>8</v>
      </c>
      <c r="Y53" s="6" t="e">
        <f t="shared" si="2"/>
        <v>#VALUE!</v>
      </c>
      <c r="AB53">
        <v>32478</v>
      </c>
      <c r="AD53" t="s">
        <v>1</v>
      </c>
      <c r="AE53">
        <v>27</v>
      </c>
      <c r="AF53">
        <v>2</v>
      </c>
      <c r="AH53" t="s">
        <v>1719</v>
      </c>
      <c r="AI53" t="s">
        <v>1718</v>
      </c>
      <c r="AK53" t="s">
        <v>1717</v>
      </c>
      <c r="AL53">
        <v>1</v>
      </c>
      <c r="AM53" s="5">
        <f t="shared" si="3"/>
        <v>2.6315789473684209E-2</v>
      </c>
      <c r="AN53" s="4">
        <f t="shared" si="4"/>
        <v>3.9857310827238481E-5</v>
      </c>
      <c r="AO53" s="3"/>
      <c r="AP53">
        <v>0</v>
      </c>
      <c r="AR53" t="s">
        <v>0</v>
      </c>
      <c r="AT53" s="2" t="s">
        <v>8</v>
      </c>
      <c r="AU53" s="1" t="e">
        <f t="shared" si="5"/>
        <v>#VALUE!</v>
      </c>
      <c r="AV53" s="1" t="e">
        <f t="shared" si="6"/>
        <v>#VALUE!</v>
      </c>
      <c r="AW53" s="1" t="e">
        <f t="shared" si="7"/>
        <v>#VALUE!</v>
      </c>
    </row>
    <row r="54" spans="1:49" x14ac:dyDescent="0.2">
      <c r="A54">
        <v>52</v>
      </c>
      <c r="B54" t="s">
        <v>1716</v>
      </c>
      <c r="F54" t="s">
        <v>1715</v>
      </c>
      <c r="G54" t="s">
        <v>4</v>
      </c>
      <c r="H54" t="s">
        <v>3</v>
      </c>
      <c r="I54" t="s">
        <v>1714</v>
      </c>
      <c r="J54">
        <v>60026717</v>
      </c>
      <c r="K54" t="s">
        <v>1713</v>
      </c>
      <c r="L54" t="s">
        <v>76</v>
      </c>
      <c r="M54" t="s">
        <v>11</v>
      </c>
      <c r="N54">
        <v>3</v>
      </c>
      <c r="O54" t="s">
        <v>1712</v>
      </c>
      <c r="P54" t="s">
        <v>1711</v>
      </c>
      <c r="Q54" t="s">
        <v>1710</v>
      </c>
      <c r="R54" s="7">
        <v>31017</v>
      </c>
      <c r="S54" s="8">
        <f t="shared" si="0"/>
        <v>1984</v>
      </c>
      <c r="T54" s="8">
        <v>1984</v>
      </c>
      <c r="U54" s="8">
        <f t="shared" si="1"/>
        <v>38</v>
      </c>
      <c r="V54" s="7">
        <v>1984</v>
      </c>
      <c r="W54" t="s">
        <v>205</v>
      </c>
      <c r="X54" s="2" t="s">
        <v>8</v>
      </c>
      <c r="Y54" s="6" t="e">
        <f t="shared" si="2"/>
        <v>#VALUE!</v>
      </c>
      <c r="AA54">
        <v>4999320</v>
      </c>
      <c r="AB54">
        <v>13083</v>
      </c>
      <c r="AD54" t="s">
        <v>1</v>
      </c>
      <c r="AI54" t="s">
        <v>1709</v>
      </c>
      <c r="AK54" t="s">
        <v>1708</v>
      </c>
      <c r="AL54">
        <v>0</v>
      </c>
      <c r="AM54" s="5">
        <f t="shared" si="3"/>
        <v>0</v>
      </c>
      <c r="AN54" s="4">
        <f t="shared" si="4"/>
        <v>0</v>
      </c>
      <c r="AO54" s="3"/>
      <c r="AP54">
        <v>0</v>
      </c>
      <c r="AR54" t="s">
        <v>0</v>
      </c>
      <c r="AT54" s="2" t="s">
        <v>8</v>
      </c>
      <c r="AU54" s="1" t="e">
        <f t="shared" si="5"/>
        <v>#VALUE!</v>
      </c>
      <c r="AV54" s="1" t="e">
        <f t="shared" si="6"/>
        <v>#VALUE!</v>
      </c>
      <c r="AW54" s="1" t="e">
        <f t="shared" si="7"/>
        <v>#VALUE!</v>
      </c>
    </row>
    <row r="55" spans="1:49" x14ac:dyDescent="0.2">
      <c r="A55">
        <v>53</v>
      </c>
      <c r="B55" t="s">
        <v>1707</v>
      </c>
      <c r="F55" t="s">
        <v>1706</v>
      </c>
      <c r="G55" t="s">
        <v>4</v>
      </c>
      <c r="H55" t="s">
        <v>3</v>
      </c>
      <c r="I55" t="s">
        <v>1705</v>
      </c>
      <c r="N55">
        <v>2</v>
      </c>
      <c r="O55" t="s">
        <v>1704</v>
      </c>
      <c r="P55" t="s">
        <v>1703</v>
      </c>
      <c r="Q55" t="s">
        <v>29</v>
      </c>
      <c r="R55" s="7">
        <v>31017</v>
      </c>
      <c r="S55" s="8">
        <f t="shared" si="0"/>
        <v>1984</v>
      </c>
      <c r="T55" s="8">
        <v>1984</v>
      </c>
      <c r="U55" s="8">
        <f t="shared" si="1"/>
        <v>38</v>
      </c>
      <c r="V55" s="7">
        <v>1984</v>
      </c>
      <c r="W55" t="s">
        <v>1686</v>
      </c>
      <c r="X55" s="2" t="s">
        <v>8</v>
      </c>
      <c r="Y55" s="6" t="e">
        <f t="shared" si="2"/>
        <v>#VALUE!</v>
      </c>
      <c r="AB55">
        <v>32478</v>
      </c>
      <c r="AD55" t="s">
        <v>1</v>
      </c>
      <c r="AE55">
        <v>27</v>
      </c>
      <c r="AF55">
        <v>2</v>
      </c>
      <c r="AH55" t="s">
        <v>1702</v>
      </c>
      <c r="AI55" t="s">
        <v>1701</v>
      </c>
      <c r="AK55" t="s">
        <v>1700</v>
      </c>
      <c r="AL55">
        <v>0</v>
      </c>
      <c r="AM55" s="5">
        <f t="shared" si="3"/>
        <v>0</v>
      </c>
      <c r="AN55" s="4">
        <f t="shared" si="4"/>
        <v>0</v>
      </c>
      <c r="AO55" s="3"/>
      <c r="AP55">
        <v>0</v>
      </c>
      <c r="AR55" t="s">
        <v>0</v>
      </c>
      <c r="AT55" s="2" t="s">
        <v>8</v>
      </c>
      <c r="AU55" s="1" t="e">
        <f t="shared" si="5"/>
        <v>#VALUE!</v>
      </c>
      <c r="AV55" s="1" t="e">
        <f t="shared" si="6"/>
        <v>#VALUE!</v>
      </c>
      <c r="AW55" s="1" t="e">
        <f t="shared" si="7"/>
        <v>#VALUE!</v>
      </c>
    </row>
    <row r="56" spans="1:49" x14ac:dyDescent="0.2">
      <c r="A56">
        <v>54</v>
      </c>
      <c r="B56" t="s">
        <v>1699</v>
      </c>
      <c r="F56" t="s">
        <v>1698</v>
      </c>
      <c r="G56" t="s">
        <v>4</v>
      </c>
      <c r="H56" t="s">
        <v>3</v>
      </c>
      <c r="I56" t="s">
        <v>1697</v>
      </c>
      <c r="J56">
        <v>60018829</v>
      </c>
      <c r="K56" t="s">
        <v>132</v>
      </c>
      <c r="L56" t="s">
        <v>131</v>
      </c>
      <c r="M56" t="s">
        <v>18</v>
      </c>
      <c r="N56">
        <v>1</v>
      </c>
      <c r="O56" t="s">
        <v>1696</v>
      </c>
      <c r="P56">
        <v>57203479342</v>
      </c>
      <c r="Q56">
        <v>60018829</v>
      </c>
      <c r="R56" s="7">
        <v>31017</v>
      </c>
      <c r="S56" s="8">
        <f t="shared" si="0"/>
        <v>1984</v>
      </c>
      <c r="T56" s="8">
        <v>1984</v>
      </c>
      <c r="U56" s="8">
        <f t="shared" si="1"/>
        <v>38</v>
      </c>
      <c r="V56" s="7">
        <v>1984</v>
      </c>
      <c r="W56" t="s">
        <v>1695</v>
      </c>
      <c r="X56" s="2" t="s">
        <v>8</v>
      </c>
      <c r="Y56" s="6" t="e">
        <f t="shared" si="2"/>
        <v>#VALUE!</v>
      </c>
      <c r="AA56">
        <v>2649187</v>
      </c>
      <c r="AB56">
        <v>36931</v>
      </c>
      <c r="AD56" t="s">
        <v>1</v>
      </c>
      <c r="AE56">
        <v>2</v>
      </c>
      <c r="AF56">
        <v>3</v>
      </c>
      <c r="AH56" t="s">
        <v>1694</v>
      </c>
      <c r="AI56" t="s">
        <v>1693</v>
      </c>
      <c r="AK56" t="s">
        <v>1692</v>
      </c>
      <c r="AL56">
        <v>1</v>
      </c>
      <c r="AM56" s="5">
        <f t="shared" si="3"/>
        <v>2.6315789473684209E-2</v>
      </c>
      <c r="AN56" s="4">
        <f t="shared" si="4"/>
        <v>3.9857310827238481E-5</v>
      </c>
      <c r="AO56" s="3"/>
      <c r="AP56">
        <v>0</v>
      </c>
      <c r="AR56" t="s">
        <v>0</v>
      </c>
      <c r="AT56" s="2" t="s">
        <v>8</v>
      </c>
      <c r="AU56" s="1" t="e">
        <f t="shared" si="5"/>
        <v>#VALUE!</v>
      </c>
      <c r="AV56" s="1" t="e">
        <f t="shared" si="6"/>
        <v>#VALUE!</v>
      </c>
      <c r="AW56" s="1" t="e">
        <f t="shared" si="7"/>
        <v>#VALUE!</v>
      </c>
    </row>
    <row r="57" spans="1:49" x14ac:dyDescent="0.2">
      <c r="A57">
        <v>55</v>
      </c>
      <c r="B57" t="s">
        <v>1691</v>
      </c>
      <c r="F57" t="s">
        <v>1690</v>
      </c>
      <c r="G57" t="s">
        <v>4</v>
      </c>
      <c r="H57" t="s">
        <v>3</v>
      </c>
      <c r="I57" t="s">
        <v>1689</v>
      </c>
      <c r="N57">
        <v>4</v>
      </c>
      <c r="O57" t="s">
        <v>1688</v>
      </c>
      <c r="P57" t="s">
        <v>1687</v>
      </c>
      <c r="Q57" t="s">
        <v>42</v>
      </c>
      <c r="R57" s="7">
        <v>31017</v>
      </c>
      <c r="S57" s="8">
        <f t="shared" si="0"/>
        <v>1984</v>
      </c>
      <c r="T57" s="8">
        <v>1984</v>
      </c>
      <c r="U57" s="8">
        <f t="shared" si="1"/>
        <v>38</v>
      </c>
      <c r="V57" s="7">
        <v>1984</v>
      </c>
      <c r="W57" t="s">
        <v>1686</v>
      </c>
      <c r="X57" s="2" t="s">
        <v>8</v>
      </c>
      <c r="Y57" s="6" t="e">
        <f t="shared" si="2"/>
        <v>#VALUE!</v>
      </c>
      <c r="AB57">
        <v>32478</v>
      </c>
      <c r="AD57" t="s">
        <v>1</v>
      </c>
      <c r="AE57">
        <v>27</v>
      </c>
      <c r="AF57">
        <v>2</v>
      </c>
      <c r="AH57" s="10">
        <v>41275</v>
      </c>
      <c r="AI57" t="s">
        <v>1685</v>
      </c>
      <c r="AK57" t="s">
        <v>1684</v>
      </c>
      <c r="AL57">
        <v>0</v>
      </c>
      <c r="AM57" s="5">
        <f t="shared" si="3"/>
        <v>0</v>
      </c>
      <c r="AN57" s="4">
        <f t="shared" si="4"/>
        <v>0</v>
      </c>
      <c r="AO57" s="3"/>
      <c r="AP57">
        <v>0</v>
      </c>
      <c r="AR57" t="s">
        <v>0</v>
      </c>
      <c r="AT57" s="2" t="s">
        <v>8</v>
      </c>
      <c r="AU57" s="1" t="e">
        <f t="shared" si="5"/>
        <v>#VALUE!</v>
      </c>
      <c r="AV57" s="1" t="e">
        <f t="shared" si="6"/>
        <v>#VALUE!</v>
      </c>
      <c r="AW57" s="1" t="e">
        <f t="shared" si="7"/>
        <v>#VALUE!</v>
      </c>
    </row>
    <row r="58" spans="1:49" x14ac:dyDescent="0.2">
      <c r="A58">
        <v>56</v>
      </c>
      <c r="B58" t="s">
        <v>1683</v>
      </c>
      <c r="F58" t="s">
        <v>1682</v>
      </c>
      <c r="G58" t="s">
        <v>4</v>
      </c>
      <c r="H58" t="s">
        <v>3</v>
      </c>
      <c r="I58" t="s">
        <v>1681</v>
      </c>
      <c r="N58">
        <v>2</v>
      </c>
      <c r="O58" t="s">
        <v>1680</v>
      </c>
      <c r="P58" t="s">
        <v>1679</v>
      </c>
      <c r="Q58" t="s">
        <v>29</v>
      </c>
      <c r="R58" s="7">
        <v>31017</v>
      </c>
      <c r="S58" s="8">
        <f t="shared" si="0"/>
        <v>1984</v>
      </c>
      <c r="T58" s="8">
        <v>1984</v>
      </c>
      <c r="U58" s="8">
        <f t="shared" si="1"/>
        <v>38</v>
      </c>
      <c r="V58" s="7">
        <v>1984</v>
      </c>
      <c r="W58" t="s">
        <v>1671</v>
      </c>
      <c r="X58" s="2" t="s">
        <v>8</v>
      </c>
      <c r="Y58" s="6" t="e">
        <f t="shared" si="2"/>
        <v>#VALUE!</v>
      </c>
      <c r="AA58">
        <v>289108</v>
      </c>
      <c r="AB58">
        <v>78703</v>
      </c>
      <c r="AD58" t="s">
        <v>1</v>
      </c>
      <c r="AE58">
        <v>24</v>
      </c>
      <c r="AF58">
        <v>104</v>
      </c>
      <c r="AH58" t="s">
        <v>1678</v>
      </c>
      <c r="AI58" t="s">
        <v>1677</v>
      </c>
      <c r="AK58" t="s">
        <v>1676</v>
      </c>
      <c r="AL58">
        <v>0</v>
      </c>
      <c r="AM58" s="5">
        <f t="shared" si="3"/>
        <v>0</v>
      </c>
      <c r="AN58" s="4">
        <f t="shared" si="4"/>
        <v>0</v>
      </c>
      <c r="AO58" s="3"/>
      <c r="AP58">
        <v>0</v>
      </c>
      <c r="AR58" t="s">
        <v>0</v>
      </c>
      <c r="AT58" s="2" t="s">
        <v>8</v>
      </c>
      <c r="AU58" s="1" t="e">
        <f t="shared" si="5"/>
        <v>#VALUE!</v>
      </c>
      <c r="AV58" s="1" t="e">
        <f t="shared" si="6"/>
        <v>#VALUE!</v>
      </c>
      <c r="AW58" s="1" t="e">
        <f t="shared" si="7"/>
        <v>#VALUE!</v>
      </c>
    </row>
    <row r="59" spans="1:49" x14ac:dyDescent="0.2">
      <c r="A59">
        <v>57</v>
      </c>
      <c r="B59" t="s">
        <v>1675</v>
      </c>
      <c r="F59" t="s">
        <v>1674</v>
      </c>
      <c r="G59" t="s">
        <v>4</v>
      </c>
      <c r="H59" t="s">
        <v>3</v>
      </c>
      <c r="I59" t="s">
        <v>1673</v>
      </c>
      <c r="N59">
        <v>1</v>
      </c>
      <c r="O59" t="s">
        <v>1672</v>
      </c>
      <c r="P59">
        <v>6701830243</v>
      </c>
      <c r="R59" s="7">
        <v>31017</v>
      </c>
      <c r="S59" s="8">
        <f t="shared" si="0"/>
        <v>1984</v>
      </c>
      <c r="T59" s="8">
        <v>1984</v>
      </c>
      <c r="U59" s="8">
        <f t="shared" si="1"/>
        <v>38</v>
      </c>
      <c r="V59" s="7">
        <v>1984</v>
      </c>
      <c r="W59" t="s">
        <v>1671</v>
      </c>
      <c r="X59" s="2" t="s">
        <v>8</v>
      </c>
      <c r="Y59" s="6" t="e">
        <f t="shared" si="2"/>
        <v>#VALUE!</v>
      </c>
      <c r="AA59">
        <v>289108</v>
      </c>
      <c r="AB59">
        <v>78703</v>
      </c>
      <c r="AD59" t="s">
        <v>1</v>
      </c>
      <c r="AE59">
        <v>24</v>
      </c>
      <c r="AF59">
        <v>104</v>
      </c>
      <c r="AH59" t="s">
        <v>1670</v>
      </c>
      <c r="AI59" t="s">
        <v>1669</v>
      </c>
      <c r="AK59" t="s">
        <v>1668</v>
      </c>
      <c r="AL59">
        <v>0</v>
      </c>
      <c r="AM59" s="5">
        <f t="shared" si="3"/>
        <v>0</v>
      </c>
      <c r="AN59" s="4">
        <f t="shared" si="4"/>
        <v>0</v>
      </c>
      <c r="AO59" s="3"/>
      <c r="AP59">
        <v>0</v>
      </c>
      <c r="AR59" t="s">
        <v>0</v>
      </c>
      <c r="AT59" s="2" t="s">
        <v>8</v>
      </c>
      <c r="AU59" s="1" t="e">
        <f t="shared" si="5"/>
        <v>#VALUE!</v>
      </c>
      <c r="AV59" s="1" t="e">
        <f t="shared" si="6"/>
        <v>#VALUE!</v>
      </c>
      <c r="AW59" s="1" t="e">
        <f t="shared" si="7"/>
        <v>#VALUE!</v>
      </c>
    </row>
    <row r="60" spans="1:49" x14ac:dyDescent="0.2">
      <c r="A60">
        <v>58</v>
      </c>
      <c r="B60" t="s">
        <v>1667</v>
      </c>
      <c r="C60" t="s">
        <v>1666</v>
      </c>
      <c r="F60" t="s">
        <v>1665</v>
      </c>
      <c r="G60" t="s">
        <v>4</v>
      </c>
      <c r="H60" t="s">
        <v>3</v>
      </c>
      <c r="I60" t="s">
        <v>200</v>
      </c>
      <c r="J60">
        <v>60021378</v>
      </c>
      <c r="K60" t="s">
        <v>142</v>
      </c>
      <c r="L60" t="s">
        <v>141</v>
      </c>
      <c r="M60" t="s">
        <v>11</v>
      </c>
      <c r="N60">
        <v>2</v>
      </c>
      <c r="O60" t="s">
        <v>1664</v>
      </c>
      <c r="P60" t="s">
        <v>199</v>
      </c>
      <c r="Q60" t="s">
        <v>201</v>
      </c>
      <c r="R60" s="7">
        <v>31017</v>
      </c>
      <c r="S60" s="8">
        <f t="shared" si="0"/>
        <v>1984</v>
      </c>
      <c r="T60" s="8">
        <v>1984</v>
      </c>
      <c r="U60" s="8">
        <f t="shared" si="1"/>
        <v>38</v>
      </c>
      <c r="V60" s="7">
        <v>31017</v>
      </c>
      <c r="W60" t="s">
        <v>14</v>
      </c>
      <c r="X60" s="2">
        <v>2.383</v>
      </c>
      <c r="Y60" s="6">
        <f t="shared" si="2"/>
        <v>6.3612824003630442E-2</v>
      </c>
      <c r="AA60">
        <v>189219</v>
      </c>
      <c r="AB60">
        <v>17915</v>
      </c>
      <c r="AD60" t="s">
        <v>1</v>
      </c>
      <c r="AE60">
        <v>72</v>
      </c>
      <c r="AF60">
        <v>12</v>
      </c>
      <c r="AH60" t="s">
        <v>1663</v>
      </c>
      <c r="AI60" t="s">
        <v>1662</v>
      </c>
      <c r="AK60" t="s">
        <v>1661</v>
      </c>
      <c r="AL60">
        <v>0</v>
      </c>
      <c r="AM60" s="5">
        <f t="shared" si="3"/>
        <v>0</v>
      </c>
      <c r="AN60" s="4">
        <f t="shared" si="4"/>
        <v>0</v>
      </c>
      <c r="AO60" s="3"/>
      <c r="AP60">
        <v>0</v>
      </c>
      <c r="AR60" t="s">
        <v>0</v>
      </c>
      <c r="AT60" s="2">
        <v>10.961</v>
      </c>
      <c r="AU60" s="1">
        <f t="shared" si="5"/>
        <v>4.4528976802541305</v>
      </c>
      <c r="AV60" s="1">
        <f t="shared" si="6"/>
        <v>3.1806412001815221</v>
      </c>
      <c r="AW60" s="1">
        <f t="shared" si="7"/>
        <v>1.9083847201089132</v>
      </c>
    </row>
    <row r="61" spans="1:49" x14ac:dyDescent="0.2">
      <c r="A61">
        <v>59</v>
      </c>
      <c r="B61" t="s">
        <v>1660</v>
      </c>
      <c r="C61" t="s">
        <v>1659</v>
      </c>
      <c r="F61" t="s">
        <v>1658</v>
      </c>
      <c r="G61" t="s">
        <v>4</v>
      </c>
      <c r="H61" t="s">
        <v>3</v>
      </c>
      <c r="I61" t="s">
        <v>1657</v>
      </c>
      <c r="J61">
        <v>60011520</v>
      </c>
      <c r="K61" t="s">
        <v>470</v>
      </c>
      <c r="L61" t="s">
        <v>25</v>
      </c>
      <c r="M61" t="s">
        <v>18</v>
      </c>
      <c r="N61">
        <v>1</v>
      </c>
      <c r="O61" t="s">
        <v>1656</v>
      </c>
      <c r="P61">
        <v>7202176080</v>
      </c>
      <c r="Q61">
        <v>60011520</v>
      </c>
      <c r="R61" s="7">
        <v>31017</v>
      </c>
      <c r="S61" s="8">
        <f t="shared" si="0"/>
        <v>1984</v>
      </c>
      <c r="T61" s="8">
        <v>1984</v>
      </c>
      <c r="U61" s="8">
        <f t="shared" si="1"/>
        <v>38</v>
      </c>
      <c r="V61" s="7">
        <v>31017</v>
      </c>
      <c r="W61" t="s">
        <v>46</v>
      </c>
      <c r="X61" s="2">
        <v>0.61499999999999999</v>
      </c>
      <c r="Y61" s="6">
        <f t="shared" si="2"/>
        <v>1.6417073756706976E-2</v>
      </c>
      <c r="AA61">
        <v>1959271</v>
      </c>
      <c r="AB61">
        <v>12141</v>
      </c>
      <c r="AC61">
        <v>15729559</v>
      </c>
      <c r="AD61" t="s">
        <v>1</v>
      </c>
      <c r="AE61">
        <v>5</v>
      </c>
      <c r="AF61">
        <v>12</v>
      </c>
      <c r="AH61" t="s">
        <v>1655</v>
      </c>
      <c r="AI61" t="s">
        <v>1654</v>
      </c>
      <c r="AJ61" t="s">
        <v>1653</v>
      </c>
      <c r="AK61" t="s">
        <v>1652</v>
      </c>
      <c r="AL61">
        <v>21</v>
      </c>
      <c r="AM61" s="5">
        <f t="shared" si="3"/>
        <v>0.55263157894736847</v>
      </c>
      <c r="AN61" s="4">
        <f t="shared" si="4"/>
        <v>8.3700352737200827E-4</v>
      </c>
      <c r="AO61" s="3"/>
      <c r="AP61">
        <v>0</v>
      </c>
      <c r="AR61" t="s">
        <v>0</v>
      </c>
      <c r="AT61" s="2" t="s">
        <v>8</v>
      </c>
      <c r="AU61" s="1">
        <f t="shared" si="5"/>
        <v>1.1743052687906483</v>
      </c>
      <c r="AV61" s="1">
        <f t="shared" si="6"/>
        <v>0.86270386420394907</v>
      </c>
      <c r="AW61" s="1">
        <f t="shared" si="7"/>
        <v>0.5511024596172498</v>
      </c>
    </row>
    <row r="62" spans="1:49" x14ac:dyDescent="0.2">
      <c r="A62">
        <v>60</v>
      </c>
      <c r="B62" t="s">
        <v>1651</v>
      </c>
      <c r="F62" t="s">
        <v>1650</v>
      </c>
      <c r="G62" t="s">
        <v>4</v>
      </c>
      <c r="H62" t="s">
        <v>3</v>
      </c>
      <c r="I62" t="s">
        <v>1649</v>
      </c>
      <c r="N62">
        <v>1</v>
      </c>
      <c r="O62" t="s">
        <v>1648</v>
      </c>
      <c r="P62">
        <v>6507664619</v>
      </c>
      <c r="R62" s="7">
        <v>31017</v>
      </c>
      <c r="S62" s="8">
        <f t="shared" si="0"/>
        <v>1984</v>
      </c>
      <c r="T62" s="8">
        <v>1984</v>
      </c>
      <c r="U62" s="8">
        <f t="shared" si="1"/>
        <v>38</v>
      </c>
      <c r="V62" s="7">
        <v>1984</v>
      </c>
      <c r="W62" t="s">
        <v>1647</v>
      </c>
      <c r="X62" s="2" t="s">
        <v>8</v>
      </c>
      <c r="Y62" s="6" t="e">
        <f t="shared" si="2"/>
        <v>#VALUE!</v>
      </c>
      <c r="AB62">
        <v>33529</v>
      </c>
      <c r="AD62" t="s">
        <v>1</v>
      </c>
      <c r="AE62">
        <v>50</v>
      </c>
      <c r="AF62">
        <v>3</v>
      </c>
      <c r="AH62" t="s">
        <v>1646</v>
      </c>
      <c r="AI62" t="s">
        <v>1645</v>
      </c>
      <c r="AK62" t="s">
        <v>1644</v>
      </c>
      <c r="AL62">
        <v>1</v>
      </c>
      <c r="AM62" s="5">
        <f t="shared" si="3"/>
        <v>2.6315789473684209E-2</v>
      </c>
      <c r="AN62" s="4">
        <f t="shared" si="4"/>
        <v>3.9857310827238481E-5</v>
      </c>
      <c r="AO62" s="3"/>
      <c r="AP62">
        <v>0</v>
      </c>
      <c r="AR62" t="s">
        <v>0</v>
      </c>
      <c r="AT62" s="2" t="s">
        <v>8</v>
      </c>
      <c r="AU62" s="1" t="e">
        <f t="shared" si="5"/>
        <v>#VALUE!</v>
      </c>
      <c r="AV62" s="1" t="e">
        <f t="shared" si="6"/>
        <v>#VALUE!</v>
      </c>
      <c r="AW62" s="1" t="e">
        <f t="shared" si="7"/>
        <v>#VALUE!</v>
      </c>
    </row>
    <row r="63" spans="1:49" x14ac:dyDescent="0.2">
      <c r="A63">
        <v>61</v>
      </c>
      <c r="B63" t="s">
        <v>1643</v>
      </c>
      <c r="F63" t="s">
        <v>1642</v>
      </c>
      <c r="G63" t="s">
        <v>4</v>
      </c>
      <c r="H63" t="s">
        <v>3</v>
      </c>
      <c r="I63" t="s">
        <v>1641</v>
      </c>
      <c r="J63">
        <v>60011418</v>
      </c>
      <c r="K63" t="s">
        <v>1640</v>
      </c>
      <c r="L63" t="s">
        <v>1639</v>
      </c>
      <c r="M63" t="s">
        <v>49</v>
      </c>
      <c r="N63">
        <v>5</v>
      </c>
      <c r="O63" t="s">
        <v>1638</v>
      </c>
      <c r="P63" t="s">
        <v>1637</v>
      </c>
      <c r="Q63" t="s">
        <v>1636</v>
      </c>
      <c r="R63" s="7">
        <v>31017</v>
      </c>
      <c r="S63" s="8">
        <f t="shared" si="0"/>
        <v>1984</v>
      </c>
      <c r="T63" s="8">
        <v>1984</v>
      </c>
      <c r="U63" s="8">
        <f t="shared" si="1"/>
        <v>38</v>
      </c>
      <c r="V63" s="7">
        <v>1984</v>
      </c>
      <c r="W63" t="s">
        <v>1588</v>
      </c>
      <c r="X63" s="2" t="s">
        <v>8</v>
      </c>
      <c r="Y63" s="6" t="e">
        <f t="shared" si="2"/>
        <v>#VALUE!</v>
      </c>
      <c r="AB63">
        <v>95489</v>
      </c>
      <c r="AD63" t="s">
        <v>1</v>
      </c>
      <c r="AE63">
        <v>5</v>
      </c>
      <c r="AF63">
        <v>2</v>
      </c>
      <c r="AH63" t="s">
        <v>1635</v>
      </c>
      <c r="AI63" t="s">
        <v>1634</v>
      </c>
      <c r="AK63" t="s">
        <v>1633</v>
      </c>
      <c r="AL63">
        <v>3</v>
      </c>
      <c r="AM63" s="5">
        <f t="shared" si="3"/>
        <v>7.8947368421052627E-2</v>
      </c>
      <c r="AN63" s="4">
        <f t="shared" si="4"/>
        <v>1.1957193248171546E-4</v>
      </c>
      <c r="AO63" s="3"/>
      <c r="AP63">
        <v>0</v>
      </c>
      <c r="AR63" t="s">
        <v>0</v>
      </c>
      <c r="AT63" s="2" t="s">
        <v>8</v>
      </c>
      <c r="AU63" s="1" t="e">
        <f t="shared" si="5"/>
        <v>#VALUE!</v>
      </c>
      <c r="AV63" s="1" t="e">
        <f t="shared" si="6"/>
        <v>#VALUE!</v>
      </c>
      <c r="AW63" s="1" t="e">
        <f t="shared" si="7"/>
        <v>#VALUE!</v>
      </c>
    </row>
    <row r="64" spans="1:49" x14ac:dyDescent="0.2">
      <c r="A64">
        <v>62</v>
      </c>
      <c r="B64" t="s">
        <v>1632</v>
      </c>
      <c r="F64" t="s">
        <v>1631</v>
      </c>
      <c r="G64" t="s">
        <v>4</v>
      </c>
      <c r="H64" t="s">
        <v>3</v>
      </c>
      <c r="I64" t="s">
        <v>1630</v>
      </c>
      <c r="J64">
        <v>60019647</v>
      </c>
      <c r="K64" t="s">
        <v>95</v>
      </c>
      <c r="L64" t="s">
        <v>94</v>
      </c>
      <c r="M64" t="s">
        <v>11</v>
      </c>
      <c r="N64">
        <v>1</v>
      </c>
      <c r="O64" t="s">
        <v>1629</v>
      </c>
      <c r="P64">
        <v>7005729263</v>
      </c>
      <c r="Q64">
        <v>60019647</v>
      </c>
      <c r="R64" s="7">
        <v>31017</v>
      </c>
      <c r="S64" s="8">
        <f t="shared" si="0"/>
        <v>1984</v>
      </c>
      <c r="T64" s="8">
        <v>1984</v>
      </c>
      <c r="U64" s="8">
        <f t="shared" si="1"/>
        <v>38</v>
      </c>
      <c r="V64" s="7">
        <v>31017</v>
      </c>
      <c r="W64" t="s">
        <v>61</v>
      </c>
      <c r="X64" s="2" t="s">
        <v>8</v>
      </c>
      <c r="Y64" s="6" t="e">
        <f t="shared" si="2"/>
        <v>#VALUE!</v>
      </c>
      <c r="AA64">
        <v>262897</v>
      </c>
      <c r="AB64">
        <v>18580</v>
      </c>
      <c r="AD64" t="s">
        <v>1</v>
      </c>
      <c r="AE64">
        <v>27</v>
      </c>
      <c r="AF64">
        <v>12</v>
      </c>
      <c r="AI64" t="s">
        <v>1628</v>
      </c>
      <c r="AK64" t="s">
        <v>1627</v>
      </c>
      <c r="AL64">
        <v>0</v>
      </c>
      <c r="AM64" s="5">
        <f t="shared" si="3"/>
        <v>0</v>
      </c>
      <c r="AN64" s="4">
        <f t="shared" si="4"/>
        <v>0</v>
      </c>
      <c r="AO64" s="3"/>
      <c r="AP64">
        <v>0</v>
      </c>
      <c r="AR64" t="s">
        <v>0</v>
      </c>
      <c r="AT64" s="2">
        <v>0.30599999999999999</v>
      </c>
      <c r="AU64" s="1" t="e">
        <f t="shared" si="5"/>
        <v>#VALUE!</v>
      </c>
      <c r="AV64" s="1" t="e">
        <f t="shared" si="6"/>
        <v>#VALUE!</v>
      </c>
      <c r="AW64" s="1" t="e">
        <f t="shared" si="7"/>
        <v>#VALUE!</v>
      </c>
    </row>
    <row r="65" spans="1:49" x14ac:dyDescent="0.2">
      <c r="A65">
        <v>63</v>
      </c>
      <c r="B65" t="s">
        <v>1626</v>
      </c>
      <c r="F65" t="s">
        <v>1625</v>
      </c>
      <c r="G65" t="s">
        <v>4</v>
      </c>
      <c r="H65" t="s">
        <v>3</v>
      </c>
      <c r="I65" t="s">
        <v>1624</v>
      </c>
      <c r="J65">
        <v>60022990</v>
      </c>
      <c r="K65" t="s">
        <v>1623</v>
      </c>
      <c r="L65" t="s">
        <v>1622</v>
      </c>
      <c r="M65" t="s">
        <v>49</v>
      </c>
      <c r="N65">
        <v>2</v>
      </c>
      <c r="O65" t="s">
        <v>1621</v>
      </c>
      <c r="P65" t="s">
        <v>1620</v>
      </c>
      <c r="Q65" t="s">
        <v>1619</v>
      </c>
      <c r="R65" s="7">
        <v>31017</v>
      </c>
      <c r="S65" s="8">
        <f t="shared" si="0"/>
        <v>1984</v>
      </c>
      <c r="T65" s="8">
        <v>1984</v>
      </c>
      <c r="U65" s="8">
        <f t="shared" si="1"/>
        <v>38</v>
      </c>
      <c r="V65" s="7">
        <v>1984</v>
      </c>
      <c r="W65" t="s">
        <v>1588</v>
      </c>
      <c r="X65" s="2" t="s">
        <v>8</v>
      </c>
      <c r="Y65" s="6" t="e">
        <f t="shared" si="2"/>
        <v>#VALUE!</v>
      </c>
      <c r="AB65">
        <v>95489</v>
      </c>
      <c r="AD65" t="s">
        <v>1</v>
      </c>
      <c r="AE65">
        <v>5</v>
      </c>
      <c r="AF65">
        <v>2</v>
      </c>
      <c r="AH65" t="s">
        <v>1618</v>
      </c>
      <c r="AI65" t="s">
        <v>1617</v>
      </c>
      <c r="AK65" t="s">
        <v>1616</v>
      </c>
      <c r="AL65">
        <v>1</v>
      </c>
      <c r="AM65" s="5">
        <f t="shared" si="3"/>
        <v>2.6315789473684209E-2</v>
      </c>
      <c r="AN65" s="4">
        <f t="shared" si="4"/>
        <v>3.9857310827238481E-5</v>
      </c>
      <c r="AO65" s="3"/>
      <c r="AP65">
        <v>0</v>
      </c>
      <c r="AR65" t="s">
        <v>0</v>
      </c>
      <c r="AT65" s="2" t="s">
        <v>8</v>
      </c>
      <c r="AU65" s="1" t="e">
        <f t="shared" si="5"/>
        <v>#VALUE!</v>
      </c>
      <c r="AV65" s="1" t="e">
        <f t="shared" si="6"/>
        <v>#VALUE!</v>
      </c>
      <c r="AW65" s="1" t="e">
        <f t="shared" si="7"/>
        <v>#VALUE!</v>
      </c>
    </row>
    <row r="66" spans="1:49" x14ac:dyDescent="0.2">
      <c r="A66">
        <v>64</v>
      </c>
      <c r="B66" t="s">
        <v>1615</v>
      </c>
      <c r="F66" t="s">
        <v>1614</v>
      </c>
      <c r="G66" t="s">
        <v>4</v>
      </c>
      <c r="H66" t="s">
        <v>3</v>
      </c>
      <c r="I66" t="s">
        <v>1613</v>
      </c>
      <c r="J66">
        <v>60008435</v>
      </c>
      <c r="K66" t="s">
        <v>82</v>
      </c>
      <c r="L66" t="s">
        <v>81</v>
      </c>
      <c r="M66" t="s">
        <v>49</v>
      </c>
      <c r="N66">
        <v>2</v>
      </c>
      <c r="O66" t="s">
        <v>1612</v>
      </c>
      <c r="P66" t="s">
        <v>1611</v>
      </c>
      <c r="Q66" t="s">
        <v>136</v>
      </c>
      <c r="R66" s="7">
        <v>31017</v>
      </c>
      <c r="S66" s="8">
        <f t="shared" ref="S66:S129" si="8">YEAR(R66)</f>
        <v>1984</v>
      </c>
      <c r="T66" s="8">
        <v>1984</v>
      </c>
      <c r="U66" s="8">
        <f t="shared" ref="U66:U129" si="9">2022-T66</f>
        <v>38</v>
      </c>
      <c r="V66" s="7">
        <v>1984</v>
      </c>
      <c r="W66" t="s">
        <v>1588</v>
      </c>
      <c r="X66" s="2" t="s">
        <v>8</v>
      </c>
      <c r="Y66" s="6" t="e">
        <f t="shared" ref="Y66:Y129" si="10">(X66-$Z$4)/($Z$3-$Z$4)</f>
        <v>#VALUE!</v>
      </c>
      <c r="AB66">
        <v>95489</v>
      </c>
      <c r="AD66" t="s">
        <v>1</v>
      </c>
      <c r="AE66">
        <v>5</v>
      </c>
      <c r="AF66">
        <v>2</v>
      </c>
      <c r="AH66" t="s">
        <v>211</v>
      </c>
      <c r="AI66" t="s">
        <v>1610</v>
      </c>
      <c r="AK66" t="s">
        <v>1609</v>
      </c>
      <c r="AL66">
        <v>0</v>
      </c>
      <c r="AM66" s="5">
        <f t="shared" ref="AM66:AM129" si="11">AL66/U66</f>
        <v>0</v>
      </c>
      <c r="AN66" s="4">
        <f t="shared" ref="AN66:AN129" si="12">(AM66-$AO$4)/($AO$3-$AO$4)</f>
        <v>0</v>
      </c>
      <c r="AO66" s="3"/>
      <c r="AP66">
        <v>0</v>
      </c>
      <c r="AR66" t="s">
        <v>0</v>
      </c>
      <c r="AT66" s="2" t="s">
        <v>8</v>
      </c>
      <c r="AU66" s="1" t="e">
        <f t="shared" ref="AU66:AU129" si="13">(Y66*0.7+AN66*0.3)*100</f>
        <v>#VALUE!</v>
      </c>
      <c r="AV66" s="1" t="e">
        <f t="shared" ref="AV66:AV129" si="14">(Y66*0.5+AN66*0.5)*100</f>
        <v>#VALUE!</v>
      </c>
      <c r="AW66" s="1" t="e">
        <f t="shared" ref="AW66:AW129" si="15">(Y66*0.3+AN66*0.7)*100</f>
        <v>#VALUE!</v>
      </c>
    </row>
    <row r="67" spans="1:49" x14ac:dyDescent="0.2">
      <c r="A67">
        <v>65</v>
      </c>
      <c r="B67" t="s">
        <v>1608</v>
      </c>
      <c r="F67" t="s">
        <v>1607</v>
      </c>
      <c r="G67" t="s">
        <v>4</v>
      </c>
      <c r="H67" t="s">
        <v>3</v>
      </c>
      <c r="I67" t="s">
        <v>1606</v>
      </c>
      <c r="N67">
        <v>2</v>
      </c>
      <c r="O67" t="s">
        <v>1605</v>
      </c>
      <c r="P67" t="s">
        <v>1604</v>
      </c>
      <c r="Q67" t="s">
        <v>29</v>
      </c>
      <c r="R67" s="7">
        <v>31017</v>
      </c>
      <c r="S67" s="8">
        <f t="shared" si="8"/>
        <v>1984</v>
      </c>
      <c r="T67" s="8">
        <v>1984</v>
      </c>
      <c r="U67" s="8">
        <f t="shared" si="9"/>
        <v>38</v>
      </c>
      <c r="V67" s="7">
        <v>31017</v>
      </c>
      <c r="W67" t="s">
        <v>31</v>
      </c>
      <c r="X67" s="2">
        <v>0.14099999999999999</v>
      </c>
      <c r="Y67" s="6">
        <f t="shared" si="10"/>
        <v>3.7639144710498915E-3</v>
      </c>
      <c r="AA67">
        <v>402508</v>
      </c>
      <c r="AB67">
        <v>20868</v>
      </c>
      <c r="AD67" t="s">
        <v>1</v>
      </c>
      <c r="AE67" t="s">
        <v>30</v>
      </c>
      <c r="AF67">
        <v>12</v>
      </c>
      <c r="AH67" t="s">
        <v>104</v>
      </c>
      <c r="AI67" t="s">
        <v>1603</v>
      </c>
      <c r="AK67" t="s">
        <v>1602</v>
      </c>
      <c r="AL67">
        <v>0</v>
      </c>
      <c r="AM67" s="5">
        <f t="shared" si="11"/>
        <v>0</v>
      </c>
      <c r="AN67" s="4">
        <f t="shared" si="12"/>
        <v>0</v>
      </c>
      <c r="AO67" s="3"/>
      <c r="AP67">
        <v>0</v>
      </c>
      <c r="AR67" t="s">
        <v>0</v>
      </c>
      <c r="AT67" s="2" t="s">
        <v>8</v>
      </c>
      <c r="AU67" s="1">
        <f t="shared" si="13"/>
        <v>0.26347401297349238</v>
      </c>
      <c r="AV67" s="1">
        <f t="shared" si="14"/>
        <v>0.18819572355249459</v>
      </c>
      <c r="AW67" s="1">
        <f t="shared" si="15"/>
        <v>0.11291743413149673</v>
      </c>
    </row>
    <row r="68" spans="1:49" x14ac:dyDescent="0.2">
      <c r="A68">
        <v>66</v>
      </c>
      <c r="B68" t="s">
        <v>1601</v>
      </c>
      <c r="F68" t="s">
        <v>1600</v>
      </c>
      <c r="G68" t="s">
        <v>4</v>
      </c>
      <c r="H68" t="s">
        <v>3</v>
      </c>
      <c r="I68" t="s">
        <v>1599</v>
      </c>
      <c r="N68">
        <v>1</v>
      </c>
      <c r="O68" t="s">
        <v>1598</v>
      </c>
      <c r="P68">
        <v>57132900100</v>
      </c>
      <c r="R68" s="7">
        <v>31017</v>
      </c>
      <c r="S68" s="8">
        <f t="shared" si="8"/>
        <v>1984</v>
      </c>
      <c r="T68" s="8">
        <v>1984</v>
      </c>
      <c r="U68" s="8">
        <f t="shared" si="9"/>
        <v>38</v>
      </c>
      <c r="V68" s="7">
        <v>1984</v>
      </c>
      <c r="W68" t="s">
        <v>1597</v>
      </c>
      <c r="X68" s="2" t="s">
        <v>8</v>
      </c>
      <c r="Y68" s="6" t="e">
        <f t="shared" si="10"/>
        <v>#VALUE!</v>
      </c>
      <c r="AA68">
        <v>17035</v>
      </c>
      <c r="AB68">
        <v>30653</v>
      </c>
      <c r="AD68" t="s">
        <v>1</v>
      </c>
      <c r="AE68">
        <v>97</v>
      </c>
      <c r="AF68" s="9">
        <v>44287</v>
      </c>
      <c r="AH68" t="s">
        <v>1596</v>
      </c>
      <c r="AI68" t="s">
        <v>1595</v>
      </c>
      <c r="AK68" t="s">
        <v>1594</v>
      </c>
      <c r="AL68">
        <v>0</v>
      </c>
      <c r="AM68" s="5">
        <f t="shared" si="11"/>
        <v>0</v>
      </c>
      <c r="AN68" s="4">
        <f t="shared" si="12"/>
        <v>0</v>
      </c>
      <c r="AO68" s="3"/>
      <c r="AP68">
        <v>0</v>
      </c>
      <c r="AR68" t="s">
        <v>0</v>
      </c>
      <c r="AT68" s="2" t="s">
        <v>8</v>
      </c>
      <c r="AU68" s="1" t="e">
        <f t="shared" si="13"/>
        <v>#VALUE!</v>
      </c>
      <c r="AV68" s="1" t="e">
        <f t="shared" si="14"/>
        <v>#VALUE!</v>
      </c>
      <c r="AW68" s="1" t="e">
        <f t="shared" si="15"/>
        <v>#VALUE!</v>
      </c>
    </row>
    <row r="69" spans="1:49" x14ac:dyDescent="0.2">
      <c r="A69">
        <v>67</v>
      </c>
      <c r="B69" t="s">
        <v>1593</v>
      </c>
      <c r="F69" t="s">
        <v>1592</v>
      </c>
      <c r="G69" t="s">
        <v>4</v>
      </c>
      <c r="H69" t="s">
        <v>3</v>
      </c>
      <c r="I69" t="s">
        <v>57</v>
      </c>
      <c r="J69">
        <v>60014652</v>
      </c>
      <c r="K69" t="s">
        <v>145</v>
      </c>
      <c r="L69" t="s">
        <v>144</v>
      </c>
      <c r="M69" t="s">
        <v>49</v>
      </c>
      <c r="N69">
        <v>4</v>
      </c>
      <c r="O69" t="s">
        <v>1591</v>
      </c>
      <c r="P69" t="s">
        <v>1590</v>
      </c>
      <c r="Q69" t="s">
        <v>1589</v>
      </c>
      <c r="R69" s="7">
        <v>31017</v>
      </c>
      <c r="S69" s="8">
        <f t="shared" si="8"/>
        <v>1984</v>
      </c>
      <c r="T69" s="8">
        <v>1984</v>
      </c>
      <c r="U69" s="8">
        <f t="shared" si="9"/>
        <v>38</v>
      </c>
      <c r="V69" s="7">
        <v>1984</v>
      </c>
      <c r="W69" t="s">
        <v>1588</v>
      </c>
      <c r="X69" s="2" t="s">
        <v>8</v>
      </c>
      <c r="Y69" s="6" t="e">
        <f t="shared" si="10"/>
        <v>#VALUE!</v>
      </c>
      <c r="AB69">
        <v>95489</v>
      </c>
      <c r="AD69" t="s">
        <v>1</v>
      </c>
      <c r="AE69">
        <v>5</v>
      </c>
      <c r="AF69">
        <v>2</v>
      </c>
      <c r="AH69" t="s">
        <v>1587</v>
      </c>
      <c r="AI69" t="s">
        <v>1586</v>
      </c>
      <c r="AK69" t="s">
        <v>1585</v>
      </c>
      <c r="AL69">
        <v>2</v>
      </c>
      <c r="AM69" s="5">
        <f t="shared" si="11"/>
        <v>5.2631578947368418E-2</v>
      </c>
      <c r="AN69" s="4">
        <f t="shared" si="12"/>
        <v>7.9714621654476962E-5</v>
      </c>
      <c r="AO69" s="3"/>
      <c r="AP69">
        <v>0</v>
      </c>
      <c r="AR69" t="s">
        <v>0</v>
      </c>
      <c r="AT69" s="2" t="s">
        <v>8</v>
      </c>
      <c r="AU69" s="1" t="e">
        <f t="shared" si="13"/>
        <v>#VALUE!</v>
      </c>
      <c r="AV69" s="1" t="e">
        <f t="shared" si="14"/>
        <v>#VALUE!</v>
      </c>
      <c r="AW69" s="1" t="e">
        <f t="shared" si="15"/>
        <v>#VALUE!</v>
      </c>
    </row>
    <row r="70" spans="1:49" x14ac:dyDescent="0.2">
      <c r="A70">
        <v>68</v>
      </c>
      <c r="B70" t="s">
        <v>1584</v>
      </c>
      <c r="C70" t="s">
        <v>1583</v>
      </c>
      <c r="F70" t="s">
        <v>1582</v>
      </c>
      <c r="G70" t="s">
        <v>4</v>
      </c>
      <c r="H70" t="s">
        <v>3</v>
      </c>
      <c r="I70" t="s">
        <v>1581</v>
      </c>
      <c r="J70" t="s">
        <v>1580</v>
      </c>
      <c r="K70" t="s">
        <v>1579</v>
      </c>
      <c r="L70" t="s">
        <v>1578</v>
      </c>
      <c r="M70" t="s">
        <v>23</v>
      </c>
      <c r="N70">
        <v>2</v>
      </c>
      <c r="O70" t="s">
        <v>1577</v>
      </c>
      <c r="P70" t="s">
        <v>1576</v>
      </c>
      <c r="Q70" t="s">
        <v>1575</v>
      </c>
      <c r="R70" s="7">
        <v>31017</v>
      </c>
      <c r="S70" s="8">
        <f t="shared" si="8"/>
        <v>1984</v>
      </c>
      <c r="T70" s="8">
        <v>1984</v>
      </c>
      <c r="U70" s="8">
        <f t="shared" si="9"/>
        <v>38</v>
      </c>
      <c r="V70" s="7">
        <v>1984</v>
      </c>
      <c r="W70" t="s">
        <v>1574</v>
      </c>
      <c r="X70" s="2">
        <v>0.69899999999999995</v>
      </c>
      <c r="Y70" s="6">
        <f t="shared" si="10"/>
        <v>1.8659405782013295E-2</v>
      </c>
      <c r="AA70">
        <v>218979</v>
      </c>
      <c r="AB70">
        <v>28132</v>
      </c>
      <c r="AD70" t="s">
        <v>1</v>
      </c>
      <c r="AE70">
        <v>56</v>
      </c>
      <c r="AF70">
        <v>3</v>
      </c>
      <c r="AH70" t="s">
        <v>1573</v>
      </c>
      <c r="AI70" t="s">
        <v>1572</v>
      </c>
      <c r="AK70" t="s">
        <v>1571</v>
      </c>
      <c r="AL70">
        <v>1</v>
      </c>
      <c r="AM70" s="5">
        <f t="shared" si="11"/>
        <v>2.6315789473684209E-2</v>
      </c>
      <c r="AN70" s="4">
        <f t="shared" si="12"/>
        <v>3.9857310827238481E-5</v>
      </c>
      <c r="AO70" s="3"/>
      <c r="AP70">
        <v>0</v>
      </c>
      <c r="AR70" t="s">
        <v>0</v>
      </c>
      <c r="AT70" s="2">
        <v>2.5459999999999998</v>
      </c>
      <c r="AU70" s="1">
        <f t="shared" si="13"/>
        <v>1.3073541240657476</v>
      </c>
      <c r="AV70" s="1">
        <f t="shared" si="14"/>
        <v>0.93496315464202673</v>
      </c>
      <c r="AW70" s="1">
        <f t="shared" si="15"/>
        <v>0.56257218521830554</v>
      </c>
    </row>
    <row r="71" spans="1:49" x14ac:dyDescent="0.2">
      <c r="A71">
        <v>69</v>
      </c>
      <c r="B71" t="s">
        <v>1570</v>
      </c>
      <c r="C71" t="s">
        <v>1569</v>
      </c>
      <c r="F71" t="s">
        <v>1568</v>
      </c>
      <c r="G71" t="s">
        <v>4</v>
      </c>
      <c r="H71" t="s">
        <v>3</v>
      </c>
      <c r="I71" t="s">
        <v>1567</v>
      </c>
      <c r="J71">
        <v>60022195</v>
      </c>
      <c r="K71" t="s">
        <v>22</v>
      </c>
      <c r="L71" t="s">
        <v>21</v>
      </c>
      <c r="M71" t="s">
        <v>11</v>
      </c>
      <c r="N71">
        <v>1</v>
      </c>
      <c r="O71" t="s">
        <v>20</v>
      </c>
      <c r="P71">
        <v>6601979155</v>
      </c>
      <c r="Q71">
        <v>60022195</v>
      </c>
      <c r="R71" s="7">
        <v>31017</v>
      </c>
      <c r="S71" s="8">
        <f t="shared" si="8"/>
        <v>1984</v>
      </c>
      <c r="T71" s="8">
        <v>1984</v>
      </c>
      <c r="U71" s="8">
        <f t="shared" si="9"/>
        <v>38</v>
      </c>
      <c r="V71" s="7">
        <v>1984</v>
      </c>
      <c r="W71" t="s">
        <v>1506</v>
      </c>
      <c r="X71" s="2">
        <v>0.60499999999999998</v>
      </c>
      <c r="Y71" s="6">
        <f t="shared" si="10"/>
        <v>1.6150129467980032E-2</v>
      </c>
      <c r="AA71">
        <v>346748</v>
      </c>
      <c r="AB71">
        <v>15563</v>
      </c>
      <c r="AD71" t="s">
        <v>1</v>
      </c>
      <c r="AE71">
        <v>55</v>
      </c>
      <c r="AF71">
        <v>8</v>
      </c>
      <c r="AH71" t="s">
        <v>1566</v>
      </c>
      <c r="AI71" t="s">
        <v>1565</v>
      </c>
      <c r="AK71" t="s">
        <v>1564</v>
      </c>
      <c r="AL71">
        <v>55</v>
      </c>
      <c r="AM71" s="5">
        <f t="shared" si="11"/>
        <v>1.4473684210526316</v>
      </c>
      <c r="AN71" s="4">
        <f t="shared" si="12"/>
        <v>2.192152095498117E-3</v>
      </c>
      <c r="AO71" s="3"/>
      <c r="AP71">
        <v>0</v>
      </c>
      <c r="AR71" t="s">
        <v>0</v>
      </c>
      <c r="AT71" s="2">
        <v>1.5229999999999999</v>
      </c>
      <c r="AU71" s="1">
        <f t="shared" si="13"/>
        <v>1.1962736256235456</v>
      </c>
      <c r="AV71" s="1">
        <f t="shared" si="14"/>
        <v>0.91711407817390744</v>
      </c>
      <c r="AW71" s="1">
        <f t="shared" si="15"/>
        <v>0.63795453072426922</v>
      </c>
    </row>
    <row r="72" spans="1:49" x14ac:dyDescent="0.2">
      <c r="A72">
        <v>70</v>
      </c>
      <c r="B72" t="s">
        <v>1563</v>
      </c>
      <c r="C72" t="s">
        <v>1562</v>
      </c>
      <c r="F72" t="s">
        <v>1561</v>
      </c>
      <c r="G72" t="s">
        <v>4</v>
      </c>
      <c r="H72" t="s">
        <v>3</v>
      </c>
      <c r="I72" t="s">
        <v>1560</v>
      </c>
      <c r="J72">
        <v>60021378</v>
      </c>
      <c r="K72" t="s">
        <v>142</v>
      </c>
      <c r="L72" t="s">
        <v>141</v>
      </c>
      <c r="M72" t="s">
        <v>11</v>
      </c>
      <c r="N72">
        <v>3</v>
      </c>
      <c r="O72" t="s">
        <v>1559</v>
      </c>
      <c r="P72" t="s">
        <v>1558</v>
      </c>
      <c r="Q72" t="s">
        <v>178</v>
      </c>
      <c r="R72" s="7">
        <v>31017</v>
      </c>
      <c r="S72" s="8">
        <f t="shared" si="8"/>
        <v>1984</v>
      </c>
      <c r="T72" s="8">
        <v>1984</v>
      </c>
      <c r="U72" s="8">
        <f t="shared" si="9"/>
        <v>38</v>
      </c>
      <c r="V72" s="7">
        <v>1984</v>
      </c>
      <c r="W72" t="s">
        <v>1534</v>
      </c>
      <c r="X72" s="2">
        <v>1.1819999999999999</v>
      </c>
      <c r="Y72" s="6">
        <f t="shared" si="10"/>
        <v>3.1552814927524625E-2</v>
      </c>
      <c r="AA72">
        <v>36951</v>
      </c>
      <c r="AB72">
        <v>27030</v>
      </c>
      <c r="AD72" t="s">
        <v>1</v>
      </c>
      <c r="AE72">
        <v>45</v>
      </c>
      <c r="AF72">
        <v>3</v>
      </c>
      <c r="AH72" t="s">
        <v>1557</v>
      </c>
      <c r="AI72" t="s">
        <v>1556</v>
      </c>
      <c r="AK72" t="s">
        <v>1555</v>
      </c>
      <c r="AL72">
        <v>834</v>
      </c>
      <c r="AM72" s="5">
        <f t="shared" si="11"/>
        <v>21.94736842105263</v>
      </c>
      <c r="AN72" s="4">
        <f t="shared" si="12"/>
        <v>3.3240997229916892E-2</v>
      </c>
      <c r="AO72" s="3"/>
      <c r="AP72">
        <v>0</v>
      </c>
      <c r="AR72" t="s">
        <v>0</v>
      </c>
      <c r="AT72" s="2">
        <v>3.7909999999999999</v>
      </c>
      <c r="AU72" s="1">
        <f t="shared" si="13"/>
        <v>3.2059269618242308</v>
      </c>
      <c r="AV72" s="1">
        <f t="shared" si="14"/>
        <v>3.2396906078720757</v>
      </c>
      <c r="AW72" s="1">
        <f t="shared" si="15"/>
        <v>3.2734542539199212</v>
      </c>
    </row>
    <row r="73" spans="1:49" x14ac:dyDescent="0.2">
      <c r="A73">
        <v>71</v>
      </c>
      <c r="B73" t="s">
        <v>1554</v>
      </c>
      <c r="C73" t="s">
        <v>1553</v>
      </c>
      <c r="F73" t="s">
        <v>1552</v>
      </c>
      <c r="G73" t="s">
        <v>4</v>
      </c>
      <c r="H73" t="s">
        <v>3</v>
      </c>
      <c r="I73" t="s">
        <v>1551</v>
      </c>
      <c r="J73">
        <v>101309215</v>
      </c>
      <c r="K73" t="s">
        <v>1550</v>
      </c>
      <c r="L73" t="s">
        <v>1549</v>
      </c>
      <c r="M73" t="s">
        <v>18</v>
      </c>
      <c r="N73">
        <v>2</v>
      </c>
      <c r="O73" t="s">
        <v>1548</v>
      </c>
      <c r="P73" t="s">
        <v>1547</v>
      </c>
      <c r="Q73" t="s">
        <v>1546</v>
      </c>
      <c r="R73" s="7">
        <v>31017</v>
      </c>
      <c r="S73" s="8">
        <f t="shared" si="8"/>
        <v>1984</v>
      </c>
      <c r="T73" s="8">
        <v>1984</v>
      </c>
      <c r="U73" s="8">
        <f t="shared" si="9"/>
        <v>38</v>
      </c>
      <c r="V73" s="7">
        <v>1984</v>
      </c>
      <c r="W73" t="s">
        <v>1545</v>
      </c>
      <c r="X73" s="2" t="s">
        <v>8</v>
      </c>
      <c r="Y73" s="6" t="e">
        <f t="shared" si="10"/>
        <v>#VALUE!</v>
      </c>
      <c r="AA73">
        <v>223735</v>
      </c>
      <c r="AB73">
        <v>32471</v>
      </c>
      <c r="AD73" t="s">
        <v>1</v>
      </c>
      <c r="AE73">
        <v>17</v>
      </c>
      <c r="AF73">
        <v>5</v>
      </c>
      <c r="AG73">
        <v>9</v>
      </c>
      <c r="AH73" t="s">
        <v>1544</v>
      </c>
      <c r="AI73" t="s">
        <v>1543</v>
      </c>
      <c r="AK73" t="s">
        <v>1542</v>
      </c>
      <c r="AL73">
        <v>1</v>
      </c>
      <c r="AM73" s="5">
        <f t="shared" si="11"/>
        <v>2.6315789473684209E-2</v>
      </c>
      <c r="AN73" s="4">
        <f t="shared" si="12"/>
        <v>3.9857310827238481E-5</v>
      </c>
      <c r="AO73" s="3"/>
      <c r="AP73">
        <v>0</v>
      </c>
      <c r="AR73" t="s">
        <v>0</v>
      </c>
      <c r="AT73" s="2" t="s">
        <v>8</v>
      </c>
      <c r="AU73" s="1" t="e">
        <f t="shared" si="13"/>
        <v>#VALUE!</v>
      </c>
      <c r="AV73" s="1" t="e">
        <f t="shared" si="14"/>
        <v>#VALUE!</v>
      </c>
      <c r="AW73" s="1" t="e">
        <f t="shared" si="15"/>
        <v>#VALUE!</v>
      </c>
    </row>
    <row r="74" spans="1:49" x14ac:dyDescent="0.2">
      <c r="A74">
        <v>72</v>
      </c>
      <c r="B74" t="s">
        <v>1541</v>
      </c>
      <c r="C74" t="s">
        <v>1540</v>
      </c>
      <c r="F74" t="s">
        <v>1539</v>
      </c>
      <c r="G74" t="s">
        <v>4</v>
      </c>
      <c r="H74" t="s">
        <v>3</v>
      </c>
      <c r="I74" t="s">
        <v>1538</v>
      </c>
      <c r="J74">
        <v>60023053</v>
      </c>
      <c r="K74" t="s">
        <v>124</v>
      </c>
      <c r="L74" t="s">
        <v>123</v>
      </c>
      <c r="M74" t="s">
        <v>11</v>
      </c>
      <c r="N74">
        <v>3</v>
      </c>
      <c r="O74" t="s">
        <v>1537</v>
      </c>
      <c r="P74" t="s">
        <v>1536</v>
      </c>
      <c r="Q74" t="s">
        <v>1535</v>
      </c>
      <c r="R74" s="7">
        <v>31017</v>
      </c>
      <c r="S74" s="8">
        <f t="shared" si="8"/>
        <v>1984</v>
      </c>
      <c r="T74" s="8">
        <v>1984</v>
      </c>
      <c r="U74" s="8">
        <f t="shared" si="9"/>
        <v>38</v>
      </c>
      <c r="V74" s="7">
        <v>1984</v>
      </c>
      <c r="W74" t="s">
        <v>1534</v>
      </c>
      <c r="X74" s="2">
        <v>1.1819999999999999</v>
      </c>
      <c r="Y74" s="6">
        <f t="shared" si="10"/>
        <v>3.1552814927524625E-2</v>
      </c>
      <c r="AA74">
        <v>36951</v>
      </c>
      <c r="AB74">
        <v>27030</v>
      </c>
      <c r="AD74" t="s">
        <v>1</v>
      </c>
      <c r="AE74">
        <v>44</v>
      </c>
      <c r="AF74">
        <v>6</v>
      </c>
      <c r="AH74" t="s">
        <v>1533</v>
      </c>
      <c r="AI74" t="s">
        <v>1532</v>
      </c>
      <c r="AK74" t="s">
        <v>1531</v>
      </c>
      <c r="AL74">
        <v>163</v>
      </c>
      <c r="AM74" s="5">
        <f t="shared" si="11"/>
        <v>4.2894736842105265</v>
      </c>
      <c r="AN74" s="4">
        <f t="shared" si="12"/>
        <v>6.4967416648398736E-3</v>
      </c>
      <c r="AO74" s="3"/>
      <c r="AP74">
        <v>0</v>
      </c>
      <c r="AR74" t="s">
        <v>0</v>
      </c>
      <c r="AT74" s="2">
        <v>3.7909999999999999</v>
      </c>
      <c r="AU74" s="1">
        <f t="shared" si="13"/>
        <v>2.4035992948719196</v>
      </c>
      <c r="AV74" s="1">
        <f t="shared" si="14"/>
        <v>1.9024778296182248</v>
      </c>
      <c r="AW74" s="1">
        <f t="shared" si="15"/>
        <v>1.4013563643645299</v>
      </c>
    </row>
    <row r="75" spans="1:49" x14ac:dyDescent="0.2">
      <c r="A75">
        <v>73</v>
      </c>
      <c r="B75" t="s">
        <v>1530</v>
      </c>
      <c r="C75" t="s">
        <v>1529</v>
      </c>
      <c r="F75" t="s">
        <v>1528</v>
      </c>
      <c r="G75" t="s">
        <v>4</v>
      </c>
      <c r="H75" t="s">
        <v>3</v>
      </c>
      <c r="I75" t="s">
        <v>187</v>
      </c>
      <c r="J75">
        <v>60027165</v>
      </c>
      <c r="K75" t="s">
        <v>1527</v>
      </c>
      <c r="L75" t="s">
        <v>106</v>
      </c>
      <c r="M75" t="s">
        <v>11</v>
      </c>
      <c r="N75">
        <v>1</v>
      </c>
      <c r="O75" t="s">
        <v>186</v>
      </c>
      <c r="P75">
        <v>22967435100</v>
      </c>
      <c r="Q75">
        <v>60027165</v>
      </c>
      <c r="R75" s="7">
        <v>31017</v>
      </c>
      <c r="S75" s="8">
        <f t="shared" si="8"/>
        <v>1984</v>
      </c>
      <c r="T75" s="8">
        <v>1984</v>
      </c>
      <c r="U75" s="8">
        <f t="shared" si="9"/>
        <v>38</v>
      </c>
      <c r="V75" s="7">
        <v>1984</v>
      </c>
      <c r="W75" t="s">
        <v>1506</v>
      </c>
      <c r="X75" s="2">
        <v>0.60499999999999998</v>
      </c>
      <c r="Y75" s="6">
        <f t="shared" si="10"/>
        <v>1.6150129467980032E-2</v>
      </c>
      <c r="AA75">
        <v>346748</v>
      </c>
      <c r="AB75">
        <v>15563</v>
      </c>
      <c r="AD75" t="s">
        <v>1</v>
      </c>
      <c r="AE75">
        <v>55</v>
      </c>
      <c r="AF75">
        <v>1</v>
      </c>
      <c r="AH75" t="s">
        <v>1526</v>
      </c>
      <c r="AI75" t="s">
        <v>1525</v>
      </c>
      <c r="AK75" t="s">
        <v>1524</v>
      </c>
      <c r="AL75">
        <v>4</v>
      </c>
      <c r="AM75" s="5">
        <f t="shared" si="11"/>
        <v>0.10526315789473684</v>
      </c>
      <c r="AN75" s="4">
        <f t="shared" si="12"/>
        <v>1.5942924330895392E-4</v>
      </c>
      <c r="AO75" s="3"/>
      <c r="AP75">
        <v>0</v>
      </c>
      <c r="AR75" t="s">
        <v>0</v>
      </c>
      <c r="AT75" s="2">
        <v>1.5229999999999999</v>
      </c>
      <c r="AU75" s="1">
        <f t="shared" si="13"/>
        <v>1.1352919400578709</v>
      </c>
      <c r="AV75" s="1">
        <f t="shared" si="14"/>
        <v>0.81547793556444936</v>
      </c>
      <c r="AW75" s="1">
        <f t="shared" si="15"/>
        <v>0.49566393107102774</v>
      </c>
    </row>
    <row r="76" spans="1:49" x14ac:dyDescent="0.2">
      <c r="A76">
        <v>74</v>
      </c>
      <c r="B76" t="s">
        <v>1523</v>
      </c>
      <c r="C76" t="s">
        <v>1522</v>
      </c>
      <c r="E76">
        <v>6431455</v>
      </c>
      <c r="F76" t="s">
        <v>1521</v>
      </c>
      <c r="G76" t="s">
        <v>4</v>
      </c>
      <c r="H76" t="s">
        <v>3</v>
      </c>
      <c r="I76" t="s">
        <v>1520</v>
      </c>
      <c r="J76">
        <v>60085423</v>
      </c>
      <c r="K76" t="s">
        <v>1519</v>
      </c>
      <c r="L76" t="s">
        <v>1518</v>
      </c>
      <c r="M76" t="s">
        <v>47</v>
      </c>
      <c r="N76">
        <v>4</v>
      </c>
      <c r="O76" t="s">
        <v>1517</v>
      </c>
      <c r="P76" t="s">
        <v>1516</v>
      </c>
      <c r="Q76" t="s">
        <v>1515</v>
      </c>
      <c r="R76" s="7">
        <v>31017</v>
      </c>
      <c r="S76" s="8">
        <f t="shared" si="8"/>
        <v>1984</v>
      </c>
      <c r="T76" s="8">
        <v>1984</v>
      </c>
      <c r="U76" s="8">
        <f t="shared" si="9"/>
        <v>38</v>
      </c>
      <c r="V76" s="7">
        <v>1984</v>
      </c>
      <c r="W76" t="s">
        <v>1514</v>
      </c>
      <c r="X76" s="2">
        <v>1.3120000000000001</v>
      </c>
      <c r="Y76" s="6">
        <f t="shared" si="10"/>
        <v>3.502309068097488E-2</v>
      </c>
      <c r="AA76">
        <v>319155</v>
      </c>
      <c r="AB76">
        <v>29203</v>
      </c>
      <c r="AD76" t="s">
        <v>1</v>
      </c>
      <c r="AE76">
        <v>29</v>
      </c>
      <c r="AF76">
        <v>6</v>
      </c>
      <c r="AG76">
        <v>8</v>
      </c>
      <c r="AH76" t="s">
        <v>1513</v>
      </c>
      <c r="AI76" t="s">
        <v>1512</v>
      </c>
      <c r="AK76" t="s">
        <v>1511</v>
      </c>
      <c r="AL76">
        <v>1</v>
      </c>
      <c r="AM76" s="5">
        <f t="shared" si="11"/>
        <v>2.6315789473684209E-2</v>
      </c>
      <c r="AN76" s="4">
        <f t="shared" si="12"/>
        <v>3.9857310827238481E-5</v>
      </c>
      <c r="AO76" s="3"/>
      <c r="AP76">
        <v>0</v>
      </c>
      <c r="AR76" t="s">
        <v>0</v>
      </c>
      <c r="AT76" s="2">
        <v>3.609</v>
      </c>
      <c r="AU76" s="1">
        <f t="shared" si="13"/>
        <v>2.4528120669930589</v>
      </c>
      <c r="AV76" s="1">
        <f t="shared" si="14"/>
        <v>1.7531473995901059</v>
      </c>
      <c r="AW76" s="1">
        <f t="shared" si="15"/>
        <v>1.0534827321871532</v>
      </c>
    </row>
    <row r="77" spans="1:49" x14ac:dyDescent="0.2">
      <c r="A77">
        <v>75</v>
      </c>
      <c r="B77" t="s">
        <v>1510</v>
      </c>
      <c r="C77" t="s">
        <v>1509</v>
      </c>
      <c r="F77" t="s">
        <v>1508</v>
      </c>
      <c r="G77" t="s">
        <v>4</v>
      </c>
      <c r="H77" t="s">
        <v>3</v>
      </c>
      <c r="I77" t="s">
        <v>1168</v>
      </c>
      <c r="J77">
        <v>60032350</v>
      </c>
      <c r="K77" t="s">
        <v>238</v>
      </c>
      <c r="L77" t="s">
        <v>237</v>
      </c>
      <c r="M77" t="s">
        <v>143</v>
      </c>
      <c r="N77">
        <v>1</v>
      </c>
      <c r="O77" t="s">
        <v>1507</v>
      </c>
      <c r="P77">
        <v>7005568912</v>
      </c>
      <c r="Q77">
        <v>60032350</v>
      </c>
      <c r="R77" s="7">
        <v>31017</v>
      </c>
      <c r="S77" s="8">
        <f t="shared" si="8"/>
        <v>1984</v>
      </c>
      <c r="T77" s="8">
        <v>1984</v>
      </c>
      <c r="U77" s="8">
        <f t="shared" si="9"/>
        <v>38</v>
      </c>
      <c r="V77" s="7">
        <v>1984</v>
      </c>
      <c r="W77" t="s">
        <v>1506</v>
      </c>
      <c r="X77" s="2">
        <v>0.60499999999999998</v>
      </c>
      <c r="Y77" s="6">
        <f t="shared" si="10"/>
        <v>1.6150129467980032E-2</v>
      </c>
      <c r="AA77">
        <v>346748</v>
      </c>
      <c r="AB77">
        <v>15563</v>
      </c>
      <c r="AD77" t="s">
        <v>1</v>
      </c>
      <c r="AE77">
        <v>55</v>
      </c>
      <c r="AF77">
        <v>12</v>
      </c>
      <c r="AH77" t="s">
        <v>1505</v>
      </c>
      <c r="AI77" t="s">
        <v>1504</v>
      </c>
      <c r="AK77" t="s">
        <v>1503</v>
      </c>
      <c r="AL77">
        <v>9</v>
      </c>
      <c r="AM77" s="5">
        <f t="shared" si="11"/>
        <v>0.23684210526315788</v>
      </c>
      <c r="AN77" s="4">
        <f t="shared" si="12"/>
        <v>3.5871579744514633E-4</v>
      </c>
      <c r="AO77" s="3"/>
      <c r="AP77">
        <v>0</v>
      </c>
      <c r="AR77" t="s">
        <v>0</v>
      </c>
      <c r="AT77" s="2">
        <v>1.5229999999999999</v>
      </c>
      <c r="AU77" s="1">
        <f t="shared" si="13"/>
        <v>1.1412705366819564</v>
      </c>
      <c r="AV77" s="1">
        <f t="shared" si="14"/>
        <v>0.82544226327125902</v>
      </c>
      <c r="AW77" s="1">
        <f t="shared" si="15"/>
        <v>0.50961398986056117</v>
      </c>
    </row>
    <row r="78" spans="1:49" x14ac:dyDescent="0.2">
      <c r="A78">
        <v>76</v>
      </c>
      <c r="B78" t="s">
        <v>1502</v>
      </c>
      <c r="C78" t="s">
        <v>1501</v>
      </c>
      <c r="D78">
        <v>5272884901889</v>
      </c>
      <c r="F78" t="s">
        <v>1500</v>
      </c>
      <c r="G78" t="s">
        <v>4</v>
      </c>
      <c r="H78" t="s">
        <v>3</v>
      </c>
      <c r="I78" t="s">
        <v>1499</v>
      </c>
      <c r="J78">
        <v>60003878</v>
      </c>
      <c r="K78" t="s">
        <v>1498</v>
      </c>
      <c r="L78" t="s">
        <v>1497</v>
      </c>
      <c r="M78" t="s">
        <v>47</v>
      </c>
      <c r="N78">
        <v>5</v>
      </c>
      <c r="O78" t="s">
        <v>1496</v>
      </c>
      <c r="P78" t="s">
        <v>1495</v>
      </c>
      <c r="Q78" t="s">
        <v>1494</v>
      </c>
      <c r="R78" s="7">
        <v>31012</v>
      </c>
      <c r="S78" s="8">
        <f t="shared" si="8"/>
        <v>1984</v>
      </c>
      <c r="T78" s="8">
        <v>1984</v>
      </c>
      <c r="U78" s="8">
        <f t="shared" si="9"/>
        <v>38</v>
      </c>
      <c r="V78" s="7">
        <v>31012</v>
      </c>
      <c r="W78" t="s">
        <v>210</v>
      </c>
      <c r="X78" s="2">
        <v>1.59</v>
      </c>
      <c r="Y78" s="6">
        <f t="shared" si="10"/>
        <v>4.2444141907583888E-2</v>
      </c>
      <c r="AA78">
        <v>52728</v>
      </c>
      <c r="AB78">
        <v>16791</v>
      </c>
      <c r="AD78" t="s">
        <v>1</v>
      </c>
      <c r="AE78">
        <v>767</v>
      </c>
      <c r="AF78">
        <v>2</v>
      </c>
      <c r="AH78" t="s">
        <v>1493</v>
      </c>
      <c r="AI78" t="s">
        <v>1492</v>
      </c>
      <c r="AJ78" t="s">
        <v>1491</v>
      </c>
      <c r="AK78" t="s">
        <v>1490</v>
      </c>
      <c r="AL78">
        <v>23</v>
      </c>
      <c r="AM78" s="5">
        <f t="shared" si="11"/>
        <v>0.60526315789473684</v>
      </c>
      <c r="AN78" s="4">
        <f t="shared" si="12"/>
        <v>9.1671814902648512E-4</v>
      </c>
      <c r="AO78" s="3"/>
      <c r="AP78">
        <v>0</v>
      </c>
      <c r="AR78" t="s">
        <v>0</v>
      </c>
      <c r="AT78" s="2" t="s">
        <v>8</v>
      </c>
      <c r="AU78" s="1">
        <f t="shared" si="13"/>
        <v>2.9985914780016665</v>
      </c>
      <c r="AV78" s="1">
        <f t="shared" si="14"/>
        <v>2.1680430028305184</v>
      </c>
      <c r="AW78" s="1">
        <f t="shared" si="15"/>
        <v>1.3374945276593706</v>
      </c>
    </row>
    <row r="79" spans="1:49" x14ac:dyDescent="0.2">
      <c r="A79">
        <v>77</v>
      </c>
      <c r="B79" t="s">
        <v>1489</v>
      </c>
      <c r="C79" t="s">
        <v>1488</v>
      </c>
      <c r="D79" t="s">
        <v>1487</v>
      </c>
      <c r="F79" t="s">
        <v>1486</v>
      </c>
      <c r="G79" t="s">
        <v>4</v>
      </c>
      <c r="H79" t="s">
        <v>3</v>
      </c>
      <c r="I79" t="s">
        <v>182</v>
      </c>
      <c r="J79" t="s">
        <v>1485</v>
      </c>
      <c r="K79" t="s">
        <v>1484</v>
      </c>
      <c r="L79" t="s">
        <v>1483</v>
      </c>
      <c r="M79" t="s">
        <v>23</v>
      </c>
      <c r="N79">
        <v>3</v>
      </c>
      <c r="O79" t="s">
        <v>1482</v>
      </c>
      <c r="P79" t="s">
        <v>1481</v>
      </c>
      <c r="Q79" t="s">
        <v>1480</v>
      </c>
      <c r="R79" s="7">
        <v>31005</v>
      </c>
      <c r="S79" s="8">
        <f t="shared" si="8"/>
        <v>1984</v>
      </c>
      <c r="T79" s="8">
        <v>1984</v>
      </c>
      <c r="U79" s="8">
        <f t="shared" si="9"/>
        <v>38</v>
      </c>
      <c r="V79" s="7">
        <v>31005</v>
      </c>
      <c r="W79" t="s">
        <v>426</v>
      </c>
      <c r="X79" s="2">
        <v>0.499</v>
      </c>
      <c r="Y79" s="6">
        <f t="shared" si="10"/>
        <v>1.332052000747444E-2</v>
      </c>
      <c r="AA79">
        <v>3759601</v>
      </c>
      <c r="AB79">
        <v>29464</v>
      </c>
      <c r="AD79" t="s">
        <v>1</v>
      </c>
      <c r="AE79">
        <v>106</v>
      </c>
      <c r="AF79" s="9">
        <v>44228</v>
      </c>
      <c r="AH79" t="s">
        <v>62</v>
      </c>
      <c r="AI79" t="s">
        <v>1479</v>
      </c>
      <c r="AK79" t="s">
        <v>1478</v>
      </c>
      <c r="AL79">
        <v>6</v>
      </c>
      <c r="AM79" s="5">
        <f t="shared" si="11"/>
        <v>0.15789473684210525</v>
      </c>
      <c r="AN79" s="4">
        <f t="shared" si="12"/>
        <v>2.3914386496343091E-4</v>
      </c>
      <c r="AO79" s="3"/>
      <c r="AP79">
        <v>0</v>
      </c>
      <c r="AQ79" t="s">
        <v>169</v>
      </c>
      <c r="AR79" t="s">
        <v>0</v>
      </c>
      <c r="AS79" t="s">
        <v>168</v>
      </c>
      <c r="AT79" s="2">
        <v>2.6539999999999999</v>
      </c>
      <c r="AU79" s="1">
        <f t="shared" si="13"/>
        <v>0.93961071647211369</v>
      </c>
      <c r="AV79" s="1">
        <f t="shared" si="14"/>
        <v>0.67798319362189363</v>
      </c>
      <c r="AW79" s="1">
        <f t="shared" si="15"/>
        <v>0.4163556707716734</v>
      </c>
    </row>
    <row r="80" spans="1:49" x14ac:dyDescent="0.2">
      <c r="A80">
        <v>78</v>
      </c>
      <c r="B80" t="s">
        <v>1477</v>
      </c>
      <c r="C80" t="s">
        <v>1476</v>
      </c>
      <c r="F80" t="s">
        <v>1475</v>
      </c>
      <c r="G80" t="s">
        <v>4</v>
      </c>
      <c r="H80" t="s">
        <v>3</v>
      </c>
      <c r="I80" t="s">
        <v>220</v>
      </c>
      <c r="J80">
        <v>60030553</v>
      </c>
      <c r="K80" t="s">
        <v>1474</v>
      </c>
      <c r="L80" t="s">
        <v>1473</v>
      </c>
      <c r="M80" t="s">
        <v>5</v>
      </c>
      <c r="N80">
        <v>1</v>
      </c>
      <c r="O80" t="s">
        <v>1472</v>
      </c>
      <c r="P80">
        <v>7006052449</v>
      </c>
      <c r="Q80">
        <v>60030553</v>
      </c>
      <c r="R80" s="7">
        <v>30994</v>
      </c>
      <c r="S80" s="8">
        <f t="shared" si="8"/>
        <v>1984</v>
      </c>
      <c r="T80" s="8">
        <v>1984</v>
      </c>
      <c r="U80" s="8">
        <f t="shared" si="9"/>
        <v>38</v>
      </c>
      <c r="V80" s="7">
        <v>30994</v>
      </c>
      <c r="W80" t="s">
        <v>206</v>
      </c>
      <c r="X80" s="2">
        <v>0.375</v>
      </c>
      <c r="Y80" s="6">
        <f t="shared" si="10"/>
        <v>1.0010410827260351E-2</v>
      </c>
      <c r="AA80">
        <v>135194</v>
      </c>
      <c r="AB80">
        <v>24918</v>
      </c>
      <c r="AD80" t="s">
        <v>1</v>
      </c>
      <c r="AE80">
        <v>20</v>
      </c>
      <c r="AF80">
        <v>23</v>
      </c>
      <c r="AH80" t="s">
        <v>1471</v>
      </c>
      <c r="AI80" t="s">
        <v>1470</v>
      </c>
      <c r="AJ80" t="s">
        <v>219</v>
      </c>
      <c r="AK80" t="s">
        <v>1469</v>
      </c>
      <c r="AL80">
        <v>0</v>
      </c>
      <c r="AM80" s="5">
        <f t="shared" si="11"/>
        <v>0</v>
      </c>
      <c r="AN80" s="4">
        <f t="shared" si="12"/>
        <v>0</v>
      </c>
      <c r="AO80" s="3"/>
      <c r="AP80">
        <v>0</v>
      </c>
      <c r="AR80" t="s">
        <v>0</v>
      </c>
      <c r="AT80" s="2">
        <v>1.3140000000000001</v>
      </c>
      <c r="AU80" s="1">
        <f t="shared" si="13"/>
        <v>0.70072875790822453</v>
      </c>
      <c r="AV80" s="1">
        <f t="shared" si="14"/>
        <v>0.5005205413630176</v>
      </c>
      <c r="AW80" s="1">
        <f t="shared" si="15"/>
        <v>0.30031232481781051</v>
      </c>
    </row>
    <row r="81" spans="1:49" x14ac:dyDescent="0.2">
      <c r="A81">
        <v>79</v>
      </c>
      <c r="B81" t="s">
        <v>1468</v>
      </c>
      <c r="C81" t="s">
        <v>1467</v>
      </c>
      <c r="D81">
        <v>14579384809813</v>
      </c>
      <c r="F81" t="s">
        <v>1466</v>
      </c>
      <c r="G81" t="s">
        <v>4</v>
      </c>
      <c r="H81" t="s">
        <v>3</v>
      </c>
      <c r="I81" t="s">
        <v>1465</v>
      </c>
      <c r="J81">
        <v>60025641</v>
      </c>
      <c r="K81" t="s">
        <v>241</v>
      </c>
      <c r="L81" t="s">
        <v>240</v>
      </c>
      <c r="M81" t="s">
        <v>17</v>
      </c>
      <c r="N81">
        <v>3</v>
      </c>
      <c r="O81" t="s">
        <v>1464</v>
      </c>
      <c r="P81" t="s">
        <v>1463</v>
      </c>
      <c r="Q81" t="s">
        <v>239</v>
      </c>
      <c r="R81" s="7">
        <v>30991</v>
      </c>
      <c r="S81" s="8">
        <f t="shared" si="8"/>
        <v>1984</v>
      </c>
      <c r="T81" s="8">
        <v>1984</v>
      </c>
      <c r="U81" s="8">
        <f t="shared" si="9"/>
        <v>38</v>
      </c>
      <c r="V81" s="7">
        <v>30991</v>
      </c>
      <c r="W81" t="s">
        <v>208</v>
      </c>
      <c r="X81" s="2">
        <v>1.593</v>
      </c>
      <c r="Y81" s="6">
        <f t="shared" si="10"/>
        <v>4.2524225194201973E-2</v>
      </c>
      <c r="AA81">
        <v>145793</v>
      </c>
      <c r="AB81">
        <v>17481</v>
      </c>
      <c r="AD81" t="s">
        <v>1</v>
      </c>
      <c r="AE81">
        <v>177</v>
      </c>
      <c r="AF81">
        <v>1</v>
      </c>
      <c r="AH81" t="s">
        <v>1462</v>
      </c>
      <c r="AI81" t="s">
        <v>1461</v>
      </c>
      <c r="AJ81" t="s">
        <v>1460</v>
      </c>
      <c r="AK81" t="s">
        <v>1459</v>
      </c>
      <c r="AL81">
        <v>10</v>
      </c>
      <c r="AM81" s="5">
        <f t="shared" si="11"/>
        <v>0.26315789473684209</v>
      </c>
      <c r="AN81" s="4">
        <f t="shared" si="12"/>
        <v>3.9857310827238487E-4</v>
      </c>
      <c r="AO81" s="3"/>
      <c r="AP81">
        <v>1</v>
      </c>
      <c r="AR81" t="s">
        <v>0</v>
      </c>
      <c r="AT81" s="2">
        <v>4.1239999999999997</v>
      </c>
      <c r="AU81" s="1">
        <f t="shared" si="13"/>
        <v>2.9886529568423095</v>
      </c>
      <c r="AV81" s="1">
        <f t="shared" si="14"/>
        <v>2.1461399151237179</v>
      </c>
      <c r="AW81" s="1">
        <f t="shared" si="15"/>
        <v>1.3036268734051262</v>
      </c>
    </row>
    <row r="82" spans="1:49" x14ac:dyDescent="0.2">
      <c r="A82">
        <v>80</v>
      </c>
      <c r="B82" t="s">
        <v>1458</v>
      </c>
      <c r="C82" t="s">
        <v>1457</v>
      </c>
      <c r="F82" t="s">
        <v>1456</v>
      </c>
      <c r="G82" t="s">
        <v>4</v>
      </c>
      <c r="H82" t="s">
        <v>3</v>
      </c>
      <c r="I82" t="s">
        <v>1455</v>
      </c>
      <c r="J82">
        <v>60103678</v>
      </c>
      <c r="K82" t="s">
        <v>1454</v>
      </c>
      <c r="L82" t="s">
        <v>86</v>
      </c>
      <c r="M82" t="s">
        <v>11</v>
      </c>
      <c r="N82">
        <v>2</v>
      </c>
      <c r="O82" t="s">
        <v>1453</v>
      </c>
      <c r="P82" t="s">
        <v>1452</v>
      </c>
      <c r="Q82" t="s">
        <v>1451</v>
      </c>
      <c r="R82" s="7">
        <v>30987</v>
      </c>
      <c r="S82" s="8">
        <f t="shared" si="8"/>
        <v>1984</v>
      </c>
      <c r="T82" s="8">
        <v>1984</v>
      </c>
      <c r="U82" s="8">
        <f t="shared" si="9"/>
        <v>38</v>
      </c>
      <c r="V82" s="7">
        <v>30987</v>
      </c>
      <c r="W82" t="s">
        <v>1450</v>
      </c>
      <c r="X82" s="2" t="s">
        <v>8</v>
      </c>
      <c r="Y82" s="6" t="e">
        <f t="shared" si="10"/>
        <v>#VALUE!</v>
      </c>
      <c r="AA82">
        <v>144754</v>
      </c>
      <c r="AB82">
        <v>74305</v>
      </c>
      <c r="AC82">
        <v>14209071</v>
      </c>
      <c r="AD82" t="s">
        <v>1</v>
      </c>
      <c r="AE82">
        <v>40</v>
      </c>
      <c r="AF82">
        <v>11</v>
      </c>
      <c r="AH82" t="s">
        <v>1449</v>
      </c>
      <c r="AI82" t="s">
        <v>1448</v>
      </c>
      <c r="AJ82" t="s">
        <v>1447</v>
      </c>
      <c r="AK82" t="s">
        <v>1446</v>
      </c>
      <c r="AL82">
        <v>12</v>
      </c>
      <c r="AM82" s="5">
        <f t="shared" si="11"/>
        <v>0.31578947368421051</v>
      </c>
      <c r="AN82" s="4">
        <f t="shared" si="12"/>
        <v>4.7828772992686183E-4</v>
      </c>
      <c r="AO82" s="3"/>
      <c r="AP82">
        <v>0</v>
      </c>
      <c r="AR82" t="s">
        <v>0</v>
      </c>
      <c r="AT82" s="2" t="s">
        <v>8</v>
      </c>
      <c r="AU82" s="1" t="e">
        <f t="shared" si="13"/>
        <v>#VALUE!</v>
      </c>
      <c r="AV82" s="1" t="e">
        <f t="shared" si="14"/>
        <v>#VALUE!</v>
      </c>
      <c r="AW82" s="1" t="e">
        <f t="shared" si="15"/>
        <v>#VALUE!</v>
      </c>
    </row>
    <row r="83" spans="1:49" x14ac:dyDescent="0.2">
      <c r="A83">
        <v>81</v>
      </c>
      <c r="B83" t="s">
        <v>1445</v>
      </c>
      <c r="C83" t="s">
        <v>1444</v>
      </c>
      <c r="F83" t="s">
        <v>1443</v>
      </c>
      <c r="G83" t="s">
        <v>4</v>
      </c>
      <c r="H83" t="s">
        <v>3</v>
      </c>
      <c r="I83" t="s">
        <v>1442</v>
      </c>
      <c r="J83">
        <v>100502456</v>
      </c>
      <c r="K83" t="s">
        <v>1441</v>
      </c>
      <c r="L83" t="s">
        <v>1440</v>
      </c>
      <c r="M83" t="s">
        <v>11</v>
      </c>
      <c r="N83">
        <v>2</v>
      </c>
      <c r="O83" t="s">
        <v>1439</v>
      </c>
      <c r="P83" t="s">
        <v>1438</v>
      </c>
      <c r="Q83" t="s">
        <v>1437</v>
      </c>
      <c r="R83" s="7">
        <v>30987</v>
      </c>
      <c r="S83" s="8">
        <f t="shared" si="8"/>
        <v>1984</v>
      </c>
      <c r="T83" s="8">
        <v>1984</v>
      </c>
      <c r="U83" s="8">
        <f t="shared" si="9"/>
        <v>38</v>
      </c>
      <c r="V83" s="7">
        <v>30987</v>
      </c>
      <c r="W83" t="s">
        <v>1436</v>
      </c>
      <c r="X83" s="2">
        <v>1.1779999999999999</v>
      </c>
      <c r="Y83" s="6">
        <f t="shared" si="10"/>
        <v>3.1446037212033845E-2</v>
      </c>
      <c r="AA83">
        <v>168033</v>
      </c>
      <c r="AB83">
        <v>27965</v>
      </c>
      <c r="AD83" t="s">
        <v>1</v>
      </c>
      <c r="AE83">
        <v>49</v>
      </c>
      <c r="AF83">
        <v>11</v>
      </c>
      <c r="AH83" t="s">
        <v>1435</v>
      </c>
      <c r="AI83" t="s">
        <v>1434</v>
      </c>
      <c r="AK83" t="s">
        <v>1433</v>
      </c>
      <c r="AL83">
        <v>2</v>
      </c>
      <c r="AM83" s="5">
        <f t="shared" si="11"/>
        <v>5.2631578947368418E-2</v>
      </c>
      <c r="AN83" s="4">
        <f t="shared" si="12"/>
        <v>7.9714621654476962E-5</v>
      </c>
      <c r="AO83" s="3"/>
      <c r="AP83">
        <v>0</v>
      </c>
      <c r="AR83" t="s">
        <v>0</v>
      </c>
      <c r="AT83" s="2">
        <v>2.9279999999999999</v>
      </c>
      <c r="AU83" s="1">
        <f t="shared" si="13"/>
        <v>2.2036140434920033</v>
      </c>
      <c r="AV83" s="1">
        <f t="shared" si="14"/>
        <v>1.5762875916844161</v>
      </c>
      <c r="AW83" s="1">
        <f t="shared" si="15"/>
        <v>0.94896113987682873</v>
      </c>
    </row>
    <row r="84" spans="1:49" x14ac:dyDescent="0.2">
      <c r="A84">
        <v>82</v>
      </c>
      <c r="B84" t="s">
        <v>1432</v>
      </c>
      <c r="F84" t="s">
        <v>1431</v>
      </c>
      <c r="G84" t="s">
        <v>4</v>
      </c>
      <c r="H84" t="s">
        <v>3</v>
      </c>
      <c r="I84" t="s">
        <v>126</v>
      </c>
      <c r="J84">
        <v>60011111</v>
      </c>
      <c r="K84" t="s">
        <v>1430</v>
      </c>
      <c r="L84" t="s">
        <v>25</v>
      </c>
      <c r="M84" t="s">
        <v>18</v>
      </c>
      <c r="N84">
        <v>1</v>
      </c>
      <c r="O84" t="s">
        <v>125</v>
      </c>
      <c r="P84">
        <v>1</v>
      </c>
      <c r="Q84">
        <v>60011111</v>
      </c>
      <c r="R84" s="7">
        <v>30987</v>
      </c>
      <c r="S84" s="8">
        <f t="shared" si="8"/>
        <v>1984</v>
      </c>
      <c r="T84" s="8">
        <v>1984</v>
      </c>
      <c r="U84" s="8">
        <f t="shared" si="9"/>
        <v>38</v>
      </c>
      <c r="V84" s="7">
        <v>30987</v>
      </c>
      <c r="W84" t="s">
        <v>1429</v>
      </c>
      <c r="X84" s="2" t="s">
        <v>8</v>
      </c>
      <c r="Y84" s="6" t="e">
        <f t="shared" si="10"/>
        <v>#VALUE!</v>
      </c>
      <c r="AB84">
        <v>86010</v>
      </c>
      <c r="AD84" t="s">
        <v>1</v>
      </c>
      <c r="AI84" t="s">
        <v>1428</v>
      </c>
      <c r="AK84" t="s">
        <v>1427</v>
      </c>
      <c r="AL84">
        <v>0</v>
      </c>
      <c r="AM84" s="5">
        <f t="shared" si="11"/>
        <v>0</v>
      </c>
      <c r="AN84" s="4">
        <f t="shared" si="12"/>
        <v>0</v>
      </c>
      <c r="AO84" s="3"/>
      <c r="AP84">
        <v>0</v>
      </c>
      <c r="AR84" t="s">
        <v>0</v>
      </c>
      <c r="AT84" s="2" t="s">
        <v>8</v>
      </c>
      <c r="AU84" s="1" t="e">
        <f t="shared" si="13"/>
        <v>#VALUE!</v>
      </c>
      <c r="AV84" s="1" t="e">
        <f t="shared" si="14"/>
        <v>#VALUE!</v>
      </c>
      <c r="AW84" s="1" t="e">
        <f t="shared" si="15"/>
        <v>#VALUE!</v>
      </c>
    </row>
    <row r="85" spans="1:49" x14ac:dyDescent="0.2">
      <c r="A85">
        <v>83</v>
      </c>
      <c r="B85" t="s">
        <v>1426</v>
      </c>
      <c r="F85" t="s">
        <v>1425</v>
      </c>
      <c r="G85" t="s">
        <v>4</v>
      </c>
      <c r="H85" t="s">
        <v>3</v>
      </c>
      <c r="I85" t="s">
        <v>1424</v>
      </c>
      <c r="J85">
        <v>60028673</v>
      </c>
      <c r="K85" t="s">
        <v>1423</v>
      </c>
      <c r="L85" t="s">
        <v>1422</v>
      </c>
      <c r="M85" t="s">
        <v>17</v>
      </c>
      <c r="N85">
        <v>1</v>
      </c>
      <c r="O85" t="s">
        <v>1421</v>
      </c>
      <c r="P85">
        <v>7004718949</v>
      </c>
      <c r="Q85">
        <v>60028673</v>
      </c>
      <c r="R85" s="7">
        <v>30987</v>
      </c>
      <c r="S85" s="8">
        <f t="shared" si="8"/>
        <v>1984</v>
      </c>
      <c r="T85" s="8">
        <v>1984</v>
      </c>
      <c r="U85" s="8">
        <f t="shared" si="9"/>
        <v>38</v>
      </c>
      <c r="V85" s="7">
        <v>30987</v>
      </c>
      <c r="W85" t="s">
        <v>146</v>
      </c>
      <c r="X85" s="2" t="s">
        <v>8</v>
      </c>
      <c r="Y85" s="6" t="e">
        <f t="shared" si="10"/>
        <v>#VALUE!</v>
      </c>
      <c r="AA85">
        <v>3444880</v>
      </c>
      <c r="AB85">
        <v>38773</v>
      </c>
      <c r="AD85" t="s">
        <v>1</v>
      </c>
      <c r="AE85">
        <v>7</v>
      </c>
      <c r="AF85">
        <v>6</v>
      </c>
      <c r="AH85" t="s">
        <v>1420</v>
      </c>
      <c r="AI85" t="s">
        <v>1419</v>
      </c>
      <c r="AK85" t="s">
        <v>1418</v>
      </c>
      <c r="AL85">
        <v>1</v>
      </c>
      <c r="AM85" s="5">
        <f t="shared" si="11"/>
        <v>2.6315789473684209E-2</v>
      </c>
      <c r="AN85" s="4">
        <f t="shared" si="12"/>
        <v>3.9857310827238481E-5</v>
      </c>
      <c r="AO85" s="3"/>
      <c r="AP85">
        <v>0</v>
      </c>
      <c r="AR85" t="s">
        <v>0</v>
      </c>
      <c r="AT85" s="2" t="s">
        <v>8</v>
      </c>
      <c r="AU85" s="1" t="e">
        <f t="shared" si="13"/>
        <v>#VALUE!</v>
      </c>
      <c r="AV85" s="1" t="e">
        <f t="shared" si="14"/>
        <v>#VALUE!</v>
      </c>
      <c r="AW85" s="1" t="e">
        <f t="shared" si="15"/>
        <v>#VALUE!</v>
      </c>
    </row>
    <row r="86" spans="1:49" x14ac:dyDescent="0.2">
      <c r="A86">
        <v>84</v>
      </c>
      <c r="B86" t="s">
        <v>1417</v>
      </c>
      <c r="F86" t="s">
        <v>1416</v>
      </c>
      <c r="G86" t="s">
        <v>4</v>
      </c>
      <c r="H86" t="s">
        <v>3</v>
      </c>
      <c r="I86" t="s">
        <v>1415</v>
      </c>
      <c r="N86">
        <v>1</v>
      </c>
      <c r="O86" t="s">
        <v>1414</v>
      </c>
      <c r="P86">
        <v>6602329206</v>
      </c>
      <c r="R86" s="7">
        <v>30987</v>
      </c>
      <c r="S86" s="8">
        <f t="shared" si="8"/>
        <v>1984</v>
      </c>
      <c r="T86" s="8">
        <v>1984</v>
      </c>
      <c r="U86" s="8">
        <f t="shared" si="9"/>
        <v>38</v>
      </c>
      <c r="V86" s="7">
        <v>30987</v>
      </c>
      <c r="W86" t="s">
        <v>63</v>
      </c>
      <c r="X86" s="2" t="s">
        <v>8</v>
      </c>
      <c r="Y86" s="6" t="e">
        <f t="shared" si="10"/>
        <v>#VALUE!</v>
      </c>
      <c r="AA86">
        <v>337889</v>
      </c>
      <c r="AB86">
        <v>40920</v>
      </c>
      <c r="AD86" t="s">
        <v>1</v>
      </c>
      <c r="AE86">
        <v>29</v>
      </c>
      <c r="AF86">
        <v>11</v>
      </c>
      <c r="AH86" t="s">
        <v>316</v>
      </c>
      <c r="AI86" t="s">
        <v>1413</v>
      </c>
      <c r="AK86" t="s">
        <v>1412</v>
      </c>
      <c r="AL86">
        <v>0</v>
      </c>
      <c r="AM86" s="5">
        <f t="shared" si="11"/>
        <v>0</v>
      </c>
      <c r="AN86" s="4">
        <f t="shared" si="12"/>
        <v>0</v>
      </c>
      <c r="AO86" s="3"/>
      <c r="AP86">
        <v>0</v>
      </c>
      <c r="AR86" t="s">
        <v>0</v>
      </c>
      <c r="AT86" s="2" t="s">
        <v>8</v>
      </c>
      <c r="AU86" s="1" t="e">
        <f t="shared" si="13"/>
        <v>#VALUE!</v>
      </c>
      <c r="AV86" s="1" t="e">
        <f t="shared" si="14"/>
        <v>#VALUE!</v>
      </c>
      <c r="AW86" s="1" t="e">
        <f t="shared" si="15"/>
        <v>#VALUE!</v>
      </c>
    </row>
    <row r="87" spans="1:49" x14ac:dyDescent="0.2">
      <c r="A87">
        <v>85</v>
      </c>
      <c r="B87" t="s">
        <v>1411</v>
      </c>
      <c r="F87" t="s">
        <v>1410</v>
      </c>
      <c r="G87" t="s">
        <v>4</v>
      </c>
      <c r="H87" t="s">
        <v>3</v>
      </c>
      <c r="I87" t="s">
        <v>1409</v>
      </c>
      <c r="J87">
        <v>101168501</v>
      </c>
      <c r="K87" t="s">
        <v>1408</v>
      </c>
      <c r="L87" t="s">
        <v>1407</v>
      </c>
      <c r="M87" t="s">
        <v>11</v>
      </c>
      <c r="N87">
        <v>1</v>
      </c>
      <c r="O87" t="s">
        <v>1406</v>
      </c>
      <c r="P87">
        <v>6603457321</v>
      </c>
      <c r="Q87">
        <v>101168501</v>
      </c>
      <c r="R87" s="7">
        <v>30987</v>
      </c>
      <c r="S87" s="8">
        <f t="shared" si="8"/>
        <v>1984</v>
      </c>
      <c r="T87" s="8">
        <v>1984</v>
      </c>
      <c r="U87" s="8">
        <f t="shared" si="9"/>
        <v>38</v>
      </c>
      <c r="V87" s="7">
        <v>30987</v>
      </c>
      <c r="W87" t="s">
        <v>51</v>
      </c>
      <c r="X87" s="2">
        <v>0.10100000000000001</v>
      </c>
      <c r="Y87" s="6">
        <f t="shared" si="10"/>
        <v>2.6961373161421215E-3</v>
      </c>
      <c r="AA87">
        <v>7452883</v>
      </c>
      <c r="AB87">
        <v>18563</v>
      </c>
      <c r="AD87" t="s">
        <v>1</v>
      </c>
      <c r="AE87">
        <v>23</v>
      </c>
      <c r="AF87">
        <v>11</v>
      </c>
      <c r="AH87" t="s">
        <v>1405</v>
      </c>
      <c r="AI87" t="s">
        <v>1404</v>
      </c>
      <c r="AK87" t="s">
        <v>1403</v>
      </c>
      <c r="AL87">
        <v>1</v>
      </c>
      <c r="AM87" s="5">
        <f t="shared" si="11"/>
        <v>2.6315789473684209E-2</v>
      </c>
      <c r="AN87" s="4">
        <f t="shared" si="12"/>
        <v>3.9857310827238481E-5</v>
      </c>
      <c r="AO87" s="3"/>
      <c r="AP87">
        <v>0</v>
      </c>
      <c r="AR87" t="s">
        <v>0</v>
      </c>
      <c r="AT87" s="2" t="s">
        <v>8</v>
      </c>
      <c r="AU87" s="1">
        <f t="shared" si="13"/>
        <v>0.18992533145476564</v>
      </c>
      <c r="AV87" s="1">
        <f t="shared" si="14"/>
        <v>0.13679973134846798</v>
      </c>
      <c r="AW87" s="1">
        <f t="shared" si="15"/>
        <v>8.3674131242170324E-2</v>
      </c>
    </row>
    <row r="88" spans="1:49" x14ac:dyDescent="0.2">
      <c r="A88">
        <v>86</v>
      </c>
      <c r="B88" t="s">
        <v>1402</v>
      </c>
      <c r="F88" t="s">
        <v>1401</v>
      </c>
      <c r="G88" t="s">
        <v>4</v>
      </c>
      <c r="H88" t="s">
        <v>3</v>
      </c>
      <c r="I88" t="s">
        <v>198</v>
      </c>
      <c r="J88">
        <v>60006288</v>
      </c>
      <c r="K88" t="s">
        <v>156</v>
      </c>
      <c r="L88" t="s">
        <v>155</v>
      </c>
      <c r="M88" t="s">
        <v>47</v>
      </c>
      <c r="N88">
        <v>2</v>
      </c>
      <c r="O88" t="s">
        <v>1400</v>
      </c>
      <c r="P88" t="s">
        <v>197</v>
      </c>
      <c r="Q88" t="s">
        <v>154</v>
      </c>
      <c r="R88" s="7">
        <v>30987</v>
      </c>
      <c r="S88" s="8">
        <f t="shared" si="8"/>
        <v>1984</v>
      </c>
      <c r="T88" s="8">
        <v>1984</v>
      </c>
      <c r="U88" s="8">
        <f t="shared" si="9"/>
        <v>38</v>
      </c>
      <c r="V88" s="7">
        <v>30987</v>
      </c>
      <c r="W88" t="s">
        <v>196</v>
      </c>
      <c r="X88" s="2">
        <v>0.76700000000000002</v>
      </c>
      <c r="Y88" s="6">
        <f t="shared" si="10"/>
        <v>2.0474626945356504E-2</v>
      </c>
      <c r="AA88">
        <v>983063</v>
      </c>
      <c r="AB88">
        <v>26048</v>
      </c>
      <c r="AD88" t="s">
        <v>1</v>
      </c>
      <c r="AE88" t="s">
        <v>195</v>
      </c>
      <c r="AF88">
        <v>4</v>
      </c>
      <c r="AI88" t="s">
        <v>1399</v>
      </c>
      <c r="AK88" t="s">
        <v>1398</v>
      </c>
      <c r="AL88">
        <v>0</v>
      </c>
      <c r="AM88" s="5">
        <f t="shared" si="11"/>
        <v>0</v>
      </c>
      <c r="AN88" s="4">
        <f t="shared" si="12"/>
        <v>0</v>
      </c>
      <c r="AO88" s="3"/>
      <c r="AP88">
        <v>0</v>
      </c>
      <c r="AR88" t="s">
        <v>0</v>
      </c>
      <c r="AT88" s="2" t="s">
        <v>8</v>
      </c>
      <c r="AU88" s="1">
        <f t="shared" si="13"/>
        <v>1.4332238861749553</v>
      </c>
      <c r="AV88" s="1">
        <f t="shared" si="14"/>
        <v>1.0237313472678251</v>
      </c>
      <c r="AW88" s="1">
        <f t="shared" si="15"/>
        <v>0.61423880836069511</v>
      </c>
    </row>
    <row r="89" spans="1:49" x14ac:dyDescent="0.2">
      <c r="A89">
        <v>87</v>
      </c>
      <c r="B89" t="s">
        <v>1397</v>
      </c>
      <c r="C89" t="s">
        <v>1396</v>
      </c>
      <c r="F89" t="s">
        <v>1395</v>
      </c>
      <c r="G89" t="s">
        <v>4</v>
      </c>
      <c r="H89" t="s">
        <v>3</v>
      </c>
      <c r="I89" t="s">
        <v>1394</v>
      </c>
      <c r="J89">
        <v>60023254</v>
      </c>
      <c r="K89" t="s">
        <v>1393</v>
      </c>
      <c r="L89" t="s">
        <v>1392</v>
      </c>
      <c r="M89" t="s">
        <v>18</v>
      </c>
      <c r="N89">
        <v>3</v>
      </c>
      <c r="O89" t="s">
        <v>1391</v>
      </c>
      <c r="P89" t="s">
        <v>1390</v>
      </c>
      <c r="Q89" t="s">
        <v>1389</v>
      </c>
      <c r="R89" s="7">
        <v>30987</v>
      </c>
      <c r="S89" s="8">
        <f t="shared" si="8"/>
        <v>1984</v>
      </c>
      <c r="T89" s="8">
        <v>1984</v>
      </c>
      <c r="U89" s="8">
        <f t="shared" si="9"/>
        <v>38</v>
      </c>
      <c r="V89" s="7">
        <v>30987</v>
      </c>
      <c r="W89" t="s">
        <v>46</v>
      </c>
      <c r="X89" s="2">
        <v>0.61499999999999999</v>
      </c>
      <c r="Y89" s="6">
        <f t="shared" si="10"/>
        <v>1.6417073756706976E-2</v>
      </c>
      <c r="AA89">
        <v>1959271</v>
      </c>
      <c r="AB89">
        <v>12141</v>
      </c>
      <c r="AC89">
        <v>15729559</v>
      </c>
      <c r="AD89" t="s">
        <v>1</v>
      </c>
      <c r="AE89">
        <v>5</v>
      </c>
      <c r="AF89">
        <v>11</v>
      </c>
      <c r="AH89" t="s">
        <v>1388</v>
      </c>
      <c r="AL89">
        <v>7</v>
      </c>
      <c r="AM89" s="5">
        <f t="shared" si="11"/>
        <v>0.18421052631578946</v>
      </c>
      <c r="AN89" s="4">
        <f t="shared" si="12"/>
        <v>2.7900117579066937E-4</v>
      </c>
      <c r="AO89" s="3"/>
      <c r="AP89">
        <v>0</v>
      </c>
      <c r="AR89" t="s">
        <v>0</v>
      </c>
      <c r="AT89" s="2" t="s">
        <v>8</v>
      </c>
      <c r="AU89" s="1">
        <f t="shared" si="13"/>
        <v>1.1575651982432082</v>
      </c>
      <c r="AV89" s="1">
        <f t="shared" si="14"/>
        <v>0.83480374662488221</v>
      </c>
      <c r="AW89" s="1">
        <f t="shared" si="15"/>
        <v>0.51204229500655618</v>
      </c>
    </row>
    <row r="90" spans="1:49" x14ac:dyDescent="0.2">
      <c r="A90">
        <v>88</v>
      </c>
      <c r="B90" t="s">
        <v>1387</v>
      </c>
      <c r="F90" t="s">
        <v>1386</v>
      </c>
      <c r="G90" t="s">
        <v>4</v>
      </c>
      <c r="H90" t="s">
        <v>3</v>
      </c>
      <c r="I90" t="s">
        <v>1385</v>
      </c>
      <c r="J90">
        <v>100455897</v>
      </c>
      <c r="K90" t="s">
        <v>1384</v>
      </c>
      <c r="L90" t="s">
        <v>135</v>
      </c>
      <c r="M90" t="s">
        <v>134</v>
      </c>
      <c r="N90">
        <v>1</v>
      </c>
      <c r="O90" t="s">
        <v>1383</v>
      </c>
      <c r="P90">
        <v>7003775095</v>
      </c>
      <c r="Q90">
        <v>100455897</v>
      </c>
      <c r="R90" s="7">
        <v>30987</v>
      </c>
      <c r="S90" s="8">
        <f t="shared" si="8"/>
        <v>1984</v>
      </c>
      <c r="T90" s="8">
        <v>1984</v>
      </c>
      <c r="U90" s="8">
        <f t="shared" si="9"/>
        <v>38</v>
      </c>
      <c r="V90" s="7">
        <v>30987</v>
      </c>
      <c r="W90" t="s">
        <v>161</v>
      </c>
      <c r="X90" s="2" t="s">
        <v>8</v>
      </c>
      <c r="Y90" s="6" t="e">
        <f t="shared" si="10"/>
        <v>#VALUE!</v>
      </c>
      <c r="AA90" t="s">
        <v>160</v>
      </c>
      <c r="AB90">
        <v>35968</v>
      </c>
      <c r="AD90" t="s">
        <v>1</v>
      </c>
      <c r="AE90">
        <v>51</v>
      </c>
      <c r="AF90">
        <v>11</v>
      </c>
      <c r="AH90" t="s">
        <v>1382</v>
      </c>
      <c r="AI90" t="s">
        <v>1381</v>
      </c>
      <c r="AK90" t="s">
        <v>1380</v>
      </c>
      <c r="AL90">
        <v>0</v>
      </c>
      <c r="AM90" s="5">
        <f t="shared" si="11"/>
        <v>0</v>
      </c>
      <c r="AN90" s="4">
        <f t="shared" si="12"/>
        <v>0</v>
      </c>
      <c r="AO90" s="3"/>
      <c r="AP90">
        <v>0</v>
      </c>
      <c r="AR90" t="s">
        <v>0</v>
      </c>
      <c r="AT90" s="2" t="s">
        <v>8</v>
      </c>
      <c r="AU90" s="1" t="e">
        <f t="shared" si="13"/>
        <v>#VALUE!</v>
      </c>
      <c r="AV90" s="1" t="e">
        <f t="shared" si="14"/>
        <v>#VALUE!</v>
      </c>
      <c r="AW90" s="1" t="e">
        <f t="shared" si="15"/>
        <v>#VALUE!</v>
      </c>
    </row>
    <row r="91" spans="1:49" x14ac:dyDescent="0.2">
      <c r="A91">
        <v>89</v>
      </c>
      <c r="B91" t="s">
        <v>1379</v>
      </c>
      <c r="C91" t="s">
        <v>1378</v>
      </c>
      <c r="F91" t="s">
        <v>1377</v>
      </c>
      <c r="G91" t="s">
        <v>4</v>
      </c>
      <c r="H91" t="s">
        <v>3</v>
      </c>
      <c r="I91" t="s">
        <v>1376</v>
      </c>
      <c r="N91">
        <v>1</v>
      </c>
      <c r="O91" t="s">
        <v>1375</v>
      </c>
      <c r="P91">
        <v>56614169100</v>
      </c>
      <c r="R91" s="7">
        <v>30987</v>
      </c>
      <c r="S91" s="8">
        <f t="shared" si="8"/>
        <v>1984</v>
      </c>
      <c r="T91" s="8">
        <v>1984</v>
      </c>
      <c r="U91" s="8">
        <f t="shared" si="9"/>
        <v>38</v>
      </c>
      <c r="V91" s="7">
        <v>30987</v>
      </c>
      <c r="W91" t="s">
        <v>58</v>
      </c>
      <c r="X91" s="2">
        <v>0.318</v>
      </c>
      <c r="Y91" s="6">
        <f t="shared" si="10"/>
        <v>8.4888283815167786E-3</v>
      </c>
      <c r="AA91">
        <v>338443</v>
      </c>
      <c r="AB91">
        <v>27160</v>
      </c>
      <c r="AC91">
        <v>15739120</v>
      </c>
      <c r="AD91" t="s">
        <v>1</v>
      </c>
      <c r="AE91">
        <v>27</v>
      </c>
      <c r="AF91">
        <v>11</v>
      </c>
      <c r="AH91" t="s">
        <v>1374</v>
      </c>
      <c r="AL91">
        <v>0</v>
      </c>
      <c r="AM91" s="5">
        <f t="shared" si="11"/>
        <v>0</v>
      </c>
      <c r="AN91" s="4">
        <f t="shared" si="12"/>
        <v>0</v>
      </c>
      <c r="AO91" s="3"/>
      <c r="AP91">
        <v>0</v>
      </c>
      <c r="AR91" t="s">
        <v>0</v>
      </c>
      <c r="AT91" s="2">
        <v>0.77</v>
      </c>
      <c r="AU91" s="1">
        <f t="shared" si="13"/>
        <v>0.59421798670617454</v>
      </c>
      <c r="AV91" s="1">
        <f t="shared" si="14"/>
        <v>0.42444141907583893</v>
      </c>
      <c r="AW91" s="1">
        <f t="shared" si="15"/>
        <v>0.25466485144550338</v>
      </c>
    </row>
    <row r="92" spans="1:49" x14ac:dyDescent="0.2">
      <c r="A92">
        <v>90</v>
      </c>
      <c r="B92" t="s">
        <v>1373</v>
      </c>
      <c r="F92" t="s">
        <v>1372</v>
      </c>
      <c r="G92" t="s">
        <v>4</v>
      </c>
      <c r="H92" t="s">
        <v>3</v>
      </c>
      <c r="I92" t="s">
        <v>1371</v>
      </c>
      <c r="J92">
        <v>60007887</v>
      </c>
      <c r="K92" t="s">
        <v>1370</v>
      </c>
      <c r="L92" t="s">
        <v>1369</v>
      </c>
      <c r="M92" t="s">
        <v>49</v>
      </c>
      <c r="N92">
        <v>3</v>
      </c>
      <c r="O92" t="s">
        <v>1368</v>
      </c>
      <c r="P92" t="s">
        <v>1367</v>
      </c>
      <c r="Q92" t="s">
        <v>1366</v>
      </c>
      <c r="R92" s="7">
        <v>30987</v>
      </c>
      <c r="S92" s="8">
        <f t="shared" si="8"/>
        <v>1984</v>
      </c>
      <c r="T92" s="8">
        <v>1984</v>
      </c>
      <c r="U92" s="8">
        <f t="shared" si="9"/>
        <v>38</v>
      </c>
      <c r="V92" s="7">
        <v>30987</v>
      </c>
      <c r="W92" t="s">
        <v>1365</v>
      </c>
      <c r="X92" s="2" t="s">
        <v>8</v>
      </c>
      <c r="Y92" s="6" t="e">
        <f t="shared" si="10"/>
        <v>#VALUE!</v>
      </c>
      <c r="AA92">
        <v>4186338</v>
      </c>
      <c r="AB92">
        <v>34729</v>
      </c>
      <c r="AD92" t="s">
        <v>1</v>
      </c>
      <c r="AE92">
        <v>32</v>
      </c>
      <c r="AF92">
        <v>6</v>
      </c>
      <c r="AH92" t="s">
        <v>1364</v>
      </c>
      <c r="AI92" t="s">
        <v>1363</v>
      </c>
      <c r="AK92" t="s">
        <v>1362</v>
      </c>
      <c r="AL92">
        <v>0</v>
      </c>
      <c r="AM92" s="5">
        <f t="shared" si="11"/>
        <v>0</v>
      </c>
      <c r="AN92" s="4">
        <f t="shared" si="12"/>
        <v>0</v>
      </c>
      <c r="AO92" s="3"/>
      <c r="AP92">
        <v>0</v>
      </c>
      <c r="AR92" t="s">
        <v>0</v>
      </c>
      <c r="AT92" s="2" t="s">
        <v>8</v>
      </c>
      <c r="AU92" s="1" t="e">
        <f t="shared" si="13"/>
        <v>#VALUE!</v>
      </c>
      <c r="AV92" s="1" t="e">
        <f t="shared" si="14"/>
        <v>#VALUE!</v>
      </c>
      <c r="AW92" s="1" t="e">
        <f t="shared" si="15"/>
        <v>#VALUE!</v>
      </c>
    </row>
    <row r="93" spans="1:49" x14ac:dyDescent="0.2">
      <c r="A93">
        <v>91</v>
      </c>
      <c r="B93" t="s">
        <v>1361</v>
      </c>
      <c r="F93" t="s">
        <v>1360</v>
      </c>
      <c r="G93" t="s">
        <v>4</v>
      </c>
      <c r="H93" t="s">
        <v>3</v>
      </c>
      <c r="I93" t="s">
        <v>112</v>
      </c>
      <c r="J93">
        <v>60194543</v>
      </c>
      <c r="K93" t="s">
        <v>1359</v>
      </c>
      <c r="L93" t="s">
        <v>1358</v>
      </c>
      <c r="M93" t="s">
        <v>49</v>
      </c>
      <c r="N93">
        <v>2</v>
      </c>
      <c r="O93" t="s">
        <v>120</v>
      </c>
      <c r="P93" t="s">
        <v>119</v>
      </c>
      <c r="Q93" t="s">
        <v>1357</v>
      </c>
      <c r="R93" s="7">
        <v>30987</v>
      </c>
      <c r="S93" s="8">
        <f t="shared" si="8"/>
        <v>1984</v>
      </c>
      <c r="T93" s="8">
        <v>1984</v>
      </c>
      <c r="U93" s="8">
        <f t="shared" si="9"/>
        <v>38</v>
      </c>
      <c r="V93" s="7">
        <v>30987</v>
      </c>
      <c r="W93" t="s">
        <v>93</v>
      </c>
      <c r="X93" s="2" t="s">
        <v>8</v>
      </c>
      <c r="Y93" s="6" t="e">
        <f t="shared" si="10"/>
        <v>#VALUE!</v>
      </c>
      <c r="AA93" t="s">
        <v>92</v>
      </c>
      <c r="AB93">
        <v>30906</v>
      </c>
      <c r="AD93" t="s">
        <v>1</v>
      </c>
      <c r="AE93" t="s">
        <v>91</v>
      </c>
      <c r="AF93">
        <v>11</v>
      </c>
      <c r="AH93" t="s">
        <v>1356</v>
      </c>
      <c r="AI93" t="s">
        <v>1355</v>
      </c>
      <c r="AK93" t="s">
        <v>1354</v>
      </c>
      <c r="AL93">
        <v>0</v>
      </c>
      <c r="AM93" s="5">
        <f t="shared" si="11"/>
        <v>0</v>
      </c>
      <c r="AN93" s="4">
        <f t="shared" si="12"/>
        <v>0</v>
      </c>
      <c r="AO93" s="3"/>
      <c r="AP93">
        <v>0</v>
      </c>
      <c r="AR93" t="s">
        <v>0</v>
      </c>
      <c r="AT93" s="2" t="s">
        <v>8</v>
      </c>
      <c r="AU93" s="1" t="e">
        <f t="shared" si="13"/>
        <v>#VALUE!</v>
      </c>
      <c r="AV93" s="1" t="e">
        <f t="shared" si="14"/>
        <v>#VALUE!</v>
      </c>
      <c r="AW93" s="1" t="e">
        <f t="shared" si="15"/>
        <v>#VALUE!</v>
      </c>
    </row>
    <row r="94" spans="1:49" x14ac:dyDescent="0.2">
      <c r="A94">
        <v>92</v>
      </c>
      <c r="B94" t="s">
        <v>1353</v>
      </c>
      <c r="F94" t="s">
        <v>1352</v>
      </c>
      <c r="G94" t="s">
        <v>4</v>
      </c>
      <c r="H94" t="s">
        <v>3</v>
      </c>
      <c r="I94" t="s">
        <v>589</v>
      </c>
      <c r="J94">
        <v>100633305</v>
      </c>
      <c r="K94" t="s">
        <v>1351</v>
      </c>
      <c r="N94">
        <v>4</v>
      </c>
      <c r="O94" t="s">
        <v>1350</v>
      </c>
      <c r="P94" t="s">
        <v>1349</v>
      </c>
      <c r="Q94" t="s">
        <v>1348</v>
      </c>
      <c r="R94" s="7">
        <v>30987</v>
      </c>
      <c r="S94" s="8">
        <f t="shared" si="8"/>
        <v>1984</v>
      </c>
      <c r="T94" s="8">
        <v>1984</v>
      </c>
      <c r="U94" s="8">
        <f t="shared" si="9"/>
        <v>38</v>
      </c>
      <c r="V94" s="7">
        <v>30987</v>
      </c>
      <c r="W94" t="s">
        <v>68</v>
      </c>
      <c r="X94" s="2" t="s">
        <v>8</v>
      </c>
      <c r="Y94" s="6" t="e">
        <f t="shared" si="10"/>
        <v>#VALUE!</v>
      </c>
      <c r="AA94">
        <v>2511096</v>
      </c>
      <c r="AB94">
        <v>26110</v>
      </c>
      <c r="AD94" t="s">
        <v>1</v>
      </c>
      <c r="AE94">
        <v>65</v>
      </c>
      <c r="AF94" t="s">
        <v>1338</v>
      </c>
      <c r="AH94" t="s">
        <v>1347</v>
      </c>
      <c r="AI94" t="s">
        <v>1346</v>
      </c>
      <c r="AK94" t="s">
        <v>1345</v>
      </c>
      <c r="AL94">
        <v>0</v>
      </c>
      <c r="AM94" s="5">
        <f t="shared" si="11"/>
        <v>0</v>
      </c>
      <c r="AN94" s="4">
        <f t="shared" si="12"/>
        <v>0</v>
      </c>
      <c r="AO94" s="3"/>
      <c r="AP94">
        <v>0</v>
      </c>
      <c r="AR94" t="s">
        <v>0</v>
      </c>
      <c r="AT94" s="2" t="s">
        <v>8</v>
      </c>
      <c r="AU94" s="1" t="e">
        <f t="shared" si="13"/>
        <v>#VALUE!</v>
      </c>
      <c r="AV94" s="1" t="e">
        <f t="shared" si="14"/>
        <v>#VALUE!</v>
      </c>
      <c r="AW94" s="1" t="e">
        <f t="shared" si="15"/>
        <v>#VALUE!</v>
      </c>
    </row>
    <row r="95" spans="1:49" x14ac:dyDescent="0.2">
      <c r="A95">
        <v>93</v>
      </c>
      <c r="B95" t="s">
        <v>1344</v>
      </c>
      <c r="F95" t="s">
        <v>1343</v>
      </c>
      <c r="G95" t="s">
        <v>4</v>
      </c>
      <c r="H95" t="s">
        <v>3</v>
      </c>
      <c r="I95" t="s">
        <v>1342</v>
      </c>
      <c r="J95">
        <v>60023345</v>
      </c>
      <c r="K95" t="s">
        <v>203</v>
      </c>
      <c r="L95" t="s">
        <v>202</v>
      </c>
      <c r="M95" t="s">
        <v>16</v>
      </c>
      <c r="N95">
        <v>3</v>
      </c>
      <c r="O95" t="s">
        <v>1341</v>
      </c>
      <c r="P95" t="s">
        <v>1340</v>
      </c>
      <c r="Q95" t="s">
        <v>1339</v>
      </c>
      <c r="R95" s="7">
        <v>30987</v>
      </c>
      <c r="S95" s="8">
        <f t="shared" si="8"/>
        <v>1984</v>
      </c>
      <c r="T95" s="8">
        <v>1984</v>
      </c>
      <c r="U95" s="8">
        <f t="shared" si="9"/>
        <v>38</v>
      </c>
      <c r="V95" s="7">
        <v>30987</v>
      </c>
      <c r="W95" t="s">
        <v>68</v>
      </c>
      <c r="X95" s="2" t="s">
        <v>8</v>
      </c>
      <c r="Y95" s="6" t="e">
        <f t="shared" si="10"/>
        <v>#VALUE!</v>
      </c>
      <c r="AA95">
        <v>2511096</v>
      </c>
      <c r="AB95">
        <v>26110</v>
      </c>
      <c r="AD95" t="s">
        <v>1</v>
      </c>
      <c r="AE95">
        <v>65</v>
      </c>
      <c r="AF95" t="s">
        <v>1338</v>
      </c>
      <c r="AH95" t="s">
        <v>1337</v>
      </c>
      <c r="AI95" t="s">
        <v>1336</v>
      </c>
      <c r="AK95" t="s">
        <v>1335</v>
      </c>
      <c r="AL95">
        <v>2</v>
      </c>
      <c r="AM95" s="5">
        <f t="shared" si="11"/>
        <v>5.2631578947368418E-2</v>
      </c>
      <c r="AN95" s="4">
        <f t="shared" si="12"/>
        <v>7.9714621654476962E-5</v>
      </c>
      <c r="AO95" s="3"/>
      <c r="AP95">
        <v>0</v>
      </c>
      <c r="AR95" t="s">
        <v>0</v>
      </c>
      <c r="AT95" s="2" t="s">
        <v>8</v>
      </c>
      <c r="AU95" s="1" t="e">
        <f t="shared" si="13"/>
        <v>#VALUE!</v>
      </c>
      <c r="AV95" s="1" t="e">
        <f t="shared" si="14"/>
        <v>#VALUE!</v>
      </c>
      <c r="AW95" s="1" t="e">
        <f t="shared" si="15"/>
        <v>#VALUE!</v>
      </c>
    </row>
    <row r="96" spans="1:49" x14ac:dyDescent="0.2">
      <c r="A96">
        <v>94</v>
      </c>
      <c r="B96" t="s">
        <v>1334</v>
      </c>
      <c r="F96" t="s">
        <v>1333</v>
      </c>
      <c r="G96" t="s">
        <v>4</v>
      </c>
      <c r="H96" t="s">
        <v>3</v>
      </c>
      <c r="I96" t="s">
        <v>1332</v>
      </c>
      <c r="J96">
        <v>60013620</v>
      </c>
      <c r="K96" t="s">
        <v>1331</v>
      </c>
      <c r="L96" t="s">
        <v>1330</v>
      </c>
      <c r="M96" t="s">
        <v>11</v>
      </c>
      <c r="N96">
        <v>1</v>
      </c>
      <c r="O96" t="s">
        <v>1329</v>
      </c>
      <c r="P96">
        <v>57196697408</v>
      </c>
      <c r="Q96">
        <v>60013620</v>
      </c>
      <c r="R96" s="7">
        <v>30987</v>
      </c>
      <c r="S96" s="8">
        <f t="shared" si="8"/>
        <v>1984</v>
      </c>
      <c r="T96" s="8">
        <v>1984</v>
      </c>
      <c r="U96" s="8">
        <f t="shared" si="9"/>
        <v>38</v>
      </c>
      <c r="V96" s="7">
        <v>30682</v>
      </c>
      <c r="W96" t="s">
        <v>1328</v>
      </c>
      <c r="X96" s="2" t="s">
        <v>8</v>
      </c>
      <c r="Y96" s="6" t="e">
        <f t="shared" si="10"/>
        <v>#VALUE!</v>
      </c>
      <c r="AA96">
        <v>119407</v>
      </c>
      <c r="AB96">
        <v>16022</v>
      </c>
      <c r="AD96" t="s">
        <v>1</v>
      </c>
      <c r="AE96">
        <v>40</v>
      </c>
      <c r="AF96">
        <v>22</v>
      </c>
      <c r="AH96" t="s">
        <v>1327</v>
      </c>
      <c r="AI96" t="s">
        <v>1326</v>
      </c>
      <c r="AK96" t="s">
        <v>1325</v>
      </c>
      <c r="AL96">
        <v>0</v>
      </c>
      <c r="AM96" s="5">
        <f t="shared" si="11"/>
        <v>0</v>
      </c>
      <c r="AN96" s="4">
        <f t="shared" si="12"/>
        <v>0</v>
      </c>
      <c r="AO96" s="3"/>
      <c r="AP96">
        <v>0</v>
      </c>
      <c r="AR96" t="s">
        <v>0</v>
      </c>
      <c r="AT96" s="2" t="s">
        <v>8</v>
      </c>
      <c r="AU96" s="1" t="e">
        <f t="shared" si="13"/>
        <v>#VALUE!</v>
      </c>
      <c r="AV96" s="1" t="e">
        <f t="shared" si="14"/>
        <v>#VALUE!</v>
      </c>
      <c r="AW96" s="1" t="e">
        <f t="shared" si="15"/>
        <v>#VALUE!</v>
      </c>
    </row>
    <row r="97" spans="1:49" x14ac:dyDescent="0.2">
      <c r="A97">
        <v>95</v>
      </c>
      <c r="B97" t="s">
        <v>1324</v>
      </c>
      <c r="F97" t="s">
        <v>1323</v>
      </c>
      <c r="G97" t="s">
        <v>4</v>
      </c>
      <c r="H97" t="s">
        <v>3</v>
      </c>
      <c r="I97" t="s">
        <v>1322</v>
      </c>
      <c r="N97">
        <v>4</v>
      </c>
      <c r="O97" t="s">
        <v>1321</v>
      </c>
      <c r="P97" t="s">
        <v>1320</v>
      </c>
      <c r="Q97" t="s">
        <v>42</v>
      </c>
      <c r="R97" s="7">
        <v>30987</v>
      </c>
      <c r="S97" s="8">
        <f t="shared" si="8"/>
        <v>1984</v>
      </c>
      <c r="T97" s="8">
        <v>1984</v>
      </c>
      <c r="U97" s="8">
        <f t="shared" si="9"/>
        <v>38</v>
      </c>
      <c r="V97" s="7">
        <v>30987</v>
      </c>
      <c r="W97" t="s">
        <v>63</v>
      </c>
      <c r="X97" s="2" t="s">
        <v>8</v>
      </c>
      <c r="Y97" s="6" t="e">
        <f t="shared" si="10"/>
        <v>#VALUE!</v>
      </c>
      <c r="AA97">
        <v>337889</v>
      </c>
      <c r="AB97">
        <v>40920</v>
      </c>
      <c r="AD97" t="s">
        <v>1</v>
      </c>
      <c r="AE97">
        <v>29</v>
      </c>
      <c r="AF97">
        <v>11</v>
      </c>
      <c r="AH97" t="s">
        <v>1319</v>
      </c>
      <c r="AI97" t="s">
        <v>1318</v>
      </c>
      <c r="AK97" t="s">
        <v>1317</v>
      </c>
      <c r="AL97">
        <v>0</v>
      </c>
      <c r="AM97" s="5">
        <f t="shared" si="11"/>
        <v>0</v>
      </c>
      <c r="AN97" s="4">
        <f t="shared" si="12"/>
        <v>0</v>
      </c>
      <c r="AO97" s="3"/>
      <c r="AP97">
        <v>0</v>
      </c>
      <c r="AR97" t="s">
        <v>0</v>
      </c>
      <c r="AT97" s="2" t="s">
        <v>8</v>
      </c>
      <c r="AU97" s="1" t="e">
        <f t="shared" si="13"/>
        <v>#VALUE!</v>
      </c>
      <c r="AV97" s="1" t="e">
        <f t="shared" si="14"/>
        <v>#VALUE!</v>
      </c>
      <c r="AW97" s="1" t="e">
        <f t="shared" si="15"/>
        <v>#VALUE!</v>
      </c>
    </row>
    <row r="98" spans="1:49" x14ac:dyDescent="0.2">
      <c r="A98">
        <v>96</v>
      </c>
      <c r="B98" t="s">
        <v>1316</v>
      </c>
      <c r="F98" t="s">
        <v>1315</v>
      </c>
      <c r="G98" t="s">
        <v>4</v>
      </c>
      <c r="H98" t="s">
        <v>3</v>
      </c>
      <c r="I98" t="s">
        <v>1314</v>
      </c>
      <c r="N98">
        <v>1</v>
      </c>
      <c r="O98" t="s">
        <v>1313</v>
      </c>
      <c r="P98">
        <v>14023901900</v>
      </c>
      <c r="R98" s="7">
        <v>30987</v>
      </c>
      <c r="S98" s="8">
        <f t="shared" si="8"/>
        <v>1984</v>
      </c>
      <c r="T98" s="8">
        <v>1984</v>
      </c>
      <c r="U98" s="8">
        <f t="shared" si="9"/>
        <v>38</v>
      </c>
      <c r="V98" s="7">
        <v>30987</v>
      </c>
      <c r="W98" t="s">
        <v>31</v>
      </c>
      <c r="X98" s="2">
        <v>0.14099999999999999</v>
      </c>
      <c r="Y98" s="6">
        <f t="shared" si="10"/>
        <v>3.7639144710498915E-3</v>
      </c>
      <c r="AA98">
        <v>402508</v>
      </c>
      <c r="AB98">
        <v>20868</v>
      </c>
      <c r="AD98" t="s">
        <v>1</v>
      </c>
      <c r="AE98" t="s">
        <v>30</v>
      </c>
      <c r="AF98">
        <v>11</v>
      </c>
      <c r="AH98" t="s">
        <v>601</v>
      </c>
      <c r="AI98" t="s">
        <v>1312</v>
      </c>
      <c r="AK98" t="s">
        <v>1311</v>
      </c>
      <c r="AL98">
        <v>0</v>
      </c>
      <c r="AM98" s="5">
        <f t="shared" si="11"/>
        <v>0</v>
      </c>
      <c r="AN98" s="4">
        <f t="shared" si="12"/>
        <v>0</v>
      </c>
      <c r="AO98" s="3"/>
      <c r="AP98">
        <v>0</v>
      </c>
      <c r="AR98" t="s">
        <v>0</v>
      </c>
      <c r="AT98" s="2" t="s">
        <v>8</v>
      </c>
      <c r="AU98" s="1">
        <f t="shared" si="13"/>
        <v>0.26347401297349238</v>
      </c>
      <c r="AV98" s="1">
        <f t="shared" si="14"/>
        <v>0.18819572355249459</v>
      </c>
      <c r="AW98" s="1">
        <f t="shared" si="15"/>
        <v>0.11291743413149673</v>
      </c>
    </row>
    <row r="99" spans="1:49" x14ac:dyDescent="0.2">
      <c r="A99">
        <v>97</v>
      </c>
      <c r="B99" t="s">
        <v>1310</v>
      </c>
      <c r="F99" t="s">
        <v>1309</v>
      </c>
      <c r="G99" t="s">
        <v>4</v>
      </c>
      <c r="H99" t="s">
        <v>3</v>
      </c>
      <c r="I99" t="s">
        <v>1308</v>
      </c>
      <c r="N99">
        <v>3</v>
      </c>
      <c r="O99" t="s">
        <v>1307</v>
      </c>
      <c r="P99" t="s">
        <v>1306</v>
      </c>
      <c r="Q99" t="s">
        <v>2</v>
      </c>
      <c r="R99" s="7">
        <v>30987</v>
      </c>
      <c r="S99" s="8">
        <f t="shared" si="8"/>
        <v>1984</v>
      </c>
      <c r="T99" s="8">
        <v>1984</v>
      </c>
      <c r="U99" s="8">
        <f t="shared" si="9"/>
        <v>38</v>
      </c>
      <c r="V99" s="7">
        <v>30987</v>
      </c>
      <c r="W99" t="s">
        <v>31</v>
      </c>
      <c r="X99" s="2">
        <v>0.14099999999999999</v>
      </c>
      <c r="Y99" s="6">
        <f t="shared" si="10"/>
        <v>3.7639144710498915E-3</v>
      </c>
      <c r="AA99">
        <v>402508</v>
      </c>
      <c r="AB99">
        <v>20868</v>
      </c>
      <c r="AD99" t="s">
        <v>1</v>
      </c>
      <c r="AE99" t="s">
        <v>30</v>
      </c>
      <c r="AF99">
        <v>11</v>
      </c>
      <c r="AH99" t="s">
        <v>1305</v>
      </c>
      <c r="AI99" t="s">
        <v>1304</v>
      </c>
      <c r="AK99" t="s">
        <v>1303</v>
      </c>
      <c r="AL99">
        <v>0</v>
      </c>
      <c r="AM99" s="5">
        <f t="shared" si="11"/>
        <v>0</v>
      </c>
      <c r="AN99" s="4">
        <f t="shared" si="12"/>
        <v>0</v>
      </c>
      <c r="AO99" s="3"/>
      <c r="AP99">
        <v>0</v>
      </c>
      <c r="AR99" t="s">
        <v>0</v>
      </c>
      <c r="AT99" s="2" t="s">
        <v>8</v>
      </c>
      <c r="AU99" s="1">
        <f t="shared" si="13"/>
        <v>0.26347401297349238</v>
      </c>
      <c r="AV99" s="1">
        <f t="shared" si="14"/>
        <v>0.18819572355249459</v>
      </c>
      <c r="AW99" s="1">
        <f t="shared" si="15"/>
        <v>0.11291743413149673</v>
      </c>
    </row>
    <row r="100" spans="1:49" x14ac:dyDescent="0.2">
      <c r="A100">
        <v>98</v>
      </c>
      <c r="B100" t="s">
        <v>1302</v>
      </c>
      <c r="F100" t="s">
        <v>1301</v>
      </c>
      <c r="G100" t="s">
        <v>4</v>
      </c>
      <c r="H100" t="s">
        <v>3</v>
      </c>
      <c r="I100" t="s">
        <v>1300</v>
      </c>
      <c r="N100">
        <v>2</v>
      </c>
      <c r="O100" t="s">
        <v>1299</v>
      </c>
      <c r="P100" t="s">
        <v>1298</v>
      </c>
      <c r="Q100" t="s">
        <v>29</v>
      </c>
      <c r="R100" s="7">
        <v>30987</v>
      </c>
      <c r="S100" s="8">
        <f t="shared" si="8"/>
        <v>1984</v>
      </c>
      <c r="T100" s="8">
        <v>1984</v>
      </c>
      <c r="U100" s="8">
        <f t="shared" si="9"/>
        <v>38</v>
      </c>
      <c r="V100" s="7">
        <v>30987</v>
      </c>
      <c r="W100" t="s">
        <v>31</v>
      </c>
      <c r="X100" s="2">
        <v>0.14099999999999999</v>
      </c>
      <c r="Y100" s="6">
        <f t="shared" si="10"/>
        <v>3.7639144710498915E-3</v>
      </c>
      <c r="AA100">
        <v>402508</v>
      </c>
      <c r="AB100">
        <v>20868</v>
      </c>
      <c r="AD100" t="s">
        <v>1</v>
      </c>
      <c r="AE100" t="s">
        <v>30</v>
      </c>
      <c r="AF100">
        <v>11</v>
      </c>
      <c r="AH100" t="s">
        <v>1297</v>
      </c>
      <c r="AI100" t="s">
        <v>1296</v>
      </c>
      <c r="AK100" t="s">
        <v>1295</v>
      </c>
      <c r="AL100">
        <v>0</v>
      </c>
      <c r="AM100" s="5">
        <f t="shared" si="11"/>
        <v>0</v>
      </c>
      <c r="AN100" s="4">
        <f t="shared" si="12"/>
        <v>0</v>
      </c>
      <c r="AO100" s="3"/>
      <c r="AP100">
        <v>0</v>
      </c>
      <c r="AR100" t="s">
        <v>0</v>
      </c>
      <c r="AT100" s="2" t="s">
        <v>8</v>
      </c>
      <c r="AU100" s="1">
        <f t="shared" si="13"/>
        <v>0.26347401297349238</v>
      </c>
      <c r="AV100" s="1">
        <f t="shared" si="14"/>
        <v>0.18819572355249459</v>
      </c>
      <c r="AW100" s="1">
        <f t="shared" si="15"/>
        <v>0.11291743413149673</v>
      </c>
    </row>
    <row r="101" spans="1:49" x14ac:dyDescent="0.2">
      <c r="A101">
        <v>99</v>
      </c>
      <c r="B101" t="s">
        <v>1294</v>
      </c>
      <c r="F101" t="s">
        <v>1293</v>
      </c>
      <c r="G101" t="s">
        <v>4</v>
      </c>
      <c r="H101" t="s">
        <v>3</v>
      </c>
      <c r="I101" t="s">
        <v>1292</v>
      </c>
      <c r="N101">
        <v>1</v>
      </c>
      <c r="O101" t="s">
        <v>1291</v>
      </c>
      <c r="P101">
        <v>6602887663</v>
      </c>
      <c r="R101" s="7">
        <v>30987</v>
      </c>
      <c r="S101" s="8">
        <f t="shared" si="8"/>
        <v>1984</v>
      </c>
      <c r="T101" s="8">
        <v>1984</v>
      </c>
      <c r="U101" s="8">
        <f t="shared" si="9"/>
        <v>38</v>
      </c>
      <c r="V101" s="7">
        <v>30987</v>
      </c>
      <c r="W101" t="s">
        <v>31</v>
      </c>
      <c r="X101" s="2">
        <v>0.14099999999999999</v>
      </c>
      <c r="Y101" s="6">
        <f t="shared" si="10"/>
        <v>3.7639144710498915E-3</v>
      </c>
      <c r="AA101">
        <v>402508</v>
      </c>
      <c r="AB101">
        <v>20868</v>
      </c>
      <c r="AD101" t="s">
        <v>1</v>
      </c>
      <c r="AE101" t="s">
        <v>30</v>
      </c>
      <c r="AF101">
        <v>11</v>
      </c>
      <c r="AH101" t="s">
        <v>1290</v>
      </c>
      <c r="AI101" t="s">
        <v>1289</v>
      </c>
      <c r="AK101" t="s">
        <v>1288</v>
      </c>
      <c r="AL101">
        <v>0</v>
      </c>
      <c r="AM101" s="5">
        <f t="shared" si="11"/>
        <v>0</v>
      </c>
      <c r="AN101" s="4">
        <f t="shared" si="12"/>
        <v>0</v>
      </c>
      <c r="AO101" s="3"/>
      <c r="AP101">
        <v>0</v>
      </c>
      <c r="AR101" t="s">
        <v>0</v>
      </c>
      <c r="AT101" s="2" t="s">
        <v>8</v>
      </c>
      <c r="AU101" s="1">
        <f t="shared" si="13"/>
        <v>0.26347401297349238</v>
      </c>
      <c r="AV101" s="1">
        <f t="shared" si="14"/>
        <v>0.18819572355249459</v>
      </c>
      <c r="AW101" s="1">
        <f t="shared" si="15"/>
        <v>0.11291743413149673</v>
      </c>
    </row>
    <row r="102" spans="1:49" x14ac:dyDescent="0.2">
      <c r="A102">
        <v>100</v>
      </c>
      <c r="B102" t="s">
        <v>1287</v>
      </c>
      <c r="C102" t="s">
        <v>1286</v>
      </c>
      <c r="F102" t="s">
        <v>1285</v>
      </c>
      <c r="G102" t="s">
        <v>4</v>
      </c>
      <c r="H102" t="s">
        <v>3</v>
      </c>
      <c r="I102" t="s">
        <v>1284</v>
      </c>
      <c r="J102">
        <v>60022132</v>
      </c>
      <c r="K102" t="s">
        <v>1283</v>
      </c>
      <c r="L102" t="s">
        <v>1282</v>
      </c>
      <c r="M102" t="s">
        <v>18</v>
      </c>
      <c r="N102">
        <v>3</v>
      </c>
      <c r="O102" t="s">
        <v>1281</v>
      </c>
      <c r="P102" t="s">
        <v>1280</v>
      </c>
      <c r="Q102" t="s">
        <v>1279</v>
      </c>
      <c r="R102" s="7">
        <v>30987</v>
      </c>
      <c r="S102" s="8">
        <f t="shared" si="8"/>
        <v>1984</v>
      </c>
      <c r="T102" s="8">
        <v>1984</v>
      </c>
      <c r="U102" s="8">
        <f t="shared" si="9"/>
        <v>38</v>
      </c>
      <c r="V102" s="7">
        <v>30987</v>
      </c>
      <c r="W102" t="s">
        <v>1278</v>
      </c>
      <c r="X102" s="2" t="s">
        <v>8</v>
      </c>
      <c r="Y102" s="6" t="e">
        <f t="shared" si="10"/>
        <v>#VALUE!</v>
      </c>
      <c r="AA102">
        <v>3400794</v>
      </c>
      <c r="AB102">
        <v>67718</v>
      </c>
      <c r="AC102" t="s">
        <v>1277</v>
      </c>
      <c r="AD102" t="s">
        <v>1</v>
      </c>
      <c r="AE102">
        <v>193</v>
      </c>
      <c r="AF102">
        <v>6</v>
      </c>
      <c r="AH102" t="s">
        <v>1276</v>
      </c>
      <c r="AI102" t="s">
        <v>1275</v>
      </c>
      <c r="AJ102" t="s">
        <v>1274</v>
      </c>
      <c r="AK102" t="s">
        <v>1273</v>
      </c>
      <c r="AL102">
        <v>15</v>
      </c>
      <c r="AM102" s="5">
        <f t="shared" si="11"/>
        <v>0.39473684210526316</v>
      </c>
      <c r="AN102" s="4">
        <f t="shared" si="12"/>
        <v>5.9785966240857727E-4</v>
      </c>
      <c r="AO102" s="3"/>
      <c r="AP102">
        <v>0</v>
      </c>
      <c r="AR102" t="s">
        <v>0</v>
      </c>
      <c r="AT102" s="2" t="s">
        <v>8</v>
      </c>
      <c r="AU102" s="1" t="e">
        <f t="shared" si="13"/>
        <v>#VALUE!</v>
      </c>
      <c r="AV102" s="1" t="e">
        <f t="shared" si="14"/>
        <v>#VALUE!</v>
      </c>
      <c r="AW102" s="1" t="e">
        <f t="shared" si="15"/>
        <v>#VALUE!</v>
      </c>
    </row>
    <row r="103" spans="1:49" x14ac:dyDescent="0.2">
      <c r="A103">
        <v>101</v>
      </c>
      <c r="B103" t="s">
        <v>1272</v>
      </c>
      <c r="C103" t="s">
        <v>1271</v>
      </c>
      <c r="F103" t="s">
        <v>1270</v>
      </c>
      <c r="G103" t="s">
        <v>4</v>
      </c>
      <c r="H103" t="s">
        <v>3</v>
      </c>
      <c r="I103" t="s">
        <v>1269</v>
      </c>
      <c r="J103">
        <v>60011604</v>
      </c>
      <c r="K103" t="s">
        <v>229</v>
      </c>
      <c r="L103" t="s">
        <v>228</v>
      </c>
      <c r="M103" t="s">
        <v>17</v>
      </c>
      <c r="N103">
        <v>1</v>
      </c>
      <c r="O103" t="s">
        <v>1268</v>
      </c>
      <c r="P103">
        <v>7003707070</v>
      </c>
      <c r="Q103">
        <v>60011604</v>
      </c>
      <c r="R103" s="7">
        <v>30987</v>
      </c>
      <c r="S103" s="8">
        <f t="shared" si="8"/>
        <v>1984</v>
      </c>
      <c r="T103" s="8">
        <v>1984</v>
      </c>
      <c r="U103" s="8">
        <f t="shared" si="9"/>
        <v>38</v>
      </c>
      <c r="V103" s="7">
        <v>30987</v>
      </c>
      <c r="W103" t="s">
        <v>180</v>
      </c>
      <c r="X103" s="2">
        <v>0.8</v>
      </c>
      <c r="Y103" s="6">
        <f t="shared" si="10"/>
        <v>2.1355543098155415E-2</v>
      </c>
      <c r="AA103">
        <v>3407594</v>
      </c>
      <c r="AB103">
        <v>23456</v>
      </c>
      <c r="AC103">
        <v>14321351</v>
      </c>
      <c r="AD103" t="s">
        <v>1</v>
      </c>
      <c r="AE103">
        <v>154</v>
      </c>
      <c r="AF103">
        <v>6</v>
      </c>
      <c r="AH103" t="s">
        <v>1267</v>
      </c>
      <c r="AI103" t="s">
        <v>1266</v>
      </c>
      <c r="AK103" t="s">
        <v>1265</v>
      </c>
      <c r="AL103">
        <v>101</v>
      </c>
      <c r="AM103" s="5">
        <f t="shared" si="11"/>
        <v>2.6578947368421053</v>
      </c>
      <c r="AN103" s="4">
        <f t="shared" si="12"/>
        <v>4.0255883935510868E-3</v>
      </c>
      <c r="AO103" s="3"/>
      <c r="AP103">
        <v>0</v>
      </c>
      <c r="AR103" t="s">
        <v>0</v>
      </c>
      <c r="AT103" s="2" t="s">
        <v>8</v>
      </c>
      <c r="AU103" s="1">
        <f t="shared" si="13"/>
        <v>1.6156556686774115</v>
      </c>
      <c r="AV103" s="1">
        <f t="shared" si="14"/>
        <v>1.2690565745853251</v>
      </c>
      <c r="AW103" s="1">
        <f t="shared" si="15"/>
        <v>0.92245748049323839</v>
      </c>
    </row>
    <row r="104" spans="1:49" x14ac:dyDescent="0.2">
      <c r="A104">
        <v>102</v>
      </c>
      <c r="B104" t="s">
        <v>1264</v>
      </c>
      <c r="C104" t="s">
        <v>1263</v>
      </c>
      <c r="D104">
        <v>14579384811965</v>
      </c>
      <c r="F104" t="s">
        <v>1262</v>
      </c>
      <c r="G104" t="s">
        <v>4</v>
      </c>
      <c r="H104" t="s">
        <v>3</v>
      </c>
      <c r="I104" t="s">
        <v>1261</v>
      </c>
      <c r="J104">
        <v>60019615</v>
      </c>
      <c r="K104" t="s">
        <v>1260</v>
      </c>
      <c r="L104" t="s">
        <v>1259</v>
      </c>
      <c r="M104" t="s">
        <v>5</v>
      </c>
      <c r="N104">
        <v>2</v>
      </c>
      <c r="O104" t="s">
        <v>1258</v>
      </c>
      <c r="P104" t="s">
        <v>1257</v>
      </c>
      <c r="Q104" t="s">
        <v>1256</v>
      </c>
      <c r="R104" s="7">
        <v>30984</v>
      </c>
      <c r="S104" s="8">
        <f t="shared" si="8"/>
        <v>1984</v>
      </c>
      <c r="T104" s="8">
        <v>1984</v>
      </c>
      <c r="U104" s="8">
        <f t="shared" si="9"/>
        <v>38</v>
      </c>
      <c r="V104" s="7">
        <v>30984</v>
      </c>
      <c r="W104" t="s">
        <v>208</v>
      </c>
      <c r="X104" s="2">
        <v>1.593</v>
      </c>
      <c r="Y104" s="6">
        <f t="shared" si="10"/>
        <v>4.2524225194201973E-2</v>
      </c>
      <c r="AA104">
        <v>145793</v>
      </c>
      <c r="AB104">
        <v>17481</v>
      </c>
      <c r="AD104" t="s">
        <v>1</v>
      </c>
      <c r="AE104">
        <v>176</v>
      </c>
      <c r="AF104">
        <v>2</v>
      </c>
      <c r="AH104" t="s">
        <v>1255</v>
      </c>
      <c r="AI104" t="s">
        <v>1254</v>
      </c>
      <c r="AJ104" t="s">
        <v>1253</v>
      </c>
      <c r="AK104" t="s">
        <v>1252</v>
      </c>
      <c r="AL104">
        <v>26</v>
      </c>
      <c r="AM104" s="5">
        <f t="shared" si="11"/>
        <v>0.68421052631578949</v>
      </c>
      <c r="AN104" s="4">
        <f t="shared" si="12"/>
        <v>1.0362900815082006E-3</v>
      </c>
      <c r="AO104" s="3"/>
      <c r="AP104">
        <v>1</v>
      </c>
      <c r="AR104" t="s">
        <v>1251</v>
      </c>
      <c r="AT104" s="2">
        <v>4.1239999999999997</v>
      </c>
      <c r="AU104" s="1">
        <f t="shared" si="13"/>
        <v>3.007784466039384</v>
      </c>
      <c r="AV104" s="1">
        <f t="shared" si="14"/>
        <v>2.1780257637855085</v>
      </c>
      <c r="AW104" s="1">
        <f t="shared" si="15"/>
        <v>1.3482670615316332</v>
      </c>
    </row>
    <row r="105" spans="1:49" x14ac:dyDescent="0.2">
      <c r="A105">
        <v>103</v>
      </c>
      <c r="B105" t="s">
        <v>1250</v>
      </c>
      <c r="C105" t="s">
        <v>1249</v>
      </c>
      <c r="D105">
        <v>5272884900793</v>
      </c>
      <c r="F105" t="s">
        <v>1248</v>
      </c>
      <c r="G105" t="s">
        <v>4</v>
      </c>
      <c r="H105" t="s">
        <v>3</v>
      </c>
      <c r="I105" t="s">
        <v>1247</v>
      </c>
      <c r="J105" t="s">
        <v>1246</v>
      </c>
      <c r="K105" t="s">
        <v>1245</v>
      </c>
      <c r="L105" t="s">
        <v>204</v>
      </c>
      <c r="M105" t="s">
        <v>19</v>
      </c>
      <c r="N105">
        <v>5</v>
      </c>
      <c r="O105" t="s">
        <v>1244</v>
      </c>
      <c r="P105" t="s">
        <v>1243</v>
      </c>
      <c r="Q105" t="s">
        <v>1242</v>
      </c>
      <c r="R105" s="7">
        <v>30981</v>
      </c>
      <c r="S105" s="8">
        <f t="shared" si="8"/>
        <v>1984</v>
      </c>
      <c r="T105" s="8">
        <v>1984</v>
      </c>
      <c r="U105" s="8">
        <f t="shared" si="9"/>
        <v>38</v>
      </c>
      <c r="V105" s="7">
        <v>30981</v>
      </c>
      <c r="W105" t="s">
        <v>210</v>
      </c>
      <c r="X105" s="2">
        <v>1.59</v>
      </c>
      <c r="Y105" s="6">
        <f t="shared" si="10"/>
        <v>4.2444141907583888E-2</v>
      </c>
      <c r="AA105">
        <v>52728</v>
      </c>
      <c r="AB105">
        <v>16791</v>
      </c>
      <c r="AD105" t="s">
        <v>1</v>
      </c>
      <c r="AE105">
        <v>767</v>
      </c>
      <c r="AF105">
        <v>1</v>
      </c>
      <c r="AH105" t="s">
        <v>1241</v>
      </c>
      <c r="AI105" t="s">
        <v>1240</v>
      </c>
      <c r="AJ105" t="s">
        <v>1239</v>
      </c>
      <c r="AK105" t="s">
        <v>1238</v>
      </c>
      <c r="AL105">
        <v>47</v>
      </c>
      <c r="AM105" s="5">
        <f t="shared" si="11"/>
        <v>1.236842105263158</v>
      </c>
      <c r="AN105" s="4">
        <f t="shared" si="12"/>
        <v>1.8732936088802089E-3</v>
      </c>
      <c r="AO105" s="3"/>
      <c r="AP105">
        <v>0</v>
      </c>
      <c r="AR105" t="s">
        <v>0</v>
      </c>
      <c r="AT105" s="2" t="s">
        <v>8</v>
      </c>
      <c r="AU105" s="1">
        <f t="shared" si="13"/>
        <v>3.0272887417972782</v>
      </c>
      <c r="AV105" s="1">
        <f t="shared" si="14"/>
        <v>2.2158717758232047</v>
      </c>
      <c r="AW105" s="1">
        <f t="shared" si="15"/>
        <v>1.4044548098491312</v>
      </c>
    </row>
    <row r="106" spans="1:49" x14ac:dyDescent="0.2">
      <c r="A106">
        <v>104</v>
      </c>
      <c r="B106" t="s">
        <v>1237</v>
      </c>
      <c r="C106" t="s">
        <v>1236</v>
      </c>
      <c r="F106" t="s">
        <v>1235</v>
      </c>
      <c r="G106" t="s">
        <v>4</v>
      </c>
      <c r="H106" t="s">
        <v>3</v>
      </c>
      <c r="I106" t="s">
        <v>1234</v>
      </c>
      <c r="J106">
        <v>60022109</v>
      </c>
      <c r="K106" t="s">
        <v>1233</v>
      </c>
      <c r="L106" t="s">
        <v>25</v>
      </c>
      <c r="M106" t="s">
        <v>18</v>
      </c>
      <c r="N106">
        <v>3</v>
      </c>
      <c r="O106" t="s">
        <v>1232</v>
      </c>
      <c r="P106" t="s">
        <v>1231</v>
      </c>
      <c r="Q106" t="s">
        <v>1230</v>
      </c>
      <c r="R106" s="7">
        <v>30980</v>
      </c>
      <c r="S106" s="8">
        <f t="shared" si="8"/>
        <v>1984</v>
      </c>
      <c r="T106" s="8">
        <v>1984</v>
      </c>
      <c r="U106" s="8">
        <f t="shared" si="9"/>
        <v>38</v>
      </c>
      <c r="V106" s="7">
        <v>30980</v>
      </c>
      <c r="W106" t="s">
        <v>206</v>
      </c>
      <c r="X106" s="2">
        <v>0.375</v>
      </c>
      <c r="Y106" s="6">
        <f t="shared" si="10"/>
        <v>1.0010410827260351E-2</v>
      </c>
      <c r="AA106">
        <v>135194</v>
      </c>
      <c r="AB106">
        <v>24918</v>
      </c>
      <c r="AD106" t="s">
        <v>1</v>
      </c>
      <c r="AE106">
        <v>20</v>
      </c>
      <c r="AF106">
        <v>22</v>
      </c>
      <c r="AH106" t="s">
        <v>1229</v>
      </c>
      <c r="AI106" t="s">
        <v>1228</v>
      </c>
      <c r="AJ106" t="s">
        <v>1227</v>
      </c>
      <c r="AK106" t="s">
        <v>1226</v>
      </c>
      <c r="AL106">
        <v>3</v>
      </c>
      <c r="AM106" s="5">
        <f t="shared" si="11"/>
        <v>7.8947368421052627E-2</v>
      </c>
      <c r="AN106" s="4">
        <f t="shared" si="12"/>
        <v>1.1957193248171546E-4</v>
      </c>
      <c r="AO106" s="3"/>
      <c r="AP106">
        <v>0</v>
      </c>
      <c r="AR106" t="s">
        <v>0</v>
      </c>
      <c r="AT106" s="2">
        <v>1.3140000000000001</v>
      </c>
      <c r="AU106" s="1">
        <f t="shared" si="13"/>
        <v>0.70431591588267606</v>
      </c>
      <c r="AV106" s="1">
        <f t="shared" si="14"/>
        <v>0.50649913798710333</v>
      </c>
      <c r="AW106" s="1">
        <f t="shared" si="15"/>
        <v>0.30868236009153061</v>
      </c>
    </row>
    <row r="107" spans="1:49" x14ac:dyDescent="0.2">
      <c r="A107">
        <v>105</v>
      </c>
      <c r="B107" t="s">
        <v>1225</v>
      </c>
      <c r="C107" t="s">
        <v>1224</v>
      </c>
      <c r="F107" t="s">
        <v>1223</v>
      </c>
      <c r="G107" t="s">
        <v>4</v>
      </c>
      <c r="H107" t="s">
        <v>3</v>
      </c>
      <c r="I107" t="s">
        <v>1222</v>
      </c>
      <c r="J107">
        <v>60011664</v>
      </c>
      <c r="K107" t="s">
        <v>177</v>
      </c>
      <c r="L107" t="s">
        <v>176</v>
      </c>
      <c r="M107" t="s">
        <v>13</v>
      </c>
      <c r="N107">
        <v>2</v>
      </c>
      <c r="O107" t="s">
        <v>1221</v>
      </c>
      <c r="P107" t="s">
        <v>1220</v>
      </c>
      <c r="Q107" t="s">
        <v>175</v>
      </c>
      <c r="R107" s="7">
        <v>30980</v>
      </c>
      <c r="S107" s="8">
        <f t="shared" si="8"/>
        <v>1984</v>
      </c>
      <c r="T107" s="8">
        <v>1984</v>
      </c>
      <c r="U107" s="8">
        <f t="shared" si="9"/>
        <v>38</v>
      </c>
      <c r="V107" s="7">
        <v>30980</v>
      </c>
      <c r="W107" t="s">
        <v>206</v>
      </c>
      <c r="X107" s="2">
        <v>0.375</v>
      </c>
      <c r="Y107" s="6">
        <f t="shared" si="10"/>
        <v>1.0010410827260351E-2</v>
      </c>
      <c r="AA107">
        <v>135194</v>
      </c>
      <c r="AB107">
        <v>24918</v>
      </c>
      <c r="AD107" t="s">
        <v>1</v>
      </c>
      <c r="AE107">
        <v>20</v>
      </c>
      <c r="AF107">
        <v>22</v>
      </c>
      <c r="AH107" t="s">
        <v>1219</v>
      </c>
      <c r="AI107" t="s">
        <v>1218</v>
      </c>
      <c r="AJ107" t="s">
        <v>213</v>
      </c>
      <c r="AK107" t="s">
        <v>1217</v>
      </c>
      <c r="AL107">
        <v>1</v>
      </c>
      <c r="AM107" s="5">
        <f t="shared" si="11"/>
        <v>2.6315789473684209E-2</v>
      </c>
      <c r="AN107" s="4">
        <f t="shared" si="12"/>
        <v>3.9857310827238481E-5</v>
      </c>
      <c r="AO107" s="3"/>
      <c r="AP107">
        <v>0</v>
      </c>
      <c r="AR107" t="s">
        <v>0</v>
      </c>
      <c r="AT107" s="2">
        <v>1.3140000000000001</v>
      </c>
      <c r="AU107" s="1">
        <f t="shared" si="13"/>
        <v>0.70192447723304174</v>
      </c>
      <c r="AV107" s="1">
        <f t="shared" si="14"/>
        <v>0.50251340690437951</v>
      </c>
      <c r="AW107" s="1">
        <f t="shared" si="15"/>
        <v>0.30310233657571722</v>
      </c>
    </row>
    <row r="108" spans="1:49" x14ac:dyDescent="0.2">
      <c r="A108">
        <v>106</v>
      </c>
      <c r="B108" t="s">
        <v>1216</v>
      </c>
      <c r="C108" t="s">
        <v>1215</v>
      </c>
      <c r="F108" t="s">
        <v>1214</v>
      </c>
      <c r="G108" t="s">
        <v>4</v>
      </c>
      <c r="H108" t="s">
        <v>3</v>
      </c>
      <c r="I108" t="s">
        <v>1213</v>
      </c>
      <c r="J108">
        <v>60005322</v>
      </c>
      <c r="K108" t="s">
        <v>40</v>
      </c>
      <c r="L108" t="s">
        <v>39</v>
      </c>
      <c r="M108" t="s">
        <v>17</v>
      </c>
      <c r="N108">
        <v>2</v>
      </c>
      <c r="O108" t="s">
        <v>1212</v>
      </c>
      <c r="P108" t="s">
        <v>1211</v>
      </c>
      <c r="Q108" t="s">
        <v>38</v>
      </c>
      <c r="R108" s="7">
        <v>30980</v>
      </c>
      <c r="S108" s="8">
        <f t="shared" si="8"/>
        <v>1984</v>
      </c>
      <c r="T108" s="8">
        <v>1984</v>
      </c>
      <c r="U108" s="8">
        <f t="shared" si="9"/>
        <v>38</v>
      </c>
      <c r="V108" s="7">
        <v>30980</v>
      </c>
      <c r="W108" t="s">
        <v>206</v>
      </c>
      <c r="X108" s="2">
        <v>0.375</v>
      </c>
      <c r="Y108" s="6">
        <f t="shared" si="10"/>
        <v>1.0010410827260351E-2</v>
      </c>
      <c r="AA108">
        <v>135194</v>
      </c>
      <c r="AB108">
        <v>24918</v>
      </c>
      <c r="AD108" t="s">
        <v>1</v>
      </c>
      <c r="AE108">
        <v>20</v>
      </c>
      <c r="AF108">
        <v>22</v>
      </c>
      <c r="AH108" t="s">
        <v>1210</v>
      </c>
      <c r="AI108" t="s">
        <v>1209</v>
      </c>
      <c r="AJ108" t="s">
        <v>1208</v>
      </c>
      <c r="AK108" t="s">
        <v>1207</v>
      </c>
      <c r="AL108">
        <v>16</v>
      </c>
      <c r="AM108" s="5">
        <f t="shared" si="11"/>
        <v>0.42105263157894735</v>
      </c>
      <c r="AN108" s="4">
        <f t="shared" si="12"/>
        <v>6.377169732358157E-4</v>
      </c>
      <c r="AO108" s="3"/>
      <c r="AP108">
        <v>0</v>
      </c>
      <c r="AR108" t="s">
        <v>0</v>
      </c>
      <c r="AT108" s="2">
        <v>1.3140000000000001</v>
      </c>
      <c r="AU108" s="1">
        <f t="shared" si="13"/>
        <v>0.71986026710529905</v>
      </c>
      <c r="AV108" s="1">
        <f t="shared" si="14"/>
        <v>0.53240639002480827</v>
      </c>
      <c r="AW108" s="1">
        <f t="shared" si="15"/>
        <v>0.34495251294431761</v>
      </c>
    </row>
    <row r="109" spans="1:49" x14ac:dyDescent="0.2">
      <c r="A109">
        <v>107</v>
      </c>
      <c r="B109" t="s">
        <v>1206</v>
      </c>
      <c r="C109" t="s">
        <v>1205</v>
      </c>
      <c r="F109" t="s">
        <v>1204</v>
      </c>
      <c r="G109" t="s">
        <v>4</v>
      </c>
      <c r="H109" t="s">
        <v>3</v>
      </c>
      <c r="I109" t="s">
        <v>1203</v>
      </c>
      <c r="J109" t="s">
        <v>1198</v>
      </c>
      <c r="K109" t="s">
        <v>1202</v>
      </c>
      <c r="L109" t="s">
        <v>1201</v>
      </c>
      <c r="M109" t="s">
        <v>56</v>
      </c>
      <c r="N109">
        <v>2</v>
      </c>
      <c r="O109" t="s">
        <v>1200</v>
      </c>
      <c r="P109" t="s">
        <v>1199</v>
      </c>
      <c r="Q109" t="s">
        <v>1198</v>
      </c>
      <c r="R109" s="7">
        <v>30966</v>
      </c>
      <c r="S109" s="8">
        <f t="shared" si="8"/>
        <v>1984</v>
      </c>
      <c r="T109" s="8">
        <v>1984</v>
      </c>
      <c r="U109" s="8">
        <f t="shared" si="9"/>
        <v>38</v>
      </c>
      <c r="V109" s="7">
        <v>30966</v>
      </c>
      <c r="W109" t="s">
        <v>206</v>
      </c>
      <c r="X109" s="2">
        <v>0.375</v>
      </c>
      <c r="Y109" s="6">
        <f t="shared" si="10"/>
        <v>1.0010410827260351E-2</v>
      </c>
      <c r="AA109">
        <v>135194</v>
      </c>
      <c r="AB109">
        <v>24918</v>
      </c>
      <c r="AD109" t="s">
        <v>1</v>
      </c>
      <c r="AE109">
        <v>20</v>
      </c>
      <c r="AF109">
        <v>21</v>
      </c>
      <c r="AH109" t="s">
        <v>1197</v>
      </c>
      <c r="AI109" t="s">
        <v>1196</v>
      </c>
      <c r="AJ109" t="s">
        <v>219</v>
      </c>
      <c r="AK109" t="s">
        <v>1195</v>
      </c>
      <c r="AL109">
        <v>0</v>
      </c>
      <c r="AM109" s="5">
        <f t="shared" si="11"/>
        <v>0</v>
      </c>
      <c r="AN109" s="4">
        <f t="shared" si="12"/>
        <v>0</v>
      </c>
      <c r="AO109" s="3"/>
      <c r="AP109">
        <v>0</v>
      </c>
      <c r="AR109" t="s">
        <v>0</v>
      </c>
      <c r="AT109" s="2">
        <v>1.3140000000000001</v>
      </c>
      <c r="AU109" s="1">
        <f t="shared" si="13"/>
        <v>0.70072875790822453</v>
      </c>
      <c r="AV109" s="1">
        <f t="shared" si="14"/>
        <v>0.5005205413630176</v>
      </c>
      <c r="AW109" s="1">
        <f t="shared" si="15"/>
        <v>0.30031232481781051</v>
      </c>
    </row>
    <row r="110" spans="1:49" x14ac:dyDescent="0.2">
      <c r="A110">
        <v>108</v>
      </c>
      <c r="B110" t="s">
        <v>1194</v>
      </c>
      <c r="C110" t="s">
        <v>1193</v>
      </c>
      <c r="F110" t="s">
        <v>1192</v>
      </c>
      <c r="G110" t="s">
        <v>4</v>
      </c>
      <c r="H110" t="s">
        <v>3</v>
      </c>
      <c r="I110" t="s">
        <v>1191</v>
      </c>
      <c r="J110">
        <v>60013372</v>
      </c>
      <c r="K110" t="s">
        <v>78</v>
      </c>
      <c r="L110" t="s">
        <v>77</v>
      </c>
      <c r="M110" t="s">
        <v>11</v>
      </c>
      <c r="N110">
        <v>2</v>
      </c>
      <c r="O110" t="s">
        <v>1190</v>
      </c>
      <c r="P110" t="s">
        <v>1189</v>
      </c>
      <c r="Q110" t="s">
        <v>1188</v>
      </c>
      <c r="R110" s="7">
        <v>30966</v>
      </c>
      <c r="S110" s="8">
        <f t="shared" si="8"/>
        <v>1984</v>
      </c>
      <c r="T110" s="8">
        <v>1984</v>
      </c>
      <c r="U110" s="8">
        <f t="shared" si="9"/>
        <v>38</v>
      </c>
      <c r="V110" s="7">
        <v>30966</v>
      </c>
      <c r="W110" t="s">
        <v>206</v>
      </c>
      <c r="X110" s="2">
        <v>0.375</v>
      </c>
      <c r="Y110" s="6">
        <f t="shared" si="10"/>
        <v>1.0010410827260351E-2</v>
      </c>
      <c r="AA110">
        <v>135194</v>
      </c>
      <c r="AB110">
        <v>24918</v>
      </c>
      <c r="AD110" t="s">
        <v>1</v>
      </c>
      <c r="AE110">
        <v>20</v>
      </c>
      <c r="AF110">
        <v>21</v>
      </c>
      <c r="AH110" t="s">
        <v>1187</v>
      </c>
      <c r="AI110" t="s">
        <v>1186</v>
      </c>
      <c r="AJ110" t="s">
        <v>1185</v>
      </c>
      <c r="AK110" t="s">
        <v>1184</v>
      </c>
      <c r="AL110">
        <v>4</v>
      </c>
      <c r="AM110" s="5">
        <f t="shared" si="11"/>
        <v>0.10526315789473684</v>
      </c>
      <c r="AN110" s="4">
        <f t="shared" si="12"/>
        <v>1.5942924330895392E-4</v>
      </c>
      <c r="AO110" s="3"/>
      <c r="AP110">
        <v>0</v>
      </c>
      <c r="AR110" t="s">
        <v>0</v>
      </c>
      <c r="AT110" s="2">
        <v>1.3140000000000001</v>
      </c>
      <c r="AU110" s="1">
        <f t="shared" si="13"/>
        <v>0.70551163520749316</v>
      </c>
      <c r="AV110" s="1">
        <f t="shared" si="14"/>
        <v>0.50849200352846524</v>
      </c>
      <c r="AW110" s="1">
        <f t="shared" si="15"/>
        <v>0.31147237184943727</v>
      </c>
    </row>
    <row r="111" spans="1:49" x14ac:dyDescent="0.2">
      <c r="A111">
        <v>109</v>
      </c>
      <c r="B111" t="s">
        <v>1183</v>
      </c>
      <c r="C111" t="s">
        <v>1182</v>
      </c>
      <c r="F111" t="s">
        <v>1181</v>
      </c>
      <c r="G111" t="s">
        <v>4</v>
      </c>
      <c r="H111" t="s">
        <v>3</v>
      </c>
      <c r="I111" t="s">
        <v>396</v>
      </c>
      <c r="J111">
        <v>60019499</v>
      </c>
      <c r="K111" t="s">
        <v>395</v>
      </c>
      <c r="L111" t="s">
        <v>224</v>
      </c>
      <c r="M111" t="s">
        <v>24</v>
      </c>
      <c r="N111">
        <v>1</v>
      </c>
      <c r="O111" t="s">
        <v>394</v>
      </c>
      <c r="P111">
        <v>6504530016</v>
      </c>
      <c r="Q111">
        <v>60019499</v>
      </c>
      <c r="R111" s="7">
        <v>30956</v>
      </c>
      <c r="S111" s="8">
        <f t="shared" si="8"/>
        <v>1984</v>
      </c>
      <c r="T111" s="8">
        <v>1984</v>
      </c>
      <c r="U111" s="8">
        <f t="shared" si="9"/>
        <v>38</v>
      </c>
      <c r="V111" s="7">
        <v>30956</v>
      </c>
      <c r="W111" t="s">
        <v>193</v>
      </c>
      <c r="X111" s="2">
        <v>0.11700000000000001</v>
      </c>
      <c r="Y111" s="6">
        <f t="shared" si="10"/>
        <v>3.1232481781052297E-3</v>
      </c>
      <c r="AA111">
        <v>2179822</v>
      </c>
      <c r="AB111">
        <v>5300152612</v>
      </c>
      <c r="AC111">
        <v>19930615</v>
      </c>
      <c r="AD111" t="s">
        <v>1</v>
      </c>
      <c r="AE111">
        <v>1</v>
      </c>
      <c r="AF111">
        <v>4</v>
      </c>
      <c r="AH111" t="s">
        <v>1180</v>
      </c>
      <c r="AI111" t="s">
        <v>1179</v>
      </c>
      <c r="AK111" t="s">
        <v>1178</v>
      </c>
      <c r="AL111">
        <v>0</v>
      </c>
      <c r="AM111" s="5">
        <f t="shared" si="11"/>
        <v>0</v>
      </c>
      <c r="AN111" s="4">
        <f t="shared" si="12"/>
        <v>0</v>
      </c>
      <c r="AO111" s="3"/>
      <c r="AP111">
        <v>0</v>
      </c>
      <c r="AR111" t="s">
        <v>0</v>
      </c>
      <c r="AT111" s="2" t="s">
        <v>8</v>
      </c>
      <c r="AU111" s="1">
        <f t="shared" si="13"/>
        <v>0.21862737246736608</v>
      </c>
      <c r="AV111" s="1">
        <f t="shared" si="14"/>
        <v>0.15616240890526148</v>
      </c>
      <c r="AW111" s="1">
        <f t="shared" si="15"/>
        <v>9.3697445343156896E-2</v>
      </c>
    </row>
    <row r="112" spans="1:49" x14ac:dyDescent="0.2">
      <c r="A112">
        <v>110</v>
      </c>
      <c r="B112" t="s">
        <v>1177</v>
      </c>
      <c r="C112" t="s">
        <v>1176</v>
      </c>
      <c r="F112" t="s">
        <v>1175</v>
      </c>
      <c r="G112" t="s">
        <v>4</v>
      </c>
      <c r="H112" t="s">
        <v>3</v>
      </c>
      <c r="I112" t="s">
        <v>226</v>
      </c>
      <c r="J112">
        <v>60102437</v>
      </c>
      <c r="K112" t="s">
        <v>225</v>
      </c>
      <c r="L112" t="s">
        <v>224</v>
      </c>
      <c r="M112" t="s">
        <v>24</v>
      </c>
      <c r="N112">
        <v>1</v>
      </c>
      <c r="O112" t="s">
        <v>223</v>
      </c>
      <c r="P112">
        <v>24793295500</v>
      </c>
      <c r="Q112">
        <v>60102437</v>
      </c>
      <c r="R112" s="7">
        <v>30956</v>
      </c>
      <c r="S112" s="8">
        <f t="shared" si="8"/>
        <v>1984</v>
      </c>
      <c r="T112" s="8">
        <v>1984</v>
      </c>
      <c r="U112" s="8">
        <f t="shared" si="9"/>
        <v>38</v>
      </c>
      <c r="V112" s="7">
        <v>30956</v>
      </c>
      <c r="W112" t="s">
        <v>193</v>
      </c>
      <c r="X112" s="2">
        <v>0.11700000000000001</v>
      </c>
      <c r="Y112" s="6">
        <f t="shared" si="10"/>
        <v>3.1232481781052297E-3</v>
      </c>
      <c r="AA112">
        <v>2179822</v>
      </c>
      <c r="AB112">
        <v>5300152612</v>
      </c>
      <c r="AC112">
        <v>19930615</v>
      </c>
      <c r="AD112" t="s">
        <v>1</v>
      </c>
      <c r="AE112">
        <v>1</v>
      </c>
      <c r="AF112">
        <v>4</v>
      </c>
      <c r="AH112" t="s">
        <v>1174</v>
      </c>
      <c r="AI112" t="s">
        <v>1173</v>
      </c>
      <c r="AK112" t="s">
        <v>1172</v>
      </c>
      <c r="AL112">
        <v>0</v>
      </c>
      <c r="AM112" s="5">
        <f t="shared" si="11"/>
        <v>0</v>
      </c>
      <c r="AN112" s="4">
        <f t="shared" si="12"/>
        <v>0</v>
      </c>
      <c r="AO112" s="3"/>
      <c r="AP112">
        <v>0</v>
      </c>
      <c r="AR112" t="s">
        <v>0</v>
      </c>
      <c r="AT112" s="2" t="s">
        <v>8</v>
      </c>
      <c r="AU112" s="1">
        <f t="shared" si="13"/>
        <v>0.21862737246736608</v>
      </c>
      <c r="AV112" s="1">
        <f t="shared" si="14"/>
        <v>0.15616240890526148</v>
      </c>
      <c r="AW112" s="1">
        <f t="shared" si="15"/>
        <v>9.3697445343156896E-2</v>
      </c>
    </row>
    <row r="113" spans="1:49" x14ac:dyDescent="0.2">
      <c r="A113">
        <v>111</v>
      </c>
      <c r="B113" t="s">
        <v>1171</v>
      </c>
      <c r="C113" t="s">
        <v>1170</v>
      </c>
      <c r="F113" t="s">
        <v>1169</v>
      </c>
      <c r="G113" t="s">
        <v>4</v>
      </c>
      <c r="H113" t="s">
        <v>3</v>
      </c>
      <c r="I113" t="s">
        <v>1168</v>
      </c>
      <c r="J113" t="s">
        <v>1167</v>
      </c>
      <c r="K113" t="s">
        <v>1166</v>
      </c>
      <c r="L113" t="s">
        <v>1165</v>
      </c>
      <c r="M113" t="s">
        <v>1164</v>
      </c>
      <c r="N113">
        <v>2</v>
      </c>
      <c r="O113" t="s">
        <v>1163</v>
      </c>
      <c r="P113" t="s">
        <v>1162</v>
      </c>
      <c r="Q113" t="s">
        <v>1161</v>
      </c>
      <c r="R113" s="7">
        <v>30956</v>
      </c>
      <c r="S113" s="8">
        <f t="shared" si="8"/>
        <v>1984</v>
      </c>
      <c r="T113" s="8">
        <v>1984</v>
      </c>
      <c r="U113" s="8">
        <f t="shared" si="9"/>
        <v>38</v>
      </c>
      <c r="V113" s="7">
        <v>30956</v>
      </c>
      <c r="W113" t="s">
        <v>1160</v>
      </c>
      <c r="X113" s="2" t="s">
        <v>8</v>
      </c>
      <c r="Y113" s="6" t="e">
        <f t="shared" si="10"/>
        <v>#VALUE!</v>
      </c>
      <c r="AA113" t="s">
        <v>236</v>
      </c>
      <c r="AB113">
        <v>12100155632</v>
      </c>
      <c r="AC113" t="s">
        <v>235</v>
      </c>
      <c r="AD113" t="s">
        <v>1</v>
      </c>
      <c r="AE113">
        <v>41</v>
      </c>
      <c r="AF113">
        <v>7</v>
      </c>
      <c r="AH113" t="s">
        <v>152</v>
      </c>
      <c r="AI113" t="s">
        <v>1159</v>
      </c>
      <c r="AJ113" t="s">
        <v>1158</v>
      </c>
      <c r="AK113" t="s">
        <v>1157</v>
      </c>
      <c r="AL113">
        <v>18</v>
      </c>
      <c r="AM113" s="5">
        <f t="shared" si="11"/>
        <v>0.47368421052631576</v>
      </c>
      <c r="AN113" s="4">
        <f t="shared" si="12"/>
        <v>7.1743159489029266E-4</v>
      </c>
      <c r="AO113" s="3"/>
      <c r="AP113">
        <v>0</v>
      </c>
      <c r="AR113" t="s">
        <v>0</v>
      </c>
      <c r="AT113" s="2" t="s">
        <v>8</v>
      </c>
      <c r="AU113" s="1" t="e">
        <f t="shared" si="13"/>
        <v>#VALUE!</v>
      </c>
      <c r="AV113" s="1" t="e">
        <f t="shared" si="14"/>
        <v>#VALUE!</v>
      </c>
      <c r="AW113" s="1" t="e">
        <f t="shared" si="15"/>
        <v>#VALUE!</v>
      </c>
    </row>
    <row r="114" spans="1:49" x14ac:dyDescent="0.2">
      <c r="A114">
        <v>112</v>
      </c>
      <c r="B114" t="s">
        <v>1156</v>
      </c>
      <c r="C114" t="s">
        <v>1155</v>
      </c>
      <c r="F114" t="s">
        <v>1154</v>
      </c>
      <c r="G114" t="s">
        <v>4</v>
      </c>
      <c r="H114" t="s">
        <v>3</v>
      </c>
      <c r="I114" t="s">
        <v>1153</v>
      </c>
      <c r="J114" t="s">
        <v>1152</v>
      </c>
      <c r="K114" t="s">
        <v>1151</v>
      </c>
      <c r="L114" t="s">
        <v>1150</v>
      </c>
      <c r="M114" t="s">
        <v>1149</v>
      </c>
      <c r="N114">
        <v>2</v>
      </c>
      <c r="O114" t="s">
        <v>1148</v>
      </c>
      <c r="P114" t="s">
        <v>1147</v>
      </c>
      <c r="Q114" t="s">
        <v>1146</v>
      </c>
      <c r="R114" s="7">
        <v>30956</v>
      </c>
      <c r="S114" s="8">
        <f t="shared" si="8"/>
        <v>1984</v>
      </c>
      <c r="T114" s="8">
        <v>1984</v>
      </c>
      <c r="U114" s="8">
        <f t="shared" si="9"/>
        <v>38</v>
      </c>
      <c r="V114" s="7">
        <v>30956</v>
      </c>
      <c r="W114" t="s">
        <v>1145</v>
      </c>
      <c r="X114" s="2">
        <v>0.66400000000000003</v>
      </c>
      <c r="Y114" s="6">
        <f t="shared" si="10"/>
        <v>1.7725100771468997E-2</v>
      </c>
      <c r="AA114">
        <v>1757571</v>
      </c>
      <c r="AB114">
        <v>14877</v>
      </c>
      <c r="AC114">
        <v>14321017</v>
      </c>
      <c r="AD114" t="s">
        <v>1</v>
      </c>
      <c r="AE114">
        <v>11</v>
      </c>
      <c r="AF114">
        <v>2</v>
      </c>
      <c r="AH114" t="s">
        <v>1144</v>
      </c>
      <c r="AI114" t="s">
        <v>1143</v>
      </c>
      <c r="AJ114" t="s">
        <v>1142</v>
      </c>
      <c r="AK114" t="s">
        <v>1141</v>
      </c>
      <c r="AL114">
        <v>1</v>
      </c>
      <c r="AM114" s="5">
        <f t="shared" si="11"/>
        <v>2.6315789473684209E-2</v>
      </c>
      <c r="AN114" s="4">
        <f t="shared" si="12"/>
        <v>3.9857310827238481E-5</v>
      </c>
      <c r="AO114" s="3"/>
      <c r="AP114">
        <v>0</v>
      </c>
      <c r="AR114" t="s">
        <v>0</v>
      </c>
      <c r="AT114" s="2" t="s">
        <v>8</v>
      </c>
      <c r="AU114" s="1">
        <f t="shared" si="13"/>
        <v>1.241952773327647</v>
      </c>
      <c r="AV114" s="1">
        <f t="shared" si="14"/>
        <v>0.8882479041148118</v>
      </c>
      <c r="AW114" s="1">
        <f t="shared" si="15"/>
        <v>0.53454303490197663</v>
      </c>
    </row>
    <row r="115" spans="1:49" x14ac:dyDescent="0.2">
      <c r="A115">
        <v>113</v>
      </c>
      <c r="B115" t="s">
        <v>1140</v>
      </c>
      <c r="F115" t="s">
        <v>1139</v>
      </c>
      <c r="G115" t="s">
        <v>4</v>
      </c>
      <c r="H115" t="s">
        <v>3</v>
      </c>
      <c r="I115" t="s">
        <v>1138</v>
      </c>
      <c r="J115">
        <v>106790789</v>
      </c>
      <c r="K115" t="s">
        <v>1137</v>
      </c>
      <c r="N115">
        <v>3</v>
      </c>
      <c r="O115" t="s">
        <v>1136</v>
      </c>
      <c r="P115" t="s">
        <v>1135</v>
      </c>
      <c r="Q115" t="s">
        <v>1134</v>
      </c>
      <c r="R115" s="7">
        <v>30956</v>
      </c>
      <c r="S115" s="8">
        <f t="shared" si="8"/>
        <v>1984</v>
      </c>
      <c r="T115" s="8">
        <v>1984</v>
      </c>
      <c r="U115" s="8">
        <f t="shared" si="9"/>
        <v>38</v>
      </c>
      <c r="V115" s="7">
        <v>30956</v>
      </c>
      <c r="W115" t="s">
        <v>1133</v>
      </c>
      <c r="X115" s="2" t="s">
        <v>8</v>
      </c>
      <c r="Y115" s="6" t="e">
        <f t="shared" si="10"/>
        <v>#VALUE!</v>
      </c>
      <c r="AA115">
        <v>385387</v>
      </c>
      <c r="AB115">
        <v>40096</v>
      </c>
      <c r="AD115" t="s">
        <v>1</v>
      </c>
      <c r="AE115">
        <v>20</v>
      </c>
      <c r="AF115">
        <v>10</v>
      </c>
      <c r="AH115">
        <v>1302</v>
      </c>
      <c r="AI115" t="s">
        <v>1132</v>
      </c>
      <c r="AK115" t="s">
        <v>1131</v>
      </c>
      <c r="AL115">
        <v>0</v>
      </c>
      <c r="AM115" s="5">
        <f t="shared" si="11"/>
        <v>0</v>
      </c>
      <c r="AN115" s="4">
        <f t="shared" si="12"/>
        <v>0</v>
      </c>
      <c r="AO115" s="3"/>
      <c r="AP115">
        <v>0</v>
      </c>
      <c r="AR115" t="s">
        <v>0</v>
      </c>
      <c r="AT115" s="2" t="s">
        <v>8</v>
      </c>
      <c r="AU115" s="1" t="e">
        <f t="shared" si="13"/>
        <v>#VALUE!</v>
      </c>
      <c r="AV115" s="1" t="e">
        <f t="shared" si="14"/>
        <v>#VALUE!</v>
      </c>
      <c r="AW115" s="1" t="e">
        <f t="shared" si="15"/>
        <v>#VALUE!</v>
      </c>
    </row>
    <row r="116" spans="1:49" x14ac:dyDescent="0.2">
      <c r="A116">
        <v>114</v>
      </c>
      <c r="B116" t="s">
        <v>1130</v>
      </c>
      <c r="F116" t="s">
        <v>1129</v>
      </c>
      <c r="G116" t="s">
        <v>4</v>
      </c>
      <c r="H116" t="s">
        <v>3</v>
      </c>
      <c r="I116" t="s">
        <v>1128</v>
      </c>
      <c r="J116">
        <v>60003416</v>
      </c>
      <c r="K116" t="s">
        <v>1127</v>
      </c>
      <c r="L116" t="s">
        <v>1126</v>
      </c>
      <c r="M116" t="s">
        <v>49</v>
      </c>
      <c r="N116">
        <v>1</v>
      </c>
      <c r="O116" t="s">
        <v>1125</v>
      </c>
      <c r="P116">
        <v>7403216058</v>
      </c>
      <c r="Q116">
        <v>60003416</v>
      </c>
      <c r="R116" s="7">
        <v>30956</v>
      </c>
      <c r="S116" s="8">
        <f t="shared" si="8"/>
        <v>1984</v>
      </c>
      <c r="T116" s="8">
        <v>1984</v>
      </c>
      <c r="U116" s="8">
        <f t="shared" si="9"/>
        <v>38</v>
      </c>
      <c r="V116" s="7">
        <v>30956</v>
      </c>
      <c r="W116" t="s">
        <v>93</v>
      </c>
      <c r="X116" s="2" t="s">
        <v>8</v>
      </c>
      <c r="Y116" s="6" t="e">
        <f t="shared" si="10"/>
        <v>#VALUE!</v>
      </c>
      <c r="AA116" t="s">
        <v>92</v>
      </c>
      <c r="AB116">
        <v>30906</v>
      </c>
      <c r="AD116" t="s">
        <v>1</v>
      </c>
      <c r="AE116" t="s">
        <v>91</v>
      </c>
      <c r="AF116">
        <v>10</v>
      </c>
      <c r="AH116" t="s">
        <v>1124</v>
      </c>
      <c r="AI116" t="s">
        <v>1123</v>
      </c>
      <c r="AK116" t="s">
        <v>1122</v>
      </c>
      <c r="AL116">
        <v>8</v>
      </c>
      <c r="AM116" s="5">
        <f t="shared" si="11"/>
        <v>0.21052631578947367</v>
      </c>
      <c r="AN116" s="4">
        <f t="shared" si="12"/>
        <v>3.1885848661790785E-4</v>
      </c>
      <c r="AO116" s="3"/>
      <c r="AP116">
        <v>0</v>
      </c>
      <c r="AR116" t="s">
        <v>0</v>
      </c>
      <c r="AT116" s="2" t="s">
        <v>8</v>
      </c>
      <c r="AU116" s="1" t="e">
        <f t="shared" si="13"/>
        <v>#VALUE!</v>
      </c>
      <c r="AV116" s="1" t="e">
        <f t="shared" si="14"/>
        <v>#VALUE!</v>
      </c>
      <c r="AW116" s="1" t="e">
        <f t="shared" si="15"/>
        <v>#VALUE!</v>
      </c>
    </row>
    <row r="117" spans="1:49" x14ac:dyDescent="0.2">
      <c r="A117">
        <v>115</v>
      </c>
      <c r="B117" t="s">
        <v>1121</v>
      </c>
      <c r="F117" t="s">
        <v>1120</v>
      </c>
      <c r="G117" t="s">
        <v>4</v>
      </c>
      <c r="H117" t="s">
        <v>3</v>
      </c>
      <c r="I117" t="s">
        <v>99</v>
      </c>
      <c r="J117">
        <v>60009037</v>
      </c>
      <c r="K117" t="s">
        <v>45</v>
      </c>
      <c r="L117" t="s">
        <v>44</v>
      </c>
      <c r="M117" t="s">
        <v>11</v>
      </c>
      <c r="N117">
        <v>1</v>
      </c>
      <c r="O117" t="s">
        <v>98</v>
      </c>
      <c r="P117">
        <v>7102110120</v>
      </c>
      <c r="Q117">
        <v>60009037</v>
      </c>
      <c r="R117" s="7">
        <v>30956</v>
      </c>
      <c r="S117" s="8">
        <f t="shared" si="8"/>
        <v>1984</v>
      </c>
      <c r="T117" s="8">
        <v>1984</v>
      </c>
      <c r="U117" s="8">
        <f t="shared" si="9"/>
        <v>38</v>
      </c>
      <c r="V117" s="7">
        <v>30956</v>
      </c>
      <c r="W117" t="s">
        <v>33</v>
      </c>
      <c r="X117" s="2">
        <v>1.6519999999999999</v>
      </c>
      <c r="Y117" s="6">
        <f t="shared" si="10"/>
        <v>4.409919649769093E-2</v>
      </c>
      <c r="AA117" t="s">
        <v>32</v>
      </c>
      <c r="AB117">
        <v>17337</v>
      </c>
      <c r="AD117" t="s">
        <v>1</v>
      </c>
      <c r="AE117" t="s">
        <v>1066</v>
      </c>
      <c r="AF117">
        <v>11</v>
      </c>
      <c r="AI117" t="s">
        <v>1119</v>
      </c>
      <c r="AK117" t="s">
        <v>1118</v>
      </c>
      <c r="AL117">
        <v>1</v>
      </c>
      <c r="AM117" s="5">
        <f t="shared" si="11"/>
        <v>2.6315789473684209E-2</v>
      </c>
      <c r="AN117" s="4">
        <f t="shared" si="12"/>
        <v>3.9857310827238481E-5</v>
      </c>
      <c r="AO117" s="3"/>
      <c r="AP117">
        <v>0</v>
      </c>
      <c r="AR117" t="s">
        <v>0</v>
      </c>
      <c r="AT117" s="2" t="s">
        <v>8</v>
      </c>
      <c r="AU117" s="1">
        <f t="shared" si="13"/>
        <v>3.088139474163182</v>
      </c>
      <c r="AV117" s="1">
        <f t="shared" si="14"/>
        <v>2.2069526904259082</v>
      </c>
      <c r="AW117" s="1">
        <f t="shared" si="15"/>
        <v>1.3257659066886345</v>
      </c>
    </row>
    <row r="118" spans="1:49" x14ac:dyDescent="0.2">
      <c r="A118">
        <v>116</v>
      </c>
      <c r="B118" t="s">
        <v>1117</v>
      </c>
      <c r="F118" t="s">
        <v>1116</v>
      </c>
      <c r="G118" t="s">
        <v>4</v>
      </c>
      <c r="H118" t="s">
        <v>3</v>
      </c>
      <c r="I118" t="s">
        <v>1115</v>
      </c>
      <c r="J118">
        <v>60004541</v>
      </c>
      <c r="K118" t="s">
        <v>171</v>
      </c>
      <c r="L118" t="s">
        <v>80</v>
      </c>
      <c r="M118" t="s">
        <v>11</v>
      </c>
      <c r="N118">
        <v>3</v>
      </c>
      <c r="O118" t="s">
        <v>1114</v>
      </c>
      <c r="P118" t="s">
        <v>1113</v>
      </c>
      <c r="Q118" t="s">
        <v>1112</v>
      </c>
      <c r="R118" s="7">
        <v>30956</v>
      </c>
      <c r="S118" s="8">
        <f t="shared" si="8"/>
        <v>1984</v>
      </c>
      <c r="T118" s="8">
        <v>1984</v>
      </c>
      <c r="U118" s="8">
        <f t="shared" si="9"/>
        <v>38</v>
      </c>
      <c r="V118" s="7">
        <v>30956</v>
      </c>
      <c r="W118" t="s">
        <v>33</v>
      </c>
      <c r="X118" s="2">
        <v>1.6519999999999999</v>
      </c>
      <c r="Y118" s="6">
        <f t="shared" si="10"/>
        <v>4.409919649769093E-2</v>
      </c>
      <c r="AA118" t="s">
        <v>32</v>
      </c>
      <c r="AB118">
        <v>17337</v>
      </c>
      <c r="AD118" t="s">
        <v>1</v>
      </c>
      <c r="AE118" t="s">
        <v>1066</v>
      </c>
      <c r="AF118">
        <v>11</v>
      </c>
      <c r="AI118" t="s">
        <v>1111</v>
      </c>
      <c r="AK118" t="s">
        <v>1110</v>
      </c>
      <c r="AL118">
        <v>0</v>
      </c>
      <c r="AM118" s="5">
        <f t="shared" si="11"/>
        <v>0</v>
      </c>
      <c r="AN118" s="4">
        <f t="shared" si="12"/>
        <v>0</v>
      </c>
      <c r="AO118" s="3"/>
      <c r="AP118">
        <v>0</v>
      </c>
      <c r="AR118" t="s">
        <v>0</v>
      </c>
      <c r="AT118" s="2" t="s">
        <v>8</v>
      </c>
      <c r="AU118" s="1">
        <f t="shared" si="13"/>
        <v>3.0869437548383649</v>
      </c>
      <c r="AV118" s="1">
        <f t="shared" si="14"/>
        <v>2.2049598248845466</v>
      </c>
      <c r="AW118" s="1">
        <f t="shared" si="15"/>
        <v>1.3229758949307278</v>
      </c>
    </row>
    <row r="119" spans="1:49" x14ac:dyDescent="0.2">
      <c r="A119">
        <v>117</v>
      </c>
      <c r="B119" t="s">
        <v>1109</v>
      </c>
      <c r="F119" t="s">
        <v>1108</v>
      </c>
      <c r="G119" t="s">
        <v>4</v>
      </c>
      <c r="H119" t="s">
        <v>3</v>
      </c>
      <c r="I119" t="s">
        <v>170</v>
      </c>
      <c r="J119">
        <v>60022195</v>
      </c>
      <c r="K119" t="s">
        <v>22</v>
      </c>
      <c r="L119" t="s">
        <v>21</v>
      </c>
      <c r="M119" t="s">
        <v>11</v>
      </c>
      <c r="N119">
        <v>2</v>
      </c>
      <c r="O119" t="s">
        <v>1107</v>
      </c>
      <c r="P119" t="s">
        <v>1106</v>
      </c>
      <c r="Q119" t="s">
        <v>138</v>
      </c>
      <c r="R119" s="7">
        <v>30956</v>
      </c>
      <c r="S119" s="8">
        <f t="shared" si="8"/>
        <v>1984</v>
      </c>
      <c r="T119" s="8">
        <v>1984</v>
      </c>
      <c r="U119" s="8">
        <f t="shared" si="9"/>
        <v>38</v>
      </c>
      <c r="V119" s="7">
        <v>30956</v>
      </c>
      <c r="W119" t="s">
        <v>33</v>
      </c>
      <c r="X119" s="2">
        <v>1.6519999999999999</v>
      </c>
      <c r="Y119" s="6">
        <f t="shared" si="10"/>
        <v>4.409919649769093E-2</v>
      </c>
      <c r="AA119" t="s">
        <v>32</v>
      </c>
      <c r="AB119">
        <v>17337</v>
      </c>
      <c r="AD119" t="s">
        <v>1</v>
      </c>
      <c r="AE119" t="s">
        <v>1066</v>
      </c>
      <c r="AF119">
        <v>11</v>
      </c>
      <c r="AI119" t="s">
        <v>1105</v>
      </c>
      <c r="AK119" t="s">
        <v>1104</v>
      </c>
      <c r="AL119">
        <v>0</v>
      </c>
      <c r="AM119" s="5">
        <f t="shared" si="11"/>
        <v>0</v>
      </c>
      <c r="AN119" s="4">
        <f t="shared" si="12"/>
        <v>0</v>
      </c>
      <c r="AO119" s="3"/>
      <c r="AP119">
        <v>0</v>
      </c>
      <c r="AR119" t="s">
        <v>0</v>
      </c>
      <c r="AT119" s="2" t="s">
        <v>8</v>
      </c>
      <c r="AU119" s="1">
        <f t="shared" si="13"/>
        <v>3.0869437548383649</v>
      </c>
      <c r="AV119" s="1">
        <f t="shared" si="14"/>
        <v>2.2049598248845466</v>
      </c>
      <c r="AW119" s="1">
        <f t="shared" si="15"/>
        <v>1.3229758949307278</v>
      </c>
    </row>
    <row r="120" spans="1:49" x14ac:dyDescent="0.2">
      <c r="A120">
        <v>118</v>
      </c>
      <c r="B120" t="s">
        <v>1103</v>
      </c>
      <c r="F120" t="s">
        <v>1102</v>
      </c>
      <c r="G120" t="s">
        <v>4</v>
      </c>
      <c r="H120" t="s">
        <v>3</v>
      </c>
      <c r="I120" t="s">
        <v>109</v>
      </c>
      <c r="J120">
        <v>60001247</v>
      </c>
      <c r="K120" t="s">
        <v>108</v>
      </c>
      <c r="M120" t="s">
        <v>11</v>
      </c>
      <c r="N120">
        <v>2</v>
      </c>
      <c r="O120" t="s">
        <v>1101</v>
      </c>
      <c r="P120" t="s">
        <v>1100</v>
      </c>
      <c r="Q120" t="s">
        <v>1099</v>
      </c>
      <c r="R120" s="7">
        <v>30956</v>
      </c>
      <c r="S120" s="8">
        <f t="shared" si="8"/>
        <v>1984</v>
      </c>
      <c r="T120" s="8">
        <v>1984</v>
      </c>
      <c r="U120" s="8">
        <f t="shared" si="9"/>
        <v>38</v>
      </c>
      <c r="V120" s="7">
        <v>30956</v>
      </c>
      <c r="W120" t="s">
        <v>33</v>
      </c>
      <c r="X120" s="2">
        <v>1.6519999999999999</v>
      </c>
      <c r="Y120" s="6">
        <f t="shared" si="10"/>
        <v>4.409919649769093E-2</v>
      </c>
      <c r="AA120" t="s">
        <v>32</v>
      </c>
      <c r="AB120">
        <v>17337</v>
      </c>
      <c r="AD120" t="s">
        <v>1</v>
      </c>
      <c r="AE120" t="s">
        <v>1066</v>
      </c>
      <c r="AF120">
        <v>11</v>
      </c>
      <c r="AI120" t="s">
        <v>1098</v>
      </c>
      <c r="AK120" t="s">
        <v>1097</v>
      </c>
      <c r="AL120">
        <v>2</v>
      </c>
      <c r="AM120" s="5">
        <f t="shared" si="11"/>
        <v>5.2631578947368418E-2</v>
      </c>
      <c r="AN120" s="4">
        <f t="shared" si="12"/>
        <v>7.9714621654476962E-5</v>
      </c>
      <c r="AO120" s="3"/>
      <c r="AP120">
        <v>0</v>
      </c>
      <c r="AR120" t="s">
        <v>0</v>
      </c>
      <c r="AT120" s="2" t="s">
        <v>8</v>
      </c>
      <c r="AU120" s="1">
        <f t="shared" si="13"/>
        <v>3.0893351934879991</v>
      </c>
      <c r="AV120" s="1">
        <f t="shared" si="14"/>
        <v>2.2089455559672704</v>
      </c>
      <c r="AW120" s="1">
        <f t="shared" si="15"/>
        <v>1.3285559184465412</v>
      </c>
    </row>
    <row r="121" spans="1:49" x14ac:dyDescent="0.2">
      <c r="A121">
        <v>119</v>
      </c>
      <c r="B121" t="s">
        <v>1096</v>
      </c>
      <c r="F121" t="s">
        <v>1095</v>
      </c>
      <c r="G121" t="s">
        <v>4</v>
      </c>
      <c r="H121" t="s">
        <v>3</v>
      </c>
      <c r="I121" t="s">
        <v>1094</v>
      </c>
      <c r="J121">
        <v>60000745</v>
      </c>
      <c r="K121" t="s">
        <v>97</v>
      </c>
      <c r="L121" t="s">
        <v>96</v>
      </c>
      <c r="M121" t="s">
        <v>11</v>
      </c>
      <c r="N121">
        <v>4</v>
      </c>
      <c r="O121" t="s">
        <v>1093</v>
      </c>
      <c r="P121" t="s">
        <v>1092</v>
      </c>
      <c r="Q121" t="s">
        <v>1091</v>
      </c>
      <c r="R121" s="7">
        <v>30956</v>
      </c>
      <c r="S121" s="8">
        <f t="shared" si="8"/>
        <v>1984</v>
      </c>
      <c r="T121" s="8">
        <v>1984</v>
      </c>
      <c r="U121" s="8">
        <f t="shared" si="9"/>
        <v>38</v>
      </c>
      <c r="V121" s="7">
        <v>30956</v>
      </c>
      <c r="W121" t="s">
        <v>33</v>
      </c>
      <c r="X121" s="2">
        <v>1.6519999999999999</v>
      </c>
      <c r="Y121" s="6">
        <f t="shared" si="10"/>
        <v>4.409919649769093E-2</v>
      </c>
      <c r="AA121" t="s">
        <v>32</v>
      </c>
      <c r="AB121">
        <v>17337</v>
      </c>
      <c r="AD121" t="s">
        <v>1</v>
      </c>
      <c r="AE121" t="s">
        <v>1066</v>
      </c>
      <c r="AF121">
        <v>11</v>
      </c>
      <c r="AI121" t="s">
        <v>1090</v>
      </c>
      <c r="AK121" t="s">
        <v>1089</v>
      </c>
      <c r="AL121">
        <v>3</v>
      </c>
      <c r="AM121" s="5">
        <f t="shared" si="11"/>
        <v>7.8947368421052627E-2</v>
      </c>
      <c r="AN121" s="4">
        <f t="shared" si="12"/>
        <v>1.1957193248171546E-4</v>
      </c>
      <c r="AO121" s="3"/>
      <c r="AP121">
        <v>0</v>
      </c>
      <c r="AR121" t="s">
        <v>0</v>
      </c>
      <c r="AT121" s="2" t="s">
        <v>8</v>
      </c>
      <c r="AU121" s="1">
        <f t="shared" si="13"/>
        <v>3.0905309128128167</v>
      </c>
      <c r="AV121" s="1">
        <f t="shared" si="14"/>
        <v>2.2109384215086325</v>
      </c>
      <c r="AW121" s="1">
        <f t="shared" si="15"/>
        <v>1.3313459302044479</v>
      </c>
    </row>
    <row r="122" spans="1:49" x14ac:dyDescent="0.2">
      <c r="A122">
        <v>120</v>
      </c>
      <c r="B122" t="s">
        <v>1088</v>
      </c>
      <c r="F122" t="s">
        <v>1087</v>
      </c>
      <c r="G122" t="s">
        <v>4</v>
      </c>
      <c r="H122" t="s">
        <v>3</v>
      </c>
      <c r="I122" t="s">
        <v>129</v>
      </c>
      <c r="J122">
        <v>60009982</v>
      </c>
      <c r="K122" t="s">
        <v>128</v>
      </c>
      <c r="L122" t="s">
        <v>21</v>
      </c>
      <c r="M122" t="s">
        <v>11</v>
      </c>
      <c r="N122">
        <v>1</v>
      </c>
      <c r="O122" t="s">
        <v>1086</v>
      </c>
      <c r="P122">
        <v>35586046100</v>
      </c>
      <c r="Q122">
        <v>60009982</v>
      </c>
      <c r="R122" s="7">
        <v>30956</v>
      </c>
      <c r="S122" s="8">
        <f t="shared" si="8"/>
        <v>1984</v>
      </c>
      <c r="T122" s="8">
        <v>1984</v>
      </c>
      <c r="U122" s="8">
        <f t="shared" si="9"/>
        <v>38</v>
      </c>
      <c r="V122" s="7">
        <v>30956</v>
      </c>
      <c r="W122" t="s">
        <v>33</v>
      </c>
      <c r="X122" s="2">
        <v>1.6519999999999999</v>
      </c>
      <c r="Y122" s="6">
        <f t="shared" si="10"/>
        <v>4.409919649769093E-2</v>
      </c>
      <c r="AA122" t="s">
        <v>32</v>
      </c>
      <c r="AB122">
        <v>17337</v>
      </c>
      <c r="AD122" t="s">
        <v>1</v>
      </c>
      <c r="AE122" t="s">
        <v>1066</v>
      </c>
      <c r="AF122">
        <v>11</v>
      </c>
      <c r="AI122" t="s">
        <v>1085</v>
      </c>
      <c r="AK122" t="s">
        <v>1084</v>
      </c>
      <c r="AL122">
        <v>18</v>
      </c>
      <c r="AM122" s="5">
        <f t="shared" si="11"/>
        <v>0.47368421052631576</v>
      </c>
      <c r="AN122" s="4">
        <f t="shared" si="12"/>
        <v>7.1743159489029266E-4</v>
      </c>
      <c r="AO122" s="3"/>
      <c r="AP122">
        <v>0</v>
      </c>
      <c r="AR122" t="s">
        <v>0</v>
      </c>
      <c r="AT122" s="2" t="s">
        <v>8</v>
      </c>
      <c r="AU122" s="1">
        <f t="shared" si="13"/>
        <v>3.1084667026850736</v>
      </c>
      <c r="AV122" s="1">
        <f t="shared" si="14"/>
        <v>2.2408314046290614</v>
      </c>
      <c r="AW122" s="1">
        <f t="shared" si="15"/>
        <v>1.3731961065730482</v>
      </c>
    </row>
    <row r="123" spans="1:49" x14ac:dyDescent="0.2">
      <c r="A123">
        <v>121</v>
      </c>
      <c r="B123" t="s">
        <v>1083</v>
      </c>
      <c r="F123" t="s">
        <v>1082</v>
      </c>
      <c r="G123" t="s">
        <v>4</v>
      </c>
      <c r="H123" t="s">
        <v>3</v>
      </c>
      <c r="I123" t="s">
        <v>1081</v>
      </c>
      <c r="J123">
        <v>60015481</v>
      </c>
      <c r="K123" t="s">
        <v>1080</v>
      </c>
      <c r="L123" t="s">
        <v>1079</v>
      </c>
      <c r="M123" t="s">
        <v>11</v>
      </c>
      <c r="N123">
        <v>4</v>
      </c>
      <c r="O123" t="s">
        <v>1078</v>
      </c>
      <c r="P123" t="s">
        <v>1077</v>
      </c>
      <c r="Q123" t="s">
        <v>1076</v>
      </c>
      <c r="R123" s="7">
        <v>30956</v>
      </c>
      <c r="S123" s="8">
        <f t="shared" si="8"/>
        <v>1984</v>
      </c>
      <c r="T123" s="8">
        <v>1984</v>
      </c>
      <c r="U123" s="8">
        <f t="shared" si="9"/>
        <v>38</v>
      </c>
      <c r="V123" s="7">
        <v>30956</v>
      </c>
      <c r="W123" t="s">
        <v>33</v>
      </c>
      <c r="X123" s="2">
        <v>1.6519999999999999</v>
      </c>
      <c r="Y123" s="6">
        <f t="shared" si="10"/>
        <v>4.409919649769093E-2</v>
      </c>
      <c r="AA123" t="s">
        <v>32</v>
      </c>
      <c r="AB123">
        <v>17337</v>
      </c>
      <c r="AD123" t="s">
        <v>1</v>
      </c>
      <c r="AE123" t="s">
        <v>1066</v>
      </c>
      <c r="AF123">
        <v>11</v>
      </c>
      <c r="AI123" t="s">
        <v>1075</v>
      </c>
      <c r="AK123" t="s">
        <v>1074</v>
      </c>
      <c r="AL123">
        <v>9</v>
      </c>
      <c r="AM123" s="5">
        <f t="shared" si="11"/>
        <v>0.23684210526315788</v>
      </c>
      <c r="AN123" s="4">
        <f t="shared" si="12"/>
        <v>3.5871579744514633E-4</v>
      </c>
      <c r="AO123" s="3"/>
      <c r="AP123">
        <v>0</v>
      </c>
      <c r="AR123" t="s">
        <v>0</v>
      </c>
      <c r="AT123" s="2" t="s">
        <v>8</v>
      </c>
      <c r="AU123" s="1">
        <f t="shared" si="13"/>
        <v>3.0977052287617197</v>
      </c>
      <c r="AV123" s="1">
        <f t="shared" si="14"/>
        <v>2.222895614756804</v>
      </c>
      <c r="AW123" s="1">
        <f t="shared" si="15"/>
        <v>1.348086000751888</v>
      </c>
    </row>
    <row r="124" spans="1:49" x14ac:dyDescent="0.2">
      <c r="A124">
        <v>122</v>
      </c>
      <c r="B124" t="s">
        <v>1073</v>
      </c>
      <c r="F124" t="s">
        <v>1072</v>
      </c>
      <c r="G124" t="s">
        <v>4</v>
      </c>
      <c r="H124" t="s">
        <v>3</v>
      </c>
      <c r="I124" t="s">
        <v>1071</v>
      </c>
      <c r="J124">
        <v>60014662</v>
      </c>
      <c r="K124" t="s">
        <v>1070</v>
      </c>
      <c r="L124" t="s">
        <v>130</v>
      </c>
      <c r="M124" t="s">
        <v>11</v>
      </c>
      <c r="N124">
        <v>3</v>
      </c>
      <c r="O124" t="s">
        <v>1069</v>
      </c>
      <c r="P124" t="s">
        <v>1068</v>
      </c>
      <c r="Q124" t="s">
        <v>1067</v>
      </c>
      <c r="R124" s="7">
        <v>30956</v>
      </c>
      <c r="S124" s="8">
        <f t="shared" si="8"/>
        <v>1984</v>
      </c>
      <c r="T124" s="8">
        <v>1984</v>
      </c>
      <c r="U124" s="8">
        <f t="shared" si="9"/>
        <v>38</v>
      </c>
      <c r="V124" s="7">
        <v>30956</v>
      </c>
      <c r="W124" t="s">
        <v>33</v>
      </c>
      <c r="X124" s="2">
        <v>1.6519999999999999</v>
      </c>
      <c r="Y124" s="6">
        <f t="shared" si="10"/>
        <v>4.409919649769093E-2</v>
      </c>
      <c r="AA124" t="s">
        <v>32</v>
      </c>
      <c r="AB124">
        <v>17337</v>
      </c>
      <c r="AD124" t="s">
        <v>1</v>
      </c>
      <c r="AE124" t="s">
        <v>1066</v>
      </c>
      <c r="AF124">
        <v>11</v>
      </c>
      <c r="AI124" t="s">
        <v>1065</v>
      </c>
      <c r="AK124" t="s">
        <v>1064</v>
      </c>
      <c r="AL124">
        <v>2</v>
      </c>
      <c r="AM124" s="5">
        <f t="shared" si="11"/>
        <v>5.2631578947368418E-2</v>
      </c>
      <c r="AN124" s="4">
        <f t="shared" si="12"/>
        <v>7.9714621654476962E-5</v>
      </c>
      <c r="AO124" s="3"/>
      <c r="AP124">
        <v>0</v>
      </c>
      <c r="AR124" t="s">
        <v>0</v>
      </c>
      <c r="AT124" s="2" t="s">
        <v>8</v>
      </c>
      <c r="AU124" s="1">
        <f t="shared" si="13"/>
        <v>3.0893351934879991</v>
      </c>
      <c r="AV124" s="1">
        <f t="shared" si="14"/>
        <v>2.2089455559672704</v>
      </c>
      <c r="AW124" s="1">
        <f t="shared" si="15"/>
        <v>1.3285559184465412</v>
      </c>
    </row>
    <row r="125" spans="1:49" x14ac:dyDescent="0.2">
      <c r="A125">
        <v>123</v>
      </c>
      <c r="B125" t="s">
        <v>1063</v>
      </c>
      <c r="F125" t="s">
        <v>1062</v>
      </c>
      <c r="G125" t="s">
        <v>4</v>
      </c>
      <c r="H125" t="s">
        <v>3</v>
      </c>
      <c r="I125" t="s">
        <v>158</v>
      </c>
      <c r="J125">
        <v>101488232</v>
      </c>
      <c r="K125" t="s">
        <v>1061</v>
      </c>
      <c r="M125" t="s">
        <v>18</v>
      </c>
      <c r="N125">
        <v>1</v>
      </c>
      <c r="O125" t="s">
        <v>157</v>
      </c>
      <c r="P125">
        <v>7003603878</v>
      </c>
      <c r="Q125">
        <v>101488232</v>
      </c>
      <c r="R125" s="7">
        <v>30956</v>
      </c>
      <c r="S125" s="8">
        <f t="shared" si="8"/>
        <v>1984</v>
      </c>
      <c r="T125" s="8">
        <v>1984</v>
      </c>
      <c r="U125" s="8">
        <f t="shared" si="9"/>
        <v>38</v>
      </c>
      <c r="V125" s="7">
        <v>30956</v>
      </c>
      <c r="W125" t="s">
        <v>55</v>
      </c>
      <c r="X125" s="2" t="s">
        <v>8</v>
      </c>
      <c r="Y125" s="6" t="e">
        <f t="shared" si="10"/>
        <v>#VALUE!</v>
      </c>
      <c r="AA125" t="s">
        <v>54</v>
      </c>
      <c r="AB125">
        <v>33832</v>
      </c>
      <c r="AD125" t="s">
        <v>1</v>
      </c>
      <c r="AE125">
        <v>18</v>
      </c>
      <c r="AF125">
        <v>9</v>
      </c>
      <c r="AH125" t="s">
        <v>1060</v>
      </c>
      <c r="AI125" t="s">
        <v>1059</v>
      </c>
      <c r="AK125" t="s">
        <v>1058</v>
      </c>
      <c r="AL125">
        <v>0</v>
      </c>
      <c r="AM125" s="5">
        <f t="shared" si="11"/>
        <v>0</v>
      </c>
      <c r="AN125" s="4">
        <f t="shared" si="12"/>
        <v>0</v>
      </c>
      <c r="AO125" s="3"/>
      <c r="AP125">
        <v>0</v>
      </c>
      <c r="AR125" t="s">
        <v>0</v>
      </c>
      <c r="AT125" s="2" t="s">
        <v>8</v>
      </c>
      <c r="AU125" s="1" t="e">
        <f t="shared" si="13"/>
        <v>#VALUE!</v>
      </c>
      <c r="AV125" s="1" t="e">
        <f t="shared" si="14"/>
        <v>#VALUE!</v>
      </c>
      <c r="AW125" s="1" t="e">
        <f t="shared" si="15"/>
        <v>#VALUE!</v>
      </c>
    </row>
    <row r="126" spans="1:49" x14ac:dyDescent="0.2">
      <c r="A126">
        <v>124</v>
      </c>
      <c r="B126" t="s">
        <v>1057</v>
      </c>
      <c r="C126" t="s">
        <v>1056</v>
      </c>
      <c r="F126" t="s">
        <v>1055</v>
      </c>
      <c r="G126" t="s">
        <v>4</v>
      </c>
      <c r="H126" t="s">
        <v>3</v>
      </c>
      <c r="I126" t="s">
        <v>1054</v>
      </c>
      <c r="J126">
        <v>60079059</v>
      </c>
      <c r="K126" t="s">
        <v>1053</v>
      </c>
      <c r="L126" t="s">
        <v>1052</v>
      </c>
      <c r="M126" t="s">
        <v>7</v>
      </c>
      <c r="N126">
        <v>3</v>
      </c>
      <c r="O126" t="s">
        <v>1051</v>
      </c>
      <c r="P126" t="s">
        <v>1050</v>
      </c>
      <c r="Q126" t="s">
        <v>1049</v>
      </c>
      <c r="R126" s="7">
        <v>30956</v>
      </c>
      <c r="S126" s="8">
        <f t="shared" si="8"/>
        <v>1984</v>
      </c>
      <c r="T126" s="8">
        <v>1984</v>
      </c>
      <c r="U126" s="8">
        <f t="shared" si="9"/>
        <v>38</v>
      </c>
      <c r="V126" s="7">
        <v>30956</v>
      </c>
      <c r="W126" t="s">
        <v>46</v>
      </c>
      <c r="X126" s="2">
        <v>0.61499999999999999</v>
      </c>
      <c r="Y126" s="6">
        <f t="shared" si="10"/>
        <v>1.6417073756706976E-2</v>
      </c>
      <c r="AA126">
        <v>1959271</v>
      </c>
      <c r="AB126">
        <v>12141</v>
      </c>
      <c r="AC126">
        <v>15729559</v>
      </c>
      <c r="AD126" t="s">
        <v>1</v>
      </c>
      <c r="AE126">
        <v>5</v>
      </c>
      <c r="AF126">
        <v>10</v>
      </c>
      <c r="AH126" t="s">
        <v>1048</v>
      </c>
      <c r="AI126" t="s">
        <v>1047</v>
      </c>
      <c r="AJ126" t="s">
        <v>1046</v>
      </c>
      <c r="AK126" t="s">
        <v>1045</v>
      </c>
      <c r="AL126">
        <v>7</v>
      </c>
      <c r="AM126" s="5">
        <f t="shared" si="11"/>
        <v>0.18421052631578946</v>
      </c>
      <c r="AN126" s="4">
        <f t="shared" si="12"/>
        <v>2.7900117579066937E-4</v>
      </c>
      <c r="AO126" s="3"/>
      <c r="AP126">
        <v>0</v>
      </c>
      <c r="AR126" t="s">
        <v>0</v>
      </c>
      <c r="AT126" s="2" t="s">
        <v>8</v>
      </c>
      <c r="AU126" s="1">
        <f t="shared" si="13"/>
        <v>1.1575651982432082</v>
      </c>
      <c r="AV126" s="1">
        <f t="shared" si="14"/>
        <v>0.83480374662488221</v>
      </c>
      <c r="AW126" s="1">
        <f t="shared" si="15"/>
        <v>0.51204229500655618</v>
      </c>
    </row>
    <row r="127" spans="1:49" x14ac:dyDescent="0.2">
      <c r="A127">
        <v>125</v>
      </c>
      <c r="B127" t="s">
        <v>1044</v>
      </c>
      <c r="F127" t="s">
        <v>1043</v>
      </c>
      <c r="G127" t="s">
        <v>4</v>
      </c>
      <c r="H127" t="s">
        <v>3</v>
      </c>
      <c r="I127" t="s">
        <v>1042</v>
      </c>
      <c r="N127">
        <v>4</v>
      </c>
      <c r="O127" t="s">
        <v>1041</v>
      </c>
      <c r="P127" t="s">
        <v>1040</v>
      </c>
      <c r="Q127" t="s">
        <v>42</v>
      </c>
      <c r="R127" s="7">
        <v>30956</v>
      </c>
      <c r="S127" s="8">
        <f t="shared" si="8"/>
        <v>1984</v>
      </c>
      <c r="T127" s="8">
        <v>1984</v>
      </c>
      <c r="U127" s="8">
        <f t="shared" si="9"/>
        <v>38</v>
      </c>
      <c r="V127" s="7">
        <v>30956</v>
      </c>
      <c r="W127" t="s">
        <v>63</v>
      </c>
      <c r="X127" s="2" t="s">
        <v>8</v>
      </c>
      <c r="Y127" s="6" t="e">
        <f t="shared" si="10"/>
        <v>#VALUE!</v>
      </c>
      <c r="AA127">
        <v>337889</v>
      </c>
      <c r="AB127">
        <v>40920</v>
      </c>
      <c r="AD127" t="s">
        <v>1</v>
      </c>
      <c r="AE127">
        <v>29</v>
      </c>
      <c r="AF127">
        <v>10</v>
      </c>
      <c r="AH127" t="s">
        <v>1039</v>
      </c>
      <c r="AI127" t="s">
        <v>1038</v>
      </c>
      <c r="AK127" t="s">
        <v>1037</v>
      </c>
      <c r="AL127">
        <v>0</v>
      </c>
      <c r="AM127" s="5">
        <f t="shared" si="11"/>
        <v>0</v>
      </c>
      <c r="AN127" s="4">
        <f t="shared" si="12"/>
        <v>0</v>
      </c>
      <c r="AO127" s="3"/>
      <c r="AP127">
        <v>0</v>
      </c>
      <c r="AR127" t="s">
        <v>0</v>
      </c>
      <c r="AT127" s="2" t="s">
        <v>8</v>
      </c>
      <c r="AU127" s="1" t="e">
        <f t="shared" si="13"/>
        <v>#VALUE!</v>
      </c>
      <c r="AV127" s="1" t="e">
        <f t="shared" si="14"/>
        <v>#VALUE!</v>
      </c>
      <c r="AW127" s="1" t="e">
        <f t="shared" si="15"/>
        <v>#VALUE!</v>
      </c>
    </row>
    <row r="128" spans="1:49" x14ac:dyDescent="0.2">
      <c r="A128">
        <v>126</v>
      </c>
      <c r="B128" t="s">
        <v>1036</v>
      </c>
      <c r="F128" t="s">
        <v>1035</v>
      </c>
      <c r="G128" t="s">
        <v>4</v>
      </c>
      <c r="H128" t="s">
        <v>3</v>
      </c>
      <c r="I128" t="s">
        <v>1034</v>
      </c>
      <c r="N128">
        <v>1</v>
      </c>
      <c r="O128" t="s">
        <v>1033</v>
      </c>
      <c r="P128">
        <v>7003805994</v>
      </c>
      <c r="R128" s="7">
        <v>30956</v>
      </c>
      <c r="S128" s="8">
        <f t="shared" si="8"/>
        <v>1984</v>
      </c>
      <c r="T128" s="8">
        <v>1984</v>
      </c>
      <c r="U128" s="8">
        <f t="shared" si="9"/>
        <v>38</v>
      </c>
      <c r="V128" s="7">
        <v>30956</v>
      </c>
      <c r="W128" t="s">
        <v>63</v>
      </c>
      <c r="X128" s="2" t="s">
        <v>8</v>
      </c>
      <c r="Y128" s="6" t="e">
        <f t="shared" si="10"/>
        <v>#VALUE!</v>
      </c>
      <c r="AA128">
        <v>337889</v>
      </c>
      <c r="AB128">
        <v>40920</v>
      </c>
      <c r="AD128" t="s">
        <v>1</v>
      </c>
      <c r="AE128">
        <v>29</v>
      </c>
      <c r="AF128">
        <v>10</v>
      </c>
      <c r="AH128" t="s">
        <v>1032</v>
      </c>
      <c r="AI128" t="s">
        <v>1031</v>
      </c>
      <c r="AK128" t="s">
        <v>1030</v>
      </c>
      <c r="AL128">
        <v>0</v>
      </c>
      <c r="AM128" s="5">
        <f t="shared" si="11"/>
        <v>0</v>
      </c>
      <c r="AN128" s="4">
        <f t="shared" si="12"/>
        <v>0</v>
      </c>
      <c r="AO128" s="3"/>
      <c r="AP128">
        <v>0</v>
      </c>
      <c r="AR128" t="s">
        <v>0</v>
      </c>
      <c r="AT128" s="2" t="s">
        <v>8</v>
      </c>
      <c r="AU128" s="1" t="e">
        <f t="shared" si="13"/>
        <v>#VALUE!</v>
      </c>
      <c r="AV128" s="1" t="e">
        <f t="shared" si="14"/>
        <v>#VALUE!</v>
      </c>
      <c r="AW128" s="1" t="e">
        <f t="shared" si="15"/>
        <v>#VALUE!</v>
      </c>
    </row>
    <row r="129" spans="1:49" x14ac:dyDescent="0.2">
      <c r="A129">
        <v>127</v>
      </c>
      <c r="B129" t="s">
        <v>1029</v>
      </c>
      <c r="F129" t="s">
        <v>1028</v>
      </c>
      <c r="G129" t="s">
        <v>4</v>
      </c>
      <c r="H129" t="s">
        <v>3</v>
      </c>
      <c r="I129" t="s">
        <v>150</v>
      </c>
      <c r="J129">
        <v>60006448</v>
      </c>
      <c r="K129" t="s">
        <v>149</v>
      </c>
      <c r="L129" t="s">
        <v>148</v>
      </c>
      <c r="M129" t="s">
        <v>147</v>
      </c>
      <c r="N129">
        <v>1</v>
      </c>
      <c r="O129" t="s">
        <v>1027</v>
      </c>
      <c r="P129">
        <v>6603932305</v>
      </c>
      <c r="Q129">
        <v>60006448</v>
      </c>
      <c r="R129" s="7">
        <v>30956</v>
      </c>
      <c r="S129" s="8">
        <f t="shared" si="8"/>
        <v>1984</v>
      </c>
      <c r="T129" s="8">
        <v>1984</v>
      </c>
      <c r="U129" s="8">
        <f t="shared" si="9"/>
        <v>38</v>
      </c>
      <c r="V129" s="7">
        <v>30956</v>
      </c>
      <c r="W129" t="s">
        <v>1026</v>
      </c>
      <c r="X129" s="2" t="s">
        <v>8</v>
      </c>
      <c r="Y129" s="6" t="e">
        <f t="shared" si="10"/>
        <v>#VALUE!</v>
      </c>
      <c r="AA129">
        <v>17884</v>
      </c>
      <c r="AB129">
        <v>110306</v>
      </c>
      <c r="AD129" t="s">
        <v>1</v>
      </c>
      <c r="AE129">
        <v>56</v>
      </c>
      <c r="AF129">
        <v>2</v>
      </c>
      <c r="AH129" t="s">
        <v>1025</v>
      </c>
      <c r="AI129" t="s">
        <v>1024</v>
      </c>
      <c r="AK129" t="s">
        <v>1023</v>
      </c>
      <c r="AL129">
        <v>0</v>
      </c>
      <c r="AM129" s="5">
        <f t="shared" si="11"/>
        <v>0</v>
      </c>
      <c r="AN129" s="4">
        <f t="shared" si="12"/>
        <v>0</v>
      </c>
      <c r="AO129" s="3"/>
      <c r="AP129">
        <v>0</v>
      </c>
      <c r="AR129" t="s">
        <v>0</v>
      </c>
      <c r="AT129" s="2" t="s">
        <v>8</v>
      </c>
      <c r="AU129" s="1" t="e">
        <f t="shared" si="13"/>
        <v>#VALUE!</v>
      </c>
      <c r="AV129" s="1" t="e">
        <f t="shared" si="14"/>
        <v>#VALUE!</v>
      </c>
      <c r="AW129" s="1" t="e">
        <f t="shared" si="15"/>
        <v>#VALUE!</v>
      </c>
    </row>
    <row r="130" spans="1:49" x14ac:dyDescent="0.2">
      <c r="A130">
        <v>128</v>
      </c>
      <c r="B130" t="s">
        <v>1022</v>
      </c>
      <c r="F130" t="s">
        <v>1021</v>
      </c>
      <c r="G130" t="s">
        <v>4</v>
      </c>
      <c r="H130" t="s">
        <v>3</v>
      </c>
      <c r="I130" t="s">
        <v>1020</v>
      </c>
      <c r="N130">
        <v>2</v>
      </c>
      <c r="O130" t="s">
        <v>1019</v>
      </c>
      <c r="P130" t="s">
        <v>1018</v>
      </c>
      <c r="Q130" t="s">
        <v>29</v>
      </c>
      <c r="R130" s="7">
        <v>30956</v>
      </c>
      <c r="S130" s="8">
        <f t="shared" ref="S130:S193" si="16">YEAR(R130)</f>
        <v>1984</v>
      </c>
      <c r="T130" s="8">
        <v>1984</v>
      </c>
      <c r="U130" s="8">
        <f t="shared" ref="U130:U193" si="17">2022-T130</f>
        <v>38</v>
      </c>
      <c r="V130" s="7">
        <v>30956</v>
      </c>
      <c r="W130" t="s">
        <v>63</v>
      </c>
      <c r="X130" s="2" t="s">
        <v>8</v>
      </c>
      <c r="Y130" s="6" t="e">
        <f t="shared" ref="Y130:Y193" si="18">(X130-$Z$4)/($Z$3-$Z$4)</f>
        <v>#VALUE!</v>
      </c>
      <c r="AA130">
        <v>337889</v>
      </c>
      <c r="AB130">
        <v>40920</v>
      </c>
      <c r="AD130" t="s">
        <v>1</v>
      </c>
      <c r="AE130">
        <v>29</v>
      </c>
      <c r="AF130">
        <v>10</v>
      </c>
      <c r="AH130" t="s">
        <v>113</v>
      </c>
      <c r="AI130" t="s">
        <v>1017</v>
      </c>
      <c r="AK130" t="s">
        <v>1016</v>
      </c>
      <c r="AL130">
        <v>0</v>
      </c>
      <c r="AM130" s="5">
        <f t="shared" ref="AM130:AM193" si="19">AL130/U130</f>
        <v>0</v>
      </c>
      <c r="AN130" s="4">
        <f t="shared" ref="AN130:AN193" si="20">(AM130-$AO$4)/($AO$3-$AO$4)</f>
        <v>0</v>
      </c>
      <c r="AO130" s="3"/>
      <c r="AP130">
        <v>0</v>
      </c>
      <c r="AR130" t="s">
        <v>0</v>
      </c>
      <c r="AT130" s="2" t="s">
        <v>8</v>
      </c>
      <c r="AU130" s="1" t="e">
        <f t="shared" ref="AU130:AU193" si="21">(Y130*0.7+AN130*0.3)*100</f>
        <v>#VALUE!</v>
      </c>
      <c r="AV130" s="1" t="e">
        <f t="shared" ref="AV130:AV193" si="22">(Y130*0.5+AN130*0.5)*100</f>
        <v>#VALUE!</v>
      </c>
      <c r="AW130" s="1" t="e">
        <f t="shared" ref="AW130:AW193" si="23">(Y130*0.3+AN130*0.7)*100</f>
        <v>#VALUE!</v>
      </c>
    </row>
    <row r="131" spans="1:49" x14ac:dyDescent="0.2">
      <c r="A131">
        <v>129</v>
      </c>
      <c r="B131" t="s">
        <v>1015</v>
      </c>
      <c r="F131" t="s">
        <v>1014</v>
      </c>
      <c r="G131" t="s">
        <v>4</v>
      </c>
      <c r="H131" t="s">
        <v>3</v>
      </c>
      <c r="I131" t="s">
        <v>1013</v>
      </c>
      <c r="N131">
        <v>1</v>
      </c>
      <c r="O131" t="s">
        <v>1012</v>
      </c>
      <c r="P131">
        <v>6603346747</v>
      </c>
      <c r="R131" s="7">
        <v>30956</v>
      </c>
      <c r="S131" s="8">
        <f t="shared" si="16"/>
        <v>1984</v>
      </c>
      <c r="T131" s="8">
        <v>1984</v>
      </c>
      <c r="U131" s="8">
        <f t="shared" si="17"/>
        <v>38</v>
      </c>
      <c r="V131" s="7">
        <v>30956</v>
      </c>
      <c r="W131" t="s">
        <v>31</v>
      </c>
      <c r="X131" s="2">
        <v>0.14099999999999999</v>
      </c>
      <c r="Y131" s="6">
        <f t="shared" si="18"/>
        <v>3.7639144710498915E-3</v>
      </c>
      <c r="AA131">
        <v>402508</v>
      </c>
      <c r="AB131">
        <v>20868</v>
      </c>
      <c r="AD131" t="s">
        <v>1</v>
      </c>
      <c r="AE131" t="s">
        <v>30</v>
      </c>
      <c r="AF131">
        <v>10</v>
      </c>
      <c r="AH131" t="s">
        <v>1011</v>
      </c>
      <c r="AI131" t="s">
        <v>1010</v>
      </c>
      <c r="AK131" t="s">
        <v>1009</v>
      </c>
      <c r="AL131">
        <v>0</v>
      </c>
      <c r="AM131" s="5">
        <f t="shared" si="19"/>
        <v>0</v>
      </c>
      <c r="AN131" s="4">
        <f t="shared" si="20"/>
        <v>0</v>
      </c>
      <c r="AO131" s="3"/>
      <c r="AP131">
        <v>0</v>
      </c>
      <c r="AR131" t="s">
        <v>0</v>
      </c>
      <c r="AT131" s="2" t="s">
        <v>8</v>
      </c>
      <c r="AU131" s="1">
        <f t="shared" si="21"/>
        <v>0.26347401297349238</v>
      </c>
      <c r="AV131" s="1">
        <f t="shared" si="22"/>
        <v>0.18819572355249459</v>
      </c>
      <c r="AW131" s="1">
        <f t="shared" si="23"/>
        <v>0.11291743413149673</v>
      </c>
    </row>
    <row r="132" spans="1:49" x14ac:dyDescent="0.2">
      <c r="A132">
        <v>130</v>
      </c>
      <c r="B132" t="s">
        <v>1008</v>
      </c>
      <c r="F132" t="s">
        <v>1007</v>
      </c>
      <c r="G132" t="s">
        <v>4</v>
      </c>
      <c r="H132" t="s">
        <v>3</v>
      </c>
      <c r="I132" t="s">
        <v>85</v>
      </c>
      <c r="N132">
        <v>3</v>
      </c>
      <c r="O132" t="s">
        <v>84</v>
      </c>
      <c r="P132" t="s">
        <v>83</v>
      </c>
      <c r="Q132" t="s">
        <v>2</v>
      </c>
      <c r="R132" s="7">
        <v>30956</v>
      </c>
      <c r="S132" s="8">
        <f t="shared" si="16"/>
        <v>1984</v>
      </c>
      <c r="T132" s="8">
        <v>1984</v>
      </c>
      <c r="U132" s="8">
        <f t="shared" si="17"/>
        <v>38</v>
      </c>
      <c r="V132" s="7">
        <v>30956</v>
      </c>
      <c r="W132" t="s">
        <v>31</v>
      </c>
      <c r="X132" s="2">
        <v>0.14099999999999999</v>
      </c>
      <c r="Y132" s="6">
        <f t="shared" si="18"/>
        <v>3.7639144710498915E-3</v>
      </c>
      <c r="AA132">
        <v>402508</v>
      </c>
      <c r="AB132">
        <v>20868</v>
      </c>
      <c r="AD132" t="s">
        <v>1</v>
      </c>
      <c r="AE132" t="s">
        <v>30</v>
      </c>
      <c r="AF132">
        <v>10</v>
      </c>
      <c r="AH132" t="s">
        <v>1006</v>
      </c>
      <c r="AI132" t="s">
        <v>1005</v>
      </c>
      <c r="AK132" t="s">
        <v>1004</v>
      </c>
      <c r="AL132">
        <v>0</v>
      </c>
      <c r="AM132" s="5">
        <f t="shared" si="19"/>
        <v>0</v>
      </c>
      <c r="AN132" s="4">
        <f t="shared" si="20"/>
        <v>0</v>
      </c>
      <c r="AO132" s="3"/>
      <c r="AP132">
        <v>0</v>
      </c>
      <c r="AR132" t="s">
        <v>0</v>
      </c>
      <c r="AT132" s="2" t="s">
        <v>8</v>
      </c>
      <c r="AU132" s="1">
        <f t="shared" si="21"/>
        <v>0.26347401297349238</v>
      </c>
      <c r="AV132" s="1">
        <f t="shared" si="22"/>
        <v>0.18819572355249459</v>
      </c>
      <c r="AW132" s="1">
        <f t="shared" si="23"/>
        <v>0.11291743413149673</v>
      </c>
    </row>
    <row r="133" spans="1:49" x14ac:dyDescent="0.2">
      <c r="A133">
        <v>131</v>
      </c>
      <c r="B133" t="s">
        <v>1003</v>
      </c>
      <c r="F133" t="s">
        <v>1002</v>
      </c>
      <c r="G133" t="s">
        <v>4</v>
      </c>
      <c r="H133" t="s">
        <v>3</v>
      </c>
      <c r="I133" t="s">
        <v>1001</v>
      </c>
      <c r="N133">
        <v>2</v>
      </c>
      <c r="O133" t="s">
        <v>1000</v>
      </c>
      <c r="P133" t="s">
        <v>999</v>
      </c>
      <c r="Q133" t="s">
        <v>29</v>
      </c>
      <c r="R133" s="7">
        <v>30956</v>
      </c>
      <c r="S133" s="8">
        <f t="shared" si="16"/>
        <v>1984</v>
      </c>
      <c r="T133" s="8">
        <v>1984</v>
      </c>
      <c r="U133" s="8">
        <f t="shared" si="17"/>
        <v>38</v>
      </c>
      <c r="V133" s="7">
        <v>30956</v>
      </c>
      <c r="W133" t="s">
        <v>31</v>
      </c>
      <c r="X133" s="2">
        <v>0.14099999999999999</v>
      </c>
      <c r="Y133" s="6">
        <f t="shared" si="18"/>
        <v>3.7639144710498915E-3</v>
      </c>
      <c r="AA133">
        <v>402508</v>
      </c>
      <c r="AB133">
        <v>20868</v>
      </c>
      <c r="AD133" t="s">
        <v>1</v>
      </c>
      <c r="AE133" t="s">
        <v>30</v>
      </c>
      <c r="AF133">
        <v>10</v>
      </c>
      <c r="AH133" t="s">
        <v>998</v>
      </c>
      <c r="AI133" t="s">
        <v>997</v>
      </c>
      <c r="AK133" t="s">
        <v>996</v>
      </c>
      <c r="AL133">
        <v>0</v>
      </c>
      <c r="AM133" s="5">
        <f t="shared" si="19"/>
        <v>0</v>
      </c>
      <c r="AN133" s="4">
        <f t="shared" si="20"/>
        <v>0</v>
      </c>
      <c r="AO133" s="3"/>
      <c r="AP133">
        <v>0</v>
      </c>
      <c r="AR133" t="s">
        <v>0</v>
      </c>
      <c r="AT133" s="2" t="s">
        <v>8</v>
      </c>
      <c r="AU133" s="1">
        <f t="shared" si="21"/>
        <v>0.26347401297349238</v>
      </c>
      <c r="AV133" s="1">
        <f t="shared" si="22"/>
        <v>0.18819572355249459</v>
      </c>
      <c r="AW133" s="1">
        <f t="shared" si="23"/>
        <v>0.11291743413149673</v>
      </c>
    </row>
    <row r="134" spans="1:49" x14ac:dyDescent="0.2">
      <c r="A134">
        <v>132</v>
      </c>
      <c r="B134" t="s">
        <v>995</v>
      </c>
      <c r="F134" t="s">
        <v>994</v>
      </c>
      <c r="G134" t="s">
        <v>4</v>
      </c>
      <c r="H134" t="s">
        <v>3</v>
      </c>
      <c r="I134" t="s">
        <v>737</v>
      </c>
      <c r="N134">
        <v>1</v>
      </c>
      <c r="O134" t="s">
        <v>736</v>
      </c>
      <c r="P134">
        <v>6602627481</v>
      </c>
      <c r="R134" s="7">
        <v>30956</v>
      </c>
      <c r="S134" s="8">
        <f t="shared" si="16"/>
        <v>1984</v>
      </c>
      <c r="T134" s="8">
        <v>1984</v>
      </c>
      <c r="U134" s="8">
        <f t="shared" si="17"/>
        <v>38</v>
      </c>
      <c r="V134" s="7">
        <v>30956</v>
      </c>
      <c r="W134" t="s">
        <v>31</v>
      </c>
      <c r="X134" s="2">
        <v>0.14099999999999999</v>
      </c>
      <c r="Y134" s="6">
        <f t="shared" si="18"/>
        <v>3.7639144710498915E-3</v>
      </c>
      <c r="AA134">
        <v>402508</v>
      </c>
      <c r="AB134">
        <v>20868</v>
      </c>
      <c r="AD134" t="s">
        <v>1</v>
      </c>
      <c r="AE134" t="s">
        <v>30</v>
      </c>
      <c r="AF134">
        <v>10</v>
      </c>
      <c r="AH134" t="s">
        <v>87</v>
      </c>
      <c r="AI134" t="s">
        <v>993</v>
      </c>
      <c r="AK134" t="s">
        <v>992</v>
      </c>
      <c r="AL134">
        <v>0</v>
      </c>
      <c r="AM134" s="5">
        <f t="shared" si="19"/>
        <v>0</v>
      </c>
      <c r="AN134" s="4">
        <f t="shared" si="20"/>
        <v>0</v>
      </c>
      <c r="AO134" s="3"/>
      <c r="AP134">
        <v>0</v>
      </c>
      <c r="AR134" t="s">
        <v>0</v>
      </c>
      <c r="AT134" s="2" t="s">
        <v>8</v>
      </c>
      <c r="AU134" s="1">
        <f t="shared" si="21"/>
        <v>0.26347401297349238</v>
      </c>
      <c r="AV134" s="1">
        <f t="shared" si="22"/>
        <v>0.18819572355249459</v>
      </c>
      <c r="AW134" s="1">
        <f t="shared" si="23"/>
        <v>0.11291743413149673</v>
      </c>
    </row>
    <row r="135" spans="1:49" x14ac:dyDescent="0.2">
      <c r="A135">
        <v>133</v>
      </c>
      <c r="B135" t="s">
        <v>991</v>
      </c>
      <c r="C135" t="s">
        <v>990</v>
      </c>
      <c r="F135" t="s">
        <v>989</v>
      </c>
      <c r="G135" t="s">
        <v>4</v>
      </c>
      <c r="H135" t="s">
        <v>3</v>
      </c>
      <c r="I135" t="s">
        <v>988</v>
      </c>
      <c r="J135">
        <v>60025038</v>
      </c>
      <c r="K135" t="s">
        <v>66</v>
      </c>
      <c r="L135" t="s">
        <v>65</v>
      </c>
      <c r="M135" t="s">
        <v>11</v>
      </c>
      <c r="N135">
        <v>4</v>
      </c>
      <c r="O135" t="s">
        <v>987</v>
      </c>
      <c r="P135" t="s">
        <v>986</v>
      </c>
      <c r="Q135" t="s">
        <v>183</v>
      </c>
      <c r="R135" s="7">
        <v>30956</v>
      </c>
      <c r="S135" s="8">
        <f t="shared" si="16"/>
        <v>1984</v>
      </c>
      <c r="T135" s="8">
        <v>1984</v>
      </c>
      <c r="U135" s="8">
        <f t="shared" si="17"/>
        <v>38</v>
      </c>
      <c r="V135" s="7">
        <v>30956</v>
      </c>
      <c r="W135" t="s">
        <v>985</v>
      </c>
      <c r="X135" s="2">
        <v>0.64800000000000002</v>
      </c>
      <c r="Y135" s="6">
        <f t="shared" si="18"/>
        <v>1.7297989909505887E-2</v>
      </c>
      <c r="AA135">
        <v>3028933</v>
      </c>
      <c r="AB135">
        <v>19623</v>
      </c>
      <c r="AC135" t="s">
        <v>984</v>
      </c>
      <c r="AD135" t="s">
        <v>1</v>
      </c>
      <c r="AE135">
        <v>139</v>
      </c>
      <c r="AF135" s="9">
        <v>44257</v>
      </c>
      <c r="AH135" t="s">
        <v>983</v>
      </c>
      <c r="AI135" t="s">
        <v>982</v>
      </c>
      <c r="AJ135" t="s">
        <v>981</v>
      </c>
      <c r="AK135" t="s">
        <v>980</v>
      </c>
      <c r="AL135">
        <v>42</v>
      </c>
      <c r="AM135" s="5">
        <f t="shared" si="19"/>
        <v>1.1052631578947369</v>
      </c>
      <c r="AN135" s="4">
        <f t="shared" si="20"/>
        <v>1.6740070547440165E-3</v>
      </c>
      <c r="AO135" s="3"/>
      <c r="AP135">
        <v>0</v>
      </c>
      <c r="AR135" t="s">
        <v>0</v>
      </c>
      <c r="AT135" s="2">
        <v>2.552</v>
      </c>
      <c r="AU135" s="1">
        <f t="shared" si="21"/>
        <v>1.2610795053077324</v>
      </c>
      <c r="AV135" s="1">
        <f t="shared" si="22"/>
        <v>0.94859984821249521</v>
      </c>
      <c r="AW135" s="1">
        <f t="shared" si="23"/>
        <v>0.63612019111725771</v>
      </c>
    </row>
    <row r="136" spans="1:49" x14ac:dyDescent="0.2">
      <c r="A136">
        <v>134</v>
      </c>
      <c r="B136" t="s">
        <v>979</v>
      </c>
      <c r="C136" t="s">
        <v>978</v>
      </c>
      <c r="D136">
        <v>14579384807425</v>
      </c>
      <c r="F136" t="s">
        <v>977</v>
      </c>
      <c r="G136" t="s">
        <v>4</v>
      </c>
      <c r="H136" t="s">
        <v>3</v>
      </c>
      <c r="I136" t="s">
        <v>140</v>
      </c>
      <c r="J136" t="s">
        <v>976</v>
      </c>
      <c r="K136" t="s">
        <v>975</v>
      </c>
      <c r="L136" t="s">
        <v>974</v>
      </c>
      <c r="M136" t="s">
        <v>973</v>
      </c>
      <c r="N136">
        <v>4</v>
      </c>
      <c r="O136" t="s">
        <v>972</v>
      </c>
      <c r="P136" t="s">
        <v>971</v>
      </c>
      <c r="Q136" t="s">
        <v>970</v>
      </c>
      <c r="R136" s="7">
        <v>30956</v>
      </c>
      <c r="S136" s="8">
        <f t="shared" si="16"/>
        <v>1984</v>
      </c>
      <c r="T136" s="8">
        <v>1984</v>
      </c>
      <c r="U136" s="8">
        <f t="shared" si="17"/>
        <v>38</v>
      </c>
      <c r="V136" s="7">
        <v>30956</v>
      </c>
      <c r="W136" t="s">
        <v>208</v>
      </c>
      <c r="X136" s="2">
        <v>1.593</v>
      </c>
      <c r="Y136" s="6">
        <f t="shared" si="18"/>
        <v>4.2524225194201973E-2</v>
      </c>
      <c r="AA136">
        <v>145793</v>
      </c>
      <c r="AB136">
        <v>17481</v>
      </c>
      <c r="AD136" t="s">
        <v>1</v>
      </c>
      <c r="AE136">
        <v>175</v>
      </c>
      <c r="AF136">
        <v>2</v>
      </c>
      <c r="AH136" t="s">
        <v>969</v>
      </c>
      <c r="AI136" t="s">
        <v>968</v>
      </c>
      <c r="AJ136" t="s">
        <v>967</v>
      </c>
      <c r="AK136" t="s">
        <v>966</v>
      </c>
      <c r="AL136">
        <v>39</v>
      </c>
      <c r="AM136" s="5">
        <f t="shared" si="19"/>
        <v>1.0263157894736843</v>
      </c>
      <c r="AN136" s="4">
        <f t="shared" si="20"/>
        <v>1.554435122262301E-3</v>
      </c>
      <c r="AO136" s="3"/>
      <c r="AP136">
        <v>1</v>
      </c>
      <c r="AQ136" t="s">
        <v>965</v>
      </c>
      <c r="AR136">
        <v>32860.82</v>
      </c>
      <c r="AS136" t="s">
        <v>964</v>
      </c>
      <c r="AT136" s="2">
        <v>4.1239999999999997</v>
      </c>
      <c r="AU136" s="1">
        <f t="shared" si="21"/>
        <v>3.0233288172620072</v>
      </c>
      <c r="AV136" s="1">
        <f t="shared" si="22"/>
        <v>2.203933015823214</v>
      </c>
      <c r="AW136" s="1">
        <f t="shared" si="23"/>
        <v>1.3845372143844201</v>
      </c>
    </row>
    <row r="137" spans="1:49" x14ac:dyDescent="0.2">
      <c r="A137">
        <v>135</v>
      </c>
      <c r="B137" t="s">
        <v>963</v>
      </c>
      <c r="C137" t="s">
        <v>962</v>
      </c>
      <c r="D137" t="s">
        <v>961</v>
      </c>
      <c r="F137" t="s">
        <v>960</v>
      </c>
      <c r="G137" t="s">
        <v>4</v>
      </c>
      <c r="H137" t="s">
        <v>3</v>
      </c>
      <c r="I137" t="s">
        <v>234</v>
      </c>
      <c r="J137">
        <v>60023392</v>
      </c>
      <c r="K137" t="s">
        <v>233</v>
      </c>
      <c r="L137" t="s">
        <v>167</v>
      </c>
      <c r="M137" t="s">
        <v>13</v>
      </c>
      <c r="N137">
        <v>2</v>
      </c>
      <c r="O137" t="s">
        <v>232</v>
      </c>
      <c r="P137" t="s">
        <v>231</v>
      </c>
      <c r="Q137" t="s">
        <v>230</v>
      </c>
      <c r="R137" s="7">
        <v>30952</v>
      </c>
      <c r="S137" s="8">
        <f t="shared" si="16"/>
        <v>1984</v>
      </c>
      <c r="T137" s="8">
        <v>1984</v>
      </c>
      <c r="U137" s="8">
        <f t="shared" si="17"/>
        <v>38</v>
      </c>
      <c r="V137" s="7">
        <v>30952</v>
      </c>
      <c r="W137" t="s">
        <v>210</v>
      </c>
      <c r="X137" s="2">
        <v>1.59</v>
      </c>
      <c r="Y137" s="6">
        <f t="shared" si="18"/>
        <v>4.2444141907583888E-2</v>
      </c>
      <c r="AA137">
        <v>52728</v>
      </c>
      <c r="AB137">
        <v>16791</v>
      </c>
      <c r="AD137" t="s">
        <v>1</v>
      </c>
      <c r="AE137">
        <v>766</v>
      </c>
      <c r="AF137">
        <v>3</v>
      </c>
      <c r="AH137" t="s">
        <v>959</v>
      </c>
      <c r="AI137" t="s">
        <v>958</v>
      </c>
      <c r="AJ137" t="s">
        <v>957</v>
      </c>
      <c r="AK137" t="s">
        <v>956</v>
      </c>
      <c r="AL137">
        <v>33</v>
      </c>
      <c r="AM137" s="5">
        <f t="shared" si="19"/>
        <v>0.86842105263157898</v>
      </c>
      <c r="AN137" s="4">
        <f t="shared" si="20"/>
        <v>1.31529125729887E-3</v>
      </c>
      <c r="AO137" s="3"/>
      <c r="AP137">
        <v>0</v>
      </c>
      <c r="AR137" t="s">
        <v>0</v>
      </c>
      <c r="AT137" s="2" t="s">
        <v>8</v>
      </c>
      <c r="AU137" s="1">
        <f t="shared" si="21"/>
        <v>3.0105486712498379</v>
      </c>
      <c r="AV137" s="1">
        <f t="shared" si="22"/>
        <v>2.187971658244138</v>
      </c>
      <c r="AW137" s="1">
        <f t="shared" si="23"/>
        <v>1.3653946452384376</v>
      </c>
    </row>
    <row r="138" spans="1:49" x14ac:dyDescent="0.2">
      <c r="A138">
        <v>136</v>
      </c>
      <c r="B138" t="s">
        <v>955</v>
      </c>
      <c r="C138" t="s">
        <v>954</v>
      </c>
      <c r="D138">
        <v>5272884901105</v>
      </c>
      <c r="F138" t="s">
        <v>953</v>
      </c>
      <c r="G138" t="s">
        <v>4</v>
      </c>
      <c r="H138" t="s">
        <v>3</v>
      </c>
      <c r="I138" t="s">
        <v>952</v>
      </c>
      <c r="J138">
        <v>60017563</v>
      </c>
      <c r="K138" t="s">
        <v>951</v>
      </c>
      <c r="L138" t="s">
        <v>950</v>
      </c>
      <c r="M138" t="s">
        <v>110</v>
      </c>
      <c r="N138">
        <v>2</v>
      </c>
      <c r="O138" t="s">
        <v>949</v>
      </c>
      <c r="P138" t="s">
        <v>948</v>
      </c>
      <c r="Q138" t="s">
        <v>947</v>
      </c>
      <c r="R138" s="7">
        <v>30952</v>
      </c>
      <c r="S138" s="8">
        <f t="shared" si="16"/>
        <v>1984</v>
      </c>
      <c r="T138" s="8">
        <v>1984</v>
      </c>
      <c r="U138" s="8">
        <f t="shared" si="17"/>
        <v>38</v>
      </c>
      <c r="V138" s="7">
        <v>30952</v>
      </c>
      <c r="W138" t="s">
        <v>210</v>
      </c>
      <c r="X138" s="2">
        <v>1.59</v>
      </c>
      <c r="Y138" s="6">
        <f t="shared" si="18"/>
        <v>4.2444141907583888E-2</v>
      </c>
      <c r="AA138">
        <v>52728</v>
      </c>
      <c r="AB138">
        <v>16791</v>
      </c>
      <c r="AD138" t="s">
        <v>1</v>
      </c>
      <c r="AE138">
        <v>766</v>
      </c>
      <c r="AF138">
        <v>3</v>
      </c>
      <c r="AH138" t="s">
        <v>946</v>
      </c>
      <c r="AI138" t="s">
        <v>945</v>
      </c>
      <c r="AJ138" t="s">
        <v>944</v>
      </c>
      <c r="AK138" t="s">
        <v>943</v>
      </c>
      <c r="AL138">
        <v>18</v>
      </c>
      <c r="AM138" s="5">
        <f t="shared" si="19"/>
        <v>0.47368421052631576</v>
      </c>
      <c r="AN138" s="4">
        <f t="shared" si="20"/>
        <v>7.1743159489029266E-4</v>
      </c>
      <c r="AO138" s="3"/>
      <c r="AP138">
        <v>0</v>
      </c>
      <c r="AR138" t="s">
        <v>0</v>
      </c>
      <c r="AT138" s="2" t="s">
        <v>8</v>
      </c>
      <c r="AU138" s="1">
        <f t="shared" si="21"/>
        <v>2.9926128813775805</v>
      </c>
      <c r="AV138" s="1">
        <f t="shared" si="22"/>
        <v>2.1580786751237091</v>
      </c>
      <c r="AW138" s="1">
        <f t="shared" si="23"/>
        <v>1.323544468869837</v>
      </c>
    </row>
    <row r="139" spans="1:49" x14ac:dyDescent="0.2">
      <c r="A139">
        <v>137</v>
      </c>
      <c r="B139" t="s">
        <v>942</v>
      </c>
      <c r="C139" t="s">
        <v>941</v>
      </c>
      <c r="F139" t="s">
        <v>940</v>
      </c>
      <c r="G139" t="s">
        <v>4</v>
      </c>
      <c r="H139" t="s">
        <v>3</v>
      </c>
      <c r="I139" t="s">
        <v>939</v>
      </c>
      <c r="J139">
        <v>60072501</v>
      </c>
      <c r="K139" t="s">
        <v>116</v>
      </c>
      <c r="L139" t="s">
        <v>115</v>
      </c>
      <c r="M139" t="s">
        <v>17</v>
      </c>
      <c r="N139">
        <v>2</v>
      </c>
      <c r="O139" t="s">
        <v>938</v>
      </c>
      <c r="P139" t="s">
        <v>937</v>
      </c>
      <c r="Q139" t="s">
        <v>114</v>
      </c>
      <c r="R139" s="7">
        <v>30938</v>
      </c>
      <c r="S139" s="8">
        <f t="shared" si="16"/>
        <v>1984</v>
      </c>
      <c r="T139" s="8">
        <v>1984</v>
      </c>
      <c r="U139" s="8">
        <f t="shared" si="17"/>
        <v>38</v>
      </c>
      <c r="V139" s="7">
        <v>30938</v>
      </c>
      <c r="W139" t="s">
        <v>206</v>
      </c>
      <c r="X139" s="2">
        <v>0.375</v>
      </c>
      <c r="Y139" s="6">
        <f t="shared" si="18"/>
        <v>1.0010410827260351E-2</v>
      </c>
      <c r="AA139">
        <v>135194</v>
      </c>
      <c r="AB139">
        <v>24918</v>
      </c>
      <c r="AD139" t="s">
        <v>1</v>
      </c>
      <c r="AE139">
        <v>20</v>
      </c>
      <c r="AF139">
        <v>19</v>
      </c>
      <c r="AH139" t="s">
        <v>936</v>
      </c>
      <c r="AI139" t="s">
        <v>935</v>
      </c>
      <c r="AJ139" t="s">
        <v>934</v>
      </c>
      <c r="AK139" t="s">
        <v>933</v>
      </c>
      <c r="AL139">
        <v>1</v>
      </c>
      <c r="AM139" s="5">
        <f t="shared" si="19"/>
        <v>2.6315789473684209E-2</v>
      </c>
      <c r="AN139" s="4">
        <f t="shared" si="20"/>
        <v>3.9857310827238481E-5</v>
      </c>
      <c r="AO139" s="3"/>
      <c r="AP139">
        <v>0</v>
      </c>
      <c r="AR139" t="s">
        <v>0</v>
      </c>
      <c r="AT139" s="2">
        <v>1.3140000000000001</v>
      </c>
      <c r="AU139" s="1">
        <f t="shared" si="21"/>
        <v>0.70192447723304174</v>
      </c>
      <c r="AV139" s="1">
        <f t="shared" si="22"/>
        <v>0.50251340690437951</v>
      </c>
      <c r="AW139" s="1">
        <f t="shared" si="23"/>
        <v>0.30310233657571722</v>
      </c>
    </row>
    <row r="140" spans="1:49" x14ac:dyDescent="0.2">
      <c r="A140">
        <v>138</v>
      </c>
      <c r="B140" t="s">
        <v>932</v>
      </c>
      <c r="C140" t="s">
        <v>931</v>
      </c>
      <c r="F140" t="s">
        <v>930</v>
      </c>
      <c r="G140" t="s">
        <v>4</v>
      </c>
      <c r="H140" t="s">
        <v>3</v>
      </c>
      <c r="I140" t="s">
        <v>929</v>
      </c>
      <c r="J140">
        <v>60026415</v>
      </c>
      <c r="K140" t="s">
        <v>928</v>
      </c>
      <c r="L140" t="s">
        <v>927</v>
      </c>
      <c r="M140" t="s">
        <v>11</v>
      </c>
      <c r="N140">
        <v>1</v>
      </c>
      <c r="O140" t="s">
        <v>926</v>
      </c>
      <c r="P140">
        <v>7006740026</v>
      </c>
      <c r="Q140">
        <v>60026415</v>
      </c>
      <c r="R140" s="7">
        <v>30938</v>
      </c>
      <c r="S140" s="8">
        <f t="shared" si="16"/>
        <v>1984</v>
      </c>
      <c r="T140" s="8">
        <v>1984</v>
      </c>
      <c r="U140" s="8">
        <f t="shared" si="17"/>
        <v>38</v>
      </c>
      <c r="V140" s="7">
        <v>30938</v>
      </c>
      <c r="W140" t="s">
        <v>206</v>
      </c>
      <c r="X140" s="2">
        <v>0.375</v>
      </c>
      <c r="Y140" s="6">
        <f t="shared" si="18"/>
        <v>1.0010410827260351E-2</v>
      </c>
      <c r="AA140">
        <v>135194</v>
      </c>
      <c r="AB140">
        <v>24918</v>
      </c>
      <c r="AD140" t="s">
        <v>1</v>
      </c>
      <c r="AE140">
        <v>20</v>
      </c>
      <c r="AF140">
        <v>19</v>
      </c>
      <c r="AH140" t="s">
        <v>925</v>
      </c>
      <c r="AI140" t="s">
        <v>924</v>
      </c>
      <c r="AJ140" t="s">
        <v>923</v>
      </c>
      <c r="AK140" t="s">
        <v>922</v>
      </c>
      <c r="AL140">
        <v>2</v>
      </c>
      <c r="AM140" s="5">
        <f t="shared" si="19"/>
        <v>5.2631578947368418E-2</v>
      </c>
      <c r="AN140" s="4">
        <f t="shared" si="20"/>
        <v>7.9714621654476962E-5</v>
      </c>
      <c r="AO140" s="3"/>
      <c r="AP140">
        <v>0</v>
      </c>
      <c r="AR140" t="s">
        <v>0</v>
      </c>
      <c r="AT140" s="2">
        <v>1.3140000000000001</v>
      </c>
      <c r="AU140" s="1">
        <f t="shared" si="21"/>
        <v>0.70312019655785896</v>
      </c>
      <c r="AV140" s="1">
        <f t="shared" si="22"/>
        <v>0.50450627244574142</v>
      </c>
      <c r="AW140" s="1">
        <f t="shared" si="23"/>
        <v>0.30589234833362389</v>
      </c>
    </row>
    <row r="141" spans="1:49" x14ac:dyDescent="0.2">
      <c r="A141">
        <v>139</v>
      </c>
      <c r="B141" t="s">
        <v>921</v>
      </c>
      <c r="C141" t="s">
        <v>920</v>
      </c>
      <c r="F141" t="s">
        <v>919</v>
      </c>
      <c r="G141" t="s">
        <v>4</v>
      </c>
      <c r="H141" t="s">
        <v>3</v>
      </c>
      <c r="I141" t="s">
        <v>918</v>
      </c>
      <c r="J141">
        <v>60075697</v>
      </c>
      <c r="K141" t="s">
        <v>917</v>
      </c>
      <c r="L141" t="s">
        <v>916</v>
      </c>
      <c r="M141" t="s">
        <v>17</v>
      </c>
      <c r="N141">
        <v>2</v>
      </c>
      <c r="O141" t="s">
        <v>915</v>
      </c>
      <c r="P141" t="s">
        <v>914</v>
      </c>
      <c r="Q141" t="s">
        <v>913</v>
      </c>
      <c r="R141" s="7">
        <v>30938</v>
      </c>
      <c r="S141" s="8">
        <f t="shared" si="16"/>
        <v>1984</v>
      </c>
      <c r="T141" s="8">
        <v>1984</v>
      </c>
      <c r="U141" s="8">
        <f t="shared" si="17"/>
        <v>38</v>
      </c>
      <c r="V141" s="7">
        <v>30938</v>
      </c>
      <c r="W141" t="s">
        <v>206</v>
      </c>
      <c r="X141" s="2">
        <v>0.375</v>
      </c>
      <c r="Y141" s="6">
        <f t="shared" si="18"/>
        <v>1.0010410827260351E-2</v>
      </c>
      <c r="AA141">
        <v>135194</v>
      </c>
      <c r="AB141">
        <v>24918</v>
      </c>
      <c r="AD141" t="s">
        <v>1</v>
      </c>
      <c r="AE141">
        <v>20</v>
      </c>
      <c r="AF141">
        <v>19</v>
      </c>
      <c r="AH141" t="s">
        <v>912</v>
      </c>
      <c r="AI141" t="s">
        <v>911</v>
      </c>
      <c r="AJ141" t="s">
        <v>910</v>
      </c>
      <c r="AK141" t="s">
        <v>909</v>
      </c>
      <c r="AL141">
        <v>18</v>
      </c>
      <c r="AM141" s="5">
        <f t="shared" si="19"/>
        <v>0.47368421052631576</v>
      </c>
      <c r="AN141" s="4">
        <f t="shared" si="20"/>
        <v>7.1743159489029266E-4</v>
      </c>
      <c r="AO141" s="3"/>
      <c r="AP141">
        <v>0</v>
      </c>
      <c r="AR141" t="s">
        <v>0</v>
      </c>
      <c r="AT141" s="2">
        <v>1.3140000000000001</v>
      </c>
      <c r="AU141" s="1">
        <f t="shared" si="21"/>
        <v>0.72225170575493336</v>
      </c>
      <c r="AV141" s="1">
        <f t="shared" si="22"/>
        <v>0.5363921211075322</v>
      </c>
      <c r="AW141" s="1">
        <f t="shared" si="23"/>
        <v>0.35053253646013099</v>
      </c>
    </row>
    <row r="142" spans="1:49" x14ac:dyDescent="0.2">
      <c r="A142">
        <v>140</v>
      </c>
      <c r="B142" t="s">
        <v>908</v>
      </c>
      <c r="C142" t="s">
        <v>907</v>
      </c>
      <c r="F142" t="s">
        <v>906</v>
      </c>
      <c r="G142" t="s">
        <v>4</v>
      </c>
      <c r="H142" t="s">
        <v>3</v>
      </c>
      <c r="I142" t="s">
        <v>905</v>
      </c>
      <c r="J142" t="s">
        <v>904</v>
      </c>
      <c r="K142" t="s">
        <v>903</v>
      </c>
      <c r="L142" t="s">
        <v>902</v>
      </c>
      <c r="M142" t="s">
        <v>151</v>
      </c>
      <c r="N142">
        <v>2</v>
      </c>
      <c r="O142" t="s">
        <v>901</v>
      </c>
      <c r="P142" t="s">
        <v>900</v>
      </c>
      <c r="Q142" t="s">
        <v>899</v>
      </c>
      <c r="R142" s="7">
        <v>30926</v>
      </c>
      <c r="S142" s="8">
        <f t="shared" si="16"/>
        <v>1984</v>
      </c>
      <c r="T142" s="8">
        <v>1984</v>
      </c>
      <c r="U142" s="8">
        <f t="shared" si="17"/>
        <v>38</v>
      </c>
      <c r="V142" s="7">
        <v>30926</v>
      </c>
      <c r="W142" t="s">
        <v>898</v>
      </c>
      <c r="X142" s="2" t="s">
        <v>8</v>
      </c>
      <c r="Y142" s="6" t="e">
        <f t="shared" si="18"/>
        <v>#VALUE!</v>
      </c>
      <c r="AA142">
        <v>3044289</v>
      </c>
      <c r="AB142">
        <v>29642</v>
      </c>
      <c r="AC142">
        <v>9737111</v>
      </c>
      <c r="AD142" t="s">
        <v>1</v>
      </c>
      <c r="AE142">
        <v>23</v>
      </c>
      <c r="AF142">
        <v>3</v>
      </c>
      <c r="AH142" t="s">
        <v>897</v>
      </c>
      <c r="AI142" t="s">
        <v>896</v>
      </c>
      <c r="AJ142" t="s">
        <v>895</v>
      </c>
      <c r="AK142" t="s">
        <v>894</v>
      </c>
      <c r="AL142">
        <v>4</v>
      </c>
      <c r="AM142" s="5">
        <f t="shared" si="19"/>
        <v>0.10526315789473684</v>
      </c>
      <c r="AN142" s="4">
        <f t="shared" si="20"/>
        <v>1.5942924330895392E-4</v>
      </c>
      <c r="AO142" s="3"/>
      <c r="AP142">
        <v>0</v>
      </c>
      <c r="AR142" t="s">
        <v>0</v>
      </c>
      <c r="AT142" s="2" t="s">
        <v>8</v>
      </c>
      <c r="AU142" s="1" t="e">
        <f t="shared" si="21"/>
        <v>#VALUE!</v>
      </c>
      <c r="AV142" s="1" t="e">
        <f t="shared" si="22"/>
        <v>#VALUE!</v>
      </c>
      <c r="AW142" s="1" t="e">
        <f t="shared" si="23"/>
        <v>#VALUE!</v>
      </c>
    </row>
    <row r="143" spans="1:49" x14ac:dyDescent="0.2">
      <c r="A143">
        <v>141</v>
      </c>
      <c r="B143" t="s">
        <v>893</v>
      </c>
      <c r="C143" t="s">
        <v>892</v>
      </c>
      <c r="F143" t="s">
        <v>891</v>
      </c>
      <c r="G143" t="s">
        <v>4</v>
      </c>
      <c r="H143" t="s">
        <v>3</v>
      </c>
      <c r="I143" t="s">
        <v>890</v>
      </c>
      <c r="J143">
        <v>60031581</v>
      </c>
      <c r="K143" t="s">
        <v>217</v>
      </c>
      <c r="L143" t="s">
        <v>44</v>
      </c>
      <c r="M143" t="s">
        <v>11</v>
      </c>
      <c r="N143">
        <v>3</v>
      </c>
      <c r="O143" t="s">
        <v>889</v>
      </c>
      <c r="P143" t="s">
        <v>888</v>
      </c>
      <c r="Q143" t="s">
        <v>216</v>
      </c>
      <c r="R143" s="7">
        <v>30926</v>
      </c>
      <c r="S143" s="8">
        <f t="shared" si="16"/>
        <v>1984</v>
      </c>
      <c r="T143" s="8">
        <v>1984</v>
      </c>
      <c r="U143" s="8">
        <f t="shared" si="17"/>
        <v>38</v>
      </c>
      <c r="V143" s="7">
        <v>30926</v>
      </c>
      <c r="W143" t="s">
        <v>222</v>
      </c>
      <c r="X143" s="2">
        <v>1.026</v>
      </c>
      <c r="Y143" s="6">
        <f t="shared" si="18"/>
        <v>2.738848402338432E-2</v>
      </c>
      <c r="AA143">
        <v>380938</v>
      </c>
      <c r="AB143">
        <v>28245</v>
      </c>
      <c r="AC143" t="s">
        <v>221</v>
      </c>
      <c r="AD143" t="s">
        <v>1</v>
      </c>
      <c r="AE143">
        <v>94</v>
      </c>
      <c r="AF143">
        <v>2</v>
      </c>
      <c r="AH143" t="s">
        <v>887</v>
      </c>
      <c r="AI143" t="s">
        <v>886</v>
      </c>
      <c r="AK143" t="s">
        <v>885</v>
      </c>
      <c r="AL143">
        <v>51</v>
      </c>
      <c r="AM143" s="5">
        <f t="shared" si="19"/>
        <v>1.3421052631578947</v>
      </c>
      <c r="AN143" s="4">
        <f t="shared" si="20"/>
        <v>2.0327228521891628E-3</v>
      </c>
      <c r="AO143" s="3"/>
      <c r="AP143">
        <v>0</v>
      </c>
      <c r="AR143" t="s">
        <v>0</v>
      </c>
      <c r="AT143" s="2">
        <v>2.6709999999999998</v>
      </c>
      <c r="AU143" s="1">
        <f t="shared" si="21"/>
        <v>1.9781755672025774</v>
      </c>
      <c r="AV143" s="1">
        <f t="shared" si="22"/>
        <v>1.4710603437786742</v>
      </c>
      <c r="AW143" s="1">
        <f t="shared" si="23"/>
        <v>0.96394512035477098</v>
      </c>
    </row>
    <row r="144" spans="1:49" x14ac:dyDescent="0.2">
      <c r="A144">
        <v>142</v>
      </c>
      <c r="B144" t="s">
        <v>884</v>
      </c>
      <c r="C144" t="s">
        <v>883</v>
      </c>
      <c r="F144" t="s">
        <v>882</v>
      </c>
      <c r="G144" t="s">
        <v>4</v>
      </c>
      <c r="H144" t="s">
        <v>3</v>
      </c>
      <c r="I144" t="s">
        <v>881</v>
      </c>
      <c r="J144" t="s">
        <v>880</v>
      </c>
      <c r="K144" t="s">
        <v>879</v>
      </c>
      <c r="L144" t="s">
        <v>878</v>
      </c>
      <c r="M144" t="s">
        <v>877</v>
      </c>
      <c r="N144">
        <v>3</v>
      </c>
      <c r="O144" t="s">
        <v>876</v>
      </c>
      <c r="P144" t="s">
        <v>875</v>
      </c>
      <c r="Q144" t="s">
        <v>874</v>
      </c>
      <c r="R144" s="7">
        <v>30926</v>
      </c>
      <c r="S144" s="8">
        <f t="shared" si="16"/>
        <v>1984</v>
      </c>
      <c r="T144" s="8">
        <v>1984</v>
      </c>
      <c r="U144" s="8">
        <f t="shared" si="17"/>
        <v>38</v>
      </c>
      <c r="V144" s="7">
        <v>30926</v>
      </c>
      <c r="W144" t="s">
        <v>222</v>
      </c>
      <c r="X144" s="2">
        <v>1.026</v>
      </c>
      <c r="Y144" s="6">
        <f t="shared" si="18"/>
        <v>2.738848402338432E-2</v>
      </c>
      <c r="AA144">
        <v>380938</v>
      </c>
      <c r="AB144">
        <v>28245</v>
      </c>
      <c r="AC144" t="s">
        <v>221</v>
      </c>
      <c r="AD144" t="s">
        <v>1</v>
      </c>
      <c r="AE144">
        <v>94</v>
      </c>
      <c r="AF144">
        <v>2</v>
      </c>
      <c r="AH144" t="s">
        <v>873</v>
      </c>
      <c r="AI144" t="s">
        <v>872</v>
      </c>
      <c r="AK144" t="s">
        <v>871</v>
      </c>
      <c r="AL144">
        <v>9</v>
      </c>
      <c r="AM144" s="5">
        <f t="shared" si="19"/>
        <v>0.23684210526315788</v>
      </c>
      <c r="AN144" s="4">
        <f t="shared" si="20"/>
        <v>3.5871579744514633E-4</v>
      </c>
      <c r="AO144" s="3"/>
      <c r="AP144">
        <v>0</v>
      </c>
      <c r="AR144" t="s">
        <v>0</v>
      </c>
      <c r="AT144" s="2">
        <v>2.6709999999999998</v>
      </c>
      <c r="AU144" s="1">
        <f t="shared" si="21"/>
        <v>1.9279553555602569</v>
      </c>
      <c r="AV144" s="1">
        <f t="shared" si="22"/>
        <v>1.3873599910414733</v>
      </c>
      <c r="AW144" s="1">
        <f t="shared" si="23"/>
        <v>0.8467646265226898</v>
      </c>
    </row>
    <row r="145" spans="1:49" x14ac:dyDescent="0.2">
      <c r="A145">
        <v>143</v>
      </c>
      <c r="B145" t="s">
        <v>870</v>
      </c>
      <c r="F145" t="s">
        <v>869</v>
      </c>
      <c r="G145" t="s">
        <v>4</v>
      </c>
      <c r="H145" t="s">
        <v>3</v>
      </c>
      <c r="I145" t="s">
        <v>868</v>
      </c>
      <c r="J145">
        <v>60005304</v>
      </c>
      <c r="K145" t="s">
        <v>37</v>
      </c>
      <c r="L145" t="s">
        <v>36</v>
      </c>
      <c r="M145" t="s">
        <v>11</v>
      </c>
      <c r="N145">
        <v>1</v>
      </c>
      <c r="O145" t="s">
        <v>867</v>
      </c>
      <c r="P145">
        <v>7202187791</v>
      </c>
      <c r="Q145">
        <v>60005304</v>
      </c>
      <c r="R145" s="7">
        <v>30926</v>
      </c>
      <c r="S145" s="8">
        <f t="shared" si="16"/>
        <v>1984</v>
      </c>
      <c r="T145" s="8">
        <v>1984</v>
      </c>
      <c r="U145" s="8">
        <f t="shared" si="17"/>
        <v>38</v>
      </c>
      <c r="V145" s="7">
        <v>30926</v>
      </c>
      <c r="W145" t="s">
        <v>61</v>
      </c>
      <c r="X145" s="2" t="s">
        <v>8</v>
      </c>
      <c r="Y145" s="6" t="e">
        <f t="shared" si="18"/>
        <v>#VALUE!</v>
      </c>
      <c r="AA145">
        <v>262897</v>
      </c>
      <c r="AB145">
        <v>18580</v>
      </c>
      <c r="AD145" t="s">
        <v>1</v>
      </c>
      <c r="AE145">
        <v>27</v>
      </c>
      <c r="AF145">
        <v>9</v>
      </c>
      <c r="AI145" t="s">
        <v>866</v>
      </c>
      <c r="AK145" t="s">
        <v>865</v>
      </c>
      <c r="AL145">
        <v>21</v>
      </c>
      <c r="AM145" s="5">
        <f t="shared" si="19"/>
        <v>0.55263157894736847</v>
      </c>
      <c r="AN145" s="4">
        <f t="shared" si="20"/>
        <v>8.3700352737200827E-4</v>
      </c>
      <c r="AO145" s="3"/>
      <c r="AP145">
        <v>0</v>
      </c>
      <c r="AR145" t="s">
        <v>0</v>
      </c>
      <c r="AT145" s="2">
        <v>0.30599999999999999</v>
      </c>
      <c r="AU145" s="1" t="e">
        <f t="shared" si="21"/>
        <v>#VALUE!</v>
      </c>
      <c r="AV145" s="1" t="e">
        <f t="shared" si="22"/>
        <v>#VALUE!</v>
      </c>
      <c r="AW145" s="1" t="e">
        <f t="shared" si="23"/>
        <v>#VALUE!</v>
      </c>
    </row>
    <row r="146" spans="1:49" x14ac:dyDescent="0.2">
      <c r="A146">
        <v>144</v>
      </c>
      <c r="B146" t="s">
        <v>864</v>
      </c>
      <c r="C146" t="s">
        <v>863</v>
      </c>
      <c r="F146" t="s">
        <v>862</v>
      </c>
      <c r="G146" t="s">
        <v>4</v>
      </c>
      <c r="H146" t="s">
        <v>3</v>
      </c>
      <c r="I146" t="s">
        <v>861</v>
      </c>
      <c r="J146">
        <v>60021712</v>
      </c>
      <c r="K146" t="s">
        <v>860</v>
      </c>
      <c r="L146" t="s">
        <v>859</v>
      </c>
      <c r="M146" t="s">
        <v>59</v>
      </c>
      <c r="N146">
        <v>2</v>
      </c>
      <c r="O146" t="s">
        <v>858</v>
      </c>
      <c r="P146" t="s">
        <v>857</v>
      </c>
      <c r="Q146" t="s">
        <v>856</v>
      </c>
      <c r="R146" s="7">
        <v>30926</v>
      </c>
      <c r="S146" s="8">
        <f t="shared" si="16"/>
        <v>1984</v>
      </c>
      <c r="T146" s="8">
        <v>1984</v>
      </c>
      <c r="U146" s="8">
        <f t="shared" si="17"/>
        <v>38</v>
      </c>
      <c r="V146" s="7">
        <v>30926</v>
      </c>
      <c r="W146" t="s">
        <v>180</v>
      </c>
      <c r="X146" s="2">
        <v>0.8</v>
      </c>
      <c r="Y146" s="6">
        <f t="shared" si="18"/>
        <v>2.1355543098155415E-2</v>
      </c>
      <c r="AA146">
        <v>3407594</v>
      </c>
      <c r="AB146">
        <v>23456</v>
      </c>
      <c r="AC146">
        <v>14321351</v>
      </c>
      <c r="AD146" t="s">
        <v>1</v>
      </c>
      <c r="AE146">
        <v>155</v>
      </c>
      <c r="AF146">
        <v>5</v>
      </c>
      <c r="AH146" t="s">
        <v>855</v>
      </c>
      <c r="AI146" t="s">
        <v>854</v>
      </c>
      <c r="AK146" t="s">
        <v>853</v>
      </c>
      <c r="AL146">
        <v>5</v>
      </c>
      <c r="AM146" s="5">
        <f t="shared" si="19"/>
        <v>0.13157894736842105</v>
      </c>
      <c r="AN146" s="4">
        <f t="shared" si="20"/>
        <v>1.9928655413619243E-4</v>
      </c>
      <c r="AO146" s="3"/>
      <c r="AP146">
        <v>0</v>
      </c>
      <c r="AR146" t="s">
        <v>0</v>
      </c>
      <c r="AT146" s="2" t="s">
        <v>8</v>
      </c>
      <c r="AU146" s="1">
        <f t="shared" si="21"/>
        <v>1.5008666134949646</v>
      </c>
      <c r="AV146" s="1">
        <f t="shared" si="22"/>
        <v>1.0777414826145804</v>
      </c>
      <c r="AW146" s="1">
        <f t="shared" si="23"/>
        <v>0.65461635173419586</v>
      </c>
    </row>
    <row r="147" spans="1:49" x14ac:dyDescent="0.2">
      <c r="A147">
        <v>145</v>
      </c>
      <c r="B147" t="s">
        <v>852</v>
      </c>
      <c r="C147" t="s">
        <v>851</v>
      </c>
      <c r="F147" t="s">
        <v>850</v>
      </c>
      <c r="G147" t="s">
        <v>4</v>
      </c>
      <c r="H147" t="s">
        <v>3</v>
      </c>
      <c r="I147" t="s">
        <v>849</v>
      </c>
      <c r="J147">
        <v>60008293</v>
      </c>
      <c r="K147" t="s">
        <v>848</v>
      </c>
      <c r="L147" t="s">
        <v>847</v>
      </c>
      <c r="M147" t="s">
        <v>17</v>
      </c>
      <c r="N147">
        <v>2</v>
      </c>
      <c r="O147" t="s">
        <v>846</v>
      </c>
      <c r="P147" t="s">
        <v>845</v>
      </c>
      <c r="Q147" t="s">
        <v>844</v>
      </c>
      <c r="R147" s="7">
        <v>30926</v>
      </c>
      <c r="S147" s="8">
        <f t="shared" si="16"/>
        <v>1984</v>
      </c>
      <c r="T147" s="8">
        <v>1984</v>
      </c>
      <c r="U147" s="8">
        <f t="shared" si="17"/>
        <v>38</v>
      </c>
      <c r="V147" s="7">
        <v>30926</v>
      </c>
      <c r="W147" t="s">
        <v>843</v>
      </c>
      <c r="X147" s="2">
        <v>1.3280000000000001</v>
      </c>
      <c r="Y147" s="6">
        <f t="shared" si="18"/>
        <v>3.5450201542937994E-2</v>
      </c>
      <c r="AA147">
        <v>298549</v>
      </c>
      <c r="AB147">
        <v>12925</v>
      </c>
      <c r="AC147">
        <v>14321939</v>
      </c>
      <c r="AD147" t="s">
        <v>1</v>
      </c>
      <c r="AE147">
        <v>64</v>
      </c>
      <c r="AF147">
        <v>1</v>
      </c>
      <c r="AH147" t="s">
        <v>842</v>
      </c>
      <c r="AI147" t="s">
        <v>841</v>
      </c>
      <c r="AK147" t="s">
        <v>840</v>
      </c>
      <c r="AL147">
        <v>54</v>
      </c>
      <c r="AM147" s="5">
        <f t="shared" si="19"/>
        <v>1.4210526315789473</v>
      </c>
      <c r="AN147" s="4">
        <f t="shared" si="20"/>
        <v>2.1522947846708781E-3</v>
      </c>
      <c r="AO147" s="3"/>
      <c r="AP147">
        <v>0</v>
      </c>
      <c r="AR147" t="s">
        <v>0</v>
      </c>
      <c r="AT147" s="2">
        <v>3.2250000000000001</v>
      </c>
      <c r="AU147" s="1">
        <f t="shared" si="21"/>
        <v>2.5460829515457859</v>
      </c>
      <c r="AV147" s="1">
        <f t="shared" si="22"/>
        <v>1.8801248163804436</v>
      </c>
      <c r="AW147" s="1">
        <f t="shared" si="23"/>
        <v>1.2141666812151013</v>
      </c>
    </row>
    <row r="148" spans="1:49" x14ac:dyDescent="0.2">
      <c r="A148">
        <v>146</v>
      </c>
      <c r="B148" t="s">
        <v>839</v>
      </c>
      <c r="C148" t="s">
        <v>838</v>
      </c>
      <c r="F148" t="s">
        <v>837</v>
      </c>
      <c r="G148" t="s">
        <v>4</v>
      </c>
      <c r="H148" t="s">
        <v>3</v>
      </c>
      <c r="I148" t="s">
        <v>836</v>
      </c>
      <c r="N148">
        <v>2</v>
      </c>
      <c r="O148" t="s">
        <v>835</v>
      </c>
      <c r="P148" t="s">
        <v>834</v>
      </c>
      <c r="Q148" t="s">
        <v>29</v>
      </c>
      <c r="R148" s="7">
        <v>30926</v>
      </c>
      <c r="S148" s="8">
        <f t="shared" si="16"/>
        <v>1984</v>
      </c>
      <c r="T148" s="8">
        <v>1984</v>
      </c>
      <c r="U148" s="8">
        <f t="shared" si="17"/>
        <v>38</v>
      </c>
      <c r="V148" s="7">
        <v>30926</v>
      </c>
      <c r="W148" t="s">
        <v>212</v>
      </c>
      <c r="X148" s="2">
        <v>0.14899999999999999</v>
      </c>
      <c r="Y148" s="6">
        <f t="shared" si="18"/>
        <v>3.977469902031446E-3</v>
      </c>
      <c r="AA148">
        <v>5431972</v>
      </c>
      <c r="AB148">
        <v>15425</v>
      </c>
      <c r="AC148">
        <v>15738906</v>
      </c>
      <c r="AD148" t="s">
        <v>1</v>
      </c>
      <c r="AE148">
        <v>27</v>
      </c>
      <c r="AF148">
        <v>9</v>
      </c>
      <c r="AH148" t="s">
        <v>833</v>
      </c>
      <c r="AL148">
        <v>0</v>
      </c>
      <c r="AM148" s="5">
        <f t="shared" si="19"/>
        <v>0</v>
      </c>
      <c r="AN148" s="4">
        <f t="shared" si="20"/>
        <v>0</v>
      </c>
      <c r="AO148" s="3"/>
      <c r="AP148">
        <v>0</v>
      </c>
      <c r="AR148" t="s">
        <v>0</v>
      </c>
      <c r="AT148" s="2" t="s">
        <v>8</v>
      </c>
      <c r="AU148" s="1">
        <f t="shared" si="21"/>
        <v>0.2784228931422012</v>
      </c>
      <c r="AV148" s="1">
        <f t="shared" si="22"/>
        <v>0.19887349510157229</v>
      </c>
      <c r="AW148" s="1">
        <f t="shared" si="23"/>
        <v>0.11932409706094337</v>
      </c>
    </row>
    <row r="149" spans="1:49" x14ac:dyDescent="0.2">
      <c r="A149">
        <v>147</v>
      </c>
      <c r="B149" t="s">
        <v>832</v>
      </c>
      <c r="C149" t="s">
        <v>831</v>
      </c>
      <c r="F149" t="s">
        <v>830</v>
      </c>
      <c r="G149" t="s">
        <v>4</v>
      </c>
      <c r="H149" t="s">
        <v>3</v>
      </c>
      <c r="I149" t="s">
        <v>829</v>
      </c>
      <c r="N149">
        <v>2</v>
      </c>
      <c r="O149" t="s">
        <v>828</v>
      </c>
      <c r="P149" t="s">
        <v>827</v>
      </c>
      <c r="Q149" t="s">
        <v>29</v>
      </c>
      <c r="R149" s="7">
        <v>30926</v>
      </c>
      <c r="S149" s="8">
        <f t="shared" si="16"/>
        <v>1984</v>
      </c>
      <c r="T149" s="8">
        <v>1984</v>
      </c>
      <c r="U149" s="8">
        <f t="shared" si="17"/>
        <v>38</v>
      </c>
      <c r="V149" s="7">
        <v>30926</v>
      </c>
      <c r="W149" t="s">
        <v>212</v>
      </c>
      <c r="X149" s="2">
        <v>0.14899999999999999</v>
      </c>
      <c r="Y149" s="6">
        <f t="shared" si="18"/>
        <v>3.977469902031446E-3</v>
      </c>
      <c r="AA149">
        <v>5431972</v>
      </c>
      <c r="AB149">
        <v>15425</v>
      </c>
      <c r="AC149">
        <v>15738906</v>
      </c>
      <c r="AD149" t="s">
        <v>1</v>
      </c>
      <c r="AE149">
        <v>27</v>
      </c>
      <c r="AF149">
        <v>9</v>
      </c>
      <c r="AH149" t="s">
        <v>826</v>
      </c>
      <c r="AL149">
        <v>0</v>
      </c>
      <c r="AM149" s="5">
        <f t="shared" si="19"/>
        <v>0</v>
      </c>
      <c r="AN149" s="4">
        <f t="shared" si="20"/>
        <v>0</v>
      </c>
      <c r="AO149" s="3"/>
      <c r="AP149">
        <v>0</v>
      </c>
      <c r="AR149" t="s">
        <v>0</v>
      </c>
      <c r="AT149" s="2" t="s">
        <v>8</v>
      </c>
      <c r="AU149" s="1">
        <f t="shared" si="21"/>
        <v>0.2784228931422012</v>
      </c>
      <c r="AV149" s="1">
        <f t="shared" si="22"/>
        <v>0.19887349510157229</v>
      </c>
      <c r="AW149" s="1">
        <f t="shared" si="23"/>
        <v>0.11932409706094337</v>
      </c>
    </row>
    <row r="150" spans="1:49" x14ac:dyDescent="0.2">
      <c r="A150">
        <v>148</v>
      </c>
      <c r="B150" t="s">
        <v>825</v>
      </c>
      <c r="C150" t="s">
        <v>824</v>
      </c>
      <c r="F150" t="s">
        <v>823</v>
      </c>
      <c r="G150" t="s">
        <v>4</v>
      </c>
      <c r="H150" t="s">
        <v>3</v>
      </c>
      <c r="I150" t="s">
        <v>822</v>
      </c>
      <c r="N150">
        <v>2</v>
      </c>
      <c r="O150" t="s">
        <v>821</v>
      </c>
      <c r="P150" t="s">
        <v>820</v>
      </c>
      <c r="Q150" t="s">
        <v>29</v>
      </c>
      <c r="R150" s="7">
        <v>30926</v>
      </c>
      <c r="S150" s="8">
        <f t="shared" si="16"/>
        <v>1984</v>
      </c>
      <c r="T150" s="8">
        <v>1984</v>
      </c>
      <c r="U150" s="8">
        <f t="shared" si="17"/>
        <v>38</v>
      </c>
      <c r="V150" s="7">
        <v>30926</v>
      </c>
      <c r="W150" t="s">
        <v>212</v>
      </c>
      <c r="X150" s="2">
        <v>0.14899999999999999</v>
      </c>
      <c r="Y150" s="6">
        <f t="shared" si="18"/>
        <v>3.977469902031446E-3</v>
      </c>
      <c r="AA150">
        <v>5431972</v>
      </c>
      <c r="AB150">
        <v>15425</v>
      </c>
      <c r="AC150">
        <v>15738906</v>
      </c>
      <c r="AD150" t="s">
        <v>1</v>
      </c>
      <c r="AE150">
        <v>27</v>
      </c>
      <c r="AF150">
        <v>9</v>
      </c>
      <c r="AH150" t="s">
        <v>819</v>
      </c>
      <c r="AL150">
        <v>0</v>
      </c>
      <c r="AM150" s="5">
        <f t="shared" si="19"/>
        <v>0</v>
      </c>
      <c r="AN150" s="4">
        <f t="shared" si="20"/>
        <v>0</v>
      </c>
      <c r="AO150" s="3"/>
      <c r="AP150">
        <v>0</v>
      </c>
      <c r="AR150" t="s">
        <v>0</v>
      </c>
      <c r="AT150" s="2" t="s">
        <v>8</v>
      </c>
      <c r="AU150" s="1">
        <f t="shared" si="21"/>
        <v>0.2784228931422012</v>
      </c>
      <c r="AV150" s="1">
        <f t="shared" si="22"/>
        <v>0.19887349510157229</v>
      </c>
      <c r="AW150" s="1">
        <f t="shared" si="23"/>
        <v>0.11932409706094337</v>
      </c>
    </row>
    <row r="151" spans="1:49" x14ac:dyDescent="0.2">
      <c r="A151">
        <v>149</v>
      </c>
      <c r="B151" t="s">
        <v>818</v>
      </c>
      <c r="F151" t="s">
        <v>817</v>
      </c>
      <c r="G151" t="s">
        <v>4</v>
      </c>
      <c r="H151" t="s">
        <v>3</v>
      </c>
      <c r="I151" t="s">
        <v>816</v>
      </c>
      <c r="J151">
        <v>100567399</v>
      </c>
      <c r="K151" t="s">
        <v>815</v>
      </c>
      <c r="L151" t="s">
        <v>814</v>
      </c>
      <c r="M151" t="s">
        <v>18</v>
      </c>
      <c r="N151">
        <v>1</v>
      </c>
      <c r="O151" t="s">
        <v>813</v>
      </c>
      <c r="P151">
        <v>6507501446</v>
      </c>
      <c r="Q151">
        <v>100567399</v>
      </c>
      <c r="R151" s="7">
        <v>30926</v>
      </c>
      <c r="S151" s="8">
        <f t="shared" si="16"/>
        <v>1984</v>
      </c>
      <c r="T151" s="8">
        <v>1984</v>
      </c>
      <c r="U151" s="8">
        <f t="shared" si="17"/>
        <v>38</v>
      </c>
      <c r="V151" s="7">
        <v>30926</v>
      </c>
      <c r="W151" t="s">
        <v>812</v>
      </c>
      <c r="X151" s="2" t="s">
        <v>8</v>
      </c>
      <c r="Y151" s="6" t="e">
        <f t="shared" si="18"/>
        <v>#VALUE!</v>
      </c>
      <c r="AA151">
        <v>911062</v>
      </c>
      <c r="AB151">
        <v>17916</v>
      </c>
      <c r="AD151" t="s">
        <v>1</v>
      </c>
      <c r="AE151">
        <v>20</v>
      </c>
      <c r="AF151">
        <v>5</v>
      </c>
      <c r="AH151" s="9">
        <v>44475</v>
      </c>
      <c r="AI151" t="s">
        <v>811</v>
      </c>
      <c r="AK151" t="s">
        <v>810</v>
      </c>
      <c r="AL151">
        <v>17</v>
      </c>
      <c r="AM151" s="5">
        <f t="shared" si="19"/>
        <v>0.44736842105263158</v>
      </c>
      <c r="AN151" s="4">
        <f t="shared" si="20"/>
        <v>6.7757428406305424E-4</v>
      </c>
      <c r="AO151" s="3"/>
      <c r="AP151">
        <v>0</v>
      </c>
      <c r="AR151" t="s">
        <v>0</v>
      </c>
      <c r="AT151" s="2">
        <v>0.182</v>
      </c>
      <c r="AU151" s="1" t="e">
        <f t="shared" si="21"/>
        <v>#VALUE!</v>
      </c>
      <c r="AV151" s="1" t="e">
        <f t="shared" si="22"/>
        <v>#VALUE!</v>
      </c>
      <c r="AW151" s="1" t="e">
        <f t="shared" si="23"/>
        <v>#VALUE!</v>
      </c>
    </row>
    <row r="152" spans="1:49" x14ac:dyDescent="0.2">
      <c r="A152">
        <v>150</v>
      </c>
      <c r="B152" t="s">
        <v>809</v>
      </c>
      <c r="F152" t="s">
        <v>808</v>
      </c>
      <c r="G152" t="s">
        <v>4</v>
      </c>
      <c r="H152" t="s">
        <v>3</v>
      </c>
      <c r="I152" t="s">
        <v>126</v>
      </c>
      <c r="N152">
        <v>1</v>
      </c>
      <c r="O152" t="s">
        <v>125</v>
      </c>
      <c r="P152">
        <v>1</v>
      </c>
      <c r="R152" s="7">
        <v>30926</v>
      </c>
      <c r="S152" s="8">
        <f t="shared" si="16"/>
        <v>1984</v>
      </c>
      <c r="T152" s="8">
        <v>1984</v>
      </c>
      <c r="U152" s="8">
        <f t="shared" si="17"/>
        <v>38</v>
      </c>
      <c r="V152" s="7">
        <v>30926</v>
      </c>
      <c r="W152" t="s">
        <v>807</v>
      </c>
      <c r="X152" s="2" t="s">
        <v>8</v>
      </c>
      <c r="Y152" s="6" t="e">
        <f t="shared" si="18"/>
        <v>#VALUE!</v>
      </c>
      <c r="AA152">
        <v>3617602</v>
      </c>
      <c r="AB152">
        <v>29638</v>
      </c>
      <c r="AD152" t="s">
        <v>1</v>
      </c>
      <c r="AE152">
        <v>112</v>
      </c>
      <c r="AF152">
        <v>9</v>
      </c>
      <c r="AH152" t="s">
        <v>806</v>
      </c>
      <c r="AI152" t="s">
        <v>805</v>
      </c>
      <c r="AK152" t="s">
        <v>804</v>
      </c>
      <c r="AL152">
        <v>0</v>
      </c>
      <c r="AM152" s="5">
        <f t="shared" si="19"/>
        <v>0</v>
      </c>
      <c r="AN152" s="4">
        <f t="shared" si="20"/>
        <v>0</v>
      </c>
      <c r="AO152" s="3"/>
      <c r="AP152">
        <v>0</v>
      </c>
      <c r="AR152" t="s">
        <v>0</v>
      </c>
      <c r="AT152" s="2" t="s">
        <v>8</v>
      </c>
      <c r="AU152" s="1" t="e">
        <f t="shared" si="21"/>
        <v>#VALUE!</v>
      </c>
      <c r="AV152" s="1" t="e">
        <f t="shared" si="22"/>
        <v>#VALUE!</v>
      </c>
      <c r="AW152" s="1" t="e">
        <f t="shared" si="23"/>
        <v>#VALUE!</v>
      </c>
    </row>
    <row r="153" spans="1:49" x14ac:dyDescent="0.2">
      <c r="A153">
        <v>151</v>
      </c>
      <c r="B153" t="s">
        <v>803</v>
      </c>
      <c r="F153" t="s">
        <v>802</v>
      </c>
      <c r="G153" t="s">
        <v>4</v>
      </c>
      <c r="H153" t="s">
        <v>3</v>
      </c>
      <c r="I153" t="s">
        <v>801</v>
      </c>
      <c r="J153">
        <v>60017293</v>
      </c>
      <c r="K153" t="s">
        <v>800</v>
      </c>
      <c r="L153" t="s">
        <v>799</v>
      </c>
      <c r="M153" t="s">
        <v>143</v>
      </c>
      <c r="N153">
        <v>1</v>
      </c>
      <c r="O153" t="s">
        <v>798</v>
      </c>
      <c r="P153">
        <v>7801431844</v>
      </c>
      <c r="Q153">
        <v>60017293</v>
      </c>
      <c r="R153" s="7">
        <v>30926</v>
      </c>
      <c r="S153" s="8">
        <f t="shared" si="16"/>
        <v>1984</v>
      </c>
      <c r="T153" s="8">
        <v>1984</v>
      </c>
      <c r="U153" s="8">
        <f t="shared" si="17"/>
        <v>38</v>
      </c>
      <c r="V153" s="7">
        <v>30926</v>
      </c>
      <c r="W153" t="s">
        <v>89</v>
      </c>
      <c r="X153" s="2">
        <v>0.125</v>
      </c>
      <c r="Y153" s="6">
        <f t="shared" si="18"/>
        <v>3.3368036090867838E-3</v>
      </c>
      <c r="AA153">
        <v>26557</v>
      </c>
      <c r="AB153">
        <v>40401</v>
      </c>
      <c r="AD153" t="s">
        <v>1</v>
      </c>
      <c r="AE153">
        <v>53</v>
      </c>
      <c r="AF153">
        <v>5</v>
      </c>
      <c r="AH153" t="s">
        <v>797</v>
      </c>
      <c r="AI153" t="s">
        <v>796</v>
      </c>
      <c r="AK153" t="s">
        <v>795</v>
      </c>
      <c r="AL153">
        <v>1</v>
      </c>
      <c r="AM153" s="5">
        <f t="shared" si="19"/>
        <v>2.6315789473684209E-2</v>
      </c>
      <c r="AN153" s="4">
        <f t="shared" si="20"/>
        <v>3.9857310827238481E-5</v>
      </c>
      <c r="AO153" s="3"/>
      <c r="AP153">
        <v>0</v>
      </c>
      <c r="AR153" t="s">
        <v>0</v>
      </c>
      <c r="AT153" s="2" t="s">
        <v>8</v>
      </c>
      <c r="AU153" s="1">
        <f t="shared" si="21"/>
        <v>0.234771971960892</v>
      </c>
      <c r="AV153" s="1">
        <f t="shared" si="22"/>
        <v>0.16883304599570112</v>
      </c>
      <c r="AW153" s="1">
        <f t="shared" si="23"/>
        <v>0.1028941200305102</v>
      </c>
    </row>
    <row r="154" spans="1:49" x14ac:dyDescent="0.2">
      <c r="A154">
        <v>152</v>
      </c>
      <c r="B154" t="s">
        <v>794</v>
      </c>
      <c r="F154" t="s">
        <v>793</v>
      </c>
      <c r="G154" t="s">
        <v>4</v>
      </c>
      <c r="H154" t="s">
        <v>3</v>
      </c>
      <c r="I154" t="s">
        <v>792</v>
      </c>
      <c r="N154">
        <v>2</v>
      </c>
      <c r="O154" t="s">
        <v>791</v>
      </c>
      <c r="P154" t="s">
        <v>790</v>
      </c>
      <c r="Q154" t="s">
        <v>29</v>
      </c>
      <c r="R154" s="7">
        <v>30926</v>
      </c>
      <c r="S154" s="8">
        <f t="shared" si="16"/>
        <v>1984</v>
      </c>
      <c r="T154" s="8">
        <v>1984</v>
      </c>
      <c r="U154" s="8">
        <f t="shared" si="17"/>
        <v>38</v>
      </c>
      <c r="V154" s="7">
        <v>30926</v>
      </c>
      <c r="W154" t="s">
        <v>63</v>
      </c>
      <c r="X154" s="2" t="s">
        <v>8</v>
      </c>
      <c r="Y154" s="6" t="e">
        <f t="shared" si="18"/>
        <v>#VALUE!</v>
      </c>
      <c r="AA154">
        <v>337889</v>
      </c>
      <c r="AB154">
        <v>40920</v>
      </c>
      <c r="AD154" t="s">
        <v>1</v>
      </c>
      <c r="AE154">
        <v>29</v>
      </c>
      <c r="AF154">
        <v>9</v>
      </c>
      <c r="AH154" s="9">
        <v>44409</v>
      </c>
      <c r="AI154" t="s">
        <v>789</v>
      </c>
      <c r="AK154" t="s">
        <v>788</v>
      </c>
      <c r="AL154">
        <v>0</v>
      </c>
      <c r="AM154" s="5">
        <f t="shared" si="19"/>
        <v>0</v>
      </c>
      <c r="AN154" s="4">
        <f t="shared" si="20"/>
        <v>0</v>
      </c>
      <c r="AO154" s="3"/>
      <c r="AP154">
        <v>0</v>
      </c>
      <c r="AR154" t="s">
        <v>0</v>
      </c>
      <c r="AT154" s="2" t="s">
        <v>8</v>
      </c>
      <c r="AU154" s="1" t="e">
        <f t="shared" si="21"/>
        <v>#VALUE!</v>
      </c>
      <c r="AV154" s="1" t="e">
        <f t="shared" si="22"/>
        <v>#VALUE!</v>
      </c>
      <c r="AW154" s="1" t="e">
        <f t="shared" si="23"/>
        <v>#VALUE!</v>
      </c>
    </row>
    <row r="155" spans="1:49" x14ac:dyDescent="0.2">
      <c r="A155">
        <v>153</v>
      </c>
      <c r="B155" t="s">
        <v>787</v>
      </c>
      <c r="F155" t="s">
        <v>786</v>
      </c>
      <c r="G155" t="s">
        <v>4</v>
      </c>
      <c r="H155" t="s">
        <v>3</v>
      </c>
      <c r="I155" t="s">
        <v>785</v>
      </c>
      <c r="N155">
        <v>2</v>
      </c>
      <c r="O155" t="s">
        <v>784</v>
      </c>
      <c r="P155" t="s">
        <v>783</v>
      </c>
      <c r="Q155" t="s">
        <v>29</v>
      </c>
      <c r="R155" s="7">
        <v>30926</v>
      </c>
      <c r="S155" s="8">
        <f t="shared" si="16"/>
        <v>1984</v>
      </c>
      <c r="T155" s="8">
        <v>1984</v>
      </c>
      <c r="U155" s="8">
        <f t="shared" si="17"/>
        <v>38</v>
      </c>
      <c r="V155" s="7">
        <v>30926</v>
      </c>
      <c r="W155" t="s">
        <v>63</v>
      </c>
      <c r="X155" s="2" t="s">
        <v>8</v>
      </c>
      <c r="Y155" s="6" t="e">
        <f t="shared" si="18"/>
        <v>#VALUE!</v>
      </c>
      <c r="AA155">
        <v>337889</v>
      </c>
      <c r="AB155">
        <v>40920</v>
      </c>
      <c r="AD155" t="s">
        <v>1</v>
      </c>
      <c r="AE155">
        <v>29</v>
      </c>
      <c r="AF155">
        <v>9</v>
      </c>
      <c r="AH155" t="s">
        <v>782</v>
      </c>
      <c r="AI155" t="s">
        <v>781</v>
      </c>
      <c r="AK155" t="s">
        <v>780</v>
      </c>
      <c r="AL155">
        <v>0</v>
      </c>
      <c r="AM155" s="5">
        <f t="shared" si="19"/>
        <v>0</v>
      </c>
      <c r="AN155" s="4">
        <f t="shared" si="20"/>
        <v>0</v>
      </c>
      <c r="AO155" s="3"/>
      <c r="AP155">
        <v>0</v>
      </c>
      <c r="AR155" t="s">
        <v>0</v>
      </c>
      <c r="AT155" s="2" t="s">
        <v>8</v>
      </c>
      <c r="AU155" s="1" t="e">
        <f t="shared" si="21"/>
        <v>#VALUE!</v>
      </c>
      <c r="AV155" s="1" t="e">
        <f t="shared" si="22"/>
        <v>#VALUE!</v>
      </c>
      <c r="AW155" s="1" t="e">
        <f t="shared" si="23"/>
        <v>#VALUE!</v>
      </c>
    </row>
    <row r="156" spans="1:49" x14ac:dyDescent="0.2">
      <c r="A156">
        <v>154</v>
      </c>
      <c r="B156" t="s">
        <v>779</v>
      </c>
      <c r="F156" t="s">
        <v>778</v>
      </c>
      <c r="G156" t="s">
        <v>4</v>
      </c>
      <c r="H156" t="s">
        <v>3</v>
      </c>
      <c r="I156" t="s">
        <v>777</v>
      </c>
      <c r="J156">
        <v>60000745</v>
      </c>
      <c r="K156" t="s">
        <v>97</v>
      </c>
      <c r="L156" t="s">
        <v>96</v>
      </c>
      <c r="M156" t="s">
        <v>11</v>
      </c>
      <c r="N156">
        <v>2</v>
      </c>
      <c r="O156" t="s">
        <v>776</v>
      </c>
      <c r="P156" t="s">
        <v>775</v>
      </c>
      <c r="Q156" t="s">
        <v>118</v>
      </c>
      <c r="R156" s="7">
        <v>30926</v>
      </c>
      <c r="S156" s="8">
        <f t="shared" si="16"/>
        <v>1984</v>
      </c>
      <c r="T156" s="8">
        <v>1984</v>
      </c>
      <c r="U156" s="8">
        <f t="shared" si="17"/>
        <v>38</v>
      </c>
      <c r="V156" s="7">
        <v>30926</v>
      </c>
      <c r="W156" t="s">
        <v>90</v>
      </c>
      <c r="X156" s="2">
        <v>0.54700000000000004</v>
      </c>
      <c r="Y156" s="6">
        <f t="shared" si="18"/>
        <v>1.4601852593363766E-2</v>
      </c>
      <c r="AA156">
        <v>11096</v>
      </c>
      <c r="AB156">
        <v>31211</v>
      </c>
      <c r="AD156" t="s">
        <v>1</v>
      </c>
      <c r="AE156">
        <v>38</v>
      </c>
      <c r="AF156">
        <v>5</v>
      </c>
      <c r="AH156" t="s">
        <v>774</v>
      </c>
      <c r="AI156" t="s">
        <v>773</v>
      </c>
      <c r="AK156" t="s">
        <v>772</v>
      </c>
      <c r="AL156">
        <v>0</v>
      </c>
      <c r="AM156" s="5">
        <f t="shared" si="19"/>
        <v>0</v>
      </c>
      <c r="AN156" s="4">
        <f t="shared" si="20"/>
        <v>0</v>
      </c>
      <c r="AO156" s="3"/>
      <c r="AP156">
        <v>0</v>
      </c>
      <c r="AR156" t="s">
        <v>0</v>
      </c>
      <c r="AT156" s="2" t="s">
        <v>8</v>
      </c>
      <c r="AU156" s="1">
        <f t="shared" si="21"/>
        <v>1.0221296815354637</v>
      </c>
      <c r="AV156" s="1">
        <f t="shared" si="22"/>
        <v>0.73009262966818833</v>
      </c>
      <c r="AW156" s="1">
        <f t="shared" si="23"/>
        <v>0.43805557780091298</v>
      </c>
    </row>
    <row r="157" spans="1:49" x14ac:dyDescent="0.2">
      <c r="A157">
        <v>155</v>
      </c>
      <c r="B157" t="s">
        <v>771</v>
      </c>
      <c r="F157" t="s">
        <v>770</v>
      </c>
      <c r="G157" t="s">
        <v>4</v>
      </c>
      <c r="H157" t="s">
        <v>3</v>
      </c>
      <c r="I157" t="s">
        <v>43</v>
      </c>
      <c r="N157">
        <v>2</v>
      </c>
      <c r="O157" t="s">
        <v>769</v>
      </c>
      <c r="P157" t="s">
        <v>768</v>
      </c>
      <c r="Q157" t="s">
        <v>29</v>
      </c>
      <c r="R157" s="7">
        <v>30926</v>
      </c>
      <c r="S157" s="8">
        <f t="shared" si="16"/>
        <v>1984</v>
      </c>
      <c r="T157" s="8">
        <v>1984</v>
      </c>
      <c r="U157" s="8">
        <f t="shared" si="17"/>
        <v>38</v>
      </c>
      <c r="V157" s="7">
        <v>30926</v>
      </c>
      <c r="W157" t="s">
        <v>31</v>
      </c>
      <c r="X157" s="2">
        <v>0.14099999999999999</v>
      </c>
      <c r="Y157" s="6">
        <f t="shared" si="18"/>
        <v>3.7639144710498915E-3</v>
      </c>
      <c r="AA157">
        <v>402508</v>
      </c>
      <c r="AB157">
        <v>20868</v>
      </c>
      <c r="AD157" t="s">
        <v>1</v>
      </c>
      <c r="AE157" t="s">
        <v>30</v>
      </c>
      <c r="AF157">
        <v>9</v>
      </c>
      <c r="AH157" t="s">
        <v>767</v>
      </c>
      <c r="AI157" t="s">
        <v>766</v>
      </c>
      <c r="AK157" t="s">
        <v>765</v>
      </c>
      <c r="AL157">
        <v>0</v>
      </c>
      <c r="AM157" s="5">
        <f t="shared" si="19"/>
        <v>0</v>
      </c>
      <c r="AN157" s="4">
        <f t="shared" si="20"/>
        <v>0</v>
      </c>
      <c r="AO157" s="3"/>
      <c r="AP157">
        <v>0</v>
      </c>
      <c r="AR157" t="s">
        <v>0</v>
      </c>
      <c r="AT157" s="2" t="s">
        <v>8</v>
      </c>
      <c r="AU157" s="1">
        <f t="shared" si="21"/>
        <v>0.26347401297349238</v>
      </c>
      <c r="AV157" s="1">
        <f t="shared" si="22"/>
        <v>0.18819572355249459</v>
      </c>
      <c r="AW157" s="1">
        <f t="shared" si="23"/>
        <v>0.11291743413149673</v>
      </c>
    </row>
    <row r="158" spans="1:49" x14ac:dyDescent="0.2">
      <c r="A158">
        <v>156</v>
      </c>
      <c r="B158" t="s">
        <v>764</v>
      </c>
      <c r="F158" t="s">
        <v>763</v>
      </c>
      <c r="G158" t="s">
        <v>4</v>
      </c>
      <c r="H158" t="s">
        <v>3</v>
      </c>
      <c r="I158" t="s">
        <v>762</v>
      </c>
      <c r="J158">
        <v>60082702</v>
      </c>
      <c r="K158" t="s">
        <v>761</v>
      </c>
      <c r="M158" t="s">
        <v>18</v>
      </c>
      <c r="N158">
        <v>1</v>
      </c>
      <c r="O158" t="s">
        <v>760</v>
      </c>
      <c r="P158">
        <v>7005413447</v>
      </c>
      <c r="Q158">
        <v>60082702</v>
      </c>
      <c r="R158" s="7">
        <v>30926</v>
      </c>
      <c r="S158" s="8">
        <f t="shared" si="16"/>
        <v>1984</v>
      </c>
      <c r="T158" s="8">
        <v>1984</v>
      </c>
      <c r="U158" s="8">
        <f t="shared" si="17"/>
        <v>38</v>
      </c>
      <c r="V158" s="7">
        <v>30926</v>
      </c>
      <c r="W158" t="s">
        <v>88</v>
      </c>
      <c r="X158" s="2" t="s">
        <v>8</v>
      </c>
      <c r="Y158" s="6" t="e">
        <f t="shared" si="18"/>
        <v>#VALUE!</v>
      </c>
      <c r="AA158">
        <v>3084213</v>
      </c>
      <c r="AB158">
        <v>39048</v>
      </c>
      <c r="AD158" t="s">
        <v>1</v>
      </c>
      <c r="AE158">
        <v>12</v>
      </c>
      <c r="AF158">
        <v>8</v>
      </c>
      <c r="AH158" t="s">
        <v>759</v>
      </c>
      <c r="AI158" t="s">
        <v>758</v>
      </c>
      <c r="AK158" t="s">
        <v>757</v>
      </c>
      <c r="AL158">
        <v>0</v>
      </c>
      <c r="AM158" s="5">
        <f t="shared" si="19"/>
        <v>0</v>
      </c>
      <c r="AN158" s="4">
        <f t="shared" si="20"/>
        <v>0</v>
      </c>
      <c r="AO158" s="3"/>
      <c r="AP158">
        <v>0</v>
      </c>
      <c r="AR158" t="s">
        <v>0</v>
      </c>
      <c r="AT158" s="2" t="s">
        <v>8</v>
      </c>
      <c r="AU158" s="1" t="e">
        <f t="shared" si="21"/>
        <v>#VALUE!</v>
      </c>
      <c r="AV158" s="1" t="e">
        <f t="shared" si="22"/>
        <v>#VALUE!</v>
      </c>
      <c r="AW158" s="1" t="e">
        <f t="shared" si="23"/>
        <v>#VALUE!</v>
      </c>
    </row>
    <row r="159" spans="1:49" x14ac:dyDescent="0.2">
      <c r="A159">
        <v>157</v>
      </c>
      <c r="B159" t="s">
        <v>756</v>
      </c>
      <c r="F159" t="s">
        <v>755</v>
      </c>
      <c r="G159" t="s">
        <v>4</v>
      </c>
      <c r="H159" t="s">
        <v>3</v>
      </c>
      <c r="I159" t="s">
        <v>754</v>
      </c>
      <c r="N159">
        <v>3</v>
      </c>
      <c r="O159" t="s">
        <v>753</v>
      </c>
      <c r="P159" t="s">
        <v>752</v>
      </c>
      <c r="Q159" t="s">
        <v>2</v>
      </c>
      <c r="R159" s="7">
        <v>30926</v>
      </c>
      <c r="S159" s="8">
        <f t="shared" si="16"/>
        <v>1984</v>
      </c>
      <c r="T159" s="8">
        <v>1984</v>
      </c>
      <c r="U159" s="8">
        <f t="shared" si="17"/>
        <v>38</v>
      </c>
      <c r="V159" s="7">
        <v>30926</v>
      </c>
      <c r="W159" t="s">
        <v>31</v>
      </c>
      <c r="X159" s="2">
        <v>0.14099999999999999</v>
      </c>
      <c r="Y159" s="6">
        <f t="shared" si="18"/>
        <v>3.7639144710498915E-3</v>
      </c>
      <c r="AA159">
        <v>402508</v>
      </c>
      <c r="AB159">
        <v>20868</v>
      </c>
      <c r="AD159" t="s">
        <v>1</v>
      </c>
      <c r="AE159" t="s">
        <v>30</v>
      </c>
      <c r="AF159">
        <v>9</v>
      </c>
      <c r="AH159" t="s">
        <v>751</v>
      </c>
      <c r="AI159" t="s">
        <v>750</v>
      </c>
      <c r="AK159" t="s">
        <v>749</v>
      </c>
      <c r="AL159">
        <v>0</v>
      </c>
      <c r="AM159" s="5">
        <f t="shared" si="19"/>
        <v>0</v>
      </c>
      <c r="AN159" s="4">
        <f t="shared" si="20"/>
        <v>0</v>
      </c>
      <c r="AO159" s="3"/>
      <c r="AP159">
        <v>0</v>
      </c>
      <c r="AR159" t="s">
        <v>0</v>
      </c>
      <c r="AT159" s="2" t="s">
        <v>8</v>
      </c>
      <c r="AU159" s="1">
        <f t="shared" si="21"/>
        <v>0.26347401297349238</v>
      </c>
      <c r="AV159" s="1">
        <f t="shared" si="22"/>
        <v>0.18819572355249459</v>
      </c>
      <c r="AW159" s="1">
        <f t="shared" si="23"/>
        <v>0.11291743413149673</v>
      </c>
    </row>
    <row r="160" spans="1:49" x14ac:dyDescent="0.2">
      <c r="A160">
        <v>158</v>
      </c>
      <c r="B160" t="s">
        <v>748</v>
      </c>
      <c r="F160" t="s">
        <v>747</v>
      </c>
      <c r="G160" t="s">
        <v>4</v>
      </c>
      <c r="H160" t="s">
        <v>3</v>
      </c>
      <c r="I160" t="s">
        <v>746</v>
      </c>
      <c r="J160">
        <v>100752800</v>
      </c>
      <c r="K160" t="s">
        <v>745</v>
      </c>
      <c r="L160" t="s">
        <v>744</v>
      </c>
      <c r="M160" t="s">
        <v>17</v>
      </c>
      <c r="N160">
        <v>1</v>
      </c>
      <c r="O160" t="s">
        <v>743</v>
      </c>
      <c r="P160">
        <v>6506471984</v>
      </c>
      <c r="Q160">
        <v>100752800</v>
      </c>
      <c r="R160" s="7">
        <v>30926</v>
      </c>
      <c r="S160" s="8">
        <f t="shared" si="16"/>
        <v>1984</v>
      </c>
      <c r="T160" s="8">
        <v>1984</v>
      </c>
      <c r="U160" s="8">
        <f t="shared" si="17"/>
        <v>38</v>
      </c>
      <c r="V160" s="7">
        <v>30926</v>
      </c>
      <c r="W160" t="s">
        <v>88</v>
      </c>
      <c r="X160" s="2" t="s">
        <v>8</v>
      </c>
      <c r="Y160" s="6" t="e">
        <f t="shared" si="18"/>
        <v>#VALUE!</v>
      </c>
      <c r="AA160">
        <v>3084213</v>
      </c>
      <c r="AB160">
        <v>39048</v>
      </c>
      <c r="AD160" t="s">
        <v>1</v>
      </c>
      <c r="AE160">
        <v>12</v>
      </c>
      <c r="AF160">
        <v>8</v>
      </c>
      <c r="AH160" t="s">
        <v>742</v>
      </c>
      <c r="AI160" t="s">
        <v>741</v>
      </c>
      <c r="AK160" t="s">
        <v>740</v>
      </c>
      <c r="AL160">
        <v>0</v>
      </c>
      <c r="AM160" s="5">
        <f t="shared" si="19"/>
        <v>0</v>
      </c>
      <c r="AN160" s="4">
        <f t="shared" si="20"/>
        <v>0</v>
      </c>
      <c r="AO160" s="3"/>
      <c r="AP160">
        <v>0</v>
      </c>
      <c r="AR160" t="s">
        <v>0</v>
      </c>
      <c r="AT160" s="2" t="s">
        <v>8</v>
      </c>
      <c r="AU160" s="1" t="e">
        <f t="shared" si="21"/>
        <v>#VALUE!</v>
      </c>
      <c r="AV160" s="1" t="e">
        <f t="shared" si="22"/>
        <v>#VALUE!</v>
      </c>
      <c r="AW160" s="1" t="e">
        <f t="shared" si="23"/>
        <v>#VALUE!</v>
      </c>
    </row>
    <row r="161" spans="1:49" x14ac:dyDescent="0.2">
      <c r="A161">
        <v>159</v>
      </c>
      <c r="B161" t="s">
        <v>739</v>
      </c>
      <c r="F161" t="s">
        <v>738</v>
      </c>
      <c r="G161" t="s">
        <v>4</v>
      </c>
      <c r="H161" t="s">
        <v>3</v>
      </c>
      <c r="I161" t="s">
        <v>737</v>
      </c>
      <c r="N161">
        <v>1</v>
      </c>
      <c r="O161" t="s">
        <v>736</v>
      </c>
      <c r="P161">
        <v>6602627481</v>
      </c>
      <c r="R161" s="7">
        <v>30926</v>
      </c>
      <c r="S161" s="8">
        <f t="shared" si="16"/>
        <v>1984</v>
      </c>
      <c r="T161" s="8">
        <v>1984</v>
      </c>
      <c r="U161" s="8">
        <f t="shared" si="17"/>
        <v>38</v>
      </c>
      <c r="V161" s="7">
        <v>30926</v>
      </c>
      <c r="W161" t="s">
        <v>31</v>
      </c>
      <c r="X161" s="2">
        <v>0.14099999999999999</v>
      </c>
      <c r="Y161" s="6">
        <f t="shared" si="18"/>
        <v>3.7639144710498915E-3</v>
      </c>
      <c r="AA161">
        <v>402508</v>
      </c>
      <c r="AB161">
        <v>20868</v>
      </c>
      <c r="AD161" t="s">
        <v>1</v>
      </c>
      <c r="AE161" t="s">
        <v>30</v>
      </c>
      <c r="AF161">
        <v>9</v>
      </c>
      <c r="AH161" t="s">
        <v>34</v>
      </c>
      <c r="AI161" t="s">
        <v>735</v>
      </c>
      <c r="AK161" t="s">
        <v>734</v>
      </c>
      <c r="AL161">
        <v>0</v>
      </c>
      <c r="AM161" s="5">
        <f t="shared" si="19"/>
        <v>0</v>
      </c>
      <c r="AN161" s="4">
        <f t="shared" si="20"/>
        <v>0</v>
      </c>
      <c r="AO161" s="3"/>
      <c r="AP161">
        <v>0</v>
      </c>
      <c r="AR161" t="s">
        <v>0</v>
      </c>
      <c r="AT161" s="2" t="s">
        <v>8</v>
      </c>
      <c r="AU161" s="1">
        <f t="shared" si="21"/>
        <v>0.26347401297349238</v>
      </c>
      <c r="AV161" s="1">
        <f t="shared" si="22"/>
        <v>0.18819572355249459</v>
      </c>
      <c r="AW161" s="1">
        <f t="shared" si="23"/>
        <v>0.11291743413149673</v>
      </c>
    </row>
    <row r="162" spans="1:49" x14ac:dyDescent="0.2">
      <c r="A162">
        <v>160</v>
      </c>
      <c r="B162" t="s">
        <v>733</v>
      </c>
      <c r="F162" t="s">
        <v>732</v>
      </c>
      <c r="G162" t="s">
        <v>4</v>
      </c>
      <c r="H162" t="s">
        <v>3</v>
      </c>
      <c r="I162" t="s">
        <v>731</v>
      </c>
      <c r="J162">
        <v>100372393</v>
      </c>
      <c r="K162" t="s">
        <v>730</v>
      </c>
      <c r="M162" t="s">
        <v>11</v>
      </c>
      <c r="N162">
        <v>1</v>
      </c>
      <c r="O162" t="s">
        <v>729</v>
      </c>
      <c r="P162">
        <v>6603295391</v>
      </c>
      <c r="Q162">
        <v>100372393</v>
      </c>
      <c r="R162" s="7">
        <v>30926</v>
      </c>
      <c r="S162" s="8">
        <f t="shared" si="16"/>
        <v>1984</v>
      </c>
      <c r="T162" s="8">
        <v>1984</v>
      </c>
      <c r="U162" s="8">
        <f t="shared" si="17"/>
        <v>38</v>
      </c>
      <c r="V162" s="7">
        <v>30926</v>
      </c>
      <c r="W162" t="s">
        <v>88</v>
      </c>
      <c r="X162" s="2" t="s">
        <v>8</v>
      </c>
      <c r="Y162" s="6" t="e">
        <f t="shared" si="18"/>
        <v>#VALUE!</v>
      </c>
      <c r="AA162">
        <v>3084213</v>
      </c>
      <c r="AB162">
        <v>39048</v>
      </c>
      <c r="AD162" t="s">
        <v>1</v>
      </c>
      <c r="AE162">
        <v>12</v>
      </c>
      <c r="AF162">
        <v>8</v>
      </c>
      <c r="AH162" t="s">
        <v>728</v>
      </c>
      <c r="AI162" t="s">
        <v>727</v>
      </c>
      <c r="AK162" t="s">
        <v>726</v>
      </c>
      <c r="AL162">
        <v>0</v>
      </c>
      <c r="AM162" s="5">
        <f t="shared" si="19"/>
        <v>0</v>
      </c>
      <c r="AN162" s="4">
        <f t="shared" si="20"/>
        <v>0</v>
      </c>
      <c r="AO162" s="3"/>
      <c r="AP162">
        <v>0</v>
      </c>
      <c r="AR162" t="s">
        <v>0</v>
      </c>
      <c r="AT162" s="2" t="s">
        <v>8</v>
      </c>
      <c r="AU162" s="1" t="e">
        <f t="shared" si="21"/>
        <v>#VALUE!</v>
      </c>
      <c r="AV162" s="1" t="e">
        <f t="shared" si="22"/>
        <v>#VALUE!</v>
      </c>
      <c r="AW162" s="1" t="e">
        <f t="shared" si="23"/>
        <v>#VALUE!</v>
      </c>
    </row>
    <row r="163" spans="1:49" x14ac:dyDescent="0.2">
      <c r="A163">
        <v>161</v>
      </c>
      <c r="B163" t="s">
        <v>725</v>
      </c>
      <c r="F163" t="s">
        <v>724</v>
      </c>
      <c r="G163" t="s">
        <v>4</v>
      </c>
      <c r="H163" t="s">
        <v>3</v>
      </c>
      <c r="I163" t="s">
        <v>723</v>
      </c>
      <c r="N163">
        <v>3</v>
      </c>
      <c r="O163" t="s">
        <v>722</v>
      </c>
      <c r="P163" t="s">
        <v>721</v>
      </c>
      <c r="Q163" t="s">
        <v>2</v>
      </c>
      <c r="R163" s="7">
        <v>30926</v>
      </c>
      <c r="S163" s="8">
        <f t="shared" si="16"/>
        <v>1984</v>
      </c>
      <c r="T163" s="8">
        <v>1984</v>
      </c>
      <c r="U163" s="8">
        <f t="shared" si="17"/>
        <v>38</v>
      </c>
      <c r="V163" s="7">
        <v>30926</v>
      </c>
      <c r="W163" t="s">
        <v>31</v>
      </c>
      <c r="X163" s="2">
        <v>0.14099999999999999</v>
      </c>
      <c r="Y163" s="6">
        <f t="shared" si="18"/>
        <v>3.7639144710498915E-3</v>
      </c>
      <c r="AA163">
        <v>402508</v>
      </c>
      <c r="AB163">
        <v>20868</v>
      </c>
      <c r="AD163" t="s">
        <v>1</v>
      </c>
      <c r="AE163" t="s">
        <v>30</v>
      </c>
      <c r="AF163">
        <v>9</v>
      </c>
      <c r="AH163" t="s">
        <v>69</v>
      </c>
      <c r="AI163" t="s">
        <v>720</v>
      </c>
      <c r="AK163" t="s">
        <v>719</v>
      </c>
      <c r="AL163">
        <v>0</v>
      </c>
      <c r="AM163" s="5">
        <f t="shared" si="19"/>
        <v>0</v>
      </c>
      <c r="AN163" s="4">
        <f t="shared" si="20"/>
        <v>0</v>
      </c>
      <c r="AO163" s="3"/>
      <c r="AP163">
        <v>0</v>
      </c>
      <c r="AR163" t="s">
        <v>0</v>
      </c>
      <c r="AT163" s="2" t="s">
        <v>8</v>
      </c>
      <c r="AU163" s="1">
        <f t="shared" si="21"/>
        <v>0.26347401297349238</v>
      </c>
      <c r="AV163" s="1">
        <f t="shared" si="22"/>
        <v>0.18819572355249459</v>
      </c>
      <c r="AW163" s="1">
        <f t="shared" si="23"/>
        <v>0.11291743413149673</v>
      </c>
    </row>
    <row r="164" spans="1:49" x14ac:dyDescent="0.2">
      <c r="A164">
        <v>162</v>
      </c>
      <c r="B164" t="s">
        <v>718</v>
      </c>
      <c r="F164" t="s">
        <v>717</v>
      </c>
      <c r="G164" t="s">
        <v>4</v>
      </c>
      <c r="H164" t="s">
        <v>3</v>
      </c>
      <c r="I164" t="s">
        <v>716</v>
      </c>
      <c r="J164">
        <v>100658560</v>
      </c>
      <c r="K164" t="s">
        <v>715</v>
      </c>
      <c r="L164" t="s">
        <v>714</v>
      </c>
      <c r="M164" t="s">
        <v>11</v>
      </c>
      <c r="N164">
        <v>1</v>
      </c>
      <c r="O164" t="s">
        <v>713</v>
      </c>
      <c r="P164">
        <v>7003823657</v>
      </c>
      <c r="Q164">
        <v>100658560</v>
      </c>
      <c r="R164" s="7">
        <v>30926</v>
      </c>
      <c r="S164" s="8">
        <f t="shared" si="16"/>
        <v>1984</v>
      </c>
      <c r="T164" s="8">
        <v>1984</v>
      </c>
      <c r="U164" s="8">
        <f t="shared" si="17"/>
        <v>38</v>
      </c>
      <c r="V164" s="7">
        <v>30926</v>
      </c>
      <c r="W164" t="s">
        <v>61</v>
      </c>
      <c r="X164" s="2" t="s">
        <v>8</v>
      </c>
      <c r="Y164" s="6" t="e">
        <f t="shared" si="18"/>
        <v>#VALUE!</v>
      </c>
      <c r="AA164">
        <v>262897</v>
      </c>
      <c r="AB164">
        <v>18580</v>
      </c>
      <c r="AD164" t="s">
        <v>1</v>
      </c>
      <c r="AE164">
        <v>27</v>
      </c>
      <c r="AF164">
        <v>9</v>
      </c>
      <c r="AH164" t="s">
        <v>712</v>
      </c>
      <c r="AI164" t="s">
        <v>711</v>
      </c>
      <c r="AK164" t="s">
        <v>710</v>
      </c>
      <c r="AL164">
        <v>0</v>
      </c>
      <c r="AM164" s="5">
        <f t="shared" si="19"/>
        <v>0</v>
      </c>
      <c r="AN164" s="4">
        <f t="shared" si="20"/>
        <v>0</v>
      </c>
      <c r="AO164" s="3"/>
      <c r="AP164">
        <v>0</v>
      </c>
      <c r="AR164" t="s">
        <v>0</v>
      </c>
      <c r="AT164" s="2">
        <v>0.30599999999999999</v>
      </c>
      <c r="AU164" s="1" t="e">
        <f t="shared" si="21"/>
        <v>#VALUE!</v>
      </c>
      <c r="AV164" s="1" t="e">
        <f t="shared" si="22"/>
        <v>#VALUE!</v>
      </c>
      <c r="AW164" s="1" t="e">
        <f t="shared" si="23"/>
        <v>#VALUE!</v>
      </c>
    </row>
    <row r="165" spans="1:49" x14ac:dyDescent="0.2">
      <c r="A165">
        <v>163</v>
      </c>
      <c r="B165" t="s">
        <v>709</v>
      </c>
      <c r="F165" t="s">
        <v>708</v>
      </c>
      <c r="G165" t="s">
        <v>4</v>
      </c>
      <c r="H165" t="s">
        <v>3</v>
      </c>
      <c r="I165" t="s">
        <v>707</v>
      </c>
      <c r="J165">
        <v>60005304</v>
      </c>
      <c r="K165" t="s">
        <v>37</v>
      </c>
      <c r="L165" t="s">
        <v>36</v>
      </c>
      <c r="M165" t="s">
        <v>11</v>
      </c>
      <c r="N165">
        <v>2</v>
      </c>
      <c r="O165" t="s">
        <v>706</v>
      </c>
      <c r="P165" t="s">
        <v>705</v>
      </c>
      <c r="Q165" t="s">
        <v>35</v>
      </c>
      <c r="R165" s="7">
        <v>30926</v>
      </c>
      <c r="S165" s="8">
        <f t="shared" si="16"/>
        <v>1984</v>
      </c>
      <c r="T165" s="8">
        <v>1984</v>
      </c>
      <c r="U165" s="8">
        <f t="shared" si="17"/>
        <v>38</v>
      </c>
      <c r="V165" s="7">
        <v>30926</v>
      </c>
      <c r="W165" t="s">
        <v>61</v>
      </c>
      <c r="X165" s="2" t="s">
        <v>8</v>
      </c>
      <c r="Y165" s="6" t="e">
        <f t="shared" si="18"/>
        <v>#VALUE!</v>
      </c>
      <c r="AA165">
        <v>262897</v>
      </c>
      <c r="AB165">
        <v>18580</v>
      </c>
      <c r="AD165" t="s">
        <v>1</v>
      </c>
      <c r="AE165">
        <v>27</v>
      </c>
      <c r="AF165">
        <v>9</v>
      </c>
      <c r="AH165" t="s">
        <v>704</v>
      </c>
      <c r="AI165" t="s">
        <v>703</v>
      </c>
      <c r="AK165" t="s">
        <v>702</v>
      </c>
      <c r="AL165">
        <v>0</v>
      </c>
      <c r="AM165" s="5">
        <f t="shared" si="19"/>
        <v>0</v>
      </c>
      <c r="AN165" s="4">
        <f t="shared" si="20"/>
        <v>0</v>
      </c>
      <c r="AO165" s="3"/>
      <c r="AP165">
        <v>0</v>
      </c>
      <c r="AR165" t="s">
        <v>0</v>
      </c>
      <c r="AT165" s="2">
        <v>0.30599999999999999</v>
      </c>
      <c r="AU165" s="1" t="e">
        <f t="shared" si="21"/>
        <v>#VALUE!</v>
      </c>
      <c r="AV165" s="1" t="e">
        <f t="shared" si="22"/>
        <v>#VALUE!</v>
      </c>
      <c r="AW165" s="1" t="e">
        <f t="shared" si="23"/>
        <v>#VALUE!</v>
      </c>
    </row>
    <row r="166" spans="1:49" x14ac:dyDescent="0.2">
      <c r="A166">
        <v>164</v>
      </c>
      <c r="B166" t="s">
        <v>701</v>
      </c>
      <c r="F166" t="s">
        <v>700</v>
      </c>
      <c r="G166" t="s">
        <v>4</v>
      </c>
      <c r="H166" t="s">
        <v>3</v>
      </c>
      <c r="I166" t="s">
        <v>699</v>
      </c>
      <c r="N166">
        <v>2</v>
      </c>
      <c r="O166" t="s">
        <v>698</v>
      </c>
      <c r="P166" t="s">
        <v>697</v>
      </c>
      <c r="Q166" t="s">
        <v>29</v>
      </c>
      <c r="R166" s="7">
        <v>30926</v>
      </c>
      <c r="S166" s="8">
        <f t="shared" si="16"/>
        <v>1984</v>
      </c>
      <c r="T166" s="8">
        <v>1984</v>
      </c>
      <c r="U166" s="8">
        <f t="shared" si="17"/>
        <v>38</v>
      </c>
      <c r="V166" s="7">
        <v>30926</v>
      </c>
      <c r="W166" t="s">
        <v>31</v>
      </c>
      <c r="X166" s="2">
        <v>0.14099999999999999</v>
      </c>
      <c r="Y166" s="6">
        <f t="shared" si="18"/>
        <v>3.7639144710498915E-3</v>
      </c>
      <c r="AA166">
        <v>402508</v>
      </c>
      <c r="AB166">
        <v>20868</v>
      </c>
      <c r="AD166" t="s">
        <v>1</v>
      </c>
      <c r="AE166" t="s">
        <v>30</v>
      </c>
      <c r="AF166">
        <v>9</v>
      </c>
      <c r="AH166" t="s">
        <v>107</v>
      </c>
      <c r="AI166" t="s">
        <v>696</v>
      </c>
      <c r="AK166" t="s">
        <v>695</v>
      </c>
      <c r="AL166">
        <v>0</v>
      </c>
      <c r="AM166" s="5">
        <f t="shared" si="19"/>
        <v>0</v>
      </c>
      <c r="AN166" s="4">
        <f t="shared" si="20"/>
        <v>0</v>
      </c>
      <c r="AO166" s="3"/>
      <c r="AP166">
        <v>0</v>
      </c>
      <c r="AR166" t="s">
        <v>0</v>
      </c>
      <c r="AT166" s="2" t="s">
        <v>8</v>
      </c>
      <c r="AU166" s="1">
        <f t="shared" si="21"/>
        <v>0.26347401297349238</v>
      </c>
      <c r="AV166" s="1">
        <f t="shared" si="22"/>
        <v>0.18819572355249459</v>
      </c>
      <c r="AW166" s="1">
        <f t="shared" si="23"/>
        <v>0.11291743413149673</v>
      </c>
    </row>
    <row r="167" spans="1:49" x14ac:dyDescent="0.2">
      <c r="A167">
        <v>165</v>
      </c>
      <c r="B167" t="s">
        <v>694</v>
      </c>
      <c r="C167" t="s">
        <v>693</v>
      </c>
      <c r="F167" t="s">
        <v>692</v>
      </c>
      <c r="G167" t="s">
        <v>4</v>
      </c>
      <c r="H167" t="s">
        <v>3</v>
      </c>
      <c r="I167" t="s">
        <v>691</v>
      </c>
      <c r="J167">
        <v>60017161</v>
      </c>
      <c r="K167" t="s">
        <v>690</v>
      </c>
      <c r="L167" t="s">
        <v>689</v>
      </c>
      <c r="M167" t="s">
        <v>688</v>
      </c>
      <c r="N167">
        <v>2</v>
      </c>
      <c r="O167" t="s">
        <v>687</v>
      </c>
      <c r="P167" t="s">
        <v>686</v>
      </c>
      <c r="Q167" t="s">
        <v>685</v>
      </c>
      <c r="R167" s="7">
        <v>30924</v>
      </c>
      <c r="S167" s="8">
        <f t="shared" si="16"/>
        <v>1984</v>
      </c>
      <c r="T167" s="8">
        <v>1984</v>
      </c>
      <c r="U167" s="8">
        <f t="shared" si="17"/>
        <v>38</v>
      </c>
      <c r="V167" s="7">
        <v>30924</v>
      </c>
      <c r="W167" t="s">
        <v>206</v>
      </c>
      <c r="X167" s="2">
        <v>0.375</v>
      </c>
      <c r="Y167" s="6">
        <f t="shared" si="18"/>
        <v>1.0010410827260351E-2</v>
      </c>
      <c r="AA167">
        <v>135194</v>
      </c>
      <c r="AB167">
        <v>24918</v>
      </c>
      <c r="AD167" t="s">
        <v>1</v>
      </c>
      <c r="AE167">
        <v>20</v>
      </c>
      <c r="AF167">
        <v>18</v>
      </c>
      <c r="AH167" t="s">
        <v>684</v>
      </c>
      <c r="AI167" t="s">
        <v>683</v>
      </c>
      <c r="AJ167" t="s">
        <v>209</v>
      </c>
      <c r="AK167" t="s">
        <v>682</v>
      </c>
      <c r="AL167">
        <v>5</v>
      </c>
      <c r="AM167" s="5">
        <f t="shared" si="19"/>
        <v>0.13157894736842105</v>
      </c>
      <c r="AN167" s="4">
        <f t="shared" si="20"/>
        <v>1.9928655413619243E-4</v>
      </c>
      <c r="AO167" s="3"/>
      <c r="AP167">
        <v>0</v>
      </c>
      <c r="AR167" t="s">
        <v>0</v>
      </c>
      <c r="AT167" s="2">
        <v>1.3140000000000001</v>
      </c>
      <c r="AU167" s="1">
        <f t="shared" si="21"/>
        <v>0.70670735453231037</v>
      </c>
      <c r="AV167" s="1">
        <f t="shared" si="22"/>
        <v>0.51048486906982715</v>
      </c>
      <c r="AW167" s="1">
        <f t="shared" si="23"/>
        <v>0.31426238360734399</v>
      </c>
    </row>
    <row r="168" spans="1:49" x14ac:dyDescent="0.2">
      <c r="A168">
        <v>166</v>
      </c>
      <c r="B168" t="s">
        <v>681</v>
      </c>
      <c r="C168" t="s">
        <v>680</v>
      </c>
      <c r="F168" t="s">
        <v>679</v>
      </c>
      <c r="G168" t="s">
        <v>4</v>
      </c>
      <c r="H168" t="s">
        <v>3</v>
      </c>
      <c r="I168" t="s">
        <v>678</v>
      </c>
      <c r="J168" t="s">
        <v>677</v>
      </c>
      <c r="K168" t="s">
        <v>676</v>
      </c>
      <c r="L168" t="s">
        <v>675</v>
      </c>
      <c r="M168" t="s">
        <v>674</v>
      </c>
      <c r="N168">
        <v>4</v>
      </c>
      <c r="O168" t="s">
        <v>673</v>
      </c>
      <c r="P168" t="s">
        <v>672</v>
      </c>
      <c r="Q168" t="s">
        <v>671</v>
      </c>
      <c r="R168" s="7">
        <v>30924</v>
      </c>
      <c r="S168" s="8">
        <f t="shared" si="16"/>
        <v>1984</v>
      </c>
      <c r="T168" s="8">
        <v>1984</v>
      </c>
      <c r="U168" s="8">
        <f t="shared" si="17"/>
        <v>38</v>
      </c>
      <c r="V168" s="7">
        <v>30924</v>
      </c>
      <c r="W168" t="s">
        <v>206</v>
      </c>
      <c r="X168" s="2">
        <v>0.375</v>
      </c>
      <c r="Y168" s="6">
        <f t="shared" si="18"/>
        <v>1.0010410827260351E-2</v>
      </c>
      <c r="AA168">
        <v>135194</v>
      </c>
      <c r="AB168">
        <v>24918</v>
      </c>
      <c r="AD168" t="s">
        <v>1</v>
      </c>
      <c r="AE168">
        <v>20</v>
      </c>
      <c r="AF168">
        <v>18</v>
      </c>
      <c r="AH168" t="s">
        <v>670</v>
      </c>
      <c r="AI168" t="s">
        <v>669</v>
      </c>
      <c r="AJ168" t="s">
        <v>668</v>
      </c>
      <c r="AK168" t="s">
        <v>667</v>
      </c>
      <c r="AL168">
        <v>1</v>
      </c>
      <c r="AM168" s="5">
        <f t="shared" si="19"/>
        <v>2.6315789473684209E-2</v>
      </c>
      <c r="AN168" s="4">
        <f t="shared" si="20"/>
        <v>3.9857310827238481E-5</v>
      </c>
      <c r="AO168" s="3"/>
      <c r="AP168">
        <v>0</v>
      </c>
      <c r="AR168" t="s">
        <v>0</v>
      </c>
      <c r="AT168" s="2">
        <v>1.3140000000000001</v>
      </c>
      <c r="AU168" s="1">
        <f t="shared" si="21"/>
        <v>0.70192447723304174</v>
      </c>
      <c r="AV168" s="1">
        <f t="shared" si="22"/>
        <v>0.50251340690437951</v>
      </c>
      <c r="AW168" s="1">
        <f t="shared" si="23"/>
        <v>0.30310233657571722</v>
      </c>
    </row>
    <row r="169" spans="1:49" x14ac:dyDescent="0.2">
      <c r="A169">
        <v>167</v>
      </c>
      <c r="B169" t="s">
        <v>666</v>
      </c>
      <c r="C169" t="s">
        <v>665</v>
      </c>
      <c r="F169" t="s">
        <v>664</v>
      </c>
      <c r="G169" t="s">
        <v>4</v>
      </c>
      <c r="H169" t="s">
        <v>3</v>
      </c>
      <c r="I169" t="s">
        <v>663</v>
      </c>
      <c r="J169" t="s">
        <v>662</v>
      </c>
      <c r="K169" t="s">
        <v>661</v>
      </c>
      <c r="L169" t="s">
        <v>660</v>
      </c>
      <c r="M169" t="s">
        <v>659</v>
      </c>
      <c r="N169">
        <v>3</v>
      </c>
      <c r="O169" t="s">
        <v>658</v>
      </c>
      <c r="P169" t="s">
        <v>657</v>
      </c>
      <c r="Q169" t="s">
        <v>656</v>
      </c>
      <c r="R169" s="7">
        <v>30910</v>
      </c>
      <c r="S169" s="8">
        <f t="shared" si="16"/>
        <v>1984</v>
      </c>
      <c r="T169" s="8">
        <v>1984</v>
      </c>
      <c r="U169" s="8">
        <f t="shared" si="17"/>
        <v>38</v>
      </c>
      <c r="V169" s="7">
        <v>30910</v>
      </c>
      <c r="W169" t="s">
        <v>206</v>
      </c>
      <c r="X169" s="2">
        <v>0.375</v>
      </c>
      <c r="Y169" s="6">
        <f t="shared" si="18"/>
        <v>1.0010410827260351E-2</v>
      </c>
      <c r="AA169">
        <v>135194</v>
      </c>
      <c r="AB169">
        <v>24918</v>
      </c>
      <c r="AD169" t="s">
        <v>1</v>
      </c>
      <c r="AE169">
        <v>20</v>
      </c>
      <c r="AF169">
        <v>17</v>
      </c>
      <c r="AH169" t="s">
        <v>655</v>
      </c>
      <c r="AI169" t="s">
        <v>654</v>
      </c>
      <c r="AJ169" t="s">
        <v>653</v>
      </c>
      <c r="AK169" t="s">
        <v>652</v>
      </c>
      <c r="AL169">
        <v>10</v>
      </c>
      <c r="AM169" s="5">
        <f t="shared" si="19"/>
        <v>0.26315789473684209</v>
      </c>
      <c r="AN169" s="4">
        <f t="shared" si="20"/>
        <v>3.9857310827238487E-4</v>
      </c>
      <c r="AO169" s="3"/>
      <c r="AP169">
        <v>0</v>
      </c>
      <c r="AR169" t="s">
        <v>0</v>
      </c>
      <c r="AT169" s="2">
        <v>1.3140000000000001</v>
      </c>
      <c r="AU169" s="1">
        <f t="shared" si="21"/>
        <v>0.7126859511563961</v>
      </c>
      <c r="AV169" s="1">
        <f t="shared" si="22"/>
        <v>0.52044919677663681</v>
      </c>
      <c r="AW169" s="1">
        <f t="shared" si="23"/>
        <v>0.32821244239687747</v>
      </c>
    </row>
    <row r="170" spans="1:49" x14ac:dyDescent="0.2">
      <c r="A170">
        <v>168</v>
      </c>
      <c r="B170" t="s">
        <v>651</v>
      </c>
      <c r="C170" t="s">
        <v>650</v>
      </c>
      <c r="F170" t="s">
        <v>649</v>
      </c>
      <c r="G170" t="s">
        <v>4</v>
      </c>
      <c r="H170" t="s">
        <v>3</v>
      </c>
      <c r="I170" t="s">
        <v>179</v>
      </c>
      <c r="J170">
        <v>60009697</v>
      </c>
      <c r="K170" t="s">
        <v>164</v>
      </c>
      <c r="L170" t="s">
        <v>163</v>
      </c>
      <c r="M170" t="s">
        <v>7</v>
      </c>
      <c r="N170">
        <v>2</v>
      </c>
      <c r="O170" t="s">
        <v>648</v>
      </c>
      <c r="P170" t="s">
        <v>647</v>
      </c>
      <c r="Q170" t="s">
        <v>162</v>
      </c>
      <c r="R170" s="7">
        <v>30910</v>
      </c>
      <c r="S170" s="8">
        <f t="shared" si="16"/>
        <v>1984</v>
      </c>
      <c r="T170" s="8">
        <v>1984</v>
      </c>
      <c r="U170" s="8">
        <f t="shared" si="17"/>
        <v>38</v>
      </c>
      <c r="V170" s="7">
        <v>30910</v>
      </c>
      <c r="W170" t="s">
        <v>206</v>
      </c>
      <c r="X170" s="2">
        <v>0.375</v>
      </c>
      <c r="Y170" s="6">
        <f t="shared" si="18"/>
        <v>1.0010410827260351E-2</v>
      </c>
      <c r="AA170">
        <v>135194</v>
      </c>
      <c r="AB170">
        <v>24918</v>
      </c>
      <c r="AD170" t="s">
        <v>1</v>
      </c>
      <c r="AE170">
        <v>20</v>
      </c>
      <c r="AF170">
        <v>17</v>
      </c>
      <c r="AH170" t="s">
        <v>646</v>
      </c>
      <c r="AI170" t="s">
        <v>645</v>
      </c>
      <c r="AJ170" t="s">
        <v>644</v>
      </c>
      <c r="AK170" t="s">
        <v>643</v>
      </c>
      <c r="AL170">
        <v>0</v>
      </c>
      <c r="AM170" s="5">
        <f t="shared" si="19"/>
        <v>0</v>
      </c>
      <c r="AN170" s="4">
        <f t="shared" si="20"/>
        <v>0</v>
      </c>
      <c r="AO170" s="3"/>
      <c r="AP170">
        <v>0</v>
      </c>
      <c r="AR170" t="s">
        <v>0</v>
      </c>
      <c r="AT170" s="2">
        <v>1.3140000000000001</v>
      </c>
      <c r="AU170" s="1">
        <f t="shared" si="21"/>
        <v>0.70072875790822453</v>
      </c>
      <c r="AV170" s="1">
        <f t="shared" si="22"/>
        <v>0.5005205413630176</v>
      </c>
      <c r="AW170" s="1">
        <f t="shared" si="23"/>
        <v>0.30031232481781051</v>
      </c>
    </row>
    <row r="171" spans="1:49" x14ac:dyDescent="0.2">
      <c r="A171">
        <v>169</v>
      </c>
      <c r="B171" t="s">
        <v>642</v>
      </c>
      <c r="C171" t="s">
        <v>641</v>
      </c>
      <c r="F171" t="s">
        <v>640</v>
      </c>
      <c r="G171" t="s">
        <v>4</v>
      </c>
      <c r="H171" t="s">
        <v>3</v>
      </c>
      <c r="I171" t="s">
        <v>639</v>
      </c>
      <c r="J171">
        <v>60022148</v>
      </c>
      <c r="K171" t="s">
        <v>173</v>
      </c>
      <c r="L171" t="s">
        <v>25</v>
      </c>
      <c r="M171" t="s">
        <v>18</v>
      </c>
      <c r="N171">
        <v>2</v>
      </c>
      <c r="O171" t="s">
        <v>638</v>
      </c>
      <c r="P171" t="s">
        <v>637</v>
      </c>
      <c r="Q171" t="s">
        <v>172</v>
      </c>
      <c r="R171" s="7">
        <v>30901</v>
      </c>
      <c r="S171" s="8">
        <f t="shared" si="16"/>
        <v>1984</v>
      </c>
      <c r="T171" s="8">
        <v>1984</v>
      </c>
      <c r="U171" s="8">
        <f t="shared" si="17"/>
        <v>38</v>
      </c>
      <c r="V171" s="7">
        <v>30901</v>
      </c>
      <c r="W171" t="s">
        <v>117</v>
      </c>
      <c r="X171" s="2" t="s">
        <v>8</v>
      </c>
      <c r="Y171" s="6" t="e">
        <f t="shared" si="18"/>
        <v>#VALUE!</v>
      </c>
      <c r="AA171">
        <v>337722</v>
      </c>
      <c r="AB171">
        <v>35312</v>
      </c>
      <c r="AD171" t="s">
        <v>1</v>
      </c>
      <c r="AE171">
        <v>54</v>
      </c>
      <c r="AH171" t="s">
        <v>636</v>
      </c>
      <c r="AI171" t="s">
        <v>635</v>
      </c>
      <c r="AJ171" t="s">
        <v>634</v>
      </c>
      <c r="AK171" t="s">
        <v>633</v>
      </c>
      <c r="AL171">
        <v>9</v>
      </c>
      <c r="AM171" s="5">
        <f t="shared" si="19"/>
        <v>0.23684210526315788</v>
      </c>
      <c r="AN171" s="4">
        <f t="shared" si="20"/>
        <v>3.5871579744514633E-4</v>
      </c>
      <c r="AO171" s="3"/>
      <c r="AP171">
        <v>0</v>
      </c>
      <c r="AR171" t="s">
        <v>0</v>
      </c>
      <c r="AT171" s="2" t="s">
        <v>8</v>
      </c>
      <c r="AU171" s="1" t="e">
        <f t="shared" si="21"/>
        <v>#VALUE!</v>
      </c>
      <c r="AV171" s="1" t="e">
        <f t="shared" si="22"/>
        <v>#VALUE!</v>
      </c>
      <c r="AW171" s="1" t="e">
        <f t="shared" si="23"/>
        <v>#VALUE!</v>
      </c>
    </row>
    <row r="172" spans="1:49" x14ac:dyDescent="0.2">
      <c r="A172">
        <v>170</v>
      </c>
      <c r="B172" t="s">
        <v>632</v>
      </c>
      <c r="C172" t="s">
        <v>631</v>
      </c>
      <c r="D172">
        <v>550321384901366</v>
      </c>
      <c r="F172" t="s">
        <v>630</v>
      </c>
      <c r="G172" t="s">
        <v>4</v>
      </c>
      <c r="H172" t="s">
        <v>3</v>
      </c>
      <c r="I172" t="s">
        <v>629</v>
      </c>
      <c r="J172" t="s">
        <v>628</v>
      </c>
      <c r="K172" t="s">
        <v>627</v>
      </c>
      <c r="L172" t="s">
        <v>626</v>
      </c>
      <c r="M172" t="s">
        <v>625</v>
      </c>
      <c r="N172">
        <v>3</v>
      </c>
      <c r="O172" t="s">
        <v>624</v>
      </c>
      <c r="P172" t="s">
        <v>623</v>
      </c>
      <c r="Q172" t="s">
        <v>622</v>
      </c>
      <c r="R172" s="7">
        <v>30900</v>
      </c>
      <c r="S172" s="8">
        <f t="shared" si="16"/>
        <v>1984</v>
      </c>
      <c r="T172" s="8">
        <v>1984</v>
      </c>
      <c r="U172" s="8">
        <f t="shared" si="17"/>
        <v>38</v>
      </c>
      <c r="V172" s="7">
        <v>30900</v>
      </c>
      <c r="W172" t="s">
        <v>621</v>
      </c>
      <c r="X172" s="2" t="s">
        <v>8</v>
      </c>
      <c r="Y172" s="6" t="e">
        <f t="shared" si="18"/>
        <v>#VALUE!</v>
      </c>
      <c r="AA172">
        <v>5503213</v>
      </c>
      <c r="AB172">
        <v>29086</v>
      </c>
      <c r="AD172" t="s">
        <v>1</v>
      </c>
      <c r="AE172">
        <v>242</v>
      </c>
      <c r="AF172">
        <v>1</v>
      </c>
      <c r="AH172" t="s">
        <v>620</v>
      </c>
      <c r="AI172" t="s">
        <v>619</v>
      </c>
      <c r="AK172" t="s">
        <v>618</v>
      </c>
      <c r="AL172">
        <v>41</v>
      </c>
      <c r="AM172" s="5">
        <f t="shared" si="19"/>
        <v>1.0789473684210527</v>
      </c>
      <c r="AN172" s="4">
        <f t="shared" si="20"/>
        <v>1.6341497439167779E-3</v>
      </c>
      <c r="AO172" s="3"/>
      <c r="AP172">
        <v>0</v>
      </c>
      <c r="AQ172" t="s">
        <v>10</v>
      </c>
      <c r="AR172" t="s">
        <v>0</v>
      </c>
      <c r="AS172" t="s">
        <v>9</v>
      </c>
      <c r="AT172" s="2" t="s">
        <v>8</v>
      </c>
      <c r="AU172" s="1" t="e">
        <f t="shared" si="21"/>
        <v>#VALUE!</v>
      </c>
      <c r="AV172" s="1" t="e">
        <f t="shared" si="22"/>
        <v>#VALUE!</v>
      </c>
      <c r="AW172" s="1" t="e">
        <f t="shared" si="23"/>
        <v>#VALUE!</v>
      </c>
    </row>
    <row r="173" spans="1:49" x14ac:dyDescent="0.2">
      <c r="A173">
        <v>171</v>
      </c>
      <c r="B173" t="s">
        <v>617</v>
      </c>
      <c r="C173" t="s">
        <v>616</v>
      </c>
      <c r="F173" t="s">
        <v>615</v>
      </c>
      <c r="G173" t="s">
        <v>4</v>
      </c>
      <c r="H173" t="s">
        <v>3</v>
      </c>
      <c r="I173" t="s">
        <v>614</v>
      </c>
      <c r="J173">
        <v>60005837</v>
      </c>
      <c r="K173" t="s">
        <v>153</v>
      </c>
      <c r="L173" t="s">
        <v>15</v>
      </c>
      <c r="M173" t="s">
        <v>11</v>
      </c>
      <c r="N173">
        <v>2</v>
      </c>
      <c r="O173" t="s">
        <v>613</v>
      </c>
      <c r="P173" t="s">
        <v>612</v>
      </c>
      <c r="Q173" t="s">
        <v>611</v>
      </c>
      <c r="R173" s="7">
        <v>30896</v>
      </c>
      <c r="S173" s="8">
        <f t="shared" si="16"/>
        <v>1984</v>
      </c>
      <c r="T173" s="8">
        <v>1984</v>
      </c>
      <c r="U173" s="8">
        <f t="shared" si="17"/>
        <v>38</v>
      </c>
      <c r="V173" s="7">
        <v>30896</v>
      </c>
      <c r="W173" t="s">
        <v>206</v>
      </c>
      <c r="X173" s="2">
        <v>0.375</v>
      </c>
      <c r="Y173" s="6">
        <f t="shared" si="18"/>
        <v>1.0010410827260351E-2</v>
      </c>
      <c r="AA173">
        <v>135194</v>
      </c>
      <c r="AB173">
        <v>24918</v>
      </c>
      <c r="AD173" t="s">
        <v>1</v>
      </c>
      <c r="AE173">
        <v>20</v>
      </c>
      <c r="AF173">
        <v>16</v>
      </c>
      <c r="AH173" t="s">
        <v>610</v>
      </c>
      <c r="AI173" t="s">
        <v>609</v>
      </c>
      <c r="AJ173" t="s">
        <v>608</v>
      </c>
      <c r="AK173" t="s">
        <v>607</v>
      </c>
      <c r="AL173">
        <v>152</v>
      </c>
      <c r="AM173" s="5">
        <f t="shared" si="19"/>
        <v>4</v>
      </c>
      <c r="AN173" s="4">
        <f t="shared" si="20"/>
        <v>6.0583112457402496E-3</v>
      </c>
      <c r="AO173" s="3"/>
      <c r="AP173">
        <v>0</v>
      </c>
      <c r="AR173" t="s">
        <v>0</v>
      </c>
      <c r="AT173" s="2">
        <v>1.3140000000000001</v>
      </c>
      <c r="AU173" s="1">
        <f t="shared" si="21"/>
        <v>0.88247809528043208</v>
      </c>
      <c r="AV173" s="1">
        <f t="shared" si="22"/>
        <v>0.80343610365002993</v>
      </c>
      <c r="AW173" s="1">
        <f t="shared" si="23"/>
        <v>0.724394112019628</v>
      </c>
    </row>
    <row r="174" spans="1:49" x14ac:dyDescent="0.2">
      <c r="A174">
        <v>172</v>
      </c>
      <c r="B174" t="s">
        <v>606</v>
      </c>
      <c r="F174" t="s">
        <v>605</v>
      </c>
      <c r="G174" t="s">
        <v>4</v>
      </c>
      <c r="H174" t="s">
        <v>3</v>
      </c>
      <c r="I174" t="s">
        <v>604</v>
      </c>
      <c r="N174">
        <v>5</v>
      </c>
      <c r="O174" t="s">
        <v>603</v>
      </c>
      <c r="P174" t="s">
        <v>602</v>
      </c>
      <c r="Q174" t="s">
        <v>41</v>
      </c>
      <c r="R174" s="7">
        <v>30895</v>
      </c>
      <c r="S174" s="8">
        <f t="shared" si="16"/>
        <v>1984</v>
      </c>
      <c r="T174" s="8">
        <v>1984</v>
      </c>
      <c r="U174" s="8">
        <f t="shared" si="17"/>
        <v>38</v>
      </c>
      <c r="V174" s="7">
        <v>30895</v>
      </c>
      <c r="W174" t="s">
        <v>31</v>
      </c>
      <c r="X174" s="2">
        <v>0.14099999999999999</v>
      </c>
      <c r="Y174" s="6">
        <f t="shared" si="18"/>
        <v>3.7639144710498915E-3</v>
      </c>
      <c r="AA174">
        <v>402508</v>
      </c>
      <c r="AB174">
        <v>20868</v>
      </c>
      <c r="AD174" t="s">
        <v>1</v>
      </c>
      <c r="AE174" t="s">
        <v>30</v>
      </c>
      <c r="AF174">
        <v>8</v>
      </c>
      <c r="AH174" t="s">
        <v>601</v>
      </c>
      <c r="AI174" t="s">
        <v>600</v>
      </c>
      <c r="AK174" t="s">
        <v>599</v>
      </c>
      <c r="AL174">
        <v>0</v>
      </c>
      <c r="AM174" s="5">
        <f t="shared" si="19"/>
        <v>0</v>
      </c>
      <c r="AN174" s="4">
        <f t="shared" si="20"/>
        <v>0</v>
      </c>
      <c r="AO174" s="3"/>
      <c r="AP174">
        <v>0</v>
      </c>
      <c r="AR174" t="s">
        <v>0</v>
      </c>
      <c r="AT174" s="2" t="s">
        <v>8</v>
      </c>
      <c r="AU174" s="1">
        <f t="shared" si="21"/>
        <v>0.26347401297349238</v>
      </c>
      <c r="AV174" s="1">
        <f t="shared" si="22"/>
        <v>0.18819572355249459</v>
      </c>
      <c r="AW174" s="1">
        <f t="shared" si="23"/>
        <v>0.11291743413149673</v>
      </c>
    </row>
    <row r="175" spans="1:49" x14ac:dyDescent="0.2">
      <c r="A175">
        <v>173</v>
      </c>
      <c r="B175" t="s">
        <v>598</v>
      </c>
      <c r="F175" t="s">
        <v>597</v>
      </c>
      <c r="G175" t="s">
        <v>4</v>
      </c>
      <c r="H175" t="s">
        <v>3</v>
      </c>
      <c r="I175" t="s">
        <v>596</v>
      </c>
      <c r="N175">
        <v>1</v>
      </c>
      <c r="O175" t="s">
        <v>595</v>
      </c>
      <c r="P175">
        <v>6603755094</v>
      </c>
      <c r="R175" s="7">
        <v>30895</v>
      </c>
      <c r="S175" s="8">
        <f t="shared" si="16"/>
        <v>1984</v>
      </c>
      <c r="T175" s="8">
        <v>1984</v>
      </c>
      <c r="U175" s="8">
        <f t="shared" si="17"/>
        <v>38</v>
      </c>
      <c r="V175" s="7">
        <v>30895</v>
      </c>
      <c r="W175" t="s">
        <v>31</v>
      </c>
      <c r="X175" s="2">
        <v>0.14099999999999999</v>
      </c>
      <c r="Y175" s="6">
        <f t="shared" si="18"/>
        <v>3.7639144710498915E-3</v>
      </c>
      <c r="AA175">
        <v>402508</v>
      </c>
      <c r="AB175">
        <v>20868</v>
      </c>
      <c r="AD175" t="s">
        <v>1</v>
      </c>
      <c r="AE175" t="s">
        <v>30</v>
      </c>
      <c r="AF175">
        <v>8</v>
      </c>
      <c r="AH175" t="s">
        <v>594</v>
      </c>
      <c r="AI175" t="s">
        <v>593</v>
      </c>
      <c r="AK175" t="s">
        <v>592</v>
      </c>
      <c r="AL175">
        <v>0</v>
      </c>
      <c r="AM175" s="5">
        <f t="shared" si="19"/>
        <v>0</v>
      </c>
      <c r="AN175" s="4">
        <f t="shared" si="20"/>
        <v>0</v>
      </c>
      <c r="AO175" s="3"/>
      <c r="AP175">
        <v>0</v>
      </c>
      <c r="AR175" t="s">
        <v>0</v>
      </c>
      <c r="AT175" s="2" t="s">
        <v>8</v>
      </c>
      <c r="AU175" s="1">
        <f t="shared" si="21"/>
        <v>0.26347401297349238</v>
      </c>
      <c r="AV175" s="1">
        <f t="shared" si="22"/>
        <v>0.18819572355249459</v>
      </c>
      <c r="AW175" s="1">
        <f t="shared" si="23"/>
        <v>0.11291743413149673</v>
      </c>
    </row>
    <row r="176" spans="1:49" x14ac:dyDescent="0.2">
      <c r="A176">
        <v>174</v>
      </c>
      <c r="B176" t="s">
        <v>591</v>
      </c>
      <c r="F176" t="s">
        <v>590</v>
      </c>
      <c r="G176" t="s">
        <v>4</v>
      </c>
      <c r="H176" t="s">
        <v>3</v>
      </c>
      <c r="I176" t="s">
        <v>589</v>
      </c>
      <c r="J176">
        <v>60072226</v>
      </c>
      <c r="K176" t="s">
        <v>588</v>
      </c>
      <c r="L176" t="s">
        <v>587</v>
      </c>
      <c r="M176" t="s">
        <v>16</v>
      </c>
      <c r="N176">
        <v>4</v>
      </c>
      <c r="O176" t="s">
        <v>586</v>
      </c>
      <c r="P176" t="s">
        <v>585</v>
      </c>
      <c r="Q176" t="s">
        <v>584</v>
      </c>
      <c r="R176" s="7">
        <v>30895</v>
      </c>
      <c r="S176" s="8">
        <f t="shared" si="16"/>
        <v>1984</v>
      </c>
      <c r="T176" s="8">
        <v>1984</v>
      </c>
      <c r="U176" s="8">
        <f t="shared" si="17"/>
        <v>38</v>
      </c>
      <c r="V176" s="7">
        <v>30895</v>
      </c>
      <c r="W176" t="s">
        <v>68</v>
      </c>
      <c r="X176" s="2" t="s">
        <v>8</v>
      </c>
      <c r="Y176" s="6" t="e">
        <f t="shared" si="18"/>
        <v>#VALUE!</v>
      </c>
      <c r="AA176">
        <v>2511096</v>
      </c>
      <c r="AB176">
        <v>26110</v>
      </c>
      <c r="AD176" t="s">
        <v>1</v>
      </c>
      <c r="AE176">
        <v>65</v>
      </c>
      <c r="AH176" s="10">
        <v>41579</v>
      </c>
      <c r="AI176" t="s">
        <v>583</v>
      </c>
      <c r="AK176" t="s">
        <v>582</v>
      </c>
      <c r="AL176">
        <v>0</v>
      </c>
      <c r="AM176" s="5">
        <f t="shared" si="19"/>
        <v>0</v>
      </c>
      <c r="AN176" s="4">
        <f t="shared" si="20"/>
        <v>0</v>
      </c>
      <c r="AO176" s="3"/>
      <c r="AP176">
        <v>0</v>
      </c>
      <c r="AR176" t="s">
        <v>0</v>
      </c>
      <c r="AT176" s="2" t="s">
        <v>8</v>
      </c>
      <c r="AU176" s="1" t="e">
        <f t="shared" si="21"/>
        <v>#VALUE!</v>
      </c>
      <c r="AV176" s="1" t="e">
        <f t="shared" si="22"/>
        <v>#VALUE!</v>
      </c>
      <c r="AW176" s="1" t="e">
        <f t="shared" si="23"/>
        <v>#VALUE!</v>
      </c>
    </row>
    <row r="177" spans="1:49" x14ac:dyDescent="0.2">
      <c r="A177">
        <v>175</v>
      </c>
      <c r="B177" t="s">
        <v>581</v>
      </c>
      <c r="F177" t="s">
        <v>580</v>
      </c>
      <c r="G177" t="s">
        <v>4</v>
      </c>
      <c r="H177" t="s">
        <v>3</v>
      </c>
      <c r="I177" t="s">
        <v>579</v>
      </c>
      <c r="J177">
        <v>60103907</v>
      </c>
      <c r="K177" t="s">
        <v>159</v>
      </c>
      <c r="L177" t="s">
        <v>50</v>
      </c>
      <c r="M177" t="s">
        <v>49</v>
      </c>
      <c r="N177">
        <v>1</v>
      </c>
      <c r="O177" t="s">
        <v>578</v>
      </c>
      <c r="P177">
        <v>55391886300</v>
      </c>
      <c r="Q177">
        <v>60103907</v>
      </c>
      <c r="R177" s="7">
        <v>30895</v>
      </c>
      <c r="S177" s="8">
        <f t="shared" si="16"/>
        <v>1984</v>
      </c>
      <c r="T177" s="8">
        <v>1984</v>
      </c>
      <c r="U177" s="8">
        <f t="shared" si="17"/>
        <v>38</v>
      </c>
      <c r="V177" s="7">
        <v>30895</v>
      </c>
      <c r="W177" t="s">
        <v>577</v>
      </c>
      <c r="X177" s="2" t="s">
        <v>8</v>
      </c>
      <c r="Y177" s="6" t="e">
        <f t="shared" si="18"/>
        <v>#VALUE!</v>
      </c>
      <c r="AA177" t="s">
        <v>576</v>
      </c>
      <c r="AB177">
        <v>20050</v>
      </c>
      <c r="AD177" t="s">
        <v>1</v>
      </c>
      <c r="AF177">
        <v>303</v>
      </c>
      <c r="AI177" t="s">
        <v>575</v>
      </c>
      <c r="AK177" t="s">
        <v>574</v>
      </c>
      <c r="AL177">
        <v>0</v>
      </c>
      <c r="AM177" s="5">
        <f t="shared" si="19"/>
        <v>0</v>
      </c>
      <c r="AN177" s="4">
        <f t="shared" si="20"/>
        <v>0</v>
      </c>
      <c r="AO177" s="3"/>
      <c r="AP177">
        <v>0</v>
      </c>
      <c r="AR177" t="s">
        <v>0</v>
      </c>
      <c r="AT177" s="2" t="s">
        <v>8</v>
      </c>
      <c r="AU177" s="1" t="e">
        <f t="shared" si="21"/>
        <v>#VALUE!</v>
      </c>
      <c r="AV177" s="1" t="e">
        <f t="shared" si="22"/>
        <v>#VALUE!</v>
      </c>
      <c r="AW177" s="1" t="e">
        <f t="shared" si="23"/>
        <v>#VALUE!</v>
      </c>
    </row>
    <row r="178" spans="1:49" x14ac:dyDescent="0.2">
      <c r="A178">
        <v>176</v>
      </c>
      <c r="B178" t="s">
        <v>573</v>
      </c>
      <c r="F178" t="s">
        <v>572</v>
      </c>
      <c r="G178" t="s">
        <v>4</v>
      </c>
      <c r="H178" t="s">
        <v>3</v>
      </c>
      <c r="I178" t="s">
        <v>571</v>
      </c>
      <c r="J178">
        <v>60009628</v>
      </c>
      <c r="K178" t="s">
        <v>538</v>
      </c>
      <c r="L178" t="s">
        <v>537</v>
      </c>
      <c r="M178" t="s">
        <v>143</v>
      </c>
      <c r="N178">
        <v>2</v>
      </c>
      <c r="O178" t="s">
        <v>570</v>
      </c>
      <c r="P178" t="s">
        <v>569</v>
      </c>
      <c r="Q178" t="s">
        <v>534</v>
      </c>
      <c r="R178" s="7">
        <v>30895</v>
      </c>
      <c r="S178" s="8">
        <f t="shared" si="16"/>
        <v>1984</v>
      </c>
      <c r="T178" s="8">
        <v>1984</v>
      </c>
      <c r="U178" s="8">
        <f t="shared" si="17"/>
        <v>38</v>
      </c>
      <c r="V178" s="7">
        <v>30895</v>
      </c>
      <c r="W178" t="s">
        <v>533</v>
      </c>
      <c r="X178" s="2" t="s">
        <v>8</v>
      </c>
      <c r="Y178" s="6" t="e">
        <f t="shared" si="18"/>
        <v>#VALUE!</v>
      </c>
      <c r="AB178">
        <v>18207</v>
      </c>
      <c r="AD178" t="s">
        <v>1</v>
      </c>
      <c r="AE178">
        <v>12</v>
      </c>
      <c r="AF178">
        <v>4</v>
      </c>
      <c r="AH178" t="s">
        <v>568</v>
      </c>
      <c r="AI178" t="s">
        <v>567</v>
      </c>
      <c r="AK178" t="s">
        <v>566</v>
      </c>
      <c r="AL178">
        <v>0</v>
      </c>
      <c r="AM178" s="5">
        <f t="shared" si="19"/>
        <v>0</v>
      </c>
      <c r="AN178" s="4">
        <f t="shared" si="20"/>
        <v>0</v>
      </c>
      <c r="AO178" s="3"/>
      <c r="AP178">
        <v>0</v>
      </c>
      <c r="AR178" t="s">
        <v>0</v>
      </c>
      <c r="AT178" s="2" t="s">
        <v>8</v>
      </c>
      <c r="AU178" s="1" t="e">
        <f t="shared" si="21"/>
        <v>#VALUE!</v>
      </c>
      <c r="AV178" s="1" t="e">
        <f t="shared" si="22"/>
        <v>#VALUE!</v>
      </c>
      <c r="AW178" s="1" t="e">
        <f t="shared" si="23"/>
        <v>#VALUE!</v>
      </c>
    </row>
    <row r="179" spans="1:49" x14ac:dyDescent="0.2">
      <c r="A179">
        <v>177</v>
      </c>
      <c r="B179" t="s">
        <v>565</v>
      </c>
      <c r="C179" t="s">
        <v>564</v>
      </c>
      <c r="F179" t="s">
        <v>563</v>
      </c>
      <c r="G179" t="s">
        <v>4</v>
      </c>
      <c r="H179" t="s">
        <v>3</v>
      </c>
      <c r="I179" t="s">
        <v>562</v>
      </c>
      <c r="N179">
        <v>4</v>
      </c>
      <c r="O179" t="s">
        <v>561</v>
      </c>
      <c r="P179" t="s">
        <v>560</v>
      </c>
      <c r="Q179" t="s">
        <v>42</v>
      </c>
      <c r="R179" s="7">
        <v>30895</v>
      </c>
      <c r="S179" s="8">
        <f t="shared" si="16"/>
        <v>1984</v>
      </c>
      <c r="T179" s="8">
        <v>1984</v>
      </c>
      <c r="U179" s="8">
        <f t="shared" si="17"/>
        <v>38</v>
      </c>
      <c r="V179" s="7">
        <v>30895</v>
      </c>
      <c r="W179" t="s">
        <v>58</v>
      </c>
      <c r="X179" s="2">
        <v>0.318</v>
      </c>
      <c r="Y179" s="6">
        <f t="shared" si="18"/>
        <v>8.4888283815167786E-3</v>
      </c>
      <c r="AA179">
        <v>338443</v>
      </c>
      <c r="AB179">
        <v>27160</v>
      </c>
      <c r="AC179">
        <v>15739120</v>
      </c>
      <c r="AD179" t="s">
        <v>1</v>
      </c>
      <c r="AE179">
        <v>27</v>
      </c>
      <c r="AF179">
        <v>8</v>
      </c>
      <c r="AH179" t="s">
        <v>559</v>
      </c>
      <c r="AL179">
        <v>0</v>
      </c>
      <c r="AM179" s="5">
        <f t="shared" si="19"/>
        <v>0</v>
      </c>
      <c r="AN179" s="4">
        <f t="shared" si="20"/>
        <v>0</v>
      </c>
      <c r="AO179" s="3"/>
      <c r="AP179">
        <v>0</v>
      </c>
      <c r="AR179" t="s">
        <v>0</v>
      </c>
      <c r="AT179" s="2">
        <v>0.77</v>
      </c>
      <c r="AU179" s="1">
        <f t="shared" si="21"/>
        <v>0.59421798670617454</v>
      </c>
      <c r="AV179" s="1">
        <f t="shared" si="22"/>
        <v>0.42444141907583893</v>
      </c>
      <c r="AW179" s="1">
        <f t="shared" si="23"/>
        <v>0.25466485144550338</v>
      </c>
    </row>
    <row r="180" spans="1:49" x14ac:dyDescent="0.2">
      <c r="A180">
        <v>178</v>
      </c>
      <c r="B180" t="s">
        <v>558</v>
      </c>
      <c r="F180" t="s">
        <v>557</v>
      </c>
      <c r="G180" t="s">
        <v>4</v>
      </c>
      <c r="H180" t="s">
        <v>3</v>
      </c>
      <c r="I180" t="s">
        <v>64</v>
      </c>
      <c r="N180">
        <v>4</v>
      </c>
      <c r="O180" t="s">
        <v>556</v>
      </c>
      <c r="P180" t="s">
        <v>555</v>
      </c>
      <c r="Q180" t="s">
        <v>42</v>
      </c>
      <c r="R180" s="7">
        <v>30895</v>
      </c>
      <c r="S180" s="8">
        <f t="shared" si="16"/>
        <v>1984</v>
      </c>
      <c r="T180" s="8">
        <v>1984</v>
      </c>
      <c r="U180" s="8">
        <f t="shared" si="17"/>
        <v>38</v>
      </c>
      <c r="V180" s="7">
        <v>30895</v>
      </c>
      <c r="W180" t="s">
        <v>63</v>
      </c>
      <c r="X180" s="2" t="s">
        <v>8</v>
      </c>
      <c r="Y180" s="6" t="e">
        <f t="shared" si="18"/>
        <v>#VALUE!</v>
      </c>
      <c r="AA180">
        <v>337889</v>
      </c>
      <c r="AB180">
        <v>40920</v>
      </c>
      <c r="AD180" t="s">
        <v>1</v>
      </c>
      <c r="AE180">
        <v>29</v>
      </c>
      <c r="AF180">
        <v>8</v>
      </c>
      <c r="AH180" t="s">
        <v>554</v>
      </c>
      <c r="AI180" t="s">
        <v>553</v>
      </c>
      <c r="AK180" t="s">
        <v>552</v>
      </c>
      <c r="AL180">
        <v>0</v>
      </c>
      <c r="AM180" s="5">
        <f t="shared" si="19"/>
        <v>0</v>
      </c>
      <c r="AN180" s="4">
        <f t="shared" si="20"/>
        <v>0</v>
      </c>
      <c r="AO180" s="3"/>
      <c r="AP180">
        <v>0</v>
      </c>
      <c r="AR180" t="s">
        <v>0</v>
      </c>
      <c r="AT180" s="2" t="s">
        <v>8</v>
      </c>
      <c r="AU180" s="1" t="e">
        <f t="shared" si="21"/>
        <v>#VALUE!</v>
      </c>
      <c r="AV180" s="1" t="e">
        <f t="shared" si="22"/>
        <v>#VALUE!</v>
      </c>
      <c r="AW180" s="1" t="e">
        <f t="shared" si="23"/>
        <v>#VALUE!</v>
      </c>
    </row>
    <row r="181" spans="1:49" x14ac:dyDescent="0.2">
      <c r="A181">
        <v>179</v>
      </c>
      <c r="B181" t="s">
        <v>551</v>
      </c>
      <c r="F181" t="s">
        <v>550</v>
      </c>
      <c r="G181" t="s">
        <v>4</v>
      </c>
      <c r="H181" t="s">
        <v>3</v>
      </c>
      <c r="I181" t="s">
        <v>549</v>
      </c>
      <c r="J181">
        <v>100443422</v>
      </c>
      <c r="K181" t="s">
        <v>548</v>
      </c>
      <c r="L181" t="s">
        <v>547</v>
      </c>
      <c r="M181" t="s">
        <v>174</v>
      </c>
      <c r="N181">
        <v>1</v>
      </c>
      <c r="O181" t="s">
        <v>546</v>
      </c>
      <c r="P181">
        <v>35608524000</v>
      </c>
      <c r="Q181">
        <v>100443422</v>
      </c>
      <c r="R181" s="7">
        <v>30895</v>
      </c>
      <c r="S181" s="8">
        <f t="shared" si="16"/>
        <v>1984</v>
      </c>
      <c r="T181" s="8">
        <v>1984</v>
      </c>
      <c r="U181" s="8">
        <f t="shared" si="17"/>
        <v>38</v>
      </c>
      <c r="V181" s="7">
        <v>30895</v>
      </c>
      <c r="W181" t="s">
        <v>545</v>
      </c>
      <c r="X181" s="2" t="s">
        <v>8</v>
      </c>
      <c r="Y181" s="6" t="e">
        <f t="shared" si="18"/>
        <v>#VALUE!</v>
      </c>
      <c r="AA181">
        <v>10196587</v>
      </c>
      <c r="AB181">
        <v>18354</v>
      </c>
      <c r="AD181" t="s">
        <v>1</v>
      </c>
      <c r="AF181">
        <v>206</v>
      </c>
      <c r="AH181" t="s">
        <v>544</v>
      </c>
      <c r="AI181" t="s">
        <v>543</v>
      </c>
      <c r="AK181" t="s">
        <v>542</v>
      </c>
      <c r="AL181">
        <v>0</v>
      </c>
      <c r="AM181" s="5">
        <f t="shared" si="19"/>
        <v>0</v>
      </c>
      <c r="AN181" s="4">
        <f t="shared" si="20"/>
        <v>0</v>
      </c>
      <c r="AO181" s="3"/>
      <c r="AP181">
        <v>0</v>
      </c>
      <c r="AR181" t="s">
        <v>0</v>
      </c>
      <c r="AT181" s="2" t="s">
        <v>8</v>
      </c>
      <c r="AU181" s="1" t="e">
        <f t="shared" si="21"/>
        <v>#VALUE!</v>
      </c>
      <c r="AV181" s="1" t="e">
        <f t="shared" si="22"/>
        <v>#VALUE!</v>
      </c>
      <c r="AW181" s="1" t="e">
        <f t="shared" si="23"/>
        <v>#VALUE!</v>
      </c>
    </row>
    <row r="182" spans="1:49" x14ac:dyDescent="0.2">
      <c r="A182">
        <v>180</v>
      </c>
      <c r="B182" t="s">
        <v>541</v>
      </c>
      <c r="F182" t="s">
        <v>540</v>
      </c>
      <c r="G182" t="s">
        <v>4</v>
      </c>
      <c r="H182" t="s">
        <v>3</v>
      </c>
      <c r="I182" t="s">
        <v>539</v>
      </c>
      <c r="J182">
        <v>60009628</v>
      </c>
      <c r="K182" t="s">
        <v>538</v>
      </c>
      <c r="L182" t="s">
        <v>537</v>
      </c>
      <c r="M182" t="s">
        <v>143</v>
      </c>
      <c r="N182">
        <v>2</v>
      </c>
      <c r="O182" t="s">
        <v>536</v>
      </c>
      <c r="P182" t="s">
        <v>535</v>
      </c>
      <c r="Q182" t="s">
        <v>534</v>
      </c>
      <c r="R182" s="7">
        <v>30895</v>
      </c>
      <c r="S182" s="8">
        <f t="shared" si="16"/>
        <v>1984</v>
      </c>
      <c r="T182" s="8">
        <v>1984</v>
      </c>
      <c r="U182" s="8">
        <f t="shared" si="17"/>
        <v>38</v>
      </c>
      <c r="V182" s="7">
        <v>30895</v>
      </c>
      <c r="W182" t="s">
        <v>533</v>
      </c>
      <c r="X182" s="2" t="s">
        <v>8</v>
      </c>
      <c r="Y182" s="6" t="e">
        <f t="shared" si="18"/>
        <v>#VALUE!</v>
      </c>
      <c r="AB182">
        <v>18207</v>
      </c>
      <c r="AD182" t="s">
        <v>1</v>
      </c>
      <c r="AE182">
        <v>12</v>
      </c>
      <c r="AF182">
        <v>4</v>
      </c>
      <c r="AH182" t="s">
        <v>532</v>
      </c>
      <c r="AI182" t="s">
        <v>531</v>
      </c>
      <c r="AK182" t="s">
        <v>530</v>
      </c>
      <c r="AL182">
        <v>0</v>
      </c>
      <c r="AM182" s="5">
        <f t="shared" si="19"/>
        <v>0</v>
      </c>
      <c r="AN182" s="4">
        <f t="shared" si="20"/>
        <v>0</v>
      </c>
      <c r="AO182" s="3"/>
      <c r="AP182">
        <v>0</v>
      </c>
      <c r="AR182" t="s">
        <v>0</v>
      </c>
      <c r="AT182" s="2" t="s">
        <v>8</v>
      </c>
      <c r="AU182" s="1" t="e">
        <f t="shared" si="21"/>
        <v>#VALUE!</v>
      </c>
      <c r="AV182" s="1" t="e">
        <f t="shared" si="22"/>
        <v>#VALUE!</v>
      </c>
      <c r="AW182" s="1" t="e">
        <f t="shared" si="23"/>
        <v>#VALUE!</v>
      </c>
    </row>
    <row r="183" spans="1:49" x14ac:dyDescent="0.2">
      <c r="A183">
        <v>181</v>
      </c>
      <c r="B183" t="s">
        <v>529</v>
      </c>
      <c r="C183" t="s">
        <v>528</v>
      </c>
      <c r="E183">
        <v>6434900</v>
      </c>
      <c r="F183" t="s">
        <v>527</v>
      </c>
      <c r="G183" t="s">
        <v>4</v>
      </c>
      <c r="H183" t="s">
        <v>3</v>
      </c>
      <c r="I183" t="s">
        <v>526</v>
      </c>
      <c r="J183">
        <v>60068684</v>
      </c>
      <c r="K183" t="s">
        <v>525</v>
      </c>
      <c r="L183" t="s">
        <v>524</v>
      </c>
      <c r="M183" t="s">
        <v>59</v>
      </c>
      <c r="N183">
        <v>3</v>
      </c>
      <c r="O183" t="s">
        <v>523</v>
      </c>
      <c r="P183" t="s">
        <v>522</v>
      </c>
      <c r="Q183" t="s">
        <v>521</v>
      </c>
      <c r="R183" s="7">
        <v>30895</v>
      </c>
      <c r="S183" s="8">
        <f t="shared" si="16"/>
        <v>1984</v>
      </c>
      <c r="T183" s="8">
        <v>1984</v>
      </c>
      <c r="U183" s="8">
        <f t="shared" si="17"/>
        <v>38</v>
      </c>
      <c r="V183" s="7">
        <v>30895</v>
      </c>
      <c r="W183" t="s">
        <v>520</v>
      </c>
      <c r="X183" s="2" t="s">
        <v>8</v>
      </c>
      <c r="Y183" s="6" t="e">
        <f t="shared" si="18"/>
        <v>#VALUE!</v>
      </c>
      <c r="AA183">
        <v>268925</v>
      </c>
      <c r="AB183">
        <v>32876</v>
      </c>
      <c r="AC183">
        <v>16174623</v>
      </c>
      <c r="AD183" t="s">
        <v>1</v>
      </c>
      <c r="AE183">
        <v>196</v>
      </c>
      <c r="AF183">
        <v>1</v>
      </c>
      <c r="AH183" t="s">
        <v>519</v>
      </c>
      <c r="AI183" t="s">
        <v>518</v>
      </c>
      <c r="AK183" t="s">
        <v>517</v>
      </c>
      <c r="AL183">
        <v>3</v>
      </c>
      <c r="AM183" s="5">
        <f t="shared" si="19"/>
        <v>7.8947368421052627E-2</v>
      </c>
      <c r="AN183" s="4">
        <f t="shared" si="20"/>
        <v>1.1957193248171546E-4</v>
      </c>
      <c r="AO183" s="3"/>
      <c r="AP183">
        <v>0</v>
      </c>
      <c r="AR183" t="s">
        <v>0</v>
      </c>
      <c r="AT183" s="2" t="s">
        <v>8</v>
      </c>
      <c r="AU183" s="1" t="e">
        <f t="shared" si="21"/>
        <v>#VALUE!</v>
      </c>
      <c r="AV183" s="1" t="e">
        <f t="shared" si="22"/>
        <v>#VALUE!</v>
      </c>
      <c r="AW183" s="1" t="e">
        <f t="shared" si="23"/>
        <v>#VALUE!</v>
      </c>
    </row>
    <row r="184" spans="1:49" x14ac:dyDescent="0.2">
      <c r="A184">
        <v>182</v>
      </c>
      <c r="B184" t="s">
        <v>516</v>
      </c>
      <c r="C184" t="s">
        <v>515</v>
      </c>
      <c r="D184">
        <v>5272884902391</v>
      </c>
      <c r="F184" t="s">
        <v>514</v>
      </c>
      <c r="G184" t="s">
        <v>4</v>
      </c>
      <c r="H184" t="s">
        <v>3</v>
      </c>
      <c r="I184" t="s">
        <v>513</v>
      </c>
      <c r="J184" t="s">
        <v>512</v>
      </c>
      <c r="K184" t="s">
        <v>511</v>
      </c>
      <c r="L184" t="s">
        <v>510</v>
      </c>
      <c r="M184" t="s">
        <v>19</v>
      </c>
      <c r="N184">
        <v>3</v>
      </c>
      <c r="O184" t="s">
        <v>509</v>
      </c>
      <c r="P184" t="s">
        <v>508</v>
      </c>
      <c r="Q184" t="s">
        <v>507</v>
      </c>
      <c r="R184" s="7">
        <v>30890</v>
      </c>
      <c r="S184" s="8">
        <f t="shared" si="16"/>
        <v>1984</v>
      </c>
      <c r="T184" s="8">
        <v>1984</v>
      </c>
      <c r="U184" s="8">
        <f t="shared" si="17"/>
        <v>38</v>
      </c>
      <c r="V184" s="7">
        <v>30890</v>
      </c>
      <c r="W184" t="s">
        <v>210</v>
      </c>
      <c r="X184" s="2">
        <v>1.59</v>
      </c>
      <c r="Y184" s="6">
        <f t="shared" si="18"/>
        <v>4.2444141907583888E-2</v>
      </c>
      <c r="AA184">
        <v>52728</v>
      </c>
      <c r="AB184">
        <v>16791</v>
      </c>
      <c r="AD184" t="s">
        <v>1</v>
      </c>
      <c r="AE184">
        <v>766</v>
      </c>
      <c r="AF184">
        <v>1</v>
      </c>
      <c r="AH184" t="s">
        <v>506</v>
      </c>
      <c r="AI184" t="s">
        <v>505</v>
      </c>
      <c r="AJ184" t="s">
        <v>504</v>
      </c>
      <c r="AK184" t="s">
        <v>503</v>
      </c>
      <c r="AL184">
        <v>9</v>
      </c>
      <c r="AM184" s="5">
        <f t="shared" si="19"/>
        <v>0.23684210526315788</v>
      </c>
      <c r="AN184" s="4">
        <f t="shared" si="20"/>
        <v>3.5871579744514633E-4</v>
      </c>
      <c r="AO184" s="3"/>
      <c r="AP184">
        <v>0</v>
      </c>
      <c r="AR184" t="s">
        <v>0</v>
      </c>
      <c r="AT184" s="2" t="s">
        <v>8</v>
      </c>
      <c r="AU184" s="1">
        <f t="shared" si="21"/>
        <v>2.9818514074542266</v>
      </c>
      <c r="AV184" s="1">
        <f t="shared" si="22"/>
        <v>2.1401428852514517</v>
      </c>
      <c r="AW184" s="1">
        <f t="shared" si="23"/>
        <v>1.2984343630486768</v>
      </c>
    </row>
    <row r="185" spans="1:49" x14ac:dyDescent="0.2">
      <c r="A185">
        <v>183</v>
      </c>
      <c r="B185" t="s">
        <v>502</v>
      </c>
      <c r="C185" t="s">
        <v>501</v>
      </c>
      <c r="D185">
        <v>5272884902238</v>
      </c>
      <c r="F185" t="s">
        <v>500</v>
      </c>
      <c r="G185" t="s">
        <v>4</v>
      </c>
      <c r="H185" t="s">
        <v>3</v>
      </c>
      <c r="I185" t="s">
        <v>499</v>
      </c>
      <c r="J185" t="s">
        <v>498</v>
      </c>
      <c r="K185" t="s">
        <v>497</v>
      </c>
      <c r="L185" t="s">
        <v>496</v>
      </c>
      <c r="M185" t="s">
        <v>23</v>
      </c>
      <c r="N185">
        <v>3</v>
      </c>
      <c r="O185" t="s">
        <v>495</v>
      </c>
      <c r="P185" t="s">
        <v>494</v>
      </c>
      <c r="Q185" t="s">
        <v>493</v>
      </c>
      <c r="R185" s="7">
        <v>30890</v>
      </c>
      <c r="S185" s="8">
        <f t="shared" si="16"/>
        <v>1984</v>
      </c>
      <c r="T185" s="8">
        <v>1984</v>
      </c>
      <c r="U185" s="8">
        <f t="shared" si="17"/>
        <v>38</v>
      </c>
      <c r="V185" s="7">
        <v>30890</v>
      </c>
      <c r="W185" t="s">
        <v>210</v>
      </c>
      <c r="X185" s="2">
        <v>1.59</v>
      </c>
      <c r="Y185" s="6">
        <f t="shared" si="18"/>
        <v>4.2444141907583888E-2</v>
      </c>
      <c r="AA185">
        <v>52728</v>
      </c>
      <c r="AB185">
        <v>16791</v>
      </c>
      <c r="AD185" t="s">
        <v>1</v>
      </c>
      <c r="AE185">
        <v>766</v>
      </c>
      <c r="AF185">
        <v>1</v>
      </c>
      <c r="AH185" t="s">
        <v>492</v>
      </c>
      <c r="AI185" t="s">
        <v>491</v>
      </c>
      <c r="AJ185" t="s">
        <v>490</v>
      </c>
      <c r="AK185" t="s">
        <v>489</v>
      </c>
      <c r="AL185">
        <v>9</v>
      </c>
      <c r="AM185" s="5">
        <f t="shared" si="19"/>
        <v>0.23684210526315788</v>
      </c>
      <c r="AN185" s="4">
        <f t="shared" si="20"/>
        <v>3.5871579744514633E-4</v>
      </c>
      <c r="AO185" s="3"/>
      <c r="AP185">
        <v>0</v>
      </c>
      <c r="AQ185" t="s">
        <v>10</v>
      </c>
      <c r="AR185" t="s">
        <v>488</v>
      </c>
      <c r="AS185" t="s">
        <v>9</v>
      </c>
      <c r="AT185" s="2" t="s">
        <v>8</v>
      </c>
      <c r="AU185" s="1">
        <f t="shared" si="21"/>
        <v>2.9818514074542266</v>
      </c>
      <c r="AV185" s="1">
        <f t="shared" si="22"/>
        <v>2.1401428852514517</v>
      </c>
      <c r="AW185" s="1">
        <f t="shared" si="23"/>
        <v>1.2984343630486768</v>
      </c>
    </row>
    <row r="186" spans="1:49" x14ac:dyDescent="0.2">
      <c r="A186">
        <v>184</v>
      </c>
      <c r="B186" t="s">
        <v>487</v>
      </c>
      <c r="C186" t="s">
        <v>486</v>
      </c>
      <c r="D186">
        <v>5272884902251</v>
      </c>
      <c r="E186">
        <v>6743647</v>
      </c>
      <c r="F186" t="s">
        <v>485</v>
      </c>
      <c r="G186" t="s">
        <v>4</v>
      </c>
      <c r="H186" t="s">
        <v>3</v>
      </c>
      <c r="I186" t="s">
        <v>484</v>
      </c>
      <c r="J186">
        <v>60007174</v>
      </c>
      <c r="K186" t="s">
        <v>483</v>
      </c>
      <c r="L186" t="s">
        <v>65</v>
      </c>
      <c r="M186" t="s">
        <v>11</v>
      </c>
      <c r="N186">
        <v>2</v>
      </c>
      <c r="O186" t="s">
        <v>482</v>
      </c>
      <c r="P186" t="s">
        <v>481</v>
      </c>
      <c r="Q186" t="s">
        <v>480</v>
      </c>
      <c r="R186" s="7">
        <v>30890</v>
      </c>
      <c r="S186" s="8">
        <f t="shared" si="16"/>
        <v>1984</v>
      </c>
      <c r="T186" s="8">
        <v>1984</v>
      </c>
      <c r="U186" s="8">
        <f t="shared" si="17"/>
        <v>38</v>
      </c>
      <c r="V186" s="7">
        <v>30890</v>
      </c>
      <c r="W186" t="s">
        <v>210</v>
      </c>
      <c r="X186" s="2">
        <v>1.59</v>
      </c>
      <c r="Y186" s="6">
        <f t="shared" si="18"/>
        <v>4.2444141907583888E-2</v>
      </c>
      <c r="AA186">
        <v>52728</v>
      </c>
      <c r="AB186">
        <v>16791</v>
      </c>
      <c r="AD186" t="s">
        <v>1</v>
      </c>
      <c r="AE186">
        <v>766</v>
      </c>
      <c r="AF186">
        <v>1</v>
      </c>
      <c r="AH186" t="s">
        <v>479</v>
      </c>
      <c r="AI186" t="s">
        <v>478</v>
      </c>
      <c r="AJ186" t="s">
        <v>477</v>
      </c>
      <c r="AK186" t="s">
        <v>476</v>
      </c>
      <c r="AL186">
        <v>6</v>
      </c>
      <c r="AM186" s="5">
        <f t="shared" si="19"/>
        <v>0.15789473684210525</v>
      </c>
      <c r="AN186" s="4">
        <f t="shared" si="20"/>
        <v>2.3914386496343091E-4</v>
      </c>
      <c r="AO186" s="3"/>
      <c r="AP186">
        <v>0</v>
      </c>
      <c r="AQ186" t="s">
        <v>10</v>
      </c>
      <c r="AR186" t="s">
        <v>475</v>
      </c>
      <c r="AS186" t="s">
        <v>9</v>
      </c>
      <c r="AT186" s="2" t="s">
        <v>8</v>
      </c>
      <c r="AU186" s="1">
        <f t="shared" si="21"/>
        <v>2.9782642494797749</v>
      </c>
      <c r="AV186" s="1">
        <f t="shared" si="22"/>
        <v>2.1341642886273657</v>
      </c>
      <c r="AW186" s="1">
        <f t="shared" si="23"/>
        <v>1.2900643277749566</v>
      </c>
    </row>
    <row r="187" spans="1:49" x14ac:dyDescent="0.2">
      <c r="A187">
        <v>185</v>
      </c>
      <c r="B187" t="s">
        <v>474</v>
      </c>
      <c r="C187" t="s">
        <v>473</v>
      </c>
      <c r="D187">
        <v>5272884902329</v>
      </c>
      <c r="F187" t="s">
        <v>472</v>
      </c>
      <c r="G187" t="s">
        <v>4</v>
      </c>
      <c r="H187" t="s">
        <v>3</v>
      </c>
      <c r="I187" t="s">
        <v>471</v>
      </c>
      <c r="J187">
        <v>60011520</v>
      </c>
      <c r="K187" t="s">
        <v>470</v>
      </c>
      <c r="L187" t="s">
        <v>25</v>
      </c>
      <c r="M187" t="s">
        <v>18</v>
      </c>
      <c r="N187">
        <v>4</v>
      </c>
      <c r="O187" t="s">
        <v>469</v>
      </c>
      <c r="P187" t="s">
        <v>468</v>
      </c>
      <c r="Q187" t="s">
        <v>467</v>
      </c>
      <c r="R187" s="7">
        <v>30890</v>
      </c>
      <c r="S187" s="8">
        <f t="shared" si="16"/>
        <v>1984</v>
      </c>
      <c r="T187" s="8">
        <v>1984</v>
      </c>
      <c r="U187" s="8">
        <f t="shared" si="17"/>
        <v>38</v>
      </c>
      <c r="V187" s="7">
        <v>30890</v>
      </c>
      <c r="W187" t="s">
        <v>210</v>
      </c>
      <c r="X187" s="2">
        <v>1.59</v>
      </c>
      <c r="Y187" s="6">
        <f t="shared" si="18"/>
        <v>4.2444141907583888E-2</v>
      </c>
      <c r="AA187">
        <v>52728</v>
      </c>
      <c r="AB187">
        <v>16791</v>
      </c>
      <c r="AD187" t="s">
        <v>1</v>
      </c>
      <c r="AE187">
        <v>766</v>
      </c>
      <c r="AF187">
        <v>1</v>
      </c>
      <c r="AH187" t="s">
        <v>466</v>
      </c>
      <c r="AI187" t="s">
        <v>465</v>
      </c>
      <c r="AJ187" t="s">
        <v>464</v>
      </c>
      <c r="AK187" t="s">
        <v>463</v>
      </c>
      <c r="AL187">
        <v>215</v>
      </c>
      <c r="AM187" s="5">
        <f t="shared" si="19"/>
        <v>5.6578947368421053</v>
      </c>
      <c r="AN187" s="4">
        <f t="shared" si="20"/>
        <v>8.5693218278562744E-3</v>
      </c>
      <c r="AO187" s="3"/>
      <c r="AP187">
        <v>0</v>
      </c>
      <c r="AQ187" t="s">
        <v>207</v>
      </c>
      <c r="AR187" t="s">
        <v>0</v>
      </c>
      <c r="AS187" t="s">
        <v>462</v>
      </c>
      <c r="AT187" s="2" t="s">
        <v>8</v>
      </c>
      <c r="AU187" s="1">
        <f t="shared" si="21"/>
        <v>3.2281695883665606</v>
      </c>
      <c r="AV187" s="1">
        <f t="shared" si="22"/>
        <v>2.5506731867720083</v>
      </c>
      <c r="AW187" s="1">
        <f t="shared" si="23"/>
        <v>1.8731767851774557</v>
      </c>
    </row>
    <row r="188" spans="1:49" x14ac:dyDescent="0.2">
      <c r="A188">
        <v>186</v>
      </c>
      <c r="B188" t="s">
        <v>461</v>
      </c>
      <c r="C188" t="s">
        <v>460</v>
      </c>
      <c r="D188">
        <v>14579384810066</v>
      </c>
      <c r="F188" t="s">
        <v>459</v>
      </c>
      <c r="G188" t="s">
        <v>4</v>
      </c>
      <c r="H188" t="s">
        <v>3</v>
      </c>
      <c r="I188" t="s">
        <v>458</v>
      </c>
      <c r="J188">
        <v>60014849</v>
      </c>
      <c r="K188" t="s">
        <v>457</v>
      </c>
      <c r="L188" t="s">
        <v>6</v>
      </c>
      <c r="M188" t="s">
        <v>5</v>
      </c>
      <c r="N188">
        <v>1</v>
      </c>
      <c r="O188" t="s">
        <v>456</v>
      </c>
      <c r="P188">
        <v>7102470438</v>
      </c>
      <c r="Q188">
        <v>60014849</v>
      </c>
      <c r="R188" s="7">
        <v>30886</v>
      </c>
      <c r="S188" s="8">
        <f t="shared" si="16"/>
        <v>1984</v>
      </c>
      <c r="T188" s="8">
        <v>1984</v>
      </c>
      <c r="U188" s="8">
        <f t="shared" si="17"/>
        <v>38</v>
      </c>
      <c r="V188" s="7">
        <v>30886</v>
      </c>
      <c r="W188" t="s">
        <v>208</v>
      </c>
      <c r="X188" s="2">
        <v>1.593</v>
      </c>
      <c r="Y188" s="6">
        <f t="shared" si="18"/>
        <v>4.2524225194201973E-2</v>
      </c>
      <c r="AA188">
        <v>145793</v>
      </c>
      <c r="AB188">
        <v>17481</v>
      </c>
      <c r="AD188" t="s">
        <v>1</v>
      </c>
      <c r="AE188">
        <v>173</v>
      </c>
      <c r="AF188">
        <v>1</v>
      </c>
      <c r="AH188" s="10">
        <v>41883</v>
      </c>
      <c r="AI188" t="s">
        <v>455</v>
      </c>
      <c r="AJ188" t="s">
        <v>454</v>
      </c>
      <c r="AK188" t="s">
        <v>453</v>
      </c>
      <c r="AL188">
        <v>26</v>
      </c>
      <c r="AM188" s="5">
        <f t="shared" si="19"/>
        <v>0.68421052631578949</v>
      </c>
      <c r="AN188" s="4">
        <f t="shared" si="20"/>
        <v>1.0362900815082006E-3</v>
      </c>
      <c r="AO188" s="3"/>
      <c r="AP188">
        <v>0</v>
      </c>
      <c r="AR188" t="s">
        <v>0</v>
      </c>
      <c r="AT188" s="2">
        <v>4.1239999999999997</v>
      </c>
      <c r="AU188" s="1">
        <f t="shared" si="21"/>
        <v>3.007784466039384</v>
      </c>
      <c r="AV188" s="1">
        <f t="shared" si="22"/>
        <v>2.1780257637855085</v>
      </c>
      <c r="AW188" s="1">
        <f t="shared" si="23"/>
        <v>1.3482670615316332</v>
      </c>
    </row>
    <row r="189" spans="1:49" x14ac:dyDescent="0.2">
      <c r="A189">
        <v>187</v>
      </c>
      <c r="B189" t="s">
        <v>452</v>
      </c>
      <c r="C189" t="s">
        <v>451</v>
      </c>
      <c r="D189">
        <v>14579384810480</v>
      </c>
      <c r="F189" t="s">
        <v>450</v>
      </c>
      <c r="G189" t="s">
        <v>4</v>
      </c>
      <c r="H189" t="s">
        <v>3</v>
      </c>
      <c r="I189" t="s">
        <v>449</v>
      </c>
      <c r="J189">
        <v>60096201</v>
      </c>
      <c r="K189" t="s">
        <v>448</v>
      </c>
      <c r="L189" t="s">
        <v>60</v>
      </c>
      <c r="M189" t="s">
        <v>59</v>
      </c>
      <c r="N189">
        <v>5</v>
      </c>
      <c r="O189" t="s">
        <v>447</v>
      </c>
      <c r="P189" t="s">
        <v>446</v>
      </c>
      <c r="Q189" t="s">
        <v>445</v>
      </c>
      <c r="R189" s="7">
        <v>30886</v>
      </c>
      <c r="S189" s="8">
        <f t="shared" si="16"/>
        <v>1984</v>
      </c>
      <c r="T189" s="8">
        <v>1984</v>
      </c>
      <c r="U189" s="8">
        <f t="shared" si="17"/>
        <v>38</v>
      </c>
      <c r="V189" s="7">
        <v>30886</v>
      </c>
      <c r="W189" t="s">
        <v>208</v>
      </c>
      <c r="X189" s="2">
        <v>1.593</v>
      </c>
      <c r="Y189" s="6">
        <f t="shared" si="18"/>
        <v>4.2524225194201973E-2</v>
      </c>
      <c r="AA189">
        <v>145793</v>
      </c>
      <c r="AB189">
        <v>17481</v>
      </c>
      <c r="AD189" t="s">
        <v>1</v>
      </c>
      <c r="AE189">
        <v>173</v>
      </c>
      <c r="AF189">
        <v>1</v>
      </c>
      <c r="AH189" t="s">
        <v>444</v>
      </c>
      <c r="AI189" t="s">
        <v>443</v>
      </c>
      <c r="AJ189" t="s">
        <v>442</v>
      </c>
      <c r="AK189" t="s">
        <v>441</v>
      </c>
      <c r="AL189">
        <v>9</v>
      </c>
      <c r="AM189" s="5">
        <f t="shared" si="19"/>
        <v>0.23684210526315788</v>
      </c>
      <c r="AN189" s="4">
        <f t="shared" si="20"/>
        <v>3.5871579744514633E-4</v>
      </c>
      <c r="AO189" s="3"/>
      <c r="AP189">
        <v>1</v>
      </c>
      <c r="AR189" t="s">
        <v>0</v>
      </c>
      <c r="AT189" s="2">
        <v>4.1239999999999997</v>
      </c>
      <c r="AU189" s="1">
        <f t="shared" si="21"/>
        <v>2.9874572375174924</v>
      </c>
      <c r="AV189" s="1">
        <f t="shared" si="22"/>
        <v>2.1441470495823558</v>
      </c>
      <c r="AW189" s="1">
        <f t="shared" si="23"/>
        <v>1.3008368616472195</v>
      </c>
    </row>
    <row r="190" spans="1:49" x14ac:dyDescent="0.2">
      <c r="A190">
        <v>188</v>
      </c>
      <c r="B190" t="s">
        <v>440</v>
      </c>
      <c r="C190" t="s">
        <v>439</v>
      </c>
      <c r="F190" t="s">
        <v>438</v>
      </c>
      <c r="G190" t="s">
        <v>4</v>
      </c>
      <c r="H190" t="s">
        <v>3</v>
      </c>
      <c r="I190" t="s">
        <v>28</v>
      </c>
      <c r="J190">
        <v>60025778</v>
      </c>
      <c r="K190" t="s">
        <v>27</v>
      </c>
      <c r="L190" t="s">
        <v>26</v>
      </c>
      <c r="M190" t="s">
        <v>11</v>
      </c>
      <c r="N190">
        <v>1</v>
      </c>
      <c r="O190" t="s">
        <v>437</v>
      </c>
      <c r="P190">
        <v>56721541500</v>
      </c>
      <c r="Q190">
        <v>60025778</v>
      </c>
      <c r="R190" s="7">
        <v>30882</v>
      </c>
      <c r="S190" s="8">
        <f t="shared" si="16"/>
        <v>1984</v>
      </c>
      <c r="T190" s="8">
        <v>1984</v>
      </c>
      <c r="U190" s="8">
        <f t="shared" si="17"/>
        <v>38</v>
      </c>
      <c r="V190" s="7">
        <v>30882</v>
      </c>
      <c r="W190" t="s">
        <v>206</v>
      </c>
      <c r="X190" s="2">
        <v>0.375</v>
      </c>
      <c r="Y190" s="6">
        <f t="shared" si="18"/>
        <v>1.0010410827260351E-2</v>
      </c>
      <c r="AA190">
        <v>135194</v>
      </c>
      <c r="AB190">
        <v>24918</v>
      </c>
      <c r="AD190" t="s">
        <v>1</v>
      </c>
      <c r="AE190">
        <v>20</v>
      </c>
      <c r="AF190">
        <v>15</v>
      </c>
      <c r="AH190" t="s">
        <v>436</v>
      </c>
      <c r="AI190" t="s">
        <v>435</v>
      </c>
      <c r="AJ190" t="s">
        <v>215</v>
      </c>
      <c r="AK190" t="s">
        <v>434</v>
      </c>
      <c r="AL190">
        <v>26</v>
      </c>
      <c r="AM190" s="5">
        <f t="shared" si="19"/>
        <v>0.68421052631578949</v>
      </c>
      <c r="AN190" s="4">
        <f t="shared" si="20"/>
        <v>1.0362900815082006E-3</v>
      </c>
      <c r="AO190" s="3"/>
      <c r="AP190">
        <v>0</v>
      </c>
      <c r="AR190" t="s">
        <v>0</v>
      </c>
      <c r="AT190" s="2">
        <v>1.3140000000000001</v>
      </c>
      <c r="AU190" s="1">
        <f t="shared" si="21"/>
        <v>0.73181746035347062</v>
      </c>
      <c r="AV190" s="1">
        <f t="shared" si="22"/>
        <v>0.5523350454384276</v>
      </c>
      <c r="AW190" s="1">
        <f t="shared" si="23"/>
        <v>0.37285263052338452</v>
      </c>
    </row>
    <row r="191" spans="1:49" x14ac:dyDescent="0.2">
      <c r="A191">
        <v>189</v>
      </c>
      <c r="B191" t="s">
        <v>433</v>
      </c>
      <c r="C191" t="s">
        <v>432</v>
      </c>
      <c r="D191" t="s">
        <v>431</v>
      </c>
      <c r="F191" t="s">
        <v>430</v>
      </c>
      <c r="G191" t="s">
        <v>4</v>
      </c>
      <c r="H191" t="s">
        <v>3</v>
      </c>
      <c r="I191" t="s">
        <v>429</v>
      </c>
      <c r="J191">
        <v>60025272</v>
      </c>
      <c r="K191" t="s">
        <v>127</v>
      </c>
      <c r="L191" t="s">
        <v>50</v>
      </c>
      <c r="M191" t="s">
        <v>49</v>
      </c>
      <c r="N191">
        <v>3</v>
      </c>
      <c r="O191" t="s">
        <v>428</v>
      </c>
      <c r="P191" t="s">
        <v>427</v>
      </c>
      <c r="Q191" t="s">
        <v>137</v>
      </c>
      <c r="R191" s="7">
        <v>30872</v>
      </c>
      <c r="S191" s="8">
        <f t="shared" si="16"/>
        <v>1984</v>
      </c>
      <c r="T191" s="8">
        <v>1984</v>
      </c>
      <c r="U191" s="8">
        <f t="shared" si="17"/>
        <v>38</v>
      </c>
      <c r="V191" s="7">
        <v>30872</v>
      </c>
      <c r="W191" t="s">
        <v>426</v>
      </c>
      <c r="X191" s="2">
        <v>0.499</v>
      </c>
      <c r="Y191" s="6">
        <f t="shared" si="18"/>
        <v>1.332052000747444E-2</v>
      </c>
      <c r="AA191">
        <v>3759601</v>
      </c>
      <c r="AB191">
        <v>29464</v>
      </c>
      <c r="AD191" t="s">
        <v>1</v>
      </c>
      <c r="AE191">
        <v>103</v>
      </c>
      <c r="AF191">
        <v>5</v>
      </c>
      <c r="AH191" t="s">
        <v>425</v>
      </c>
      <c r="AI191" t="s">
        <v>424</v>
      </c>
      <c r="AK191" t="s">
        <v>423</v>
      </c>
      <c r="AL191">
        <v>2</v>
      </c>
      <c r="AM191" s="5">
        <f t="shared" si="19"/>
        <v>5.2631578947368418E-2</v>
      </c>
      <c r="AN191" s="4">
        <f t="shared" si="20"/>
        <v>7.9714621654476962E-5</v>
      </c>
      <c r="AO191" s="3"/>
      <c r="AP191">
        <v>0</v>
      </c>
      <c r="AR191" t="s">
        <v>0</v>
      </c>
      <c r="AT191" s="2">
        <v>2.6539999999999999</v>
      </c>
      <c r="AU191" s="1">
        <f t="shared" si="21"/>
        <v>0.93482783917284518</v>
      </c>
      <c r="AV191" s="1">
        <f t="shared" si="22"/>
        <v>0.67001173145644588</v>
      </c>
      <c r="AW191" s="1">
        <f t="shared" si="23"/>
        <v>0.40519562374004664</v>
      </c>
    </row>
    <row r="192" spans="1:49" x14ac:dyDescent="0.2">
      <c r="A192">
        <v>190</v>
      </c>
      <c r="B192" t="s">
        <v>422</v>
      </c>
      <c r="C192" t="s">
        <v>421</v>
      </c>
      <c r="D192">
        <v>22098184900273</v>
      </c>
      <c r="F192" t="s">
        <v>420</v>
      </c>
      <c r="G192" t="s">
        <v>4</v>
      </c>
      <c r="H192" t="s">
        <v>3</v>
      </c>
      <c r="I192" t="s">
        <v>419</v>
      </c>
      <c r="J192" t="s">
        <v>418</v>
      </c>
      <c r="K192" t="s">
        <v>417</v>
      </c>
      <c r="L192" t="s">
        <v>416</v>
      </c>
      <c r="M192" t="s">
        <v>415</v>
      </c>
      <c r="N192">
        <v>3</v>
      </c>
      <c r="O192" t="s">
        <v>414</v>
      </c>
      <c r="P192" t="s">
        <v>413</v>
      </c>
      <c r="Q192" t="s">
        <v>412</v>
      </c>
      <c r="R192" s="7">
        <v>30868</v>
      </c>
      <c r="S192" s="8">
        <f t="shared" si="16"/>
        <v>1984</v>
      </c>
      <c r="T192" s="8">
        <v>1984</v>
      </c>
      <c r="U192" s="8">
        <f t="shared" si="17"/>
        <v>38</v>
      </c>
      <c r="V192" s="7">
        <v>30868</v>
      </c>
      <c r="W192" t="s">
        <v>411</v>
      </c>
      <c r="X192" s="2">
        <v>0.96499999999999997</v>
      </c>
      <c r="Y192" s="6">
        <f t="shared" si="18"/>
        <v>2.5760123862149969E-2</v>
      </c>
      <c r="AA192">
        <v>220981</v>
      </c>
      <c r="AB192">
        <v>29606</v>
      </c>
      <c r="AD192" t="s">
        <v>1</v>
      </c>
      <c r="AE192">
        <v>79</v>
      </c>
      <c r="AF192">
        <v>1</v>
      </c>
      <c r="AH192" s="10">
        <v>43344</v>
      </c>
      <c r="AI192" t="s">
        <v>410</v>
      </c>
      <c r="AK192" t="s">
        <v>409</v>
      </c>
      <c r="AL192">
        <v>21</v>
      </c>
      <c r="AM192" s="5">
        <f t="shared" si="19"/>
        <v>0.55263157894736847</v>
      </c>
      <c r="AN192" s="4">
        <f t="shared" si="20"/>
        <v>8.3700352737200827E-4</v>
      </c>
      <c r="AO192" s="3"/>
      <c r="AP192">
        <v>0</v>
      </c>
      <c r="AR192" t="s">
        <v>0</v>
      </c>
      <c r="AT192" s="2" t="s">
        <v>8</v>
      </c>
      <c r="AU192" s="1">
        <f t="shared" si="21"/>
        <v>1.8283187761716577</v>
      </c>
      <c r="AV192" s="1">
        <f t="shared" si="22"/>
        <v>1.3298563694760988</v>
      </c>
      <c r="AW192" s="1">
        <f t="shared" si="23"/>
        <v>0.83139396278053956</v>
      </c>
    </row>
    <row r="193" spans="1:49" x14ac:dyDescent="0.2">
      <c r="A193">
        <v>191</v>
      </c>
      <c r="B193" t="s">
        <v>408</v>
      </c>
      <c r="C193" t="s">
        <v>407</v>
      </c>
      <c r="F193" t="s">
        <v>406</v>
      </c>
      <c r="G193" t="s">
        <v>4</v>
      </c>
      <c r="H193" t="s">
        <v>3</v>
      </c>
      <c r="I193" t="s">
        <v>405</v>
      </c>
      <c r="J193">
        <v>60033466</v>
      </c>
      <c r="K193" t="s">
        <v>404</v>
      </c>
      <c r="L193" t="s">
        <v>224</v>
      </c>
      <c r="M193" t="s">
        <v>24</v>
      </c>
      <c r="N193">
        <v>1</v>
      </c>
      <c r="O193" t="s">
        <v>403</v>
      </c>
      <c r="P193">
        <v>24793294800</v>
      </c>
      <c r="Q193">
        <v>60033466</v>
      </c>
      <c r="R193" s="7">
        <v>30864</v>
      </c>
      <c r="S193" s="8">
        <f t="shared" si="16"/>
        <v>1984</v>
      </c>
      <c r="T193" s="8">
        <v>1984</v>
      </c>
      <c r="U193" s="8">
        <f t="shared" si="17"/>
        <v>38</v>
      </c>
      <c r="V193" s="7">
        <v>30864</v>
      </c>
      <c r="W193" t="s">
        <v>193</v>
      </c>
      <c r="X193" s="2">
        <v>0.11700000000000001</v>
      </c>
      <c r="Y193" s="6">
        <f t="shared" si="18"/>
        <v>3.1232481781052297E-3</v>
      </c>
      <c r="AA193">
        <v>2179822</v>
      </c>
      <c r="AB193">
        <v>5300152612</v>
      </c>
      <c r="AC193">
        <v>19930615</v>
      </c>
      <c r="AD193" t="s">
        <v>1</v>
      </c>
      <c r="AE193">
        <v>1</v>
      </c>
      <c r="AF193">
        <v>3</v>
      </c>
      <c r="AH193" t="s">
        <v>402</v>
      </c>
      <c r="AI193" t="s">
        <v>401</v>
      </c>
      <c r="AK193" t="s">
        <v>400</v>
      </c>
      <c r="AL193">
        <v>0</v>
      </c>
      <c r="AM193" s="5">
        <f t="shared" si="19"/>
        <v>0</v>
      </c>
      <c r="AN193" s="4">
        <f t="shared" si="20"/>
        <v>0</v>
      </c>
      <c r="AO193" s="3"/>
      <c r="AP193">
        <v>0</v>
      </c>
      <c r="AR193" t="s">
        <v>0</v>
      </c>
      <c r="AT193" s="2" t="s">
        <v>8</v>
      </c>
      <c r="AU193" s="1">
        <f t="shared" si="21"/>
        <v>0.21862737246736608</v>
      </c>
      <c r="AV193" s="1">
        <f t="shared" si="22"/>
        <v>0.15616240890526148</v>
      </c>
      <c r="AW193" s="1">
        <f t="shared" si="23"/>
        <v>9.3697445343156896E-2</v>
      </c>
    </row>
    <row r="194" spans="1:49" x14ac:dyDescent="0.2">
      <c r="A194">
        <v>192</v>
      </c>
      <c r="B194" t="s">
        <v>399</v>
      </c>
      <c r="C194" t="s">
        <v>398</v>
      </c>
      <c r="F194" t="s">
        <v>397</v>
      </c>
      <c r="G194" t="s">
        <v>4</v>
      </c>
      <c r="H194" t="s">
        <v>3</v>
      </c>
      <c r="I194" t="s">
        <v>396</v>
      </c>
      <c r="J194">
        <v>60019499</v>
      </c>
      <c r="K194" t="s">
        <v>395</v>
      </c>
      <c r="L194" t="s">
        <v>224</v>
      </c>
      <c r="M194" t="s">
        <v>24</v>
      </c>
      <c r="N194">
        <v>1</v>
      </c>
      <c r="O194" t="s">
        <v>394</v>
      </c>
      <c r="P194">
        <v>6504530016</v>
      </c>
      <c r="Q194">
        <v>60019499</v>
      </c>
      <c r="R194" s="7">
        <v>30864</v>
      </c>
      <c r="S194" s="8">
        <f t="shared" ref="S194:S211" si="24">YEAR(R194)</f>
        <v>1984</v>
      </c>
      <c r="T194" s="8">
        <v>1984</v>
      </c>
      <c r="U194" s="8">
        <f t="shared" ref="U194:U211" si="25">2022-T194</f>
        <v>38</v>
      </c>
      <c r="V194" s="7">
        <v>30864</v>
      </c>
      <c r="W194" t="s">
        <v>193</v>
      </c>
      <c r="X194" s="2">
        <v>0.11700000000000001</v>
      </c>
      <c r="Y194" s="6">
        <f t="shared" ref="Y194:Y211" si="26">(X194-$Z$4)/($Z$3-$Z$4)</f>
        <v>3.1232481781052297E-3</v>
      </c>
      <c r="AA194">
        <v>2179822</v>
      </c>
      <c r="AB194">
        <v>5300152612</v>
      </c>
      <c r="AC194">
        <v>19930615</v>
      </c>
      <c r="AD194" t="s">
        <v>1</v>
      </c>
      <c r="AE194">
        <v>1</v>
      </c>
      <c r="AF194">
        <v>3</v>
      </c>
      <c r="AH194" t="s">
        <v>393</v>
      </c>
      <c r="AI194" t="s">
        <v>392</v>
      </c>
      <c r="AK194" t="s">
        <v>391</v>
      </c>
      <c r="AL194">
        <v>0</v>
      </c>
      <c r="AM194" s="5">
        <f t="shared" ref="AM194:AM211" si="27">AL194/U194</f>
        <v>0</v>
      </c>
      <c r="AN194" s="4">
        <f t="shared" ref="AN194:AN211" si="28">(AM194-$AO$4)/($AO$3-$AO$4)</f>
        <v>0</v>
      </c>
      <c r="AO194" s="3"/>
      <c r="AP194">
        <v>0</v>
      </c>
      <c r="AR194" t="s">
        <v>0</v>
      </c>
      <c r="AT194" s="2" t="s">
        <v>8</v>
      </c>
      <c r="AU194" s="1">
        <f t="shared" ref="AU194:AU211" si="29">(Y194*0.7+AN194*0.3)*100</f>
        <v>0.21862737246736608</v>
      </c>
      <c r="AV194" s="1">
        <f t="shared" ref="AV194:AV211" si="30">(Y194*0.5+AN194*0.5)*100</f>
        <v>0.15616240890526148</v>
      </c>
      <c r="AW194" s="1">
        <f t="shared" ref="AW194:AW211" si="31">(Y194*0.3+AN194*0.7)*100</f>
        <v>9.3697445343156896E-2</v>
      </c>
    </row>
    <row r="195" spans="1:49" x14ac:dyDescent="0.2">
      <c r="A195">
        <v>193</v>
      </c>
      <c r="B195" t="s">
        <v>390</v>
      </c>
      <c r="F195" t="s">
        <v>389</v>
      </c>
      <c r="G195" t="s">
        <v>4</v>
      </c>
      <c r="H195" t="s">
        <v>3</v>
      </c>
      <c r="I195" t="s">
        <v>388</v>
      </c>
      <c r="J195">
        <v>60023345</v>
      </c>
      <c r="K195" t="s">
        <v>203</v>
      </c>
      <c r="L195" t="s">
        <v>202</v>
      </c>
      <c r="M195" t="s">
        <v>16</v>
      </c>
      <c r="N195">
        <v>7</v>
      </c>
      <c r="O195" t="s">
        <v>387</v>
      </c>
      <c r="P195" t="s">
        <v>386</v>
      </c>
      <c r="Q195" t="s">
        <v>385</v>
      </c>
      <c r="R195" s="7">
        <v>30864</v>
      </c>
      <c r="S195" s="8">
        <f t="shared" si="24"/>
        <v>1984</v>
      </c>
      <c r="T195" s="8">
        <v>1984</v>
      </c>
      <c r="U195" s="8">
        <f t="shared" si="25"/>
        <v>38</v>
      </c>
      <c r="V195" s="7">
        <v>30864</v>
      </c>
      <c r="W195" t="s">
        <v>384</v>
      </c>
      <c r="X195" s="2" t="s">
        <v>8</v>
      </c>
      <c r="Y195" s="6" t="e">
        <f t="shared" si="26"/>
        <v>#VALUE!</v>
      </c>
      <c r="AA195">
        <v>2663244</v>
      </c>
      <c r="AB195">
        <v>35055</v>
      </c>
      <c r="AD195" t="s">
        <v>1</v>
      </c>
      <c r="AE195">
        <v>90</v>
      </c>
      <c r="AF195">
        <v>1582</v>
      </c>
      <c r="AI195" t="s">
        <v>383</v>
      </c>
      <c r="AK195" t="s">
        <v>382</v>
      </c>
      <c r="AL195">
        <v>0</v>
      </c>
      <c r="AM195" s="5">
        <f t="shared" si="27"/>
        <v>0</v>
      </c>
      <c r="AN195" s="4">
        <f t="shared" si="28"/>
        <v>0</v>
      </c>
      <c r="AO195" s="3"/>
      <c r="AP195">
        <v>0</v>
      </c>
      <c r="AR195" t="s">
        <v>0</v>
      </c>
      <c r="AT195" s="2" t="s">
        <v>8</v>
      </c>
      <c r="AU195" s="1" t="e">
        <f t="shared" si="29"/>
        <v>#VALUE!</v>
      </c>
      <c r="AV195" s="1" t="e">
        <f t="shared" si="30"/>
        <v>#VALUE!</v>
      </c>
      <c r="AW195" s="1" t="e">
        <f t="shared" si="31"/>
        <v>#VALUE!</v>
      </c>
    </row>
    <row r="196" spans="1:49" x14ac:dyDescent="0.2">
      <c r="A196">
        <v>194</v>
      </c>
      <c r="B196" t="s">
        <v>381</v>
      </c>
      <c r="C196" t="s">
        <v>380</v>
      </c>
      <c r="F196" t="s">
        <v>379</v>
      </c>
      <c r="G196" t="s">
        <v>4</v>
      </c>
      <c r="H196" t="s">
        <v>3</v>
      </c>
      <c r="I196" t="s">
        <v>378</v>
      </c>
      <c r="N196">
        <v>2</v>
      </c>
      <c r="O196" t="s">
        <v>377</v>
      </c>
      <c r="P196" t="s">
        <v>376</v>
      </c>
      <c r="Q196" t="s">
        <v>29</v>
      </c>
      <c r="R196" s="7">
        <v>30864</v>
      </c>
      <c r="S196" s="8">
        <f t="shared" si="24"/>
        <v>1984</v>
      </c>
      <c r="T196" s="8">
        <v>1984</v>
      </c>
      <c r="U196" s="8">
        <f t="shared" si="25"/>
        <v>38</v>
      </c>
      <c r="V196" s="7">
        <v>30864</v>
      </c>
      <c r="W196" t="s">
        <v>212</v>
      </c>
      <c r="X196" s="2">
        <v>0.14899999999999999</v>
      </c>
      <c r="Y196" s="6">
        <f t="shared" si="26"/>
        <v>3.977469902031446E-3</v>
      </c>
      <c r="AA196">
        <v>5431972</v>
      </c>
      <c r="AB196">
        <v>15425</v>
      </c>
      <c r="AC196">
        <v>15738906</v>
      </c>
      <c r="AD196" t="s">
        <v>1</v>
      </c>
      <c r="AE196">
        <v>27</v>
      </c>
      <c r="AF196">
        <v>7</v>
      </c>
      <c r="AH196" t="s">
        <v>375</v>
      </c>
      <c r="AL196">
        <v>0</v>
      </c>
      <c r="AM196" s="5">
        <f t="shared" si="27"/>
        <v>0</v>
      </c>
      <c r="AN196" s="4">
        <f t="shared" si="28"/>
        <v>0</v>
      </c>
      <c r="AO196" s="3"/>
      <c r="AP196">
        <v>0</v>
      </c>
      <c r="AR196" t="s">
        <v>0</v>
      </c>
      <c r="AT196" s="2" t="s">
        <v>8</v>
      </c>
      <c r="AU196" s="1">
        <f t="shared" si="29"/>
        <v>0.2784228931422012</v>
      </c>
      <c r="AV196" s="1">
        <f t="shared" si="30"/>
        <v>0.19887349510157229</v>
      </c>
      <c r="AW196" s="1">
        <f t="shared" si="31"/>
        <v>0.11932409706094337</v>
      </c>
    </row>
    <row r="197" spans="1:49" x14ac:dyDescent="0.2">
      <c r="A197">
        <v>195</v>
      </c>
      <c r="B197" t="s">
        <v>374</v>
      </c>
      <c r="C197" t="s">
        <v>373</v>
      </c>
      <c r="F197" t="s">
        <v>372</v>
      </c>
      <c r="G197" t="s">
        <v>4</v>
      </c>
      <c r="H197" t="s">
        <v>3</v>
      </c>
      <c r="I197" t="s">
        <v>218</v>
      </c>
      <c r="J197">
        <v>60031581</v>
      </c>
      <c r="K197" t="s">
        <v>217</v>
      </c>
      <c r="L197" t="s">
        <v>44</v>
      </c>
      <c r="M197" t="s">
        <v>11</v>
      </c>
      <c r="N197">
        <v>2</v>
      </c>
      <c r="O197" t="s">
        <v>371</v>
      </c>
      <c r="P197" t="s">
        <v>370</v>
      </c>
      <c r="Q197" t="s">
        <v>369</v>
      </c>
      <c r="R197" s="7">
        <v>30864</v>
      </c>
      <c r="S197" s="8">
        <f t="shared" si="24"/>
        <v>1984</v>
      </c>
      <c r="T197" s="8">
        <v>1984</v>
      </c>
      <c r="U197" s="8">
        <f t="shared" si="25"/>
        <v>38</v>
      </c>
      <c r="V197" s="7">
        <v>30864</v>
      </c>
      <c r="W197" t="s">
        <v>46</v>
      </c>
      <c r="X197" s="2">
        <v>0.61499999999999999</v>
      </c>
      <c r="Y197" s="6">
        <f t="shared" si="26"/>
        <v>1.6417073756706976E-2</v>
      </c>
      <c r="AA197">
        <v>1959271</v>
      </c>
      <c r="AB197">
        <v>12141</v>
      </c>
      <c r="AC197">
        <v>15729559</v>
      </c>
      <c r="AD197" t="s">
        <v>1</v>
      </c>
      <c r="AE197">
        <v>5</v>
      </c>
      <c r="AF197">
        <v>7</v>
      </c>
      <c r="AH197" t="s">
        <v>368</v>
      </c>
      <c r="AI197" t="s">
        <v>367</v>
      </c>
      <c r="AJ197" t="s">
        <v>366</v>
      </c>
      <c r="AK197" t="s">
        <v>365</v>
      </c>
      <c r="AL197">
        <v>0</v>
      </c>
      <c r="AM197" s="5">
        <f t="shared" si="27"/>
        <v>0</v>
      </c>
      <c r="AN197" s="4">
        <f t="shared" si="28"/>
        <v>0</v>
      </c>
      <c r="AO197" s="3"/>
      <c r="AP197">
        <v>0</v>
      </c>
      <c r="AR197" t="s">
        <v>0</v>
      </c>
      <c r="AT197" s="2" t="s">
        <v>8</v>
      </c>
      <c r="AU197" s="1">
        <f t="shared" si="29"/>
        <v>1.1491951629694881</v>
      </c>
      <c r="AV197" s="1">
        <f t="shared" si="30"/>
        <v>0.82085368783534873</v>
      </c>
      <c r="AW197" s="1">
        <f t="shared" si="31"/>
        <v>0.49251221270120926</v>
      </c>
    </row>
    <row r="198" spans="1:49" x14ac:dyDescent="0.2">
      <c r="A198">
        <v>196</v>
      </c>
      <c r="B198" t="s">
        <v>364</v>
      </c>
      <c r="C198" t="s">
        <v>363</v>
      </c>
      <c r="F198" t="s">
        <v>362</v>
      </c>
      <c r="G198" t="s">
        <v>4</v>
      </c>
      <c r="H198" t="s">
        <v>3</v>
      </c>
      <c r="I198" t="s">
        <v>361</v>
      </c>
      <c r="N198">
        <v>1</v>
      </c>
      <c r="O198" t="s">
        <v>360</v>
      </c>
      <c r="P198">
        <v>7103313639</v>
      </c>
      <c r="R198" s="7">
        <v>30864</v>
      </c>
      <c r="S198" s="8">
        <f t="shared" si="24"/>
        <v>1984</v>
      </c>
      <c r="T198" s="8">
        <v>1984</v>
      </c>
      <c r="U198" s="8">
        <f t="shared" si="25"/>
        <v>38</v>
      </c>
      <c r="V198" s="7">
        <v>30864</v>
      </c>
      <c r="W198" t="s">
        <v>212</v>
      </c>
      <c r="X198" s="2">
        <v>0.14899999999999999</v>
      </c>
      <c r="Y198" s="6">
        <f t="shared" si="26"/>
        <v>3.977469902031446E-3</v>
      </c>
      <c r="AA198">
        <v>5431972</v>
      </c>
      <c r="AB198">
        <v>15425</v>
      </c>
      <c r="AC198">
        <v>15738906</v>
      </c>
      <c r="AD198" t="s">
        <v>1</v>
      </c>
      <c r="AE198">
        <v>27</v>
      </c>
      <c r="AF198">
        <v>7</v>
      </c>
      <c r="AH198" t="s">
        <v>359</v>
      </c>
      <c r="AL198">
        <v>0</v>
      </c>
      <c r="AM198" s="5">
        <f t="shared" si="27"/>
        <v>0</v>
      </c>
      <c r="AN198" s="4">
        <f t="shared" si="28"/>
        <v>0</v>
      </c>
      <c r="AO198" s="3"/>
      <c r="AP198">
        <v>0</v>
      </c>
      <c r="AR198" t="s">
        <v>0</v>
      </c>
      <c r="AT198" s="2" t="s">
        <v>8</v>
      </c>
      <c r="AU198" s="1">
        <f t="shared" si="29"/>
        <v>0.2784228931422012</v>
      </c>
      <c r="AV198" s="1">
        <f t="shared" si="30"/>
        <v>0.19887349510157229</v>
      </c>
      <c r="AW198" s="1">
        <f t="shared" si="31"/>
        <v>0.11932409706094337</v>
      </c>
    </row>
    <row r="199" spans="1:49" x14ac:dyDescent="0.2">
      <c r="A199">
        <v>197</v>
      </c>
      <c r="B199" t="s">
        <v>358</v>
      </c>
      <c r="F199" t="s">
        <v>357</v>
      </c>
      <c r="G199" t="s">
        <v>4</v>
      </c>
      <c r="H199" t="s">
        <v>3</v>
      </c>
      <c r="I199" t="s">
        <v>356</v>
      </c>
      <c r="N199">
        <v>1</v>
      </c>
      <c r="O199" t="s">
        <v>355</v>
      </c>
      <c r="P199">
        <v>6603804336</v>
      </c>
      <c r="R199" s="7">
        <v>30864</v>
      </c>
      <c r="S199" s="8">
        <f t="shared" si="24"/>
        <v>1984</v>
      </c>
      <c r="T199" s="8">
        <v>1984</v>
      </c>
      <c r="U199" s="8">
        <f t="shared" si="25"/>
        <v>38</v>
      </c>
      <c r="V199" s="7">
        <v>30864</v>
      </c>
      <c r="W199" t="s">
        <v>31</v>
      </c>
      <c r="X199" s="2">
        <v>0.14099999999999999</v>
      </c>
      <c r="Y199" s="6">
        <f t="shared" si="26"/>
        <v>3.7639144710498915E-3</v>
      </c>
      <c r="AA199">
        <v>402508</v>
      </c>
      <c r="AB199">
        <v>20868</v>
      </c>
      <c r="AD199" t="s">
        <v>1</v>
      </c>
      <c r="AE199" t="s">
        <v>30</v>
      </c>
      <c r="AF199">
        <v>7</v>
      </c>
      <c r="AH199" s="9">
        <v>44287</v>
      </c>
      <c r="AI199" t="s">
        <v>354</v>
      </c>
      <c r="AK199" t="s">
        <v>353</v>
      </c>
      <c r="AL199">
        <v>0</v>
      </c>
      <c r="AM199" s="5">
        <f t="shared" si="27"/>
        <v>0</v>
      </c>
      <c r="AN199" s="4">
        <f t="shared" si="28"/>
        <v>0</v>
      </c>
      <c r="AO199" s="3"/>
      <c r="AP199">
        <v>0</v>
      </c>
      <c r="AR199" t="s">
        <v>0</v>
      </c>
      <c r="AT199" s="2" t="s">
        <v>8</v>
      </c>
      <c r="AU199" s="1">
        <f t="shared" si="29"/>
        <v>0.26347401297349238</v>
      </c>
      <c r="AV199" s="1">
        <f t="shared" si="30"/>
        <v>0.18819572355249459</v>
      </c>
      <c r="AW199" s="1">
        <f t="shared" si="31"/>
        <v>0.11291743413149673</v>
      </c>
    </row>
    <row r="200" spans="1:49" x14ac:dyDescent="0.2">
      <c r="A200">
        <v>198</v>
      </c>
      <c r="B200" t="s">
        <v>352</v>
      </c>
      <c r="F200" t="s">
        <v>351</v>
      </c>
      <c r="G200" t="s">
        <v>4</v>
      </c>
      <c r="H200" t="s">
        <v>3</v>
      </c>
      <c r="I200" t="s">
        <v>350</v>
      </c>
      <c r="N200">
        <v>4</v>
      </c>
      <c r="O200" t="s">
        <v>349</v>
      </c>
      <c r="P200" t="s">
        <v>348</v>
      </c>
      <c r="Q200" t="s">
        <v>42</v>
      </c>
      <c r="R200" s="7">
        <v>30864</v>
      </c>
      <c r="S200" s="8">
        <f t="shared" si="24"/>
        <v>1984</v>
      </c>
      <c r="T200" s="8">
        <v>1984</v>
      </c>
      <c r="U200" s="8">
        <f t="shared" si="25"/>
        <v>38</v>
      </c>
      <c r="V200" s="7">
        <v>30864</v>
      </c>
      <c r="W200" t="s">
        <v>63</v>
      </c>
      <c r="X200" s="2" t="s">
        <v>8</v>
      </c>
      <c r="Y200" s="6" t="e">
        <f t="shared" si="26"/>
        <v>#VALUE!</v>
      </c>
      <c r="AA200">
        <v>337889</v>
      </c>
      <c r="AB200">
        <v>40920</v>
      </c>
      <c r="AD200" t="s">
        <v>1</v>
      </c>
      <c r="AE200">
        <v>29</v>
      </c>
      <c r="AF200">
        <v>7</v>
      </c>
      <c r="AH200" t="s">
        <v>347</v>
      </c>
      <c r="AI200" t="s">
        <v>346</v>
      </c>
      <c r="AK200" t="s">
        <v>345</v>
      </c>
      <c r="AL200">
        <v>0</v>
      </c>
      <c r="AM200" s="5">
        <f t="shared" si="27"/>
        <v>0</v>
      </c>
      <c r="AN200" s="4">
        <f t="shared" si="28"/>
        <v>0</v>
      </c>
      <c r="AO200" s="3"/>
      <c r="AP200">
        <v>0</v>
      </c>
      <c r="AR200" t="s">
        <v>0</v>
      </c>
      <c r="AT200" s="2" t="s">
        <v>8</v>
      </c>
      <c r="AU200" s="1" t="e">
        <f t="shared" si="29"/>
        <v>#VALUE!</v>
      </c>
      <c r="AV200" s="1" t="e">
        <f t="shared" si="30"/>
        <v>#VALUE!</v>
      </c>
      <c r="AW200" s="1" t="e">
        <f t="shared" si="31"/>
        <v>#VALUE!</v>
      </c>
    </row>
    <row r="201" spans="1:49" x14ac:dyDescent="0.2">
      <c r="A201">
        <v>199</v>
      </c>
      <c r="B201" t="s">
        <v>344</v>
      </c>
      <c r="E201">
        <v>6384010</v>
      </c>
      <c r="F201" t="s">
        <v>343</v>
      </c>
      <c r="G201" t="s">
        <v>4</v>
      </c>
      <c r="H201" t="s">
        <v>3</v>
      </c>
      <c r="I201" t="s">
        <v>140</v>
      </c>
      <c r="N201">
        <v>2</v>
      </c>
      <c r="O201" t="s">
        <v>342</v>
      </c>
      <c r="P201" t="s">
        <v>341</v>
      </c>
      <c r="Q201" t="s">
        <v>29</v>
      </c>
      <c r="R201" s="7">
        <v>30864</v>
      </c>
      <c r="S201" s="8">
        <f t="shared" si="24"/>
        <v>1984</v>
      </c>
      <c r="T201" s="8">
        <v>1984</v>
      </c>
      <c r="U201" s="8">
        <f t="shared" si="25"/>
        <v>38</v>
      </c>
      <c r="V201" s="7">
        <v>30864</v>
      </c>
      <c r="W201" t="s">
        <v>139</v>
      </c>
      <c r="X201" s="2" t="s">
        <v>8</v>
      </c>
      <c r="Y201" s="6" t="e">
        <f t="shared" si="26"/>
        <v>#VALUE!</v>
      </c>
      <c r="AA201">
        <v>184888</v>
      </c>
      <c r="AB201">
        <v>95851</v>
      </c>
      <c r="AD201" t="s">
        <v>1</v>
      </c>
      <c r="AE201">
        <v>365</v>
      </c>
      <c r="AF201">
        <v>7</v>
      </c>
      <c r="AH201" t="s">
        <v>340</v>
      </c>
      <c r="AI201" t="s">
        <v>339</v>
      </c>
      <c r="AK201" t="s">
        <v>338</v>
      </c>
      <c r="AL201">
        <v>30</v>
      </c>
      <c r="AM201" s="5">
        <f t="shared" si="27"/>
        <v>0.78947368421052633</v>
      </c>
      <c r="AN201" s="4">
        <f t="shared" si="28"/>
        <v>1.1957193248171545E-3</v>
      </c>
      <c r="AO201" s="3"/>
      <c r="AP201">
        <v>0</v>
      </c>
      <c r="AR201" t="s">
        <v>0</v>
      </c>
      <c r="AT201" s="2" t="s">
        <v>8</v>
      </c>
      <c r="AU201" s="1" t="e">
        <f t="shared" si="29"/>
        <v>#VALUE!</v>
      </c>
      <c r="AV201" s="1" t="e">
        <f t="shared" si="30"/>
        <v>#VALUE!</v>
      </c>
      <c r="AW201" s="1" t="e">
        <f t="shared" si="31"/>
        <v>#VALUE!</v>
      </c>
    </row>
    <row r="202" spans="1:49" x14ac:dyDescent="0.2">
      <c r="A202">
        <v>200</v>
      </c>
      <c r="B202" t="s">
        <v>337</v>
      </c>
      <c r="F202" t="s">
        <v>336</v>
      </c>
      <c r="G202" t="s">
        <v>4</v>
      </c>
      <c r="H202" t="s">
        <v>3</v>
      </c>
      <c r="I202" t="s">
        <v>335</v>
      </c>
      <c r="J202">
        <v>60025555</v>
      </c>
      <c r="K202" t="s">
        <v>79</v>
      </c>
      <c r="L202" t="s">
        <v>50</v>
      </c>
      <c r="M202" t="s">
        <v>49</v>
      </c>
      <c r="N202">
        <v>1</v>
      </c>
      <c r="O202" t="s">
        <v>334</v>
      </c>
      <c r="P202">
        <v>55553742420</v>
      </c>
      <c r="Q202">
        <v>60025555</v>
      </c>
      <c r="R202" s="7">
        <v>30864</v>
      </c>
      <c r="S202" s="8">
        <f t="shared" si="24"/>
        <v>1984</v>
      </c>
      <c r="T202" s="8">
        <v>1984</v>
      </c>
      <c r="U202" s="8">
        <f t="shared" si="25"/>
        <v>38</v>
      </c>
      <c r="V202" s="7">
        <v>30864</v>
      </c>
      <c r="W202" t="s">
        <v>333</v>
      </c>
      <c r="X202" s="2" t="s">
        <v>8</v>
      </c>
      <c r="Y202" s="6" t="e">
        <f t="shared" si="26"/>
        <v>#VALUE!</v>
      </c>
      <c r="AA202">
        <v>214744</v>
      </c>
      <c r="AB202">
        <v>32584</v>
      </c>
      <c r="AD202" t="s">
        <v>1</v>
      </c>
      <c r="AE202">
        <v>26</v>
      </c>
      <c r="AF202">
        <v>3</v>
      </c>
      <c r="AH202" t="s">
        <v>332</v>
      </c>
      <c r="AI202" t="s">
        <v>331</v>
      </c>
      <c r="AK202" t="s">
        <v>330</v>
      </c>
      <c r="AL202">
        <v>2</v>
      </c>
      <c r="AM202" s="5">
        <f t="shared" si="27"/>
        <v>5.2631578947368418E-2</v>
      </c>
      <c r="AN202" s="4">
        <f t="shared" si="28"/>
        <v>7.9714621654476962E-5</v>
      </c>
      <c r="AO202" s="3"/>
      <c r="AP202">
        <v>0</v>
      </c>
      <c r="AR202" t="s">
        <v>0</v>
      </c>
      <c r="AT202" s="2" t="s">
        <v>8</v>
      </c>
      <c r="AU202" s="1" t="e">
        <f t="shared" si="29"/>
        <v>#VALUE!</v>
      </c>
      <c r="AV202" s="1" t="e">
        <f t="shared" si="30"/>
        <v>#VALUE!</v>
      </c>
      <c r="AW202" s="1" t="e">
        <f t="shared" si="31"/>
        <v>#VALUE!</v>
      </c>
    </row>
    <row r="203" spans="1:49" x14ac:dyDescent="0.2">
      <c r="A203">
        <v>201</v>
      </c>
      <c r="B203" t="s">
        <v>329</v>
      </c>
      <c r="F203" t="s">
        <v>328</v>
      </c>
      <c r="G203" t="s">
        <v>4</v>
      </c>
      <c r="H203" t="s">
        <v>3</v>
      </c>
      <c r="I203" t="s">
        <v>327</v>
      </c>
      <c r="N203">
        <v>2</v>
      </c>
      <c r="O203" t="s">
        <v>326</v>
      </c>
      <c r="P203" t="s">
        <v>325</v>
      </c>
      <c r="Q203" t="s">
        <v>29</v>
      </c>
      <c r="R203" s="7">
        <v>30864</v>
      </c>
      <c r="S203" s="8">
        <f t="shared" si="24"/>
        <v>1984</v>
      </c>
      <c r="T203" s="8">
        <v>1984</v>
      </c>
      <c r="U203" s="8">
        <f t="shared" si="25"/>
        <v>38</v>
      </c>
      <c r="V203" s="7">
        <v>30864</v>
      </c>
      <c r="W203" t="s">
        <v>63</v>
      </c>
      <c r="X203" s="2" t="s">
        <v>8</v>
      </c>
      <c r="Y203" s="6" t="e">
        <f t="shared" si="26"/>
        <v>#VALUE!</v>
      </c>
      <c r="AA203">
        <v>337889</v>
      </c>
      <c r="AB203">
        <v>40920</v>
      </c>
      <c r="AD203" t="s">
        <v>1</v>
      </c>
      <c r="AE203">
        <v>29</v>
      </c>
      <c r="AF203">
        <v>7</v>
      </c>
      <c r="AH203" t="s">
        <v>324</v>
      </c>
      <c r="AI203" t="s">
        <v>323</v>
      </c>
      <c r="AK203" t="s">
        <v>322</v>
      </c>
      <c r="AL203">
        <v>0</v>
      </c>
      <c r="AM203" s="5">
        <f t="shared" si="27"/>
        <v>0</v>
      </c>
      <c r="AN203" s="4">
        <f t="shared" si="28"/>
        <v>0</v>
      </c>
      <c r="AO203" s="3"/>
      <c r="AP203">
        <v>0</v>
      </c>
      <c r="AR203" t="s">
        <v>0</v>
      </c>
      <c r="AT203" s="2" t="s">
        <v>8</v>
      </c>
      <c r="AU203" s="1" t="e">
        <f t="shared" si="29"/>
        <v>#VALUE!</v>
      </c>
      <c r="AV203" s="1" t="e">
        <f t="shared" si="30"/>
        <v>#VALUE!</v>
      </c>
      <c r="AW203" s="1" t="e">
        <f t="shared" si="31"/>
        <v>#VALUE!</v>
      </c>
    </row>
    <row r="204" spans="1:49" x14ac:dyDescent="0.2">
      <c r="A204">
        <v>202</v>
      </c>
      <c r="B204" t="s">
        <v>321</v>
      </c>
      <c r="F204" t="s">
        <v>320</v>
      </c>
      <c r="G204" t="s">
        <v>4</v>
      </c>
      <c r="H204" t="s">
        <v>3</v>
      </c>
      <c r="I204" t="s">
        <v>319</v>
      </c>
      <c r="N204">
        <v>5</v>
      </c>
      <c r="O204" t="s">
        <v>318</v>
      </c>
      <c r="P204" t="s">
        <v>317</v>
      </c>
      <c r="Q204" t="s">
        <v>41</v>
      </c>
      <c r="R204" s="7">
        <v>30864</v>
      </c>
      <c r="S204" s="8">
        <f t="shared" si="24"/>
        <v>1984</v>
      </c>
      <c r="T204" s="8">
        <v>1984</v>
      </c>
      <c r="U204" s="8">
        <f t="shared" si="25"/>
        <v>38</v>
      </c>
      <c r="V204" s="7">
        <v>30864</v>
      </c>
      <c r="W204" t="s">
        <v>63</v>
      </c>
      <c r="X204" s="2" t="s">
        <v>8</v>
      </c>
      <c r="Y204" s="6" t="e">
        <f t="shared" si="26"/>
        <v>#VALUE!</v>
      </c>
      <c r="AA204">
        <v>337889</v>
      </c>
      <c r="AB204">
        <v>40920</v>
      </c>
      <c r="AD204" t="s">
        <v>1</v>
      </c>
      <c r="AE204">
        <v>29</v>
      </c>
      <c r="AF204">
        <v>7</v>
      </c>
      <c r="AH204" t="s">
        <v>316</v>
      </c>
      <c r="AI204" t="s">
        <v>315</v>
      </c>
      <c r="AK204" t="s">
        <v>314</v>
      </c>
      <c r="AL204">
        <v>0</v>
      </c>
      <c r="AM204" s="5">
        <f t="shared" si="27"/>
        <v>0</v>
      </c>
      <c r="AN204" s="4">
        <f t="shared" si="28"/>
        <v>0</v>
      </c>
      <c r="AO204" s="3"/>
      <c r="AP204">
        <v>0</v>
      </c>
      <c r="AR204" t="s">
        <v>0</v>
      </c>
      <c r="AT204" s="2" t="s">
        <v>8</v>
      </c>
      <c r="AU204" s="1" t="e">
        <f t="shared" si="29"/>
        <v>#VALUE!</v>
      </c>
      <c r="AV204" s="1" t="e">
        <f t="shared" si="30"/>
        <v>#VALUE!</v>
      </c>
      <c r="AW204" s="1" t="e">
        <f t="shared" si="31"/>
        <v>#VALUE!</v>
      </c>
    </row>
    <row r="205" spans="1:49" x14ac:dyDescent="0.2">
      <c r="A205">
        <v>203</v>
      </c>
      <c r="B205" t="s">
        <v>313</v>
      </c>
      <c r="F205" t="s">
        <v>312</v>
      </c>
      <c r="G205" t="s">
        <v>4</v>
      </c>
      <c r="H205" t="s">
        <v>3</v>
      </c>
      <c r="I205" t="s">
        <v>311</v>
      </c>
      <c r="N205">
        <v>2</v>
      </c>
      <c r="O205" t="s">
        <v>310</v>
      </c>
      <c r="P205" t="s">
        <v>309</v>
      </c>
      <c r="Q205" t="s">
        <v>29</v>
      </c>
      <c r="R205" s="7">
        <v>30864</v>
      </c>
      <c r="S205" s="8">
        <f t="shared" si="24"/>
        <v>1984</v>
      </c>
      <c r="T205" s="8">
        <v>1984</v>
      </c>
      <c r="U205" s="8">
        <f t="shared" si="25"/>
        <v>38</v>
      </c>
      <c r="V205" s="7">
        <v>30864</v>
      </c>
      <c r="W205" t="s">
        <v>31</v>
      </c>
      <c r="X205" s="2">
        <v>0.14099999999999999</v>
      </c>
      <c r="Y205" s="6">
        <f t="shared" si="26"/>
        <v>3.7639144710498915E-3</v>
      </c>
      <c r="AA205">
        <v>402508</v>
      </c>
      <c r="AB205">
        <v>20868</v>
      </c>
      <c r="AD205" t="s">
        <v>1</v>
      </c>
      <c r="AE205" t="s">
        <v>30</v>
      </c>
      <c r="AF205">
        <v>7</v>
      </c>
      <c r="AH205" t="s">
        <v>308</v>
      </c>
      <c r="AI205" t="s">
        <v>307</v>
      </c>
      <c r="AK205" t="s">
        <v>306</v>
      </c>
      <c r="AL205">
        <v>0</v>
      </c>
      <c r="AM205" s="5">
        <f t="shared" si="27"/>
        <v>0</v>
      </c>
      <c r="AN205" s="4">
        <f t="shared" si="28"/>
        <v>0</v>
      </c>
      <c r="AO205" s="3"/>
      <c r="AP205">
        <v>0</v>
      </c>
      <c r="AR205" t="s">
        <v>0</v>
      </c>
      <c r="AT205" s="2" t="s">
        <v>8</v>
      </c>
      <c r="AU205" s="1">
        <f t="shared" si="29"/>
        <v>0.26347401297349238</v>
      </c>
      <c r="AV205" s="1">
        <f t="shared" si="30"/>
        <v>0.18819572355249459</v>
      </c>
      <c r="AW205" s="1">
        <f t="shared" si="31"/>
        <v>0.11291743413149673</v>
      </c>
    </row>
    <row r="206" spans="1:49" x14ac:dyDescent="0.2">
      <c r="A206">
        <v>204</v>
      </c>
      <c r="B206" t="s">
        <v>305</v>
      </c>
      <c r="C206" t="s">
        <v>304</v>
      </c>
      <c r="F206" t="s">
        <v>303</v>
      </c>
      <c r="G206" t="s">
        <v>4</v>
      </c>
      <c r="H206" t="s">
        <v>3</v>
      </c>
      <c r="I206" t="s">
        <v>302</v>
      </c>
      <c r="N206">
        <v>2</v>
      </c>
      <c r="O206" t="s">
        <v>301</v>
      </c>
      <c r="P206" t="s">
        <v>300</v>
      </c>
      <c r="Q206" t="s">
        <v>29</v>
      </c>
      <c r="R206" s="7">
        <v>30864</v>
      </c>
      <c r="S206" s="8">
        <f t="shared" si="24"/>
        <v>1984</v>
      </c>
      <c r="T206" s="8">
        <v>1984</v>
      </c>
      <c r="U206" s="8">
        <f t="shared" si="25"/>
        <v>38</v>
      </c>
      <c r="V206" s="7">
        <v>30864</v>
      </c>
      <c r="W206" t="s">
        <v>58</v>
      </c>
      <c r="X206" s="2">
        <v>0.318</v>
      </c>
      <c r="Y206" s="6">
        <f t="shared" si="26"/>
        <v>8.4888283815167786E-3</v>
      </c>
      <c r="AA206">
        <v>338443</v>
      </c>
      <c r="AB206">
        <v>27160</v>
      </c>
      <c r="AC206">
        <v>15739120</v>
      </c>
      <c r="AD206" t="s">
        <v>1</v>
      </c>
      <c r="AE206">
        <v>27</v>
      </c>
      <c r="AF206">
        <v>7</v>
      </c>
      <c r="AH206" t="s">
        <v>299</v>
      </c>
      <c r="AL206">
        <v>4</v>
      </c>
      <c r="AM206" s="5">
        <f t="shared" si="27"/>
        <v>0.10526315789473684</v>
      </c>
      <c r="AN206" s="4">
        <f t="shared" si="28"/>
        <v>1.5942924330895392E-4</v>
      </c>
      <c r="AO206" s="3"/>
      <c r="AP206">
        <v>0</v>
      </c>
      <c r="AR206" t="s">
        <v>0</v>
      </c>
      <c r="AT206" s="2">
        <v>0.77</v>
      </c>
      <c r="AU206" s="1">
        <f t="shared" si="29"/>
        <v>0.59900086400544317</v>
      </c>
      <c r="AV206" s="1">
        <f t="shared" si="30"/>
        <v>0.43241288124128663</v>
      </c>
      <c r="AW206" s="1">
        <f t="shared" si="31"/>
        <v>0.26582489847713009</v>
      </c>
    </row>
    <row r="207" spans="1:49" x14ac:dyDescent="0.2">
      <c r="A207">
        <v>205</v>
      </c>
      <c r="B207" t="s">
        <v>298</v>
      </c>
      <c r="F207" t="s">
        <v>297</v>
      </c>
      <c r="G207" t="s">
        <v>4</v>
      </c>
      <c r="H207" t="s">
        <v>3</v>
      </c>
      <c r="I207" t="s">
        <v>296</v>
      </c>
      <c r="J207">
        <v>60022659</v>
      </c>
      <c r="K207" t="s">
        <v>295</v>
      </c>
      <c r="L207" t="s">
        <v>294</v>
      </c>
      <c r="M207" t="s">
        <v>11</v>
      </c>
      <c r="N207">
        <v>2</v>
      </c>
      <c r="O207" t="s">
        <v>293</v>
      </c>
      <c r="P207" t="s">
        <v>292</v>
      </c>
      <c r="Q207" t="s">
        <v>291</v>
      </c>
      <c r="R207" s="7">
        <v>30864</v>
      </c>
      <c r="S207" s="8">
        <f t="shared" si="24"/>
        <v>1984</v>
      </c>
      <c r="T207" s="8">
        <v>1984</v>
      </c>
      <c r="U207" s="8">
        <f t="shared" si="25"/>
        <v>38</v>
      </c>
      <c r="V207" s="7">
        <v>30864</v>
      </c>
      <c r="W207" t="s">
        <v>61</v>
      </c>
      <c r="X207" s="2" t="s">
        <v>8</v>
      </c>
      <c r="Y207" s="6" t="e">
        <f t="shared" si="26"/>
        <v>#VALUE!</v>
      </c>
      <c r="AA207">
        <v>262897</v>
      </c>
      <c r="AB207">
        <v>18580</v>
      </c>
      <c r="AD207" t="s">
        <v>1</v>
      </c>
      <c r="AE207">
        <v>27</v>
      </c>
      <c r="AF207">
        <v>7</v>
      </c>
      <c r="AI207" t="s">
        <v>290</v>
      </c>
      <c r="AK207" t="s">
        <v>289</v>
      </c>
      <c r="AL207">
        <v>1</v>
      </c>
      <c r="AM207" s="5">
        <f t="shared" si="27"/>
        <v>2.6315789473684209E-2</v>
      </c>
      <c r="AN207" s="4">
        <f t="shared" si="28"/>
        <v>3.9857310827238481E-5</v>
      </c>
      <c r="AO207" s="3"/>
      <c r="AP207">
        <v>0</v>
      </c>
      <c r="AR207" t="s">
        <v>0</v>
      </c>
      <c r="AT207" s="2">
        <v>0.30599999999999999</v>
      </c>
      <c r="AU207" s="1" t="e">
        <f t="shared" si="29"/>
        <v>#VALUE!</v>
      </c>
      <c r="AV207" s="1" t="e">
        <f t="shared" si="30"/>
        <v>#VALUE!</v>
      </c>
      <c r="AW207" s="1" t="e">
        <f t="shared" si="31"/>
        <v>#VALUE!</v>
      </c>
    </row>
    <row r="208" spans="1:49" x14ac:dyDescent="0.2">
      <c r="A208">
        <v>206</v>
      </c>
      <c r="B208" t="s">
        <v>288</v>
      </c>
      <c r="F208" t="s">
        <v>287</v>
      </c>
      <c r="G208" t="s">
        <v>4</v>
      </c>
      <c r="H208" t="s">
        <v>3</v>
      </c>
      <c r="I208" t="s">
        <v>286</v>
      </c>
      <c r="J208">
        <v>100321467</v>
      </c>
      <c r="K208" t="s">
        <v>285</v>
      </c>
      <c r="L208" t="s">
        <v>284</v>
      </c>
      <c r="M208" t="s">
        <v>11</v>
      </c>
      <c r="N208">
        <v>2</v>
      </c>
      <c r="O208" t="s">
        <v>283</v>
      </c>
      <c r="P208" t="s">
        <v>282</v>
      </c>
      <c r="Q208" t="s">
        <v>281</v>
      </c>
      <c r="R208" s="7">
        <v>30864</v>
      </c>
      <c r="S208" s="8">
        <f t="shared" si="24"/>
        <v>1984</v>
      </c>
      <c r="T208" s="8">
        <v>1984</v>
      </c>
      <c r="U208" s="8">
        <f t="shared" si="25"/>
        <v>38</v>
      </c>
      <c r="V208" s="7">
        <v>30864</v>
      </c>
      <c r="W208" t="s">
        <v>61</v>
      </c>
      <c r="X208" s="2" t="s">
        <v>8</v>
      </c>
      <c r="Y208" s="6" t="e">
        <f t="shared" si="26"/>
        <v>#VALUE!</v>
      </c>
      <c r="AA208">
        <v>262897</v>
      </c>
      <c r="AB208">
        <v>18580</v>
      </c>
      <c r="AD208" t="s">
        <v>1</v>
      </c>
      <c r="AE208">
        <v>27</v>
      </c>
      <c r="AF208">
        <v>7</v>
      </c>
      <c r="AH208" t="s">
        <v>280</v>
      </c>
      <c r="AI208" t="s">
        <v>279</v>
      </c>
      <c r="AK208" t="s">
        <v>278</v>
      </c>
      <c r="AL208">
        <v>8</v>
      </c>
      <c r="AM208" s="5">
        <f t="shared" si="27"/>
        <v>0.21052631578947367</v>
      </c>
      <c r="AN208" s="4">
        <f t="shared" si="28"/>
        <v>3.1885848661790785E-4</v>
      </c>
      <c r="AO208" s="3"/>
      <c r="AP208">
        <v>0</v>
      </c>
      <c r="AR208" t="s">
        <v>0</v>
      </c>
      <c r="AT208" s="2">
        <v>0.30599999999999999</v>
      </c>
      <c r="AU208" s="1" t="e">
        <f t="shared" si="29"/>
        <v>#VALUE!</v>
      </c>
      <c r="AV208" s="1" t="e">
        <f t="shared" si="30"/>
        <v>#VALUE!</v>
      </c>
      <c r="AW208" s="1" t="e">
        <f t="shared" si="31"/>
        <v>#VALUE!</v>
      </c>
    </row>
    <row r="209" spans="1:49" x14ac:dyDescent="0.2">
      <c r="A209">
        <v>207</v>
      </c>
      <c r="B209" t="s">
        <v>277</v>
      </c>
      <c r="F209" t="s">
        <v>276</v>
      </c>
      <c r="G209" t="s">
        <v>4</v>
      </c>
      <c r="H209" t="s">
        <v>3</v>
      </c>
      <c r="I209" t="s">
        <v>275</v>
      </c>
      <c r="J209">
        <v>100499275</v>
      </c>
      <c r="K209" t="s">
        <v>166</v>
      </c>
      <c r="L209" t="s">
        <v>165</v>
      </c>
      <c r="M209" t="s">
        <v>17</v>
      </c>
      <c r="N209">
        <v>1</v>
      </c>
      <c r="O209" t="s">
        <v>274</v>
      </c>
      <c r="P209">
        <v>7003495221</v>
      </c>
      <c r="Q209">
        <v>100499275</v>
      </c>
      <c r="R209" s="7">
        <v>30864</v>
      </c>
      <c r="S209" s="8">
        <f t="shared" si="24"/>
        <v>1984</v>
      </c>
      <c r="T209" s="8">
        <v>1984</v>
      </c>
      <c r="U209" s="8">
        <f t="shared" si="25"/>
        <v>38</v>
      </c>
      <c r="V209" s="7">
        <v>30864</v>
      </c>
      <c r="W209" t="s">
        <v>61</v>
      </c>
      <c r="X209" s="2" t="s">
        <v>8</v>
      </c>
      <c r="Y209" s="6" t="e">
        <f t="shared" si="26"/>
        <v>#VALUE!</v>
      </c>
      <c r="AA209">
        <v>262897</v>
      </c>
      <c r="AB209">
        <v>18580</v>
      </c>
      <c r="AD209" t="s">
        <v>1</v>
      </c>
      <c r="AE209">
        <v>27</v>
      </c>
      <c r="AF209">
        <v>7</v>
      </c>
      <c r="AH209" t="s">
        <v>273</v>
      </c>
      <c r="AI209" t="s">
        <v>272</v>
      </c>
      <c r="AK209" t="s">
        <v>271</v>
      </c>
      <c r="AL209">
        <v>1</v>
      </c>
      <c r="AM209" s="5">
        <f t="shared" si="27"/>
        <v>2.6315789473684209E-2</v>
      </c>
      <c r="AN209" s="4">
        <f t="shared" si="28"/>
        <v>3.9857310827238481E-5</v>
      </c>
      <c r="AO209" s="3"/>
      <c r="AP209">
        <v>0</v>
      </c>
      <c r="AR209" t="s">
        <v>0</v>
      </c>
      <c r="AT209" s="2">
        <v>0.30599999999999999</v>
      </c>
      <c r="AU209" s="1" t="e">
        <f t="shared" si="29"/>
        <v>#VALUE!</v>
      </c>
      <c r="AV209" s="1" t="e">
        <f t="shared" si="30"/>
        <v>#VALUE!</v>
      </c>
      <c r="AW209" s="1" t="e">
        <f t="shared" si="31"/>
        <v>#VALUE!</v>
      </c>
    </row>
    <row r="210" spans="1:49" x14ac:dyDescent="0.2">
      <c r="A210">
        <v>208</v>
      </c>
      <c r="B210" t="s">
        <v>270</v>
      </c>
      <c r="C210" t="s">
        <v>269</v>
      </c>
      <c r="F210" t="s">
        <v>268</v>
      </c>
      <c r="G210" t="s">
        <v>4</v>
      </c>
      <c r="H210" t="s">
        <v>3</v>
      </c>
      <c r="I210" t="s">
        <v>267</v>
      </c>
      <c r="J210">
        <v>60012317</v>
      </c>
      <c r="K210" t="s">
        <v>266</v>
      </c>
      <c r="L210" t="s">
        <v>265</v>
      </c>
      <c r="M210" t="s">
        <v>11</v>
      </c>
      <c r="N210">
        <v>3</v>
      </c>
      <c r="O210" t="s">
        <v>264</v>
      </c>
      <c r="P210" t="s">
        <v>263</v>
      </c>
      <c r="Q210" t="s">
        <v>262</v>
      </c>
      <c r="R210" s="7">
        <v>30864</v>
      </c>
      <c r="S210" s="8">
        <f t="shared" si="24"/>
        <v>1984</v>
      </c>
      <c r="T210" s="8">
        <v>1984</v>
      </c>
      <c r="U210" s="8">
        <f t="shared" si="25"/>
        <v>38</v>
      </c>
      <c r="V210" s="7">
        <v>30864</v>
      </c>
      <c r="W210" t="s">
        <v>261</v>
      </c>
      <c r="X210" s="2">
        <v>0.92800000000000005</v>
      </c>
      <c r="Y210" s="6">
        <f t="shared" si="26"/>
        <v>2.4772429993860284E-2</v>
      </c>
      <c r="AA210">
        <v>3036812</v>
      </c>
      <c r="AB210">
        <v>29610</v>
      </c>
      <c r="AC210">
        <v>14321416</v>
      </c>
      <c r="AD210" t="s">
        <v>1</v>
      </c>
      <c r="AE210">
        <v>19</v>
      </c>
      <c r="AF210">
        <v>3</v>
      </c>
      <c r="AH210" t="s">
        <v>260</v>
      </c>
      <c r="AI210" t="s">
        <v>259</v>
      </c>
      <c r="AJ210" t="s">
        <v>258</v>
      </c>
      <c r="AK210" t="s">
        <v>257</v>
      </c>
      <c r="AL210">
        <v>3</v>
      </c>
      <c r="AM210" s="5">
        <f t="shared" si="27"/>
        <v>7.8947368421052627E-2</v>
      </c>
      <c r="AN210" s="4">
        <f t="shared" si="28"/>
        <v>1.1957193248171546E-4</v>
      </c>
      <c r="AO210" s="3"/>
      <c r="AP210">
        <v>0</v>
      </c>
      <c r="AR210" t="s">
        <v>0</v>
      </c>
      <c r="AT210" s="2">
        <v>2.2589999999999999</v>
      </c>
      <c r="AU210" s="1">
        <f t="shared" si="29"/>
        <v>1.7376572575446714</v>
      </c>
      <c r="AV210" s="1">
        <f t="shared" si="30"/>
        <v>1.2446000963171</v>
      </c>
      <c r="AW210" s="1">
        <f t="shared" si="31"/>
        <v>0.75154293508952852</v>
      </c>
    </row>
    <row r="211" spans="1:49" x14ac:dyDescent="0.2">
      <c r="A211">
        <v>209</v>
      </c>
      <c r="B211" t="s">
        <v>256</v>
      </c>
      <c r="C211" t="s">
        <v>255</v>
      </c>
      <c r="F211" t="s">
        <v>254</v>
      </c>
      <c r="G211" t="s">
        <v>4</v>
      </c>
      <c r="H211" t="s">
        <v>3</v>
      </c>
      <c r="I211" t="s">
        <v>253</v>
      </c>
      <c r="J211" t="s">
        <v>252</v>
      </c>
      <c r="K211" t="s">
        <v>251</v>
      </c>
      <c r="L211" t="s">
        <v>250</v>
      </c>
      <c r="M211" t="s">
        <v>249</v>
      </c>
      <c r="N211">
        <v>3</v>
      </c>
      <c r="O211" t="s">
        <v>248</v>
      </c>
      <c r="P211" t="s">
        <v>247</v>
      </c>
      <c r="Q211" t="s">
        <v>246</v>
      </c>
      <c r="R211" s="7">
        <v>30864</v>
      </c>
      <c r="S211" s="8">
        <f t="shared" si="24"/>
        <v>1984</v>
      </c>
      <c r="T211" s="8">
        <v>1984</v>
      </c>
      <c r="U211" s="8">
        <f t="shared" si="25"/>
        <v>38</v>
      </c>
      <c r="V211" s="7">
        <v>30864</v>
      </c>
      <c r="W211" t="s">
        <v>180</v>
      </c>
      <c r="X211" s="2">
        <v>0.8</v>
      </c>
      <c r="Y211" s="6">
        <f t="shared" si="26"/>
        <v>2.1355543098155415E-2</v>
      </c>
      <c r="AA211">
        <v>3407594</v>
      </c>
      <c r="AB211">
        <v>23456</v>
      </c>
      <c r="AC211">
        <v>14321351</v>
      </c>
      <c r="AD211" t="s">
        <v>1</v>
      </c>
      <c r="AE211">
        <v>154</v>
      </c>
      <c r="AF211">
        <v>4</v>
      </c>
      <c r="AH211" t="s">
        <v>245</v>
      </c>
      <c r="AI211" t="s">
        <v>244</v>
      </c>
      <c r="AK211" t="s">
        <v>243</v>
      </c>
      <c r="AL211">
        <v>27</v>
      </c>
      <c r="AM211" s="5">
        <f t="shared" si="27"/>
        <v>0.71052631578947367</v>
      </c>
      <c r="AN211" s="4">
        <f t="shared" si="28"/>
        <v>1.076147392335439E-3</v>
      </c>
      <c r="AO211" s="3"/>
      <c r="AP211">
        <v>0</v>
      </c>
      <c r="AR211" t="s">
        <v>0</v>
      </c>
      <c r="AT211" s="2" t="s">
        <v>8</v>
      </c>
      <c r="AU211" s="1">
        <f t="shared" si="29"/>
        <v>1.527172438640942</v>
      </c>
      <c r="AV211" s="1">
        <f t="shared" si="30"/>
        <v>1.1215845245245426</v>
      </c>
      <c r="AW211" s="1">
        <f t="shared" si="31"/>
        <v>0.71599661040814311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2021-11-11T11:58:25Z</dcterms:created>
  <dcterms:modified xsi:type="dcterms:W3CDTF">2022-01-19T20:41:12Z</dcterms:modified>
</cp:coreProperties>
</file>